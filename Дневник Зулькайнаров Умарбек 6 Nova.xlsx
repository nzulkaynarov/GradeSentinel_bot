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годня" sheetId="1" r:id="rId5"/>
    <sheet state="visible" name="Неделя" sheetId="2" r:id="rId6"/>
    <sheet state="visible" name="Все оценки" sheetId="3" r:id="rId7"/>
    <sheet state="visible" name="Четверти" sheetId="4" r:id="rId8"/>
    <sheet state="visible" name="data" sheetId="5" r:id="rId9"/>
    <sheet state="hidden" name="Домашнее задание" sheetId="6" r:id="rId10"/>
    <sheet state="hidden" name="App Logins" sheetId="7" r:id="rId11"/>
  </sheets>
  <definedNames/>
  <calcPr/>
</workbook>
</file>

<file path=xl/sharedStrings.xml><?xml version="1.0" encoding="utf-8"?>
<sst xmlns="http://schemas.openxmlformats.org/spreadsheetml/2006/main" count="319" uniqueCount="299">
  <si>
    <t>Сегодня</t>
  </si>
  <si>
    <t>Зулькайнаров Умарбек</t>
  </si>
  <si>
    <t>Оценки</t>
  </si>
  <si>
    <t>Оценки за неделю</t>
  </si>
  <si>
    <t>Столбец 2</t>
  </si>
  <si>
    <t>Столбец 3</t>
  </si>
  <si>
    <t>Столбец 4</t>
  </si>
  <si>
    <t>Столбец 5</t>
  </si>
  <si>
    <t>Столбец 6</t>
  </si>
  <si>
    <t>Столбец 7</t>
  </si>
  <si>
    <t>Дата</t>
  </si>
  <si>
    <t>Оценки все даты</t>
  </si>
  <si>
    <t>Столбец 8</t>
  </si>
  <si>
    <t>Столбец 9</t>
  </si>
  <si>
    <t>Столбец 10</t>
  </si>
  <si>
    <t>Столбец 11</t>
  </si>
  <si>
    <t>Столбец 12</t>
  </si>
  <si>
    <t>Столбец 13</t>
  </si>
  <si>
    <t>Столбец 14</t>
  </si>
  <si>
    <t>Столбец 15</t>
  </si>
  <si>
    <t>Столбец 16</t>
  </si>
  <si>
    <t>Столбец 17</t>
  </si>
  <si>
    <t>Столбец 18</t>
  </si>
  <si>
    <t>Столбец 19</t>
  </si>
  <si>
    <t>Столбец 20</t>
  </si>
  <si>
    <t>Столбец 21</t>
  </si>
  <si>
    <t>Столбец 22</t>
  </si>
  <si>
    <t>Столбец 23</t>
  </si>
  <si>
    <t>Столбец 24</t>
  </si>
  <si>
    <t>Столбец 25</t>
  </si>
  <si>
    <t>Столбец 26</t>
  </si>
  <si>
    <t>Столбец 27</t>
  </si>
  <si>
    <t>Столбец 28</t>
  </si>
  <si>
    <t>Столбец 29</t>
  </si>
  <si>
    <t>Столбец 30</t>
  </si>
  <si>
    <t>Столбец 31</t>
  </si>
  <si>
    <t>Столбец 32</t>
  </si>
  <si>
    <t>Столбец 33</t>
  </si>
  <si>
    <t>Столбец 34</t>
  </si>
  <si>
    <t>Столбец 35</t>
  </si>
  <si>
    <t>Столбец 36</t>
  </si>
  <si>
    <t>Столбец 37</t>
  </si>
  <si>
    <t>Столбец 38</t>
  </si>
  <si>
    <t>Столбец 39</t>
  </si>
  <si>
    <t>Столбец 40</t>
  </si>
  <si>
    <t>Столбец 41</t>
  </si>
  <si>
    <t>Столбец 42</t>
  </si>
  <si>
    <t>Столбец 43</t>
  </si>
  <si>
    <t>Столбец 44</t>
  </si>
  <si>
    <t>Столбец 45</t>
  </si>
  <si>
    <t>Столбец 46</t>
  </si>
  <si>
    <t>Столбец 47</t>
  </si>
  <si>
    <t>Столбец 48</t>
  </si>
  <si>
    <t>Столбец 49</t>
  </si>
  <si>
    <t>Столбец 50</t>
  </si>
  <si>
    <t>Столбец 51</t>
  </si>
  <si>
    <t>Столбец 52</t>
  </si>
  <si>
    <t>Столбец 53</t>
  </si>
  <si>
    <t>Столбец 54</t>
  </si>
  <si>
    <t>Столбец 55</t>
  </si>
  <si>
    <t>Столбец 56</t>
  </si>
  <si>
    <t>Столбец 57</t>
  </si>
  <si>
    <t>Столбец 58</t>
  </si>
  <si>
    <t>Столбец 59</t>
  </si>
  <si>
    <t>Столбец 60</t>
  </si>
  <si>
    <t>Столбец 61</t>
  </si>
  <si>
    <t>Столбец 62</t>
  </si>
  <si>
    <t>Столбец 63</t>
  </si>
  <si>
    <t>Столбец 64</t>
  </si>
  <si>
    <t>Столбец 65</t>
  </si>
  <si>
    <t>Столбец 66</t>
  </si>
  <si>
    <t>Столбец 67</t>
  </si>
  <si>
    <t>Столбец 68</t>
  </si>
  <si>
    <t>Столбец 69</t>
  </si>
  <si>
    <t>Столбец 70</t>
  </si>
  <si>
    <t>Столбец 71</t>
  </si>
  <si>
    <t>Столбец 72</t>
  </si>
  <si>
    <t>Столбец 73</t>
  </si>
  <si>
    <t>Столбец 74</t>
  </si>
  <si>
    <t>Столбец 75</t>
  </si>
  <si>
    <t>Столбец 76</t>
  </si>
  <si>
    <t>Столбец 77</t>
  </si>
  <si>
    <t>Столбец 78</t>
  </si>
  <si>
    <t>Столбец 79</t>
  </si>
  <si>
    <t>Столбец 80</t>
  </si>
  <si>
    <t>Столбец 81</t>
  </si>
  <si>
    <t>Столбец 82</t>
  </si>
  <si>
    <t>Столбец 83</t>
  </si>
  <si>
    <t>Столбец 84</t>
  </si>
  <si>
    <t>Столбец 85</t>
  </si>
  <si>
    <t>Столбец 86</t>
  </si>
  <si>
    <t>Столбец 87</t>
  </si>
  <si>
    <t>Столбец 88</t>
  </si>
  <si>
    <t>Столбец 89</t>
  </si>
  <si>
    <t>Столбец 90</t>
  </si>
  <si>
    <t>Столбец 91</t>
  </si>
  <si>
    <t>Столбец 92</t>
  </si>
  <si>
    <t>Столбец 93</t>
  </si>
  <si>
    <t>Столбец 94</t>
  </si>
  <si>
    <t>Столбец 95</t>
  </si>
  <si>
    <t>Столбец 96</t>
  </si>
  <si>
    <t>Столбец 97</t>
  </si>
  <si>
    <t>Столбец 98</t>
  </si>
  <si>
    <t>Столбец 99</t>
  </si>
  <si>
    <t>Столбец 100</t>
  </si>
  <si>
    <t>Столбец 101</t>
  </si>
  <si>
    <t>Столбец 102</t>
  </si>
  <si>
    <t>Столбец 103</t>
  </si>
  <si>
    <t>Столбец 104</t>
  </si>
  <si>
    <t>Столбец 105</t>
  </si>
  <si>
    <t>Столбец 106</t>
  </si>
  <si>
    <t>Столбец 107</t>
  </si>
  <si>
    <t>Столбец 108</t>
  </si>
  <si>
    <t>Столбец 109</t>
  </si>
  <si>
    <t>Столбец 110</t>
  </si>
  <si>
    <t>Столбец 111</t>
  </si>
  <si>
    <t>Столбец 112</t>
  </si>
  <si>
    <t>Столбец 113</t>
  </si>
  <si>
    <t>Столбец 114</t>
  </si>
  <si>
    <t>Столбец 115</t>
  </si>
  <si>
    <t>Столбец 116</t>
  </si>
  <si>
    <t>Столбец 117</t>
  </si>
  <si>
    <t>Столбец 118</t>
  </si>
  <si>
    <t>Столбец 119</t>
  </si>
  <si>
    <t>Столбец 120</t>
  </si>
  <si>
    <t>Столбец 121</t>
  </si>
  <si>
    <t>Столбец 122</t>
  </si>
  <si>
    <t>Столбец 123</t>
  </si>
  <si>
    <t>Столбец 124</t>
  </si>
  <si>
    <t>Столбец 125</t>
  </si>
  <si>
    <t>Столбец 126</t>
  </si>
  <si>
    <t>Столбец 127</t>
  </si>
  <si>
    <t>Столбец 128</t>
  </si>
  <si>
    <t>Столбец 129</t>
  </si>
  <si>
    <t>Столбец 130</t>
  </si>
  <si>
    <t>Столбец 131</t>
  </si>
  <si>
    <t>Столбец 132</t>
  </si>
  <si>
    <t>Столбец 133</t>
  </si>
  <si>
    <t>Столбец 134</t>
  </si>
  <si>
    <t>Столбец 135</t>
  </si>
  <si>
    <t>Столбец 136</t>
  </si>
  <si>
    <t>Столбец 137</t>
  </si>
  <si>
    <t>Столбец 138</t>
  </si>
  <si>
    <t>Столбец 139</t>
  </si>
  <si>
    <t>Столбец 140</t>
  </si>
  <si>
    <t>Столбец 141</t>
  </si>
  <si>
    <t>Столбец 142</t>
  </si>
  <si>
    <t>Столбец 143</t>
  </si>
  <si>
    <t>Столбец 144</t>
  </si>
  <si>
    <t>Столбец 145</t>
  </si>
  <si>
    <t>Столбец 146</t>
  </si>
  <si>
    <t>Столбец 147</t>
  </si>
  <si>
    <t>Столбец 148</t>
  </si>
  <si>
    <t>Столбец 149</t>
  </si>
  <si>
    <t>Столбец 150</t>
  </si>
  <si>
    <t>Столбец 151</t>
  </si>
  <si>
    <t>Столбец 152</t>
  </si>
  <si>
    <t>Столбец 153</t>
  </si>
  <si>
    <t>Столбец 154</t>
  </si>
  <si>
    <t>Столбец 155</t>
  </si>
  <si>
    <t>Столбец 156</t>
  </si>
  <si>
    <t>Столбец 157</t>
  </si>
  <si>
    <t>Столбец 158</t>
  </si>
  <si>
    <t>Столбец 159</t>
  </si>
  <si>
    <t>Столбец 160</t>
  </si>
  <si>
    <t>Столбец 161</t>
  </si>
  <si>
    <t>Столбец 162</t>
  </si>
  <si>
    <t>Столбец 163</t>
  </si>
  <si>
    <t>Столбец 164</t>
  </si>
  <si>
    <t>Столбец 165</t>
  </si>
  <si>
    <t>Столбец 166</t>
  </si>
  <si>
    <t>Столбец 167</t>
  </si>
  <si>
    <t>Столбец 168</t>
  </si>
  <si>
    <t>Столбец 169</t>
  </si>
  <si>
    <t>Столбец 170</t>
  </si>
  <si>
    <t>Столбец 171</t>
  </si>
  <si>
    <t>Столбец 172</t>
  </si>
  <si>
    <t>Столбец 173</t>
  </si>
  <si>
    <t>Столбец 174</t>
  </si>
  <si>
    <t>Столбец 175</t>
  </si>
  <si>
    <t>Столбец 176</t>
  </si>
  <si>
    <t>Столбец 177</t>
  </si>
  <si>
    <t>Столбец 178</t>
  </si>
  <si>
    <t>Столбец 179</t>
  </si>
  <si>
    <t>Столбец 180</t>
  </si>
  <si>
    <t>Столбец 181</t>
  </si>
  <si>
    <t>Столбец 182</t>
  </si>
  <si>
    <t>Столбец 183</t>
  </si>
  <si>
    <t>Столбец 184</t>
  </si>
  <si>
    <t>Столбец 185</t>
  </si>
  <si>
    <t>Столбец 186</t>
  </si>
  <si>
    <t>Столбец 187</t>
  </si>
  <si>
    <t>Столбец 188</t>
  </si>
  <si>
    <t>Столбец 189</t>
  </si>
  <si>
    <t>Столбец 190</t>
  </si>
  <si>
    <t>Столбец 191</t>
  </si>
  <si>
    <t>Столбец 192</t>
  </si>
  <si>
    <t>Столбец 193</t>
  </si>
  <si>
    <t>Столбец 194</t>
  </si>
  <si>
    <t>Столбец 195</t>
  </si>
  <si>
    <t>Столбец 196</t>
  </si>
  <si>
    <t>Столбец 197</t>
  </si>
  <si>
    <t>Столбец 198</t>
  </si>
  <si>
    <t>Столбец 199</t>
  </si>
  <si>
    <t>Столбец 200</t>
  </si>
  <si>
    <t>Столбец 201</t>
  </si>
  <si>
    <t>Столбец 202</t>
  </si>
  <si>
    <t>Столбец 203</t>
  </si>
  <si>
    <t>Столбец 204</t>
  </si>
  <si>
    <t>Столбец 205</t>
  </si>
  <si>
    <t>Столбец 206</t>
  </si>
  <si>
    <t>Столбец 207</t>
  </si>
  <si>
    <t>Столбец 208</t>
  </si>
  <si>
    <t>Столбец 209</t>
  </si>
  <si>
    <t>Столбец 210</t>
  </si>
  <si>
    <t>Столбец 211</t>
  </si>
  <si>
    <t>Столбец 212</t>
  </si>
  <si>
    <t>Столбец 213</t>
  </si>
  <si>
    <t>Столбец 214</t>
  </si>
  <si>
    <t>Столбец 215</t>
  </si>
  <si>
    <t>Столбец 216</t>
  </si>
  <si>
    <t>Столбец 217</t>
  </si>
  <si>
    <t>Столбец 218</t>
  </si>
  <si>
    <t>Столбец 219</t>
  </si>
  <si>
    <t>Столбец 220</t>
  </si>
  <si>
    <t>Столбец 221</t>
  </si>
  <si>
    <t>Столбец 222</t>
  </si>
  <si>
    <t>Столбец 223</t>
  </si>
  <si>
    <t>Столбец 224</t>
  </si>
  <si>
    <t>Столбец 225</t>
  </si>
  <si>
    <t>Столбец 226</t>
  </si>
  <si>
    <t>Столбец 227</t>
  </si>
  <si>
    <t>Столбец 228</t>
  </si>
  <si>
    <t>Столбец 229</t>
  </si>
  <si>
    <t>Столбец 230</t>
  </si>
  <si>
    <t>Столбец 231</t>
  </si>
  <si>
    <t>Столбец 232</t>
  </si>
  <si>
    <t>Столбец 233</t>
  </si>
  <si>
    <t>Столбец 234</t>
  </si>
  <si>
    <t>Столбец 235</t>
  </si>
  <si>
    <t>Столбец 236</t>
  </si>
  <si>
    <t>Столбец 237</t>
  </si>
  <si>
    <t>Столбец 238</t>
  </si>
  <si>
    <t>Столбец 239</t>
  </si>
  <si>
    <t>Столбец 240</t>
  </si>
  <si>
    <t>Столбец 241</t>
  </si>
  <si>
    <t>Столбец 242</t>
  </si>
  <si>
    <t>Столбец 243</t>
  </si>
  <si>
    <t>Столбец 244</t>
  </si>
  <si>
    <t>Столбец 245</t>
  </si>
  <si>
    <t>Столбец 246</t>
  </si>
  <si>
    <t>Столбец 247</t>
  </si>
  <si>
    <t>Столбец 248</t>
  </si>
  <si>
    <t>Столбец 249</t>
  </si>
  <si>
    <t>Столбец 250</t>
  </si>
  <si>
    <t>Столбец 251</t>
  </si>
  <si>
    <t>Столбец 252</t>
  </si>
  <si>
    <t>Столбец 253</t>
  </si>
  <si>
    <t>Столбец 254</t>
  </si>
  <si>
    <t>Столбец 255</t>
  </si>
  <si>
    <t>Столбец 256</t>
  </si>
  <si>
    <t>Столбец 257</t>
  </si>
  <si>
    <t>Столбец 258</t>
  </si>
  <si>
    <t>Столбец 259</t>
  </si>
  <si>
    <t>Столбец 260</t>
  </si>
  <si>
    <t>Столбец 261</t>
  </si>
  <si>
    <t>Столбец 262</t>
  </si>
  <si>
    <t>Столбец 263</t>
  </si>
  <si>
    <t>Столбец 264</t>
  </si>
  <si>
    <t>Столбец 265</t>
  </si>
  <si>
    <t>Предварительно четверть</t>
  </si>
  <si>
    <t>1 Четверть</t>
  </si>
  <si>
    <t>2 Четверть</t>
  </si>
  <si>
    <t>3 Четверть</t>
  </si>
  <si>
    <t>4 Четверть</t>
  </si>
  <si>
    <t>Год</t>
  </si>
  <si>
    <t>Журнал 6 Nova 2025-2026</t>
  </si>
  <si>
    <t>Русский язык</t>
  </si>
  <si>
    <t>Литература</t>
  </si>
  <si>
    <t>Узбекский язык</t>
  </si>
  <si>
    <t>Английский язык</t>
  </si>
  <si>
    <t>История</t>
  </si>
  <si>
    <t>Воспитание</t>
  </si>
  <si>
    <t>Физкультура</t>
  </si>
  <si>
    <t>Математика</t>
  </si>
  <si>
    <t>Ботаника</t>
  </si>
  <si>
    <t>География</t>
  </si>
  <si>
    <t>ИЗО</t>
  </si>
  <si>
    <t>Технология</t>
  </si>
  <si>
    <t>Информатика</t>
  </si>
  <si>
    <t>Музыка</t>
  </si>
  <si>
    <t>Физика</t>
  </si>
  <si>
    <t>Посещаемость</t>
  </si>
  <si>
    <t>МВА</t>
  </si>
  <si>
    <t>Time</t>
  </si>
  <si>
    <t>Email</t>
  </si>
  <si>
    <t>Agreed</t>
  </si>
  <si>
    <t>2023-09-04T15:46:17.243Z</t>
  </si>
  <si>
    <t>kira1347144@gmail.com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</si>
</sst>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m"/>
    <numFmt numFmtId="165" formatCode="dd.MM.yyyy"/>
    <numFmt numFmtId="166" formatCode="dd.mm.yyyy"/>
    <numFmt numFmtId="167" formatCode="d.m.yyyy"/>
    <numFmt numFmtId="168" formatCode="dd/mm"/>
    <numFmt numFmtId="169" formatCode="dd.mm"/>
  </numFmts>
  <fonts count="1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rgb="FFFFFFFF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rgb="FF5B3F86"/>
      <name val="Arial"/>
      <scheme val="minor"/>
    </font>
    <font>
      <sz val="11.0"/>
      <color rgb="FFFFFFFF"/>
      <name val="Calibri"/>
    </font>
    <font>
      <color rgb="FFFFFFFF"/>
      <name val="Arial"/>
    </font>
    <font>
      <b/>
      <u/>
      <color rgb="FFFFFFFF"/>
      <name val="Arial"/>
    </font>
    <font>
      <b/>
      <color rgb="FFFFFFFF"/>
      <name val="Arial"/>
    </font>
    <font>
      <b/>
      <color rgb="FFFFFFFF"/>
      <name val="Arial"/>
      <scheme val="minor"/>
    </font>
    <font>
      <b/>
      <sz val="13.0"/>
      <color rgb="FFFFFFFF"/>
      <name val="Arial"/>
    </font>
    <font>
      <sz val="9.0"/>
      <color rgb="FFFFFFFF"/>
      <name val="Arial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B3F86"/>
      </right>
      <top style="thin">
        <color rgb="FF000000"/>
      </top>
      <bottom style="thin">
        <color rgb="FF000000"/>
      </bottom>
    </border>
    <border>
      <left style="thin">
        <color rgb="FF5B3F86"/>
      </left>
      <right style="thin">
        <color rgb="FF5B3F86"/>
      </right>
      <top style="thin">
        <color rgb="FF000000"/>
      </top>
      <bottom style="thin">
        <color rgb="FF000000"/>
      </bottom>
    </border>
    <border>
      <left style="thin">
        <color rgb="FF5B3F86"/>
      </left>
      <top style="thin">
        <color rgb="FF000000"/>
      </top>
      <bottom style="thin">
        <color rgb="FF000000"/>
      </bottom>
    </border>
    <border>
      <left style="thin">
        <color rgb="FF5B3F86"/>
      </left>
      <right style="thin">
        <color rgb="FF5B3F86"/>
      </right>
      <top style="thin">
        <color rgb="FF000000"/>
      </top>
    </border>
    <border>
      <left style="thin">
        <color rgb="FF5B3F86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4285F4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4285F4"/>
      </right>
      <top style="thin">
        <color rgb="FF000000"/>
      </top>
      <bottom style="thick">
        <color rgb="FF4285F4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49" xfId="0" applyAlignment="1" applyBorder="1" applyFont="1" applyNumberFormat="1">
      <alignment shrinkToFit="0" vertical="center" wrapText="0"/>
    </xf>
    <xf borderId="1" fillId="0" fontId="3" numFmtId="49" xfId="0" applyAlignment="1" applyBorder="1" applyFont="1" applyNumberFormat="1">
      <alignment shrinkToFit="0" vertical="center" wrapText="0"/>
    </xf>
    <xf borderId="0" fillId="2" fontId="4" numFmtId="0" xfId="0" applyFill="1" applyFont="1"/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5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horizontal="left" readingOrder="0" shrinkToFit="0" vertical="center" wrapText="0"/>
    </xf>
    <xf borderId="0" fillId="2" fontId="2" numFmtId="49" xfId="0" applyFont="1" applyNumberFormat="1"/>
    <xf borderId="2" fillId="0" fontId="1" numFmtId="49" xfId="0" applyAlignment="1" applyBorder="1" applyFont="1" applyNumberFormat="1">
      <alignment shrinkToFit="0" vertical="center" wrapText="0"/>
    </xf>
    <xf borderId="3" fillId="0" fontId="1" numFmtId="49" xfId="0" applyAlignment="1" applyBorder="1" applyFont="1" applyNumberFormat="1">
      <alignment shrinkToFit="0" vertical="center" wrapText="0"/>
    </xf>
    <xf borderId="4" fillId="0" fontId="1" numFmtId="49" xfId="0" applyAlignment="1" applyBorder="1" applyFont="1" applyNumberFormat="1">
      <alignment shrinkToFit="0" vertical="center" wrapText="0"/>
    </xf>
    <xf borderId="0" fillId="2" fontId="1" numFmtId="49" xfId="0" applyFont="1" applyNumberFormat="1"/>
    <xf borderId="3" fillId="0" fontId="3" numFmtId="49" xfId="0" applyAlignment="1" applyBorder="1" applyFont="1" applyNumberFormat="1">
      <alignment shrinkToFit="0" vertical="center" wrapText="0"/>
    </xf>
    <xf borderId="0" fillId="2" fontId="4" numFmtId="49" xfId="0" applyFont="1" applyNumberFormat="1"/>
    <xf borderId="4" fillId="0" fontId="3" numFmtId="49" xfId="0" applyAlignment="1" applyBorder="1" applyFont="1" applyNumberFormat="1">
      <alignment shrinkToFit="0" vertical="center" wrapText="0"/>
    </xf>
    <xf borderId="5" fillId="0" fontId="3" numFmtId="49" xfId="0" applyAlignment="1" applyBorder="1" applyFont="1" applyNumberFormat="1">
      <alignment shrinkToFit="0" vertical="center" wrapText="0"/>
    </xf>
    <xf borderId="6" fillId="0" fontId="3" numFmtId="49" xfId="0" applyAlignment="1" applyBorder="1" applyFont="1" applyNumberFormat="1">
      <alignment shrinkToFit="0" vertical="center" wrapText="0"/>
    </xf>
    <xf borderId="7" fillId="0" fontId="1" numFmtId="49" xfId="0" applyAlignment="1" applyBorder="1" applyFont="1" applyNumberFormat="1">
      <alignment shrinkToFit="0" vertical="center" wrapText="0"/>
    </xf>
    <xf borderId="0" fillId="2" fontId="2" numFmtId="0" xfId="0" applyFont="1"/>
    <xf borderId="1" fillId="0" fontId="1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0" fillId="0" fontId="1" numFmtId="0" xfId="0" applyFont="1"/>
    <xf borderId="1" fillId="0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shrinkToFit="0" vertical="center" wrapText="0"/>
    </xf>
    <xf borderId="0" fillId="2" fontId="6" numFmtId="0" xfId="0" applyAlignment="1" applyFont="1">
      <alignment readingOrder="0" vertical="bottom"/>
    </xf>
    <xf borderId="0" fillId="2" fontId="7" numFmtId="0" xfId="0" applyAlignment="1" applyFont="1">
      <alignment horizontal="center" readingOrder="0" vertical="bottom"/>
    </xf>
    <xf borderId="0" fillId="2" fontId="8" numFmtId="0" xfId="0" applyAlignment="1" applyFont="1">
      <alignment readingOrder="0" vertical="bottom"/>
    </xf>
    <xf borderId="0" fillId="2" fontId="2" numFmtId="165" xfId="0" applyFont="1" applyNumberFormat="1"/>
    <xf borderId="0" fillId="2" fontId="7" numFmtId="165" xfId="0" applyAlignment="1" applyFont="1" applyNumberFormat="1">
      <alignment horizontal="center" vertical="bottom"/>
    </xf>
    <xf borderId="0" fillId="2" fontId="9" numFmtId="0" xfId="0" applyAlignment="1" applyFont="1">
      <alignment readingOrder="0" shrinkToFit="0" vertical="bottom" wrapText="0"/>
    </xf>
    <xf borderId="0" fillId="2" fontId="7" numFmtId="0" xfId="0" applyAlignment="1" applyFont="1">
      <alignment horizontal="left" vertical="bottom"/>
    </xf>
    <xf borderId="0" fillId="2" fontId="7" numFmtId="0" xfId="0" applyAlignment="1" applyFont="1">
      <alignment horizontal="center" vertical="bottom"/>
    </xf>
    <xf borderId="0" fillId="2" fontId="9" numFmtId="0" xfId="0" applyAlignment="1" applyFont="1">
      <alignment readingOrder="0" shrinkToFit="0" vertical="bottom" wrapText="1"/>
    </xf>
    <xf borderId="0" fillId="2" fontId="7" numFmtId="0" xfId="0" applyAlignment="1" applyFont="1">
      <alignment horizontal="center" vertical="bottom"/>
    </xf>
    <xf borderId="0" fillId="2" fontId="7" numFmtId="0" xfId="0" applyAlignment="1" applyFont="1">
      <alignment horizontal="center" shrinkToFit="0" vertical="bottom" wrapText="0"/>
    </xf>
    <xf borderId="0" fillId="2" fontId="9" numFmtId="165" xfId="0" applyAlignment="1" applyFont="1" applyNumberFormat="1">
      <alignment vertical="bottom"/>
    </xf>
    <xf borderId="0" fillId="2" fontId="10" numFmtId="0" xfId="0" applyAlignment="1" applyFont="1">
      <alignment readingOrder="0"/>
    </xf>
    <xf borderId="0" fillId="2" fontId="9" numFmtId="0" xfId="0" applyAlignment="1" applyFont="1">
      <alignment vertical="bottom"/>
    </xf>
    <xf borderId="0" fillId="2" fontId="9" numFmtId="0" xfId="0" applyAlignment="1" applyFont="1">
      <alignment readingOrder="0" vertical="bottom"/>
    </xf>
    <xf borderId="0" fillId="2" fontId="7" numFmtId="0" xfId="0" applyAlignment="1" applyFont="1">
      <alignment vertical="bottom"/>
    </xf>
    <xf borderId="0" fillId="2" fontId="7" numFmtId="165" xfId="0" applyAlignment="1" applyFont="1" applyNumberFormat="1">
      <alignment vertical="bottom"/>
    </xf>
    <xf borderId="0" fillId="2" fontId="11" numFmtId="49" xfId="0" applyAlignment="1" applyFont="1" applyNumberFormat="1">
      <alignment vertical="bottom"/>
    </xf>
    <xf borderId="0" fillId="2" fontId="7" numFmtId="49" xfId="0" applyAlignment="1" applyFont="1" applyNumberFormat="1">
      <alignment horizontal="right" vertical="bottom"/>
    </xf>
    <xf borderId="0" fillId="2" fontId="9" numFmtId="49" xfId="0" applyAlignment="1" applyFont="1" applyNumberFormat="1">
      <alignment vertical="bottom"/>
    </xf>
    <xf borderId="0" fillId="2" fontId="12" numFmtId="49" xfId="0" applyAlignment="1" applyFont="1" applyNumberFormat="1">
      <alignment vertical="bottom"/>
    </xf>
    <xf borderId="0" fillId="2" fontId="9" numFmtId="49" xfId="0" applyAlignment="1" applyFont="1" applyNumberFormat="1">
      <alignment shrinkToFit="0" vertical="bottom" wrapText="0"/>
    </xf>
    <xf borderId="0" fillId="2" fontId="9" numFmtId="49" xfId="0" applyAlignment="1" applyFont="1" applyNumberFormat="1">
      <alignment readingOrder="0" vertical="bottom"/>
    </xf>
    <xf borderId="0" fillId="2" fontId="9" numFmtId="0" xfId="0" applyAlignment="1" applyFont="1">
      <alignment vertical="bottom"/>
    </xf>
    <xf borderId="0" fillId="2" fontId="7" numFmtId="165" xfId="0" applyAlignment="1" applyFont="1" applyNumberFormat="1">
      <alignment horizontal="right" readingOrder="0" vertical="bottom"/>
    </xf>
    <xf borderId="1" fillId="0" fontId="13" numFmtId="0" xfId="0" applyAlignment="1" applyBorder="1" applyFont="1">
      <alignment readingOrder="0" shrinkToFit="0" vertical="bottom" wrapText="0"/>
    </xf>
    <xf borderId="1" fillId="0" fontId="4" numFmtId="0" xfId="0" applyBorder="1" applyFont="1"/>
    <xf borderId="8" fillId="0" fontId="4" numFmtId="0" xfId="0" applyBorder="1" applyFont="1"/>
    <xf borderId="9" fillId="0" fontId="13" numFmtId="0" xfId="0" applyAlignment="1" applyBorder="1" applyFont="1">
      <alignment readingOrder="0" shrinkToFit="0" vertical="bottom" wrapText="0"/>
    </xf>
    <xf borderId="9" fillId="0" fontId="13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 shrinkToFit="0" vertical="bottom" wrapText="0"/>
    </xf>
    <xf borderId="1" fillId="0" fontId="15" numFmtId="0" xfId="0" applyBorder="1" applyFont="1"/>
    <xf borderId="8" fillId="0" fontId="15" numFmtId="0" xfId="0" applyBorder="1" applyFont="1"/>
    <xf borderId="1" fillId="0" fontId="13" numFmtId="165" xfId="0" applyAlignment="1" applyBorder="1" applyFont="1" applyNumberFormat="1">
      <alignment vertical="bottom"/>
    </xf>
    <xf borderId="1" fillId="0" fontId="15" numFmtId="165" xfId="0" applyBorder="1" applyFont="1" applyNumberFormat="1"/>
    <xf borderId="9" fillId="0" fontId="15" numFmtId="165" xfId="0" applyBorder="1" applyFont="1" applyNumberFormat="1"/>
    <xf borderId="9" fillId="0" fontId="15" numFmtId="0" xfId="0" applyBorder="1" applyFont="1"/>
    <xf borderId="8" fillId="0" fontId="15" numFmtId="165" xfId="0" applyBorder="1" applyFont="1" applyNumberFormat="1"/>
    <xf borderId="1" fillId="0" fontId="4" numFmtId="166" xfId="0" applyBorder="1" applyFont="1" applyNumberFormat="1"/>
    <xf borderId="9" fillId="0" fontId="4" numFmtId="0" xfId="0" applyBorder="1" applyFont="1"/>
    <xf borderId="9" fillId="0" fontId="4" numFmtId="166" xfId="0" applyBorder="1" applyFont="1" applyNumberFormat="1"/>
    <xf borderId="1" fillId="0" fontId="4" numFmtId="167" xfId="0" applyBorder="1" applyFont="1" applyNumberFormat="1"/>
    <xf borderId="1" fillId="0" fontId="4" numFmtId="165" xfId="0" applyBorder="1" applyFont="1" applyNumberFormat="1"/>
    <xf borderId="9" fillId="0" fontId="13" numFmtId="49" xfId="0" applyAlignment="1" applyBorder="1" applyFont="1" applyNumberFormat="1">
      <alignment vertical="bottom"/>
    </xf>
    <xf borderId="1" fillId="0" fontId="4" numFmtId="1" xfId="0" applyBorder="1" applyFont="1" applyNumberFormat="1"/>
    <xf borderId="1" fillId="0" fontId="13" numFmtId="0" xfId="0" applyAlignment="1" applyBorder="1" applyFont="1">
      <alignment vertical="bottom"/>
    </xf>
    <xf borderId="9" fillId="0" fontId="4" numFmtId="49" xfId="0" applyBorder="1" applyFont="1" applyNumberFormat="1"/>
    <xf borderId="1" fillId="0" fontId="4" numFmtId="168" xfId="0" applyBorder="1" applyFont="1" applyNumberFormat="1"/>
    <xf borderId="9" fillId="0" fontId="4" numFmtId="165" xfId="0" applyBorder="1" applyFont="1" applyNumberFormat="1"/>
    <xf borderId="9" fillId="0" fontId="13" numFmtId="166" xfId="0" applyAlignment="1" applyBorder="1" applyFont="1" applyNumberFormat="1">
      <alignment vertical="bottom"/>
    </xf>
    <xf borderId="1" fillId="0" fontId="4" numFmtId="169" xfId="0" applyBorder="1" applyFont="1" applyNumberFormat="1"/>
    <xf borderId="9" fillId="0" fontId="4" numFmtId="167" xfId="0" applyBorder="1" applyFont="1" applyNumberFormat="1"/>
    <xf borderId="9" fillId="0" fontId="13" numFmtId="0" xfId="0" applyAlignment="1" applyBorder="1" applyFont="1">
      <alignment vertical="bottom"/>
    </xf>
    <xf borderId="9" fillId="0" fontId="4" numFmtId="1" xfId="0" applyBorder="1" applyFont="1" applyNumberFormat="1"/>
    <xf borderId="10" fillId="0" fontId="4" numFmtId="0" xfId="0" applyBorder="1" applyFont="1"/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4FF"/>
          <bgColor rgb="FFF7F4FF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>
        <b/>
      </font>
      <fill>
        <patternFill patternType="solid">
          <fgColor rgb="FFFFE599"/>
          <bgColor rgb="FFFFE599"/>
        </patternFill>
      </fill>
      <border/>
    </dxf>
  </dxfs>
  <tableStyles count="4">
    <tableStyle count="4" pivot="0" name="Сегодня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Неделя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се оценк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Четверти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1" displayName="Сегодня" name="Сегодня" id="1">
  <tableColumns count="2">
    <tableColumn name="Сегодня" id="1"/>
    <tableColumn name="Зулькайнаров Умарбек" id="2"/>
  </tableColumns>
  <tableStyleInfo name="Сегодня-style" showColumnStripes="0" showFirstColumn="1" showLastColumn="1" showRowStripes="1"/>
</table>
</file>

<file path=xl/tables/table2.xml><?xml version="1.0" encoding="utf-8"?>
<table xmlns="http://schemas.openxmlformats.org/spreadsheetml/2006/main" ref="A1:G21" displayName="Неделя" name="Неделя" id="2">
  <tableColumns count="7">
    <tableColumn name="Оценки за неделю" id="1"/>
    <tableColumn name="Столбец 2" id="2"/>
    <tableColumn name="Столбец 3" id="3"/>
    <tableColumn name="Столбец 4" id="4"/>
    <tableColumn name="Столбец 5" id="5"/>
    <tableColumn name="Столбец 6" id="6"/>
    <tableColumn name="Столбец 7" id="7"/>
  </tableColumns>
  <tableStyleInfo name="Неделя-style" showColumnStripes="0" showFirstColumn="1" showLastColumn="1" showRowStripes="1"/>
</table>
</file>

<file path=xl/tables/table3.xml><?xml version="1.0" encoding="utf-8"?>
<table xmlns="http://schemas.openxmlformats.org/spreadsheetml/2006/main" ref="A1:JE21" displayName="Таблица1" name="Таблица1" id="3">
  <tableColumns count="265">
    <tableColumn name="Оценки все даты" id="1"/>
    <tableColumn name="Столбец 2" id="2"/>
    <tableColumn name="Столбец 3" id="3"/>
    <tableColumn name="Столбец 4" id="4"/>
    <tableColumn name="Столбец 5" id="5"/>
    <tableColumn name="Столбец 6" id="6"/>
    <tableColumn name="Столбец 7" id="7"/>
    <tableColumn name="Столбец 8" id="8"/>
    <tableColumn name="Столбец 9" id="9"/>
    <tableColumn name="Столбец 10" id="10"/>
    <tableColumn name="Столбец 11" id="11"/>
    <tableColumn name="Столбец 12" id="12"/>
    <tableColumn name="Столбец 13" id="13"/>
    <tableColumn name="Столбец 14" id="14"/>
    <tableColumn name="Столбец 15" id="15"/>
    <tableColumn name="Столбец 16" id="16"/>
    <tableColumn name="Столбец 17" id="17"/>
    <tableColumn name="Столбец 18" id="18"/>
    <tableColumn name="Столбец 19" id="19"/>
    <tableColumn name="Столбец 20" id="20"/>
    <tableColumn name="Столбец 21" id="21"/>
    <tableColumn name="Столбец 22" id="22"/>
    <tableColumn name="Столбец 23" id="23"/>
    <tableColumn name="Столбец 24" id="24"/>
    <tableColumn name="Столбец 25" id="25"/>
    <tableColumn name="Столбец 26" id="26"/>
    <tableColumn name="Столбец 27" id="27"/>
    <tableColumn name="Столбец 28" id="28"/>
    <tableColumn name="Столбец 29" id="29"/>
    <tableColumn name="Столбец 30" id="30"/>
    <tableColumn name="Столбец 31" id="31"/>
    <tableColumn name="Столбец 32" id="32"/>
    <tableColumn name="Столбец 33" id="33"/>
    <tableColumn name="Столбец 34" id="34"/>
    <tableColumn name="Столбец 35" id="35"/>
    <tableColumn name="Столбец 36" id="36"/>
    <tableColumn name="Столбец 37" id="37"/>
    <tableColumn name="Столбец 38" id="38"/>
    <tableColumn name="Столбец 39" id="39"/>
    <tableColumn name="Столбец 40" id="40"/>
    <tableColumn name="Столбец 41" id="41"/>
    <tableColumn name="Столбец 42" id="42"/>
    <tableColumn name="Столбец 43" id="43"/>
    <tableColumn name="Столбец 44" id="44"/>
    <tableColumn name="Столбец 45" id="45"/>
    <tableColumn name="Столбец 46" id="46"/>
    <tableColumn name="Столбец 47" id="47"/>
    <tableColumn name="Столбец 48" id="48"/>
    <tableColumn name="Столбец 49" id="49"/>
    <tableColumn name="Столбец 50" id="50"/>
    <tableColumn name="Столбец 51" id="51"/>
    <tableColumn name="Столбец 52" id="52"/>
    <tableColumn name="Столбец 53" id="53"/>
    <tableColumn name="Столбец 54" id="54"/>
    <tableColumn name="Столбец 55" id="55"/>
    <tableColumn name="Столбец 56" id="56"/>
    <tableColumn name="Столбец 57" id="57"/>
    <tableColumn name="Столбец 58" id="58"/>
    <tableColumn name="Столбец 59" id="59"/>
    <tableColumn name="Столбец 60" id="60"/>
    <tableColumn name="Столбец 61" id="61"/>
    <tableColumn name="Столбец 62" id="62"/>
    <tableColumn name="Столбец 63" id="63"/>
    <tableColumn name="Столбец 64" id="64"/>
    <tableColumn name="Столбец 65" id="65"/>
    <tableColumn name="Столбец 66" id="66"/>
    <tableColumn name="Столбец 67" id="67"/>
    <tableColumn name="Столбец 68" id="68"/>
    <tableColumn name="Столбец 69" id="69"/>
    <tableColumn name="Столбец 70" id="70"/>
    <tableColumn name="Столбец 71" id="71"/>
    <tableColumn name="Столбец 72" id="72"/>
    <tableColumn name="Столбец 73" id="73"/>
    <tableColumn name="Столбец 74" id="74"/>
    <tableColumn name="Столбец 75" id="75"/>
    <tableColumn name="Столбец 76" id="76"/>
    <tableColumn name="Столбец 77" id="77"/>
    <tableColumn name="Столбец 78" id="78"/>
    <tableColumn name="Столбец 79" id="79"/>
    <tableColumn name="Столбец 80" id="80"/>
    <tableColumn name="Столбец 81" id="81"/>
    <tableColumn name="Столбец 82" id="82"/>
    <tableColumn name="Столбец 83" id="83"/>
    <tableColumn name="Столбец 84" id="84"/>
    <tableColumn name="Столбец 85" id="85"/>
    <tableColumn name="Столбец 86" id="86"/>
    <tableColumn name="Столбец 87" id="87"/>
    <tableColumn name="Столбец 88" id="88"/>
    <tableColumn name="Столбец 89" id="89"/>
    <tableColumn name="Столбец 90" id="90"/>
    <tableColumn name="Столбец 91" id="91"/>
    <tableColumn name="Столбец 92" id="92"/>
    <tableColumn name="Столбец 93" id="93"/>
    <tableColumn name="Столбец 94" id="94"/>
    <tableColumn name="Столбец 95" id="95"/>
    <tableColumn name="Столбец 96" id="96"/>
    <tableColumn name="Столбец 97" id="97"/>
    <tableColumn name="Столбец 98" id="98"/>
    <tableColumn name="Столбец 99" id="99"/>
    <tableColumn name="Столбец 100" id="100"/>
    <tableColumn name="Столбец 101" id="101"/>
    <tableColumn name="Столбец 102" id="102"/>
    <tableColumn name="Столбец 103" id="103"/>
    <tableColumn name="Столбец 104" id="104"/>
    <tableColumn name="Столбец 105" id="105"/>
    <tableColumn name="Столбец 106" id="106"/>
    <tableColumn name="Столбец 107" id="107"/>
    <tableColumn name="Столбец 108" id="108"/>
    <tableColumn name="Столбец 109" id="109"/>
    <tableColumn name="Столбец 110" id="110"/>
    <tableColumn name="Столбец 111" id="111"/>
    <tableColumn name="Столбец 112" id="112"/>
    <tableColumn name="Столбец 113" id="113"/>
    <tableColumn name="Столбец 114" id="114"/>
    <tableColumn name="Столбец 115" id="115"/>
    <tableColumn name="Столбец 116" id="116"/>
    <tableColumn name="Столбец 117" id="117"/>
    <tableColumn name="Столбец 118" id="118"/>
    <tableColumn name="Столбец 119" id="119"/>
    <tableColumn name="Столбец 120" id="120"/>
    <tableColumn name="Столбец 121" id="121"/>
    <tableColumn name="Столбец 122" id="122"/>
    <tableColumn name="Столбец 123" id="123"/>
    <tableColumn name="Столбец 124" id="124"/>
    <tableColumn name="Столбец 125" id="125"/>
    <tableColumn name="Столбец 126" id="126"/>
    <tableColumn name="Столбец 127" id="127"/>
    <tableColumn name="Столбец 128" id="128"/>
    <tableColumn name="Столбец 129" id="129"/>
    <tableColumn name="Столбец 130" id="130"/>
    <tableColumn name="Столбец 131" id="131"/>
    <tableColumn name="Столбец 132" id="132"/>
    <tableColumn name="Столбец 133" id="133"/>
    <tableColumn name="Столбец 134" id="134"/>
    <tableColumn name="Столбец 135" id="135"/>
    <tableColumn name="Столбец 136" id="136"/>
    <tableColumn name="Столбец 137" id="137"/>
    <tableColumn name="Столбец 138" id="138"/>
    <tableColumn name="Столбец 139" id="139"/>
    <tableColumn name="Столбец 140" id="140"/>
    <tableColumn name="Столбец 141" id="141"/>
    <tableColumn name="Столбец 142" id="142"/>
    <tableColumn name="Столбец 143" id="143"/>
    <tableColumn name="Столбец 144" id="144"/>
    <tableColumn name="Столбец 145" id="145"/>
    <tableColumn name="Столбец 146" id="146"/>
    <tableColumn name="Столбец 147" id="147"/>
    <tableColumn name="Столбец 148" id="148"/>
    <tableColumn name="Столбец 149" id="149"/>
    <tableColumn name="Столбец 150" id="150"/>
    <tableColumn name="Столбец 151" id="151"/>
    <tableColumn name="Столбец 152" id="152"/>
    <tableColumn name="Столбец 153" id="153"/>
    <tableColumn name="Столбец 154" id="154"/>
    <tableColumn name="Столбец 155" id="155"/>
    <tableColumn name="Столбец 156" id="156"/>
    <tableColumn name="Столбец 157" id="157"/>
    <tableColumn name="Столбец 158" id="158"/>
    <tableColumn name="Столбец 159" id="159"/>
    <tableColumn name="Столбец 160" id="160"/>
    <tableColumn name="Столбец 161" id="161"/>
    <tableColumn name="Столбец 162" id="162"/>
    <tableColumn name="Столбец 163" id="163"/>
    <tableColumn name="Столбец 164" id="164"/>
    <tableColumn name="Столбец 165" id="165"/>
    <tableColumn name="Столбец 166" id="166"/>
    <tableColumn name="Столбец 167" id="167"/>
    <tableColumn name="Столбец 168" id="168"/>
    <tableColumn name="Столбец 169" id="169"/>
    <tableColumn name="Столбец 170" id="170"/>
    <tableColumn name="Столбец 171" id="171"/>
    <tableColumn name="Столбец 172" id="172"/>
    <tableColumn name="Столбец 173" id="173"/>
    <tableColumn name="Столбец 174" id="174"/>
    <tableColumn name="Столбец 175" id="175"/>
    <tableColumn name="Столбец 176" id="176"/>
    <tableColumn name="Столбец 177" id="177"/>
    <tableColumn name="Столбец 178" id="178"/>
    <tableColumn name="Столбец 179" id="179"/>
    <tableColumn name="Столбец 180" id="180"/>
    <tableColumn name="Столбец 181" id="181"/>
    <tableColumn name="Столбец 182" id="182"/>
    <tableColumn name="Столбец 183" id="183"/>
    <tableColumn name="Столбец 184" id="184"/>
    <tableColumn name="Столбец 185" id="185"/>
    <tableColumn name="Столбец 186" id="186"/>
    <tableColumn name="Столбец 187" id="187"/>
    <tableColumn name="Столбец 188" id="188"/>
    <tableColumn name="Столбец 189" id="189"/>
    <tableColumn name="Столбец 190" id="190"/>
    <tableColumn name="Столбец 191" id="191"/>
    <tableColumn name="Столбец 192" id="192"/>
    <tableColumn name="Столбец 193" id="193"/>
    <tableColumn name="Столбец 194" id="194"/>
    <tableColumn name="Столбец 195" id="195"/>
    <tableColumn name="Столбец 196" id="196"/>
    <tableColumn name="Столбец 197" id="197"/>
    <tableColumn name="Столбец 198" id="198"/>
    <tableColumn name="Столбец 199" id="199"/>
    <tableColumn name="Столбец 200" id="200"/>
    <tableColumn name="Столбец 201" id="201"/>
    <tableColumn name="Столбец 202" id="202"/>
    <tableColumn name="Столбец 203" id="203"/>
    <tableColumn name="Столбец 204" id="204"/>
    <tableColumn name="Столбец 205" id="205"/>
    <tableColumn name="Столбец 206" id="206"/>
    <tableColumn name="Столбец 207" id="207"/>
    <tableColumn name="Столбец 208" id="208"/>
    <tableColumn name="Столбец 209" id="209"/>
    <tableColumn name="Столбец 210" id="210"/>
    <tableColumn name="Столбец 211" id="211"/>
    <tableColumn name="Столбец 212" id="212"/>
    <tableColumn name="Столбец 213" id="213"/>
    <tableColumn name="Столбец 214" id="214"/>
    <tableColumn name="Столбец 215" id="215"/>
    <tableColumn name="Столбец 216" id="216"/>
    <tableColumn name="Столбец 217" id="217"/>
    <tableColumn name="Столбец 218" id="218"/>
    <tableColumn name="Столбец 219" id="219"/>
    <tableColumn name="Столбец 220" id="220"/>
    <tableColumn name="Столбец 221" id="221"/>
    <tableColumn name="Столбец 222" id="222"/>
    <tableColumn name="Столбец 223" id="223"/>
    <tableColumn name="Столбец 224" id="224"/>
    <tableColumn name="Столбец 225" id="225"/>
    <tableColumn name="Столбец 226" id="226"/>
    <tableColumn name="Столбец 227" id="227"/>
    <tableColumn name="Столбец 228" id="228"/>
    <tableColumn name="Столбец 229" id="229"/>
    <tableColumn name="Столбец 230" id="230"/>
    <tableColumn name="Столбец 231" id="231"/>
    <tableColumn name="Столбец 232" id="232"/>
    <tableColumn name="Столбец 233" id="233"/>
    <tableColumn name="Столбец 234" id="234"/>
    <tableColumn name="Столбец 235" id="235"/>
    <tableColumn name="Столбец 236" id="236"/>
    <tableColumn name="Столбец 237" id="237"/>
    <tableColumn name="Столбец 238" id="238"/>
    <tableColumn name="Столбец 239" id="239"/>
    <tableColumn name="Столбец 240" id="240"/>
    <tableColumn name="Столбец 241" id="241"/>
    <tableColumn name="Столбец 242" id="242"/>
    <tableColumn name="Столбец 243" id="243"/>
    <tableColumn name="Столбец 244" id="244"/>
    <tableColumn name="Столбец 245" id="245"/>
    <tableColumn name="Столбец 246" id="246"/>
    <tableColumn name="Столбец 247" id="247"/>
    <tableColumn name="Столбец 248" id="248"/>
    <tableColumn name="Столбец 249" id="249"/>
    <tableColumn name="Столбец 250" id="250"/>
    <tableColumn name="Столбец 251" id="251"/>
    <tableColumn name="Столбец 252" id="252"/>
    <tableColumn name="Столбец 253" id="253"/>
    <tableColumn name="Столбец 254" id="254"/>
    <tableColumn name="Столбец 255" id="255"/>
    <tableColumn name="Столбец 256" id="256"/>
    <tableColumn name="Столбец 257" id="257"/>
    <tableColumn name="Столбец 258" id="258"/>
    <tableColumn name="Столбец 259" id="259"/>
    <tableColumn name="Столбец 260" id="260"/>
    <tableColumn name="Столбец 261" id="261"/>
    <tableColumn name="Столбец 262" id="262"/>
    <tableColumn name="Столбец 263" id="263"/>
    <tableColumn name="Столбец 264" id="264"/>
    <tableColumn name="Столбец 265" id="265"/>
  </tableColumns>
  <tableStyleInfo name="Все оценки-style" showColumnStripes="0" showFirstColumn="1" showLastColumn="1" showRowStripes="1"/>
</table>
</file>

<file path=xl/tables/table4.xml><?xml version="1.0" encoding="utf-8"?>
<table xmlns="http://schemas.openxmlformats.org/spreadsheetml/2006/main" ref="A1:F20" displayName="Четверти" name="Четверти" id="4">
  <tableColumns count="6">
    <tableColumn name="Предварительно четверть" id="1"/>
    <tableColumn name="1 Четверть" id="2"/>
    <tableColumn name="2 Четверть" id="3"/>
    <tableColumn name="3 Четверть" id="4"/>
    <tableColumn name="4 Четверть" id="5"/>
    <tableColumn name="Год" id="6"/>
  </tableColumns>
  <tableStyleInfo name="Четверт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SBBQ6U2aF0SoWzKKO2jEHB7FC5NK5y31_cXWOIurhU/edit?gid=1934461323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31.88"/>
  </cols>
  <sheetData>
    <row r="1" ht="22.5" customHeight="1">
      <c r="A1" s="1" t="s">
        <v>0</v>
      </c>
      <c r="B1" s="1" t="s">
        <v>1</v>
      </c>
      <c r="D1" s="2"/>
    </row>
    <row r="2" ht="22.5" customHeight="1">
      <c r="A2" s="3" t="s">
        <v>2</v>
      </c>
      <c r="B2" s="4" t="str">
        <f>'Неделя'!G2</f>
        <v>17 мар. вт</v>
      </c>
    </row>
    <row r="3" ht="22.5" customHeight="1">
      <c r="A3" s="4" t="str">
        <f>data!A70</f>
        <v>Русский язык</v>
      </c>
      <c r="B3" s="5" t="str">
        <f>'Неделя'!G3</f>
        <v/>
      </c>
    </row>
    <row r="4" ht="22.5" customHeight="1">
      <c r="A4" s="4" t="str">
        <f>data!A71</f>
        <v>Литература</v>
      </c>
      <c r="B4" s="5" t="str">
        <f>'Неделя'!G4</f>
        <v> </v>
      </c>
    </row>
    <row r="5" ht="22.5" customHeight="1">
      <c r="A5" s="4" t="str">
        <f>data!A72</f>
        <v>Узбекский язык</v>
      </c>
      <c r="B5" s="5" t="str">
        <f>'Неделя'!G5</f>
        <v> </v>
      </c>
      <c r="E5" s="6"/>
      <c r="F5" s="6"/>
      <c r="G5" s="6"/>
      <c r="H5" s="6"/>
    </row>
    <row r="6" ht="22.5" customHeight="1">
      <c r="A6" s="4" t="str">
        <f>data!A73</f>
        <v>Английский язык</v>
      </c>
      <c r="B6" s="5" t="str">
        <f>'Неделя'!G6</f>
        <v> </v>
      </c>
      <c r="E6" s="6"/>
      <c r="F6" s="6"/>
      <c r="G6" s="6"/>
      <c r="H6" s="6"/>
    </row>
    <row r="7" ht="22.5" customHeight="1">
      <c r="A7" s="4" t="str">
        <f>data!A74</f>
        <v>История</v>
      </c>
      <c r="B7" s="5" t="str">
        <f>'Неделя'!G7</f>
        <v/>
      </c>
      <c r="E7" s="6"/>
      <c r="F7" s="6"/>
      <c r="G7" s="6"/>
      <c r="H7" s="6"/>
    </row>
    <row r="8" ht="22.5" customHeight="1">
      <c r="A8" s="4" t="str">
        <f>data!A75</f>
        <v>Воспитание</v>
      </c>
      <c r="B8" s="5" t="str">
        <f>'Неделя'!G8</f>
        <v> </v>
      </c>
      <c r="E8" s="6"/>
      <c r="F8" s="6"/>
      <c r="G8" s="6"/>
      <c r="H8" s="6"/>
    </row>
    <row r="9" ht="22.5" customHeight="1">
      <c r="A9" s="4" t="str">
        <f>data!A76</f>
        <v>Физкультура</v>
      </c>
      <c r="B9" s="5" t="str">
        <f>'Неделя'!G9</f>
        <v> </v>
      </c>
      <c r="E9" s="6"/>
      <c r="F9" s="6"/>
      <c r="G9" s="6"/>
      <c r="H9" s="6"/>
    </row>
    <row r="10" ht="22.5" customHeight="1">
      <c r="A10" s="4" t="str">
        <f>data!A77</f>
        <v>Математика</v>
      </c>
      <c r="B10" s="5" t="str">
        <f>'Неделя'!G10</f>
        <v>4</v>
      </c>
      <c r="E10" s="6"/>
      <c r="F10" s="6"/>
      <c r="G10" s="6"/>
      <c r="H10" s="6"/>
    </row>
    <row r="11" ht="22.5" customHeight="1">
      <c r="A11" s="4" t="str">
        <f>data!A78</f>
        <v>Ботаника</v>
      </c>
      <c r="B11" s="5" t="str">
        <f>'Неделя'!G11</f>
        <v> </v>
      </c>
    </row>
    <row r="12" ht="22.5" customHeight="1">
      <c r="A12" s="4" t="str">
        <f>data!A79</f>
        <v>География</v>
      </c>
      <c r="B12" s="5" t="str">
        <f>'Неделя'!G12</f>
        <v> </v>
      </c>
    </row>
    <row r="13" ht="22.5" customHeight="1">
      <c r="A13" s="4" t="str">
        <f>data!A80</f>
        <v>ИЗО</v>
      </c>
      <c r="B13" s="5" t="str">
        <f>'Неделя'!G13</f>
        <v> </v>
      </c>
    </row>
    <row r="14" ht="22.5" customHeight="1">
      <c r="A14" s="4" t="str">
        <f>data!A81</f>
        <v>Технология</v>
      </c>
      <c r="B14" s="5" t="str">
        <f>'Неделя'!G14</f>
        <v> </v>
      </c>
    </row>
    <row r="15" ht="22.5" customHeight="1">
      <c r="A15" s="4" t="str">
        <f>data!A82</f>
        <v>Информатика</v>
      </c>
      <c r="B15" s="5" t="str">
        <f>'Неделя'!G15</f>
        <v> </v>
      </c>
    </row>
    <row r="16" ht="22.5" customHeight="1">
      <c r="A16" s="4" t="str">
        <f>data!A83</f>
        <v>Музыка</v>
      </c>
      <c r="B16" s="5" t="str">
        <f>'Неделя'!G16</f>
        <v> </v>
      </c>
    </row>
    <row r="17" ht="22.5" customHeight="1">
      <c r="A17" s="4" t="str">
        <f>data!A84</f>
        <v>Физика</v>
      </c>
      <c r="B17" s="5" t="str">
        <f>'Неделя'!G17</f>
        <v> </v>
      </c>
    </row>
    <row r="18" ht="22.5" customHeight="1">
      <c r="A18" s="7" t="str">
        <f>data!A85</f>
        <v>Посещаемость</v>
      </c>
      <c r="B18" s="5" t="str">
        <f>'Неделя'!G18</f>
        <v> </v>
      </c>
    </row>
    <row r="19" ht="22.5" customHeight="1">
      <c r="A19" s="7" t="str">
        <f>data!A86</f>
        <v/>
      </c>
      <c r="B19" s="5" t="str">
        <f>'Неделя'!G19</f>
        <v> </v>
      </c>
    </row>
    <row r="20" ht="22.5" customHeight="1">
      <c r="A20" s="7" t="str">
        <f>data!A87</f>
        <v/>
      </c>
      <c r="B20" s="5" t="str">
        <f>'Неделя'!G20</f>
        <v> </v>
      </c>
    </row>
    <row r="21" ht="22.5" customHeight="1">
      <c r="A21" s="7" t="str">
        <f>data!A88</f>
        <v/>
      </c>
      <c r="B21" s="5" t="str">
        <f>'Неделя'!G21</f>
        <v> </v>
      </c>
    </row>
  </sheetData>
  <conditionalFormatting sqref="B3:B30">
    <cfRule type="containsText" dxfId="5" priority="1" operator="containsText" text="5">
      <formula>NOT(ISERROR(SEARCH(("5"),(B3))))</formula>
    </cfRule>
  </conditionalFormatting>
  <conditionalFormatting sqref="B3:B30">
    <cfRule type="containsText" dxfId="6" priority="2" operator="containsText" text="4">
      <formula>NOT(ISERROR(SEARCH(("4"),(B3))))</formula>
    </cfRule>
  </conditionalFormatting>
  <conditionalFormatting sqref="B3:B30">
    <cfRule type="containsText" dxfId="7" priority="3" operator="containsText" text="2">
      <formula>NOT(ISERROR(SEARCH(("2"),(B3))))</formula>
    </cfRule>
  </conditionalFormatting>
  <conditionalFormatting sqref="B3:B30">
    <cfRule type="containsText" dxfId="8" priority="4" operator="containsText" text="3">
      <formula>NOT(ISERROR(SEARCH(("3"),(B3))))</formula>
    </cfRule>
  </conditionalFormatting>
  <conditionalFormatting sqref="B3:B30">
    <cfRule type="containsText" dxfId="9" priority="5" operator="containsText" text="н">
      <formula>NOT(ISERROR(SEARCH(("н"),(B3))))</formula>
    </cfRule>
  </conditionalFormatting>
  <dataValidations>
    <dataValidation allowBlank="1" showDropDown="1" sqref="B2:B21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6.13"/>
    <col customWidth="1" min="2" max="7" width="11.38"/>
  </cols>
  <sheetData>
    <row r="1" ht="22.5" customHeight="1">
      <c r="A1" s="8" t="s">
        <v>3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8</v>
      </c>
      <c r="G1" s="10" t="s">
        <v>9</v>
      </c>
      <c r="H1" s="6"/>
      <c r="I1" s="6"/>
      <c r="J1" s="6"/>
      <c r="K1" s="6"/>
      <c r="L1" s="6"/>
      <c r="M1" s="6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2.5" customHeight="1">
      <c r="A2" s="12" t="s">
        <v>10</v>
      </c>
      <c r="B2" s="13" t="str">
        <f>CONCATENATE(TEXT(TODAY()-5,"d mmm")," ",TEXT(WEEKDAY(TODAY()-5),"Ddd"))</f>
        <v>12 мар. чт</v>
      </c>
      <c r="C2" s="13" t="str">
        <f>CONCATENATE(TEXT(TODAY()-4,"d mmm")," ",TEXT(WEEKDAY(TODAY()-4),"DDD"))</f>
        <v>13 мар. пт</v>
      </c>
      <c r="D2" s="13" t="str">
        <f>CONCATENATE(TEXT(TODAY()-3,"d mmm")," ",TEXT(WEEKDAY(TODAY()-3),"DDD"))</f>
        <v>14 мар. сб</v>
      </c>
      <c r="E2" s="13" t="str">
        <f>CONCATENATE(TEXT(TODAY()-2,"d mmm")," ",TEXT(WEEKDAY(TODAY()-2),"DDD"))</f>
        <v>15 мар. вс</v>
      </c>
      <c r="F2" s="13" t="str">
        <f>CONCATENATE(TEXT(TODAY()-1,"d mmm")," ",TEXT(WEEKDAY(TODAY()-1),"DDD"))</f>
        <v>16 мар. пн</v>
      </c>
      <c r="G2" s="14" t="str">
        <f>CONCATENATE(TEXT(TODAY(),"d mmm")," ",TEXT(WEEKDAY(TODAY()),"DDD"))</f>
        <v>17 мар. вт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2.5" customHeight="1">
      <c r="A3" s="12" t="str">
        <f>data!A70</f>
        <v>Русский язык</v>
      </c>
      <c r="B3" s="16" t="str">
        <f>IFERROR(__xludf.DUMMYFUNCTION("FILTER(data!$B$70:$JE$89,data!$B$69:$JE$69=B32)"),"")</f>
        <v/>
      </c>
      <c r="C3" s="16" t="str">
        <f>IFERROR(__xludf.DUMMYFUNCTION("FILTER(data!$B$70:$JE$89,data!$B$69:$JE$69=C32)")," ")</f>
        <v> </v>
      </c>
      <c r="D3" s="16" t="str">
        <f>IFERROR(__xludf.DUMMYFUNCTION("FILTER(data!$B$70:$JE$89,data!$B$69:$JE$69=D32)")," ")</f>
        <v> </v>
      </c>
      <c r="E3" s="16" t="str">
        <f>IFERROR(__xludf.DUMMYFUNCTION("FILTER(data!$B$70:$JE$89,data!$B$69:$JE$69=E32)")," ")</f>
        <v> </v>
      </c>
      <c r="F3" s="16" t="str">
        <f>IFERROR(__xludf.DUMMYFUNCTION("FILTER(data!$B$70:$JE$89,data!$B$69:$JE$69=F32)")," ")</f>
        <v> </v>
      </c>
      <c r="G3" s="16" t="str">
        <f>IFERROR(__xludf.DUMMYFUNCTION("FILTER(data!$B$70:$JE$89,data!$B$69:$JE$69=G32)"),"")</f>
        <v/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2.5" customHeight="1">
      <c r="A4" s="12" t="str">
        <f>data!A71</f>
        <v>Литература</v>
      </c>
      <c r="B4" s="16" t="str">
        <f>IFERROR(__xludf.DUMMYFUNCTION("""COMPUTED_VALUE"""),"4")</f>
        <v>4</v>
      </c>
      <c r="C4" s="16" t="str">
        <f>IFERROR(__xludf.DUMMYFUNCTION("""COMPUTED_VALUE""")," ")</f>
        <v> </v>
      </c>
      <c r="D4" s="16" t="str">
        <f>IFERROR(__xludf.DUMMYFUNCTION("""COMPUTED_VALUE""")," ")</f>
        <v> </v>
      </c>
      <c r="E4" s="16" t="str">
        <f>IFERROR(__xludf.DUMMYFUNCTION("""COMPUTED_VALUE""")," ")</f>
        <v> </v>
      </c>
      <c r="F4" s="16" t="str">
        <f>IFERROR(__xludf.DUMMYFUNCTION("""COMPUTED_VALUE""")," ")</f>
        <v> </v>
      </c>
      <c r="G4" s="18" t="str">
        <f>IFERROR(__xludf.DUMMYFUNCTION("""COMPUTED_VALUE""")," ")</f>
        <v> 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2.5" customHeight="1">
      <c r="A5" s="12" t="str">
        <f>data!A72</f>
        <v>Узбекский язык</v>
      </c>
      <c r="B5" s="16" t="str">
        <f>IFERROR(__xludf.DUMMYFUNCTION("""COMPUTED_VALUE"""),"3")</f>
        <v>3</v>
      </c>
      <c r="C5" s="16" t="str">
        <f>IFERROR(__xludf.DUMMYFUNCTION("""COMPUTED_VALUE"""),"")</f>
        <v/>
      </c>
      <c r="D5" s="16" t="str">
        <f>IFERROR(__xludf.DUMMYFUNCTION("""COMPUTED_VALUE"""),"")</f>
        <v/>
      </c>
      <c r="E5" s="16" t="str">
        <f>IFERROR(__xludf.DUMMYFUNCTION("""COMPUTED_VALUE""")," ")</f>
        <v> </v>
      </c>
      <c r="F5" s="16" t="str">
        <f>IFERROR(__xludf.DUMMYFUNCTION("""COMPUTED_VALUE""")," ")</f>
        <v> </v>
      </c>
      <c r="G5" s="18" t="str">
        <f>IFERROR(__xludf.DUMMYFUNCTION("""COMPUTED_VALUE""")," ")</f>
        <v> 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2.5" customHeight="1">
      <c r="A6" s="12" t="str">
        <f>data!A73</f>
        <v>Английский язык</v>
      </c>
      <c r="B6" s="16" t="str">
        <f>IFERROR(__xludf.DUMMYFUNCTION("""COMPUTED_VALUE"""),"дз")</f>
        <v>дз</v>
      </c>
      <c r="C6" s="16" t="str">
        <f>IFERROR(__xludf.DUMMYFUNCTION("""COMPUTED_VALUE"""),"")</f>
        <v/>
      </c>
      <c r="D6" s="16" t="str">
        <f>IFERROR(__xludf.DUMMYFUNCTION("""COMPUTED_VALUE""")," ")</f>
        <v> </v>
      </c>
      <c r="E6" s="16" t="str">
        <f>IFERROR(__xludf.DUMMYFUNCTION("""COMPUTED_VALUE""")," ")</f>
        <v> </v>
      </c>
      <c r="F6" s="16" t="str">
        <f>IFERROR(__xludf.DUMMYFUNCTION("""COMPUTED_VALUE""")," ")</f>
        <v> </v>
      </c>
      <c r="G6" s="18" t="str">
        <f>IFERROR(__xludf.DUMMYFUNCTION("""COMPUTED_VALUE""")," ")</f>
        <v> 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2.5" customHeight="1">
      <c r="A7" s="12" t="str">
        <f>data!A74</f>
        <v>История</v>
      </c>
      <c r="B7" s="16" t="str">
        <f>IFERROR(__xludf.DUMMYFUNCTION("""COMPUTED_VALUE""")," ")</f>
        <v> </v>
      </c>
      <c r="C7" s="16" t="str">
        <f>IFERROR(__xludf.DUMMYFUNCTION("""COMPUTED_VALUE""")," ")</f>
        <v> </v>
      </c>
      <c r="D7" s="16" t="str">
        <f>IFERROR(__xludf.DUMMYFUNCTION("""COMPUTED_VALUE""")," ")</f>
        <v> </v>
      </c>
      <c r="E7" s="16" t="str">
        <f>IFERROR(__xludf.DUMMYFUNCTION("""COMPUTED_VALUE""")," ")</f>
        <v> </v>
      </c>
      <c r="F7" s="16" t="str">
        <f>IFERROR(__xludf.DUMMYFUNCTION("""COMPUTED_VALUE"""),"4")</f>
        <v>4</v>
      </c>
      <c r="G7" s="18" t="str">
        <f>IFERROR(__xludf.DUMMYFUNCTION("""COMPUTED_VALUE"""),"")</f>
        <v/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2.5" customHeight="1">
      <c r="A8" s="12" t="str">
        <f>data!A75</f>
        <v>Воспитание</v>
      </c>
      <c r="B8" s="16" t="str">
        <f>IFERROR(__xludf.DUMMYFUNCTION("""COMPUTED_VALUE""")," ")</f>
        <v> </v>
      </c>
      <c r="C8" s="16" t="str">
        <f>IFERROR(__xludf.DUMMYFUNCTION("""COMPUTED_VALUE""")," ")</f>
        <v> </v>
      </c>
      <c r="D8" s="16" t="str">
        <f>IFERROR(__xludf.DUMMYFUNCTION("""COMPUTED_VALUE""")," ")</f>
        <v> </v>
      </c>
      <c r="E8" s="16" t="str">
        <f>IFERROR(__xludf.DUMMYFUNCTION("""COMPUTED_VALUE""")," ")</f>
        <v> </v>
      </c>
      <c r="F8" s="16" t="str">
        <f>IFERROR(__xludf.DUMMYFUNCTION("""COMPUTED_VALUE"""),"5")</f>
        <v>5</v>
      </c>
      <c r="G8" s="18" t="str">
        <f>IFERROR(__xludf.DUMMYFUNCTION("""COMPUTED_VALUE""")," ")</f>
        <v> 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2.5" customHeight="1">
      <c r="A9" s="12" t="str">
        <f>data!A76</f>
        <v>Физкультура</v>
      </c>
      <c r="B9" s="16" t="str">
        <f>IFERROR(__xludf.DUMMYFUNCTION("""COMPUTED_VALUE""")," ")</f>
        <v> </v>
      </c>
      <c r="C9" s="16" t="str">
        <f>IFERROR(__xludf.DUMMYFUNCTION("""COMPUTED_VALUE""")," ")</f>
        <v> </v>
      </c>
      <c r="D9" s="16" t="str">
        <f>IFERROR(__xludf.DUMMYFUNCTION("""COMPUTED_VALUE""")," ")</f>
        <v> </v>
      </c>
      <c r="E9" s="16" t="str">
        <f>IFERROR(__xludf.DUMMYFUNCTION("""COMPUTED_VALUE""")," ")</f>
        <v> </v>
      </c>
      <c r="F9" s="16" t="str">
        <f>IFERROR(__xludf.DUMMYFUNCTION("""COMPUTED_VALUE"""),"")</f>
        <v/>
      </c>
      <c r="G9" s="18" t="str">
        <f>IFERROR(__xludf.DUMMYFUNCTION("""COMPUTED_VALUE""")," ")</f>
        <v> 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2.5" customHeight="1">
      <c r="A10" s="12" t="str">
        <f>data!A77</f>
        <v>Математика</v>
      </c>
      <c r="B10" s="16" t="str">
        <f>IFERROR(__xludf.DUMMYFUNCTION("""COMPUTED_VALUE"""),"")</f>
        <v/>
      </c>
      <c r="C10" s="16" t="str">
        <f>IFERROR(__xludf.DUMMYFUNCTION("""COMPUTED_VALUE""")," ")</f>
        <v> </v>
      </c>
      <c r="D10" s="16" t="str">
        <f>IFERROR(__xludf.DUMMYFUNCTION("""COMPUTED_VALUE"""),"5")</f>
        <v>5</v>
      </c>
      <c r="E10" s="16" t="str">
        <f>IFERROR(__xludf.DUMMYFUNCTION("""COMPUTED_VALUE""")," ")</f>
        <v> </v>
      </c>
      <c r="F10" s="16" t="str">
        <f>IFERROR(__xludf.DUMMYFUNCTION("""COMPUTED_VALUE""")," ")</f>
        <v> </v>
      </c>
      <c r="G10" s="18" t="str">
        <f>IFERROR(__xludf.DUMMYFUNCTION("""COMPUTED_VALUE"""),"4")</f>
        <v>4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2.5" customHeight="1">
      <c r="A11" s="12" t="str">
        <f>data!A78</f>
        <v>Ботаника</v>
      </c>
      <c r="B11" s="16" t="str">
        <f>IFERROR(__xludf.DUMMYFUNCTION("""COMPUTED_VALUE"""),"")</f>
        <v/>
      </c>
      <c r="C11" s="16" t="str">
        <f>IFERROR(__xludf.DUMMYFUNCTION("""COMPUTED_VALUE""")," ")</f>
        <v> </v>
      </c>
      <c r="D11" s="16" t="str">
        <f>IFERROR(__xludf.DUMMYFUNCTION("""COMPUTED_VALUE""")," ")</f>
        <v> </v>
      </c>
      <c r="E11" s="16" t="str">
        <f>IFERROR(__xludf.DUMMYFUNCTION("""COMPUTED_VALUE""")," ")</f>
        <v> </v>
      </c>
      <c r="F11" s="16" t="str">
        <f>IFERROR(__xludf.DUMMYFUNCTION("""COMPUTED_VALUE""")," ")</f>
        <v> </v>
      </c>
      <c r="G11" s="18" t="str">
        <f>IFERROR(__xludf.DUMMYFUNCTION("""COMPUTED_VALUE""")," ")</f>
        <v> 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2.5" customHeight="1">
      <c r="A12" s="12" t="str">
        <f>data!A79</f>
        <v>География</v>
      </c>
      <c r="B12" s="16" t="str">
        <f>IFERROR(__xludf.DUMMYFUNCTION("""COMPUTED_VALUE""")," ")</f>
        <v> </v>
      </c>
      <c r="C12" s="16" t="str">
        <f>IFERROR(__xludf.DUMMYFUNCTION("""COMPUTED_VALUE""")," ")</f>
        <v> </v>
      </c>
      <c r="D12" s="16" t="str">
        <f>IFERROR(__xludf.DUMMYFUNCTION("""COMPUTED_VALUE"""),"н")</f>
        <v>н</v>
      </c>
      <c r="E12" s="16" t="str">
        <f>IFERROR(__xludf.DUMMYFUNCTION("""COMPUTED_VALUE""")," ")</f>
        <v> </v>
      </c>
      <c r="F12" s="16" t="str">
        <f>IFERROR(__xludf.DUMMYFUNCTION("""COMPUTED_VALUE""")," ")</f>
        <v> </v>
      </c>
      <c r="G12" s="18" t="str">
        <f>IFERROR(__xludf.DUMMYFUNCTION("""COMPUTED_VALUE""")," ")</f>
        <v> 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2.5" customHeight="1">
      <c r="A13" s="12" t="str">
        <f>data!A80</f>
        <v>ИЗО</v>
      </c>
      <c r="B13" s="16" t="str">
        <f>IFERROR(__xludf.DUMMYFUNCTION("""COMPUTED_VALUE""")," ")</f>
        <v> </v>
      </c>
      <c r="C13" s="16" t="str">
        <f>IFERROR(__xludf.DUMMYFUNCTION("""COMPUTED_VALUE""")," ")</f>
        <v> </v>
      </c>
      <c r="D13" s="16" t="str">
        <f>IFERROR(__xludf.DUMMYFUNCTION("""COMPUTED_VALUE""")," ")</f>
        <v> </v>
      </c>
      <c r="E13" s="16" t="str">
        <f>IFERROR(__xludf.DUMMYFUNCTION("""COMPUTED_VALUE""")," ")</f>
        <v> </v>
      </c>
      <c r="F13" s="16" t="str">
        <f>IFERROR(__xludf.DUMMYFUNCTION("""COMPUTED_VALUE"""),"")</f>
        <v/>
      </c>
      <c r="G13" s="18" t="str">
        <f>IFERROR(__xludf.DUMMYFUNCTION("""COMPUTED_VALUE""")," ")</f>
        <v> 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2.5" customHeight="1">
      <c r="A14" s="12" t="str">
        <f>data!A81</f>
        <v>Технология</v>
      </c>
      <c r="B14" s="16" t="str">
        <f>IFERROR(__xludf.DUMMYFUNCTION("""COMPUTED_VALUE""")," ")</f>
        <v> </v>
      </c>
      <c r="C14" s="16" t="str">
        <f>IFERROR(__xludf.DUMMYFUNCTION("""COMPUTED_VALUE""")," ")</f>
        <v> </v>
      </c>
      <c r="D14" s="16" t="str">
        <f>IFERROR(__xludf.DUMMYFUNCTION("""COMPUTED_VALUE""")," ")</f>
        <v> </v>
      </c>
      <c r="E14" s="16" t="str">
        <f>IFERROR(__xludf.DUMMYFUNCTION("""COMPUTED_VALUE""")," ")</f>
        <v> </v>
      </c>
      <c r="F14" s="16" t="str">
        <f>IFERROR(__xludf.DUMMYFUNCTION("""COMPUTED_VALUE""")," ")</f>
        <v> </v>
      </c>
      <c r="G14" s="18" t="str">
        <f>IFERROR(__xludf.DUMMYFUNCTION("""COMPUTED_VALUE""")," ")</f>
        <v> 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2.5" customHeight="1">
      <c r="A15" s="12" t="str">
        <f>data!A82</f>
        <v>Информатика</v>
      </c>
      <c r="B15" s="16" t="str">
        <f>IFERROR(__xludf.DUMMYFUNCTION("""COMPUTED_VALUE""")," ")</f>
        <v> </v>
      </c>
      <c r="C15" s="16" t="str">
        <f>IFERROR(__xludf.DUMMYFUNCTION("""COMPUTED_VALUE""")," ")</f>
        <v> </v>
      </c>
      <c r="D15" s="16" t="str">
        <f>IFERROR(__xludf.DUMMYFUNCTION("""COMPUTED_VALUE"""),"")</f>
        <v/>
      </c>
      <c r="E15" s="16" t="str">
        <f>IFERROR(__xludf.DUMMYFUNCTION("""COMPUTED_VALUE""")," ")</f>
        <v> </v>
      </c>
      <c r="F15" s="16" t="str">
        <f>IFERROR(__xludf.DUMMYFUNCTION("""COMPUTED_VALUE""")," ")</f>
        <v> </v>
      </c>
      <c r="G15" s="18" t="str">
        <f>IFERROR(__xludf.DUMMYFUNCTION("""COMPUTED_VALUE""")," ")</f>
        <v> 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2.5" customHeight="1">
      <c r="A16" s="12" t="str">
        <f>data!A83</f>
        <v>Музыка</v>
      </c>
      <c r="B16" s="19" t="str">
        <f>IFERROR(__xludf.DUMMYFUNCTION("""COMPUTED_VALUE""")," ")</f>
        <v> </v>
      </c>
      <c r="C16" s="19" t="str">
        <f>IFERROR(__xludf.DUMMYFUNCTION("""COMPUTED_VALUE""")," ")</f>
        <v> </v>
      </c>
      <c r="D16" s="19" t="str">
        <f>IFERROR(__xludf.DUMMYFUNCTION("""COMPUTED_VALUE""")," ")</f>
        <v> </v>
      </c>
      <c r="E16" s="19" t="str">
        <f>IFERROR(__xludf.DUMMYFUNCTION("""COMPUTED_VALUE""")," ")</f>
        <v> </v>
      </c>
      <c r="F16" s="19" t="str">
        <f>IFERROR(__xludf.DUMMYFUNCTION("""COMPUTED_VALUE"""),"")</f>
        <v/>
      </c>
      <c r="G16" s="20" t="str">
        <f>IFERROR(__xludf.DUMMYFUNCTION("""COMPUTED_VALUE""")," ")</f>
        <v> 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2.5" customHeight="1">
      <c r="A17" s="12" t="str">
        <f>data!A84</f>
        <v>Физика</v>
      </c>
      <c r="B17" s="19" t="str">
        <f>IFERROR(__xludf.DUMMYFUNCTION("""COMPUTED_VALUE""")," ")</f>
        <v> </v>
      </c>
      <c r="C17" s="19" t="str">
        <f>IFERROR(__xludf.DUMMYFUNCTION("""COMPUTED_VALUE"""),"5")</f>
        <v>5</v>
      </c>
      <c r="D17" s="19" t="str">
        <f>IFERROR(__xludf.DUMMYFUNCTION("""COMPUTED_VALUE""")," ")</f>
        <v> </v>
      </c>
      <c r="E17" s="19" t="str">
        <f>IFERROR(__xludf.DUMMYFUNCTION("""COMPUTED_VALUE""")," ")</f>
        <v> </v>
      </c>
      <c r="F17" s="19" t="str">
        <f>IFERROR(__xludf.DUMMYFUNCTION("""COMPUTED_VALUE""")," ")</f>
        <v> </v>
      </c>
      <c r="G17" s="20" t="str">
        <f>IFERROR(__xludf.DUMMYFUNCTION("""COMPUTED_VALUE""")," ")</f>
        <v> 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2.5" customHeight="1">
      <c r="A18" s="21" t="str">
        <f>data!A85</f>
        <v>Посещаемость</v>
      </c>
      <c r="B18" s="5" t="str">
        <f>IFERROR(__xludf.DUMMYFUNCTION("""COMPUTED_VALUE""")," ")</f>
        <v> </v>
      </c>
      <c r="C18" s="5" t="str">
        <f>IFERROR(__xludf.DUMMYFUNCTION("""COMPUTED_VALUE""")," ")</f>
        <v> </v>
      </c>
      <c r="D18" s="5" t="str">
        <f>IFERROR(__xludf.DUMMYFUNCTION("""COMPUTED_VALUE""")," ")</f>
        <v> </v>
      </c>
      <c r="E18" s="5" t="str">
        <f>IFERROR(__xludf.DUMMYFUNCTION("""COMPUTED_VALUE""")," ")</f>
        <v> </v>
      </c>
      <c r="F18" s="5" t="str">
        <f>IFERROR(__xludf.DUMMYFUNCTION("""COMPUTED_VALUE""")," ")</f>
        <v> </v>
      </c>
      <c r="G18" s="5" t="str">
        <f>IFERROR(__xludf.DUMMYFUNCTION("""COMPUTED_VALUE""")," ")</f>
        <v> 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2.5" customHeight="1">
      <c r="A19" s="4" t="str">
        <f>data!A86</f>
        <v/>
      </c>
      <c r="B19" s="5" t="str">
        <f>IFERROR(__xludf.DUMMYFUNCTION("""COMPUTED_VALUE""")," ")</f>
        <v> </v>
      </c>
      <c r="C19" s="5" t="str">
        <f>IFERROR(__xludf.DUMMYFUNCTION("""COMPUTED_VALUE""")," ")</f>
        <v> </v>
      </c>
      <c r="D19" s="5" t="str">
        <f>IFERROR(__xludf.DUMMYFUNCTION("""COMPUTED_VALUE""")," ")</f>
        <v> </v>
      </c>
      <c r="E19" s="5" t="str">
        <f>IFERROR(__xludf.DUMMYFUNCTION("""COMPUTED_VALUE""")," ")</f>
        <v> </v>
      </c>
      <c r="F19" s="5" t="str">
        <f>IFERROR(__xludf.DUMMYFUNCTION("""COMPUTED_VALUE""")," ")</f>
        <v> </v>
      </c>
      <c r="G19" s="5" t="str">
        <f>IFERROR(__xludf.DUMMYFUNCTION("""COMPUTED_VALUE""")," ")</f>
        <v> 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2.5" customHeight="1">
      <c r="A20" s="4" t="str">
        <f>data!A87</f>
        <v/>
      </c>
      <c r="B20" s="5" t="str">
        <f>IFERROR(__xludf.DUMMYFUNCTION("""COMPUTED_VALUE""")," ")</f>
        <v> </v>
      </c>
      <c r="C20" s="5" t="str">
        <f>IFERROR(__xludf.DUMMYFUNCTION("""COMPUTED_VALUE""")," ")</f>
        <v> </v>
      </c>
      <c r="D20" s="5" t="str">
        <f>IFERROR(__xludf.DUMMYFUNCTION("""COMPUTED_VALUE""")," ")</f>
        <v> </v>
      </c>
      <c r="E20" s="5" t="str">
        <f>IFERROR(__xludf.DUMMYFUNCTION("""COMPUTED_VALUE""")," ")</f>
        <v> </v>
      </c>
      <c r="F20" s="5" t="str">
        <f>IFERROR(__xludf.DUMMYFUNCTION("""COMPUTED_VALUE""")," ")</f>
        <v> </v>
      </c>
      <c r="G20" s="5" t="str">
        <f>IFERROR(__xludf.DUMMYFUNCTION("""COMPUTED_VALUE""")," ")</f>
        <v> 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2.5" customHeight="1">
      <c r="A21" s="4" t="str">
        <f>data!A88</f>
        <v/>
      </c>
      <c r="B21" s="5" t="str">
        <f>IFERROR(__xludf.DUMMYFUNCTION("""COMPUTED_VALUE""")," ")</f>
        <v> </v>
      </c>
      <c r="C21" s="5" t="str">
        <f>IFERROR(__xludf.DUMMYFUNCTION("""COMPUTED_VALUE""")," ")</f>
        <v> </v>
      </c>
      <c r="D21" s="5" t="str">
        <f>IFERROR(__xludf.DUMMYFUNCTION("""COMPUTED_VALUE""")," ")</f>
        <v> </v>
      </c>
      <c r="E21" s="5" t="str">
        <f>IFERROR(__xludf.DUMMYFUNCTION("""COMPUTED_VALUE""")," ")</f>
        <v> </v>
      </c>
      <c r="F21" s="5" t="str">
        <f>IFERROR(__xludf.DUMMYFUNCTION("""COMPUTED_VALUE""")," ")</f>
        <v> </v>
      </c>
      <c r="G21" s="5" t="str">
        <f>IFERROR(__xludf.DUMMYFUNCTION("""COMPUTED_VALUE""")," ")</f>
        <v> 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17" t="str">
        <f>IFERROR(__xludf.DUMMYFUNCTION("""COMPUTED_VALUE""")," ")</f>
        <v> </v>
      </c>
      <c r="C22" s="17" t="str">
        <f>IFERROR(__xludf.DUMMYFUNCTION("""COMPUTED_VALUE""")," ")</f>
        <v> </v>
      </c>
      <c r="D22" s="17" t="str">
        <f>IFERROR(__xludf.DUMMYFUNCTION("""COMPUTED_VALUE""")," ")</f>
        <v> </v>
      </c>
      <c r="E22" s="17" t="str">
        <f>IFERROR(__xludf.DUMMYFUNCTION("""COMPUTED_VALUE""")," ")</f>
        <v> </v>
      </c>
      <c r="F22" s="17" t="str">
        <f>IFERROR(__xludf.DUMMYFUNCTION("""COMPUTED_VALUE""")," ")</f>
        <v> </v>
      </c>
      <c r="G22" s="17" t="str">
        <f>IFERROR(__xludf.DUMMYFUNCTION("""COMPUTED_VALUE""")," ")</f>
        <v> 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2"/>
      <c r="B32" s="22" t="str">
        <f>TEXT(TODAY()-5,"d mmmm")</f>
        <v>12 марта</v>
      </c>
      <c r="C32" s="22" t="str">
        <f>TEXT(TODAY()-4,"d mmmm")</f>
        <v>13 марта</v>
      </c>
      <c r="D32" s="22" t="str">
        <f>TEXT(TODAY()-3,"d mmmm")</f>
        <v>14 марта</v>
      </c>
      <c r="E32" s="22" t="str">
        <f>TEXT(TODAY()-2,"d mmmm")</f>
        <v>15 марта</v>
      </c>
      <c r="F32" s="22" t="str">
        <f>TEXT(TODAY()-1,"d mmmm")</f>
        <v>16 марта</v>
      </c>
      <c r="G32" s="22" t="str">
        <f>TEXT(TODAY(),"d mmmm")</f>
        <v>17 марта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conditionalFormatting sqref="B3:G30">
    <cfRule type="containsText" dxfId="5" priority="1" operator="containsText" text="5">
      <formula>NOT(ISERROR(SEARCH(("5"),(B3))))</formula>
    </cfRule>
  </conditionalFormatting>
  <conditionalFormatting sqref="B3:G30">
    <cfRule type="containsText" dxfId="6" priority="2" operator="containsText" text="4">
      <formula>NOT(ISERROR(SEARCH(("4"),(B3))))</formula>
    </cfRule>
  </conditionalFormatting>
  <conditionalFormatting sqref="B3:G30">
    <cfRule type="containsText" dxfId="8" priority="3" operator="containsText" text="3">
      <formula>NOT(ISERROR(SEARCH(("3"),(B3))))</formula>
    </cfRule>
  </conditionalFormatting>
  <conditionalFormatting sqref="B3:G30">
    <cfRule type="containsText" dxfId="10" priority="4" operator="containsText" text="2">
      <formula>NOT(ISERROR(SEARCH(("2"),(B3))))</formula>
    </cfRule>
  </conditionalFormatting>
  <conditionalFormatting sqref="B3:G30">
    <cfRule type="containsText" dxfId="11" priority="5" operator="containsText" text="н">
      <formula>NOT(ISERROR(SEARCH(("н"),(B3))))</formula>
    </cfRule>
  </conditionalFormatting>
  <dataValidations>
    <dataValidation allowBlank="1" showDropDown="1" sqref="A2:G21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5.13"/>
    <col customWidth="1" min="2" max="265" width="12.63"/>
  </cols>
  <sheetData>
    <row r="1" ht="22.5" customHeight="1">
      <c r="A1" s="23" t="s">
        <v>11</v>
      </c>
      <c r="B1" s="24" t="s">
        <v>4</v>
      </c>
      <c r="C1" s="24" t="s">
        <v>5</v>
      </c>
      <c r="D1" s="24" t="s">
        <v>6</v>
      </c>
      <c r="E1" s="24" t="s">
        <v>7</v>
      </c>
      <c r="F1" s="24" t="s">
        <v>8</v>
      </c>
      <c r="G1" s="24" t="s">
        <v>9</v>
      </c>
      <c r="H1" s="24" t="s">
        <v>12</v>
      </c>
      <c r="I1" s="24" t="s">
        <v>13</v>
      </c>
      <c r="J1" s="24" t="s">
        <v>14</v>
      </c>
      <c r="K1" s="24" t="s">
        <v>15</v>
      </c>
      <c r="L1" s="24" t="s">
        <v>16</v>
      </c>
      <c r="M1" s="24" t="s">
        <v>17</v>
      </c>
      <c r="N1" s="24" t="s">
        <v>18</v>
      </c>
      <c r="O1" s="24" t="s">
        <v>19</v>
      </c>
      <c r="P1" s="24" t="s">
        <v>20</v>
      </c>
      <c r="Q1" s="24" t="s">
        <v>21</v>
      </c>
      <c r="R1" s="24" t="s">
        <v>22</v>
      </c>
      <c r="S1" s="24" t="s">
        <v>23</v>
      </c>
      <c r="T1" s="24" t="s">
        <v>24</v>
      </c>
      <c r="U1" s="24" t="s">
        <v>25</v>
      </c>
      <c r="V1" s="24" t="s">
        <v>26</v>
      </c>
      <c r="W1" s="24" t="s">
        <v>27</v>
      </c>
      <c r="X1" s="24" t="s">
        <v>28</v>
      </c>
      <c r="Y1" s="24" t="s">
        <v>29</v>
      </c>
      <c r="Z1" s="24" t="s">
        <v>30</v>
      </c>
      <c r="AA1" s="24" t="s">
        <v>31</v>
      </c>
      <c r="AB1" s="24" t="s">
        <v>32</v>
      </c>
      <c r="AC1" s="24" t="s">
        <v>33</v>
      </c>
      <c r="AD1" s="24" t="s">
        <v>34</v>
      </c>
      <c r="AE1" s="24" t="s">
        <v>35</v>
      </c>
      <c r="AF1" s="24" t="s">
        <v>36</v>
      </c>
      <c r="AG1" s="24" t="s">
        <v>37</v>
      </c>
      <c r="AH1" s="24" t="s">
        <v>38</v>
      </c>
      <c r="AI1" s="24" t="s">
        <v>39</v>
      </c>
      <c r="AJ1" s="24" t="s">
        <v>40</v>
      </c>
      <c r="AK1" s="24" t="s">
        <v>41</v>
      </c>
      <c r="AL1" s="24" t="s">
        <v>42</v>
      </c>
      <c r="AM1" s="24" t="s">
        <v>43</v>
      </c>
      <c r="AN1" s="24" t="s">
        <v>44</v>
      </c>
      <c r="AO1" s="24" t="s">
        <v>45</v>
      </c>
      <c r="AP1" s="24" t="s">
        <v>46</v>
      </c>
      <c r="AQ1" s="24" t="s">
        <v>47</v>
      </c>
      <c r="AR1" s="24" t="s">
        <v>48</v>
      </c>
      <c r="AS1" s="24" t="s">
        <v>49</v>
      </c>
      <c r="AT1" s="24" t="s">
        <v>50</v>
      </c>
      <c r="AU1" s="24" t="s">
        <v>51</v>
      </c>
      <c r="AV1" s="24" t="s">
        <v>52</v>
      </c>
      <c r="AW1" s="24" t="s">
        <v>53</v>
      </c>
      <c r="AX1" s="24" t="s">
        <v>54</v>
      </c>
      <c r="AY1" s="24" t="s">
        <v>55</v>
      </c>
      <c r="AZ1" s="24" t="s">
        <v>56</v>
      </c>
      <c r="BA1" s="24" t="s">
        <v>57</v>
      </c>
      <c r="BB1" s="24" t="s">
        <v>58</v>
      </c>
      <c r="BC1" s="24" t="s">
        <v>59</v>
      </c>
      <c r="BD1" s="24" t="s">
        <v>60</v>
      </c>
      <c r="BE1" s="24" t="s">
        <v>61</v>
      </c>
      <c r="BF1" s="24" t="s">
        <v>62</v>
      </c>
      <c r="BG1" s="24" t="s">
        <v>63</v>
      </c>
      <c r="BH1" s="24" t="s">
        <v>64</v>
      </c>
      <c r="BI1" s="24" t="s">
        <v>65</v>
      </c>
      <c r="BJ1" s="24" t="s">
        <v>66</v>
      </c>
      <c r="BK1" s="24" t="s">
        <v>67</v>
      </c>
      <c r="BL1" s="24" t="s">
        <v>68</v>
      </c>
      <c r="BM1" s="24" t="s">
        <v>69</v>
      </c>
      <c r="BN1" s="24" t="s">
        <v>70</v>
      </c>
      <c r="BO1" s="24" t="s">
        <v>71</v>
      </c>
      <c r="BP1" s="24" t="s">
        <v>72</v>
      </c>
      <c r="BQ1" s="24" t="s">
        <v>73</v>
      </c>
      <c r="BR1" s="24" t="s">
        <v>74</v>
      </c>
      <c r="BS1" s="24" t="s">
        <v>75</v>
      </c>
      <c r="BT1" s="24" t="s">
        <v>76</v>
      </c>
      <c r="BU1" s="24" t="s">
        <v>77</v>
      </c>
      <c r="BV1" s="24" t="s">
        <v>78</v>
      </c>
      <c r="BW1" s="24" t="s">
        <v>79</v>
      </c>
      <c r="BX1" s="24" t="s">
        <v>80</v>
      </c>
      <c r="BY1" s="24" t="s">
        <v>81</v>
      </c>
      <c r="BZ1" s="24" t="s">
        <v>82</v>
      </c>
      <c r="CA1" s="24" t="s">
        <v>83</v>
      </c>
      <c r="CB1" s="24" t="s">
        <v>84</v>
      </c>
      <c r="CC1" s="24" t="s">
        <v>85</v>
      </c>
      <c r="CD1" s="24" t="s">
        <v>86</v>
      </c>
      <c r="CE1" s="24" t="s">
        <v>87</v>
      </c>
      <c r="CF1" s="24" t="s">
        <v>88</v>
      </c>
      <c r="CG1" s="24" t="s">
        <v>89</v>
      </c>
      <c r="CH1" s="24" t="s">
        <v>90</v>
      </c>
      <c r="CI1" s="24" t="s">
        <v>91</v>
      </c>
      <c r="CJ1" s="24" t="s">
        <v>92</v>
      </c>
      <c r="CK1" s="24" t="s">
        <v>93</v>
      </c>
      <c r="CL1" s="24" t="s">
        <v>94</v>
      </c>
      <c r="CM1" s="24" t="s">
        <v>95</v>
      </c>
      <c r="CN1" s="24" t="s">
        <v>96</v>
      </c>
      <c r="CO1" s="24" t="s">
        <v>97</v>
      </c>
      <c r="CP1" s="24" t="s">
        <v>98</v>
      </c>
      <c r="CQ1" s="24" t="s">
        <v>99</v>
      </c>
      <c r="CR1" s="24" t="s">
        <v>100</v>
      </c>
      <c r="CS1" s="24" t="s">
        <v>101</v>
      </c>
      <c r="CT1" s="24" t="s">
        <v>102</v>
      </c>
      <c r="CU1" s="24" t="s">
        <v>103</v>
      </c>
      <c r="CV1" s="24" t="s">
        <v>104</v>
      </c>
      <c r="CW1" s="24" t="s">
        <v>105</v>
      </c>
      <c r="CX1" s="24" t="s">
        <v>106</v>
      </c>
      <c r="CY1" s="24" t="s">
        <v>107</v>
      </c>
      <c r="CZ1" s="24" t="s">
        <v>108</v>
      </c>
      <c r="DA1" s="24" t="s">
        <v>109</v>
      </c>
      <c r="DB1" s="24" t="s">
        <v>110</v>
      </c>
      <c r="DC1" s="24" t="s">
        <v>111</v>
      </c>
      <c r="DD1" s="24" t="s">
        <v>112</v>
      </c>
      <c r="DE1" s="24" t="s">
        <v>113</v>
      </c>
      <c r="DF1" s="24" t="s">
        <v>114</v>
      </c>
      <c r="DG1" s="24" t="s">
        <v>115</v>
      </c>
      <c r="DH1" s="24" t="s">
        <v>116</v>
      </c>
      <c r="DI1" s="24" t="s">
        <v>117</v>
      </c>
      <c r="DJ1" s="24" t="s">
        <v>118</v>
      </c>
      <c r="DK1" s="24" t="s">
        <v>119</v>
      </c>
      <c r="DL1" s="24" t="s">
        <v>120</v>
      </c>
      <c r="DM1" s="24" t="s">
        <v>121</v>
      </c>
      <c r="DN1" s="24" t="s">
        <v>122</v>
      </c>
      <c r="DO1" s="24" t="s">
        <v>123</v>
      </c>
      <c r="DP1" s="24" t="s">
        <v>124</v>
      </c>
      <c r="DQ1" s="24" t="s">
        <v>125</v>
      </c>
      <c r="DR1" s="24" t="s">
        <v>126</v>
      </c>
      <c r="DS1" s="24" t="s">
        <v>127</v>
      </c>
      <c r="DT1" s="24" t="s">
        <v>128</v>
      </c>
      <c r="DU1" s="24" t="s">
        <v>129</v>
      </c>
      <c r="DV1" s="24" t="s">
        <v>130</v>
      </c>
      <c r="DW1" s="24" t="s">
        <v>131</v>
      </c>
      <c r="DX1" s="24" t="s">
        <v>132</v>
      </c>
      <c r="DY1" s="24" t="s">
        <v>133</v>
      </c>
      <c r="DZ1" s="24" t="s">
        <v>134</v>
      </c>
      <c r="EA1" s="24" t="s">
        <v>135</v>
      </c>
      <c r="EB1" s="24" t="s">
        <v>136</v>
      </c>
      <c r="EC1" s="24" t="s">
        <v>137</v>
      </c>
      <c r="ED1" s="24" t="s">
        <v>138</v>
      </c>
      <c r="EE1" s="24" t="s">
        <v>139</v>
      </c>
      <c r="EF1" s="24" t="s">
        <v>140</v>
      </c>
      <c r="EG1" s="24" t="s">
        <v>141</v>
      </c>
      <c r="EH1" s="24" t="s">
        <v>142</v>
      </c>
      <c r="EI1" s="24" t="s">
        <v>143</v>
      </c>
      <c r="EJ1" s="24" t="s">
        <v>144</v>
      </c>
      <c r="EK1" s="24" t="s">
        <v>145</v>
      </c>
      <c r="EL1" s="24" t="s">
        <v>146</v>
      </c>
      <c r="EM1" s="24" t="s">
        <v>147</v>
      </c>
      <c r="EN1" s="24" t="s">
        <v>148</v>
      </c>
      <c r="EO1" s="24" t="s">
        <v>149</v>
      </c>
      <c r="EP1" s="24" t="s">
        <v>150</v>
      </c>
      <c r="EQ1" s="24" t="s">
        <v>151</v>
      </c>
      <c r="ER1" s="24" t="s">
        <v>152</v>
      </c>
      <c r="ES1" s="24" t="s">
        <v>153</v>
      </c>
      <c r="ET1" s="24" t="s">
        <v>154</v>
      </c>
      <c r="EU1" s="24" t="s">
        <v>155</v>
      </c>
      <c r="EV1" s="24" t="s">
        <v>156</v>
      </c>
      <c r="EW1" s="24" t="s">
        <v>157</v>
      </c>
      <c r="EX1" s="24" t="s">
        <v>158</v>
      </c>
      <c r="EY1" s="24" t="s">
        <v>159</v>
      </c>
      <c r="EZ1" s="24" t="s">
        <v>160</v>
      </c>
      <c r="FA1" s="24" t="s">
        <v>161</v>
      </c>
      <c r="FB1" s="24" t="s">
        <v>162</v>
      </c>
      <c r="FC1" s="24" t="s">
        <v>163</v>
      </c>
      <c r="FD1" s="24" t="s">
        <v>164</v>
      </c>
      <c r="FE1" s="24" t="s">
        <v>165</v>
      </c>
      <c r="FF1" s="24" t="s">
        <v>166</v>
      </c>
      <c r="FG1" s="24" t="s">
        <v>167</v>
      </c>
      <c r="FH1" s="24" t="s">
        <v>168</v>
      </c>
      <c r="FI1" s="24" t="s">
        <v>169</v>
      </c>
      <c r="FJ1" s="24" t="s">
        <v>170</v>
      </c>
      <c r="FK1" s="24" t="s">
        <v>171</v>
      </c>
      <c r="FL1" s="24" t="s">
        <v>172</v>
      </c>
      <c r="FM1" s="24" t="s">
        <v>173</v>
      </c>
      <c r="FN1" s="24" t="s">
        <v>174</v>
      </c>
      <c r="FO1" s="24" t="s">
        <v>175</v>
      </c>
      <c r="FP1" s="24" t="s">
        <v>176</v>
      </c>
      <c r="FQ1" s="24" t="s">
        <v>177</v>
      </c>
      <c r="FR1" s="24" t="s">
        <v>178</v>
      </c>
      <c r="FS1" s="24" t="s">
        <v>179</v>
      </c>
      <c r="FT1" s="24" t="s">
        <v>180</v>
      </c>
      <c r="FU1" s="24" t="s">
        <v>181</v>
      </c>
      <c r="FV1" s="24" t="s">
        <v>182</v>
      </c>
      <c r="FW1" s="24" t="s">
        <v>183</v>
      </c>
      <c r="FX1" s="24" t="s">
        <v>184</v>
      </c>
      <c r="FY1" s="24" t="s">
        <v>185</v>
      </c>
      <c r="FZ1" s="24" t="s">
        <v>186</v>
      </c>
      <c r="GA1" s="24" t="s">
        <v>187</v>
      </c>
      <c r="GB1" s="24" t="s">
        <v>188</v>
      </c>
      <c r="GC1" s="24" t="s">
        <v>189</v>
      </c>
      <c r="GD1" s="24" t="s">
        <v>190</v>
      </c>
      <c r="GE1" s="24" t="s">
        <v>191</v>
      </c>
      <c r="GF1" s="24" t="s">
        <v>192</v>
      </c>
      <c r="GG1" s="24" t="s">
        <v>193</v>
      </c>
      <c r="GH1" s="24" t="s">
        <v>194</v>
      </c>
      <c r="GI1" s="24" t="s">
        <v>195</v>
      </c>
      <c r="GJ1" s="24" t="s">
        <v>196</v>
      </c>
      <c r="GK1" s="24" t="s">
        <v>197</v>
      </c>
      <c r="GL1" s="24" t="s">
        <v>198</v>
      </c>
      <c r="GM1" s="24" t="s">
        <v>199</v>
      </c>
      <c r="GN1" s="24" t="s">
        <v>200</v>
      </c>
      <c r="GO1" s="24" t="s">
        <v>201</v>
      </c>
      <c r="GP1" s="24" t="s">
        <v>202</v>
      </c>
      <c r="GQ1" s="24" t="s">
        <v>203</v>
      </c>
      <c r="GR1" s="24" t="s">
        <v>204</v>
      </c>
      <c r="GS1" s="24" t="s">
        <v>205</v>
      </c>
      <c r="GT1" s="24" t="s">
        <v>206</v>
      </c>
      <c r="GU1" s="24" t="s">
        <v>207</v>
      </c>
      <c r="GV1" s="24" t="s">
        <v>208</v>
      </c>
      <c r="GW1" s="24" t="s">
        <v>209</v>
      </c>
      <c r="GX1" s="24" t="s">
        <v>210</v>
      </c>
      <c r="GY1" s="24" t="s">
        <v>211</v>
      </c>
      <c r="GZ1" s="24" t="s">
        <v>212</v>
      </c>
      <c r="HA1" s="24" t="s">
        <v>213</v>
      </c>
      <c r="HB1" s="24" t="s">
        <v>214</v>
      </c>
      <c r="HC1" s="24" t="s">
        <v>215</v>
      </c>
      <c r="HD1" s="24" t="s">
        <v>216</v>
      </c>
      <c r="HE1" s="24" t="s">
        <v>217</v>
      </c>
      <c r="HF1" s="24" t="s">
        <v>218</v>
      </c>
      <c r="HG1" s="24" t="s">
        <v>219</v>
      </c>
      <c r="HH1" s="24" t="s">
        <v>220</v>
      </c>
      <c r="HI1" s="24" t="s">
        <v>221</v>
      </c>
      <c r="HJ1" s="24" t="s">
        <v>222</v>
      </c>
      <c r="HK1" s="24" t="s">
        <v>223</v>
      </c>
      <c r="HL1" s="24" t="s">
        <v>224</v>
      </c>
      <c r="HM1" s="24" t="s">
        <v>225</v>
      </c>
      <c r="HN1" s="24" t="s">
        <v>226</v>
      </c>
      <c r="HO1" s="24" t="s">
        <v>227</v>
      </c>
      <c r="HP1" s="24" t="s">
        <v>228</v>
      </c>
      <c r="HQ1" s="24" t="s">
        <v>229</v>
      </c>
      <c r="HR1" s="24" t="s">
        <v>230</v>
      </c>
      <c r="HS1" s="24" t="s">
        <v>231</v>
      </c>
      <c r="HT1" s="24" t="s">
        <v>232</v>
      </c>
      <c r="HU1" s="24" t="s">
        <v>233</v>
      </c>
      <c r="HV1" s="24" t="s">
        <v>234</v>
      </c>
      <c r="HW1" s="24" t="s">
        <v>235</v>
      </c>
      <c r="HX1" s="24" t="s">
        <v>236</v>
      </c>
      <c r="HY1" s="24" t="s">
        <v>237</v>
      </c>
      <c r="HZ1" s="24" t="s">
        <v>238</v>
      </c>
      <c r="IA1" s="24" t="s">
        <v>239</v>
      </c>
      <c r="IB1" s="24" t="s">
        <v>240</v>
      </c>
      <c r="IC1" s="24" t="s">
        <v>241</v>
      </c>
      <c r="ID1" s="24" t="s">
        <v>242</v>
      </c>
      <c r="IE1" s="24" t="s">
        <v>243</v>
      </c>
      <c r="IF1" s="24" t="s">
        <v>244</v>
      </c>
      <c r="IG1" s="24" t="s">
        <v>245</v>
      </c>
      <c r="IH1" s="24" t="s">
        <v>246</v>
      </c>
      <c r="II1" s="24" t="s">
        <v>247</v>
      </c>
      <c r="IJ1" s="24" t="s">
        <v>248</v>
      </c>
      <c r="IK1" s="24" t="s">
        <v>249</v>
      </c>
      <c r="IL1" s="24" t="s">
        <v>250</v>
      </c>
      <c r="IM1" s="24" t="s">
        <v>251</v>
      </c>
      <c r="IN1" s="24" t="s">
        <v>252</v>
      </c>
      <c r="IO1" s="24" t="s">
        <v>253</v>
      </c>
      <c r="IP1" s="24" t="s">
        <v>254</v>
      </c>
      <c r="IQ1" s="24" t="s">
        <v>255</v>
      </c>
      <c r="IR1" s="24" t="s">
        <v>256</v>
      </c>
      <c r="IS1" s="24" t="s">
        <v>257</v>
      </c>
      <c r="IT1" s="24" t="s">
        <v>258</v>
      </c>
      <c r="IU1" s="24" t="s">
        <v>259</v>
      </c>
      <c r="IV1" s="24" t="s">
        <v>260</v>
      </c>
      <c r="IW1" s="24" t="s">
        <v>261</v>
      </c>
      <c r="IX1" s="24" t="s">
        <v>262</v>
      </c>
      <c r="IY1" s="24" t="s">
        <v>263</v>
      </c>
      <c r="IZ1" s="24" t="s">
        <v>264</v>
      </c>
      <c r="JA1" s="24" t="s">
        <v>265</v>
      </c>
      <c r="JB1" s="24" t="s">
        <v>266</v>
      </c>
      <c r="JC1" s="24" t="s">
        <v>267</v>
      </c>
      <c r="JD1" s="24" t="s">
        <v>268</v>
      </c>
      <c r="JE1" s="24" t="s">
        <v>269</v>
      </c>
    </row>
    <row r="2" ht="22.5" customHeight="1">
      <c r="A2" s="4" t="str">
        <f>data!A69</f>
        <v>Оценки</v>
      </c>
      <c r="B2" s="4" t="str">
        <f>data!B69</f>
        <v>2 сентября</v>
      </c>
      <c r="C2" s="4" t="str">
        <f>data!C69</f>
        <v>3 сентября</v>
      </c>
      <c r="D2" s="4" t="str">
        <f>data!D69</f>
        <v>4 сентября</v>
      </c>
      <c r="E2" s="4" t="str">
        <f>data!E69</f>
        <v>5 сентября</v>
      </c>
      <c r="F2" s="4" t="str">
        <f>data!F69</f>
        <v>6 сентября</v>
      </c>
      <c r="G2" s="4" t="str">
        <f>data!G69</f>
        <v>7 сентября</v>
      </c>
      <c r="H2" s="4" t="str">
        <f>data!H69</f>
        <v>8 сентября</v>
      </c>
      <c r="I2" s="4" t="str">
        <f>data!I69</f>
        <v>9 сентября</v>
      </c>
      <c r="J2" s="4" t="str">
        <f>data!J69</f>
        <v>10 сентября</v>
      </c>
      <c r="K2" s="4" t="str">
        <f>data!K69</f>
        <v>11 сентября</v>
      </c>
      <c r="L2" s="4" t="str">
        <f>data!L69</f>
        <v>12 сентября</v>
      </c>
      <c r="M2" s="4" t="str">
        <f>data!M69</f>
        <v>13 сентября</v>
      </c>
      <c r="N2" s="4" t="str">
        <f>data!N69</f>
        <v>14 сентября</v>
      </c>
      <c r="O2" s="4" t="str">
        <f>data!O69</f>
        <v>15 сентября</v>
      </c>
      <c r="P2" s="4" t="str">
        <f>data!P69</f>
        <v>16 сентября</v>
      </c>
      <c r="Q2" s="4" t="str">
        <f>data!Q69</f>
        <v>17 сентября</v>
      </c>
      <c r="R2" s="4" t="str">
        <f>data!R69</f>
        <v>18 сентября</v>
      </c>
      <c r="S2" s="4" t="str">
        <f>data!S69</f>
        <v>19 сентября</v>
      </c>
      <c r="T2" s="4" t="str">
        <f>data!T69</f>
        <v>20 сентября</v>
      </c>
      <c r="U2" s="4" t="str">
        <f>data!U69</f>
        <v>21 сентября</v>
      </c>
      <c r="V2" s="4" t="str">
        <f>data!V69</f>
        <v>22 сентября</v>
      </c>
      <c r="W2" s="4" t="str">
        <f>data!W69</f>
        <v>23 сентября</v>
      </c>
      <c r="X2" s="4" t="str">
        <f>data!X69</f>
        <v>24 сентября</v>
      </c>
      <c r="Y2" s="4" t="str">
        <f>data!Y69</f>
        <v>25 сентября</v>
      </c>
      <c r="Z2" s="4" t="str">
        <f>data!Z69</f>
        <v>26 сентября</v>
      </c>
      <c r="AA2" s="4" t="str">
        <f>data!AA69</f>
        <v>27 сентября</v>
      </c>
      <c r="AB2" s="4" t="str">
        <f>data!AB69</f>
        <v>28 сентября</v>
      </c>
      <c r="AC2" s="4" t="str">
        <f>data!AC69</f>
        <v>29 сентября</v>
      </c>
      <c r="AD2" s="4" t="str">
        <f>data!AD69</f>
        <v>30 сентября</v>
      </c>
      <c r="AE2" s="4" t="str">
        <f>data!AE69</f>
        <v>1 октября</v>
      </c>
      <c r="AF2" s="4" t="str">
        <f>data!AF69</f>
        <v>2 октября</v>
      </c>
      <c r="AG2" s="4" t="str">
        <f>data!AG69</f>
        <v>3 октября</v>
      </c>
      <c r="AH2" s="4" t="str">
        <f>data!AH69</f>
        <v>4 октября</v>
      </c>
      <c r="AI2" s="4" t="str">
        <f>data!AI69</f>
        <v>5 октября</v>
      </c>
      <c r="AJ2" s="4" t="str">
        <f>data!AJ69</f>
        <v>6 октября</v>
      </c>
      <c r="AK2" s="4" t="str">
        <f>data!AK69</f>
        <v>7 октября</v>
      </c>
      <c r="AL2" s="4" t="str">
        <f>data!AL69</f>
        <v>8 октября</v>
      </c>
      <c r="AM2" s="4" t="str">
        <f>data!AM69</f>
        <v>9 октября</v>
      </c>
      <c r="AN2" s="4" t="str">
        <f>data!AN69</f>
        <v>10 октября</v>
      </c>
      <c r="AO2" s="4" t="str">
        <f>data!AO69</f>
        <v>11 октября</v>
      </c>
      <c r="AP2" s="4" t="str">
        <f>data!AP69</f>
        <v>12 октября</v>
      </c>
      <c r="AQ2" s="4" t="str">
        <f>data!AQ69</f>
        <v>13 октября</v>
      </c>
      <c r="AR2" s="4" t="str">
        <f>data!AR69</f>
        <v>14 октября</v>
      </c>
      <c r="AS2" s="4" t="str">
        <f>data!AS69</f>
        <v>15 октября</v>
      </c>
      <c r="AT2" s="4" t="str">
        <f>data!AT69</f>
        <v>16 октября</v>
      </c>
      <c r="AU2" s="4" t="str">
        <f>data!AU69</f>
        <v>17 октября</v>
      </c>
      <c r="AV2" s="4" t="str">
        <f>data!AV69</f>
        <v>18 октября</v>
      </c>
      <c r="AW2" s="4" t="str">
        <f>data!AW69</f>
        <v>19 октября</v>
      </c>
      <c r="AX2" s="4" t="str">
        <f>data!AX69</f>
        <v>20 октября</v>
      </c>
      <c r="AY2" s="4" t="str">
        <f>data!AY69</f>
        <v>21 октября</v>
      </c>
      <c r="AZ2" s="4" t="str">
        <f>data!AZ69</f>
        <v>22 октября</v>
      </c>
      <c r="BA2" s="4" t="str">
        <f>data!BA69</f>
        <v>23 октября</v>
      </c>
      <c r="BB2" s="4" t="str">
        <f>data!BB69</f>
        <v>24 октября</v>
      </c>
      <c r="BC2" s="4" t="str">
        <f>data!BC69</f>
        <v>25 октября</v>
      </c>
      <c r="BD2" s="4" t="str">
        <f>data!BD69</f>
        <v>26 октября</v>
      </c>
      <c r="BE2" s="4" t="str">
        <f>data!BE69</f>
        <v>27 октября</v>
      </c>
      <c r="BF2" s="4" t="str">
        <f>data!BF69</f>
        <v>28 октября</v>
      </c>
      <c r="BG2" s="4" t="str">
        <f>data!BG69</f>
        <v>29 октября</v>
      </c>
      <c r="BH2" s="4" t="str">
        <f>data!BH69</f>
        <v>30 октября</v>
      </c>
      <c r="BI2" s="4" t="str">
        <f>data!BI69</f>
        <v>31 октября</v>
      </c>
      <c r="BJ2" s="4" t="str">
        <f>data!BJ69</f>
        <v>1 ноября</v>
      </c>
      <c r="BK2" s="4" t="str">
        <f>data!BK69</f>
        <v>2 ноября</v>
      </c>
      <c r="BL2" s="4" t="str">
        <f>data!BL69</f>
        <v>3 ноября</v>
      </c>
      <c r="BM2" s="4" t="str">
        <f>data!BM69</f>
        <v>4 ноября</v>
      </c>
      <c r="BN2" s="4" t="str">
        <f>data!BN69</f>
        <v>5 ноября</v>
      </c>
      <c r="BO2" s="4" t="str">
        <f>data!BO69</f>
        <v>6 ноября</v>
      </c>
      <c r="BP2" s="4" t="str">
        <f>data!BP69</f>
        <v>7 ноября</v>
      </c>
      <c r="BQ2" s="4" t="str">
        <f>data!BQ69</f>
        <v>8 ноября</v>
      </c>
      <c r="BR2" s="4" t="str">
        <f>data!BR69</f>
        <v>9 ноября</v>
      </c>
      <c r="BS2" s="4" t="str">
        <f>data!BS69</f>
        <v>10 ноября</v>
      </c>
      <c r="BT2" s="4" t="str">
        <f>data!BT69</f>
        <v>11 ноября</v>
      </c>
      <c r="BU2" s="4" t="str">
        <f>data!BU69</f>
        <v>12 ноября</v>
      </c>
      <c r="BV2" s="4" t="str">
        <f>data!BV69</f>
        <v>13 ноября</v>
      </c>
      <c r="BW2" s="4" t="str">
        <f>data!BW69</f>
        <v>14 ноября</v>
      </c>
      <c r="BX2" s="4" t="str">
        <f>data!BX69</f>
        <v>15 ноября</v>
      </c>
      <c r="BY2" s="4" t="str">
        <f>data!BY69</f>
        <v>16 ноября</v>
      </c>
      <c r="BZ2" s="4" t="str">
        <f>data!BZ69</f>
        <v>17 ноября</v>
      </c>
      <c r="CA2" s="4" t="str">
        <f>data!CA69</f>
        <v>18 ноября</v>
      </c>
      <c r="CB2" s="4" t="str">
        <f>data!CB69</f>
        <v>19 ноября</v>
      </c>
      <c r="CC2" s="4" t="str">
        <f>data!CC69</f>
        <v>20 ноября</v>
      </c>
      <c r="CD2" s="4" t="str">
        <f>data!CD69</f>
        <v>21 ноября</v>
      </c>
      <c r="CE2" s="4" t="str">
        <f>data!CE69</f>
        <v>22 ноября</v>
      </c>
      <c r="CF2" s="4" t="str">
        <f>data!CF69</f>
        <v>23 ноября</v>
      </c>
      <c r="CG2" s="4" t="str">
        <f>data!CG69</f>
        <v>24 ноября</v>
      </c>
      <c r="CH2" s="4" t="str">
        <f>data!CH69</f>
        <v>25 ноября</v>
      </c>
      <c r="CI2" s="4" t="str">
        <f>data!CI69</f>
        <v>26 ноября</v>
      </c>
      <c r="CJ2" s="4" t="str">
        <f>data!CJ69</f>
        <v>27 ноября</v>
      </c>
      <c r="CK2" s="4" t="str">
        <f>data!CK69</f>
        <v>28 ноября</v>
      </c>
      <c r="CL2" s="4" t="str">
        <f>data!CL69</f>
        <v>29 ноября</v>
      </c>
      <c r="CM2" s="4" t="str">
        <f>data!CM69</f>
        <v>30 ноября</v>
      </c>
      <c r="CN2" s="4" t="str">
        <f>data!CN69</f>
        <v>1 декабря</v>
      </c>
      <c r="CO2" s="4" t="str">
        <f>data!CO69</f>
        <v>2 декабря</v>
      </c>
      <c r="CP2" s="4" t="str">
        <f>data!CP69</f>
        <v>3 декабря</v>
      </c>
      <c r="CQ2" s="4" t="str">
        <f>data!CQ69</f>
        <v>4 декабря</v>
      </c>
      <c r="CR2" s="4" t="str">
        <f>data!CR69</f>
        <v>5 декабря</v>
      </c>
      <c r="CS2" s="4" t="str">
        <f>data!CS69</f>
        <v>6 декабря</v>
      </c>
      <c r="CT2" s="4" t="str">
        <f>data!CT69</f>
        <v>7 декабря</v>
      </c>
      <c r="CU2" s="4" t="str">
        <f>data!CU69</f>
        <v>8 декабря</v>
      </c>
      <c r="CV2" s="4" t="str">
        <f>data!CV69</f>
        <v>9 декабря</v>
      </c>
      <c r="CW2" s="4" t="str">
        <f>data!CW69</f>
        <v>10 декабря</v>
      </c>
      <c r="CX2" s="4" t="str">
        <f>data!CX69</f>
        <v>11 декабря</v>
      </c>
      <c r="CY2" s="4" t="str">
        <f>data!CY69</f>
        <v>12 декабря</v>
      </c>
      <c r="CZ2" s="4" t="str">
        <f>data!CZ69</f>
        <v>13 декабря</v>
      </c>
      <c r="DA2" s="4" t="str">
        <f>data!DA69</f>
        <v>14 декабря</v>
      </c>
      <c r="DB2" s="4" t="str">
        <f>data!DB69</f>
        <v>15 декабря</v>
      </c>
      <c r="DC2" s="4" t="str">
        <f>data!DC69</f>
        <v>16 декабря</v>
      </c>
      <c r="DD2" s="4" t="str">
        <f>data!DD69</f>
        <v>17 декабря</v>
      </c>
      <c r="DE2" s="4" t="str">
        <f>data!DE69</f>
        <v>18 декабря</v>
      </c>
      <c r="DF2" s="4" t="str">
        <f>data!DF69</f>
        <v>19 декабря</v>
      </c>
      <c r="DG2" s="4" t="str">
        <f>data!DG69</f>
        <v>20 декабря</v>
      </c>
      <c r="DH2" s="4" t="str">
        <f>data!DH69</f>
        <v>21 декабря</v>
      </c>
      <c r="DI2" s="4" t="str">
        <f>data!DI69</f>
        <v>22 декабря</v>
      </c>
      <c r="DJ2" s="4" t="str">
        <f>data!DJ69</f>
        <v>23 декабря</v>
      </c>
      <c r="DK2" s="4" t="str">
        <f>data!DK69</f>
        <v>24 декабря</v>
      </c>
      <c r="DL2" s="4" t="str">
        <f>data!DL69</f>
        <v>25 декабря</v>
      </c>
      <c r="DM2" s="4" t="str">
        <f>data!DM69</f>
        <v>26 декабря</v>
      </c>
      <c r="DN2" s="4" t="str">
        <f>data!DN69</f>
        <v>27 декабря</v>
      </c>
      <c r="DO2" s="4" t="str">
        <f>data!DO69</f>
        <v>28 декабря</v>
      </c>
      <c r="DP2" s="4" t="str">
        <f>data!DP69</f>
        <v>29 декабря</v>
      </c>
      <c r="DQ2" s="4" t="str">
        <f>data!DQ69</f>
        <v>30 декабря</v>
      </c>
      <c r="DR2" s="4" t="str">
        <f>data!DR69</f>
        <v>31 декабря</v>
      </c>
      <c r="DS2" s="4" t="str">
        <f>data!DS69</f>
        <v>1 января</v>
      </c>
      <c r="DT2" s="4" t="str">
        <f>data!DT69</f>
        <v>2 января</v>
      </c>
      <c r="DU2" s="4" t="str">
        <f>data!DU69</f>
        <v>3 января</v>
      </c>
      <c r="DV2" s="4" t="str">
        <f>data!DV69</f>
        <v>4 января</v>
      </c>
      <c r="DW2" s="4" t="str">
        <f>data!DW69</f>
        <v>5 января</v>
      </c>
      <c r="DX2" s="4" t="str">
        <f>data!DX69</f>
        <v>6 января</v>
      </c>
      <c r="DY2" s="4" t="str">
        <f>data!DY69</f>
        <v>7 января</v>
      </c>
      <c r="DZ2" s="4" t="str">
        <f>data!DZ69</f>
        <v>8 января</v>
      </c>
      <c r="EA2" s="4" t="str">
        <f>data!EA69</f>
        <v>9 января</v>
      </c>
      <c r="EB2" s="4" t="str">
        <f>data!EB69</f>
        <v>10 января</v>
      </c>
      <c r="EC2" s="4" t="str">
        <f>data!EC69</f>
        <v>11 января</v>
      </c>
      <c r="ED2" s="4" t="str">
        <f>data!ED69</f>
        <v>12 января</v>
      </c>
      <c r="EE2" s="4" t="str">
        <f>data!EE69</f>
        <v>13 января</v>
      </c>
      <c r="EF2" s="4" t="str">
        <f>data!EF69</f>
        <v>14 января</v>
      </c>
      <c r="EG2" s="4" t="str">
        <f>data!EG69</f>
        <v>15 января</v>
      </c>
      <c r="EH2" s="4" t="str">
        <f>data!EH69</f>
        <v>16 января</v>
      </c>
      <c r="EI2" s="4" t="str">
        <f>data!EI69</f>
        <v>17 января</v>
      </c>
      <c r="EJ2" s="4" t="str">
        <f>data!EJ69</f>
        <v>18 января</v>
      </c>
      <c r="EK2" s="4" t="str">
        <f>data!EK69</f>
        <v>19 января</v>
      </c>
      <c r="EL2" s="4" t="str">
        <f>data!EL69</f>
        <v>20 января</v>
      </c>
      <c r="EM2" s="4" t="str">
        <f>data!EM69</f>
        <v>21 января</v>
      </c>
      <c r="EN2" s="4" t="str">
        <f>data!EN69</f>
        <v>22 января</v>
      </c>
      <c r="EO2" s="4" t="str">
        <f>data!EO69</f>
        <v>23 января</v>
      </c>
      <c r="EP2" s="4" t="str">
        <f>data!EP69</f>
        <v>24 января</v>
      </c>
      <c r="EQ2" s="4" t="str">
        <f>data!EQ69</f>
        <v>25 января</v>
      </c>
      <c r="ER2" s="4" t="str">
        <f>data!ER69</f>
        <v>26 января</v>
      </c>
      <c r="ES2" s="4" t="str">
        <f>data!ES69</f>
        <v>27 января</v>
      </c>
      <c r="ET2" s="4" t="str">
        <f>data!ET69</f>
        <v>28 января</v>
      </c>
      <c r="EU2" s="4" t="str">
        <f>data!EU69</f>
        <v>29 января</v>
      </c>
      <c r="EV2" s="4" t="str">
        <f>data!EV69</f>
        <v>30 января</v>
      </c>
      <c r="EW2" s="4" t="str">
        <f>data!EW69</f>
        <v>31 января</v>
      </c>
      <c r="EX2" s="4" t="str">
        <f>data!EX69</f>
        <v>1 февраля</v>
      </c>
      <c r="EY2" s="4" t="str">
        <f>data!EY69</f>
        <v>2 февраля</v>
      </c>
      <c r="EZ2" s="4" t="str">
        <f>data!EZ69</f>
        <v>3 февраля</v>
      </c>
      <c r="FA2" s="4" t="str">
        <f>data!FA69</f>
        <v>4 февраля</v>
      </c>
      <c r="FB2" s="4" t="str">
        <f>data!FB69</f>
        <v>5 февраля</v>
      </c>
      <c r="FC2" s="4" t="str">
        <f>data!FC69</f>
        <v>6 февраля</v>
      </c>
      <c r="FD2" s="4" t="str">
        <f>data!FD69</f>
        <v>7 февраля</v>
      </c>
      <c r="FE2" s="4" t="str">
        <f>data!FE69</f>
        <v>8 февраля</v>
      </c>
      <c r="FF2" s="4" t="str">
        <f>data!FF69</f>
        <v>9 февраля</v>
      </c>
      <c r="FG2" s="4" t="str">
        <f>data!FG69</f>
        <v>10 февраля</v>
      </c>
      <c r="FH2" s="4" t="str">
        <f>data!FH69</f>
        <v>11 февраля</v>
      </c>
      <c r="FI2" s="4" t="str">
        <f>data!FI69</f>
        <v>12 февраля</v>
      </c>
      <c r="FJ2" s="4" t="str">
        <f>data!FJ69</f>
        <v>13 февраля</v>
      </c>
      <c r="FK2" s="4" t="str">
        <f>data!FK69</f>
        <v>14 февраля</v>
      </c>
      <c r="FL2" s="4" t="str">
        <f>data!FL69</f>
        <v>15 февраля</v>
      </c>
      <c r="FM2" s="4" t="str">
        <f>data!FM69</f>
        <v>16 февраля</v>
      </c>
      <c r="FN2" s="4" t="str">
        <f>data!FN69</f>
        <v>17 февраля</v>
      </c>
      <c r="FO2" s="4" t="str">
        <f>data!FO69</f>
        <v>18 февраля</v>
      </c>
      <c r="FP2" s="4" t="str">
        <f>data!FP69</f>
        <v>19 февраля</v>
      </c>
      <c r="FQ2" s="4" t="str">
        <f>data!FQ69</f>
        <v>20 февраля</v>
      </c>
      <c r="FR2" s="4" t="str">
        <f>data!FR69</f>
        <v>21 февраля</v>
      </c>
      <c r="FS2" s="4" t="str">
        <f>data!FS69</f>
        <v>22 февраля</v>
      </c>
      <c r="FT2" s="4" t="str">
        <f>data!FT69</f>
        <v>23 февраля</v>
      </c>
      <c r="FU2" s="4" t="str">
        <f>data!FU69</f>
        <v>24 февраля</v>
      </c>
      <c r="FV2" s="4" t="str">
        <f>data!FV69</f>
        <v>25 февраля</v>
      </c>
      <c r="FW2" s="4" t="str">
        <f>data!FW69</f>
        <v>26 февраля</v>
      </c>
      <c r="FX2" s="4" t="str">
        <f>data!FX69</f>
        <v>27 февраля</v>
      </c>
      <c r="FY2" s="4" t="str">
        <f>data!FY69</f>
        <v>28 февраля</v>
      </c>
      <c r="FZ2" s="4" t="str">
        <f>data!FZ69</f>
        <v>1 марта</v>
      </c>
      <c r="GA2" s="4" t="str">
        <f>data!GA69</f>
        <v>2 марта</v>
      </c>
      <c r="GB2" s="4" t="str">
        <f>data!GB69</f>
        <v>3 марта</v>
      </c>
      <c r="GC2" s="4" t="str">
        <f>data!GC69</f>
        <v>4 марта</v>
      </c>
      <c r="GD2" s="4" t="str">
        <f>data!GD69</f>
        <v>5 марта</v>
      </c>
      <c r="GE2" s="4" t="str">
        <f>data!GE69</f>
        <v>6 марта</v>
      </c>
      <c r="GF2" s="4" t="str">
        <f>data!GF69</f>
        <v>7 марта</v>
      </c>
      <c r="GG2" s="4" t="str">
        <f>data!GG69</f>
        <v>8 марта</v>
      </c>
      <c r="GH2" s="4" t="str">
        <f>data!GH69</f>
        <v>9 марта</v>
      </c>
      <c r="GI2" s="4" t="str">
        <f>data!GI69</f>
        <v>10 марта</v>
      </c>
      <c r="GJ2" s="4" t="str">
        <f>data!GJ69</f>
        <v>11 марта</v>
      </c>
      <c r="GK2" s="4" t="str">
        <f>data!GK69</f>
        <v>12 марта</v>
      </c>
      <c r="GL2" s="4" t="str">
        <f>data!GL69</f>
        <v>13 марта</v>
      </c>
      <c r="GM2" s="4" t="str">
        <f>data!GM69</f>
        <v>14 марта</v>
      </c>
      <c r="GN2" s="4" t="str">
        <f>data!GN69</f>
        <v>15 марта</v>
      </c>
      <c r="GO2" s="4" t="str">
        <f>data!GO69</f>
        <v>16 марта</v>
      </c>
      <c r="GP2" s="4" t="str">
        <f>data!GP69</f>
        <v>17 марта</v>
      </c>
      <c r="GQ2" s="4" t="str">
        <f>data!GQ69</f>
        <v>18 марта</v>
      </c>
      <c r="GR2" s="4" t="str">
        <f>data!GR69</f>
        <v>19 марта</v>
      </c>
      <c r="GS2" s="4" t="str">
        <f>data!GS69</f>
        <v>20 марта</v>
      </c>
      <c r="GT2" s="4" t="str">
        <f>data!GT69</f>
        <v>21 марта</v>
      </c>
      <c r="GU2" s="4" t="str">
        <f>data!GU69</f>
        <v>22 марта</v>
      </c>
      <c r="GV2" s="4" t="str">
        <f>data!GV69</f>
        <v>23 марта</v>
      </c>
      <c r="GW2" s="4" t="str">
        <f>data!GW69</f>
        <v>24 марта</v>
      </c>
      <c r="GX2" s="4" t="str">
        <f>data!GX69</f>
        <v>25 марта</v>
      </c>
      <c r="GY2" s="4" t="str">
        <f>data!GY69</f>
        <v>26 марта</v>
      </c>
      <c r="GZ2" s="4" t="str">
        <f>data!GZ69</f>
        <v>27 марта</v>
      </c>
      <c r="HA2" s="4" t="str">
        <f>data!HA69</f>
        <v>28 марта</v>
      </c>
      <c r="HB2" s="4" t="str">
        <f>data!HB69</f>
        <v>29 марта</v>
      </c>
      <c r="HC2" s="4" t="str">
        <f>data!HC69</f>
        <v>30 марта</v>
      </c>
      <c r="HD2" s="4" t="str">
        <f>data!HD69</f>
        <v>31 марта</v>
      </c>
      <c r="HE2" s="4" t="str">
        <f>data!HE69</f>
        <v>1 апреля</v>
      </c>
      <c r="HF2" s="4" t="str">
        <f>data!HF69</f>
        <v>2 апреля</v>
      </c>
      <c r="HG2" s="4" t="str">
        <f>data!HG69</f>
        <v>3 апреля</v>
      </c>
      <c r="HH2" s="4" t="str">
        <f>data!HH69</f>
        <v>4 апреля</v>
      </c>
      <c r="HI2" s="4" t="str">
        <f>data!HI69</f>
        <v>5 апреля</v>
      </c>
      <c r="HJ2" s="4" t="str">
        <f>data!HJ69</f>
        <v>6 апреля</v>
      </c>
      <c r="HK2" s="4" t="str">
        <f>data!HK69</f>
        <v>7 апреля</v>
      </c>
      <c r="HL2" s="4" t="str">
        <f>data!HL69</f>
        <v>8 апреля</v>
      </c>
      <c r="HM2" s="4" t="str">
        <f>data!HM69</f>
        <v>9 апреля</v>
      </c>
      <c r="HN2" s="4" t="str">
        <f>data!HN69</f>
        <v>10 апреля</v>
      </c>
      <c r="HO2" s="4" t="str">
        <f>data!HO69</f>
        <v>11 апреля</v>
      </c>
      <c r="HP2" s="4" t="str">
        <f>data!HP69</f>
        <v>12 апреля</v>
      </c>
      <c r="HQ2" s="4" t="str">
        <f>data!HQ69</f>
        <v>13 апреля</v>
      </c>
      <c r="HR2" s="4" t="str">
        <f>data!HR69</f>
        <v>14 апреля</v>
      </c>
      <c r="HS2" s="4" t="str">
        <f>data!HS69</f>
        <v>15 апреля</v>
      </c>
      <c r="HT2" s="4" t="str">
        <f>data!HT69</f>
        <v>16 апреля</v>
      </c>
      <c r="HU2" s="4" t="str">
        <f>data!HU69</f>
        <v>17 апреля</v>
      </c>
      <c r="HV2" s="4" t="str">
        <f>data!HV69</f>
        <v>18 апреля</v>
      </c>
      <c r="HW2" s="4" t="str">
        <f>data!HW69</f>
        <v>19 апреля</v>
      </c>
      <c r="HX2" s="4" t="str">
        <f>data!HX69</f>
        <v>20 апреля</v>
      </c>
      <c r="HY2" s="4" t="str">
        <f>data!HY69</f>
        <v>21 апреля</v>
      </c>
      <c r="HZ2" s="4" t="str">
        <f>data!HZ69</f>
        <v>22 апреля</v>
      </c>
      <c r="IA2" s="4" t="str">
        <f>data!IA69</f>
        <v>23 апреля</v>
      </c>
      <c r="IB2" s="4" t="str">
        <f>data!IB69</f>
        <v>24 апреля</v>
      </c>
      <c r="IC2" s="4" t="str">
        <f>data!IC69</f>
        <v>25 апреля</v>
      </c>
      <c r="ID2" s="4" t="str">
        <f>data!ID69</f>
        <v>26 апреля</v>
      </c>
      <c r="IE2" s="4" t="str">
        <f>data!IE69</f>
        <v>27 апреля</v>
      </c>
      <c r="IF2" s="4" t="str">
        <f>data!IF69</f>
        <v>28 апреля</v>
      </c>
      <c r="IG2" s="4" t="str">
        <f>data!IG69</f>
        <v>29 апреля</v>
      </c>
      <c r="IH2" s="4" t="str">
        <f>data!IH69</f>
        <v>30 апреля</v>
      </c>
      <c r="II2" s="4" t="str">
        <f>data!II69</f>
        <v>1 мая</v>
      </c>
      <c r="IJ2" s="4" t="str">
        <f>data!IJ69</f>
        <v>2 мая</v>
      </c>
      <c r="IK2" s="4" t="str">
        <f>data!IK69</f>
        <v>3 мая</v>
      </c>
      <c r="IL2" s="4" t="str">
        <f>data!IL69</f>
        <v>4 мая</v>
      </c>
      <c r="IM2" s="4" t="str">
        <f>data!IM69</f>
        <v>5 мая</v>
      </c>
      <c r="IN2" s="4" t="str">
        <f>data!IN69</f>
        <v>6 мая</v>
      </c>
      <c r="IO2" s="4" t="str">
        <f>data!IO69</f>
        <v>7 мая</v>
      </c>
      <c r="IP2" s="4" t="str">
        <f>data!IP69</f>
        <v>8 мая</v>
      </c>
      <c r="IQ2" s="4" t="str">
        <f>data!IQ69</f>
        <v>9 мая</v>
      </c>
      <c r="IR2" s="4" t="str">
        <f>data!IR69</f>
        <v>10 мая</v>
      </c>
      <c r="IS2" s="4" t="str">
        <f>data!IS69</f>
        <v>11 мая</v>
      </c>
      <c r="IT2" s="4" t="str">
        <f>data!IT69</f>
        <v>12 мая</v>
      </c>
      <c r="IU2" s="4" t="str">
        <f>data!IU69</f>
        <v>13 мая</v>
      </c>
      <c r="IV2" s="4" t="str">
        <f>data!IV69</f>
        <v>14 мая</v>
      </c>
      <c r="IW2" s="4" t="str">
        <f>data!IW69</f>
        <v>15 мая</v>
      </c>
      <c r="IX2" s="4" t="str">
        <f>data!IX69</f>
        <v>16 мая</v>
      </c>
      <c r="IY2" s="4" t="str">
        <f>data!IY69</f>
        <v>17 мая</v>
      </c>
      <c r="IZ2" s="4" t="str">
        <f>data!IZ69</f>
        <v>18 мая</v>
      </c>
      <c r="JA2" s="4" t="str">
        <f>data!JA69</f>
        <v>19 мая</v>
      </c>
      <c r="JB2" s="4" t="str">
        <f>data!JB69</f>
        <v>20 мая</v>
      </c>
      <c r="JC2" s="4" t="str">
        <f>data!JC69</f>
        <v>21 мая</v>
      </c>
      <c r="JD2" s="4" t="str">
        <f>data!JD69</f>
        <v>22 мая</v>
      </c>
      <c r="JE2" s="4" t="str">
        <f>data!JE69</f>
        <v>23 мая</v>
      </c>
    </row>
    <row r="3" ht="22.5" customHeight="1">
      <c r="A3" s="4" t="str">
        <f>data!A70</f>
        <v>Русский язык</v>
      </c>
      <c r="B3" s="5" t="str">
        <f>data!B70</f>
        <v/>
      </c>
      <c r="C3" s="5" t="str">
        <f>data!C70</f>
        <v> </v>
      </c>
      <c r="D3" s="5" t="str">
        <f>data!D70</f>
        <v>5</v>
      </c>
      <c r="E3" s="5" t="str">
        <f>data!E70</f>
        <v> </v>
      </c>
      <c r="F3" s="5" t="str">
        <f>data!F70</f>
        <v> </v>
      </c>
      <c r="G3" s="5" t="str">
        <f>data!G70</f>
        <v> </v>
      </c>
      <c r="H3" s="5" t="str">
        <f>data!H70</f>
        <v> </v>
      </c>
      <c r="I3" s="5" t="str">
        <f>data!I70</f>
        <v/>
      </c>
      <c r="J3" s="5" t="str">
        <f>data!J70</f>
        <v> </v>
      </c>
      <c r="K3" s="5" t="str">
        <f>data!K70</f>
        <v/>
      </c>
      <c r="L3" s="5" t="str">
        <f>data!L70</f>
        <v> </v>
      </c>
      <c r="M3" s="5" t="str">
        <f>data!M70</f>
        <v> </v>
      </c>
      <c r="N3" s="5" t="str">
        <f>data!N70</f>
        <v> </v>
      </c>
      <c r="O3" s="5" t="str">
        <f>data!O70</f>
        <v> </v>
      </c>
      <c r="P3" s="5" t="str">
        <f>data!P70</f>
        <v> </v>
      </c>
      <c r="Q3" s="5" t="str">
        <f>data!Q70</f>
        <v> </v>
      </c>
      <c r="R3" s="5" t="str">
        <f>data!R70</f>
        <v> </v>
      </c>
      <c r="S3" s="5" t="str">
        <f>data!S70</f>
        <v> </v>
      </c>
      <c r="T3" s="5" t="str">
        <f>data!T70</f>
        <v> </v>
      </c>
      <c r="U3" s="5" t="str">
        <f>data!U70</f>
        <v> </v>
      </c>
      <c r="V3" s="5" t="str">
        <f>data!V70</f>
        <v> </v>
      </c>
      <c r="W3" s="5" t="str">
        <f>data!W70</f>
        <v>3</v>
      </c>
      <c r="X3" s="5" t="str">
        <f>data!X70</f>
        <v> </v>
      </c>
      <c r="Y3" s="5" t="str">
        <f>data!Y70</f>
        <v> </v>
      </c>
      <c r="Z3" s="5" t="str">
        <f>data!Z70</f>
        <v> </v>
      </c>
      <c r="AA3" s="5" t="str">
        <f>data!AA70</f>
        <v> </v>
      </c>
      <c r="AB3" s="5" t="str">
        <f>data!AB70</f>
        <v> </v>
      </c>
      <c r="AC3" s="5" t="str">
        <f>data!AC70</f>
        <v> </v>
      </c>
      <c r="AD3" s="5" t="str">
        <f>data!AD70</f>
        <v> </v>
      </c>
      <c r="AE3" s="5" t="str">
        <f>data!AE70</f>
        <v> </v>
      </c>
      <c r="AF3" s="5" t="str">
        <f>data!AF70</f>
        <v> </v>
      </c>
      <c r="AG3" s="5" t="str">
        <f>data!AG70</f>
        <v> </v>
      </c>
      <c r="AH3" s="5" t="str">
        <f>data!AH70</f>
        <v> </v>
      </c>
      <c r="AI3" s="5" t="str">
        <f>data!AI70</f>
        <v> </v>
      </c>
      <c r="AJ3" s="5" t="str">
        <f>data!AJ70</f>
        <v> </v>
      </c>
      <c r="AK3" s="5" t="str">
        <f>data!AK70</f>
        <v/>
      </c>
      <c r="AL3" s="5" t="str">
        <f>data!AL70</f>
        <v> </v>
      </c>
      <c r="AM3" s="5" t="str">
        <f>data!AM70</f>
        <v/>
      </c>
      <c r="AN3" s="5" t="str">
        <f>data!AN70</f>
        <v> </v>
      </c>
      <c r="AO3" s="5" t="str">
        <f>data!AO70</f>
        <v> </v>
      </c>
      <c r="AP3" s="5" t="str">
        <f>data!AP70</f>
        <v> </v>
      </c>
      <c r="AQ3" s="5" t="str">
        <f>data!AQ70</f>
        <v> </v>
      </c>
      <c r="AR3" s="5" t="str">
        <f>data!AR70</f>
        <v> </v>
      </c>
      <c r="AS3" s="5" t="str">
        <f>data!AS70</f>
        <v> </v>
      </c>
      <c r="AT3" s="5" t="str">
        <f>data!AT70</f>
        <v> </v>
      </c>
      <c r="AU3" s="5" t="str">
        <f>data!AU70</f>
        <v> </v>
      </c>
      <c r="AV3" s="5" t="str">
        <f>data!AV70</f>
        <v> </v>
      </c>
      <c r="AW3" s="5" t="str">
        <f>data!AW70</f>
        <v> </v>
      </c>
      <c r="AX3" s="5" t="str">
        <f>data!AX70</f>
        <v> </v>
      </c>
      <c r="AY3" s="5" t="str">
        <f>data!AY70</f>
        <v>2</v>
      </c>
      <c r="AZ3" s="5" t="str">
        <f>data!AZ70</f>
        <v> </v>
      </c>
      <c r="BA3" s="5" t="str">
        <f>data!BA70</f>
        <v/>
      </c>
      <c r="BB3" s="5" t="str">
        <f>data!BB70</f>
        <v> </v>
      </c>
      <c r="BC3" s="5" t="str">
        <f>data!BC70</f>
        <v> </v>
      </c>
      <c r="BD3" s="5" t="str">
        <f>data!BD70</f>
        <v> </v>
      </c>
      <c r="BE3" s="5" t="str">
        <f>data!BE70</f>
        <v> </v>
      </c>
      <c r="BF3" s="5" t="str">
        <f>data!BF70</f>
        <v>5</v>
      </c>
      <c r="BG3" s="5" t="str">
        <f>data!BG70</f>
        <v> </v>
      </c>
      <c r="BH3" s="5" t="str">
        <f>data!BH70</f>
        <v/>
      </c>
      <c r="BI3" s="5" t="str">
        <f>data!BI70</f>
        <v> </v>
      </c>
      <c r="BJ3" s="5" t="str">
        <f>data!BJ70</f>
        <v> </v>
      </c>
      <c r="BK3" s="5" t="str">
        <f>data!BK70</f>
        <v> </v>
      </c>
      <c r="BL3" s="5" t="str">
        <f>data!BL70</f>
        <v> </v>
      </c>
      <c r="BM3" s="5" t="str">
        <f>data!BM70</f>
        <v> </v>
      </c>
      <c r="BN3" s="5" t="str">
        <f>data!BN70</f>
        <v> </v>
      </c>
      <c r="BO3" s="5" t="str">
        <f>data!BO70</f>
        <v> </v>
      </c>
      <c r="BP3" s="5" t="str">
        <f>data!BP70</f>
        <v> </v>
      </c>
      <c r="BQ3" s="5" t="str">
        <f>data!BQ70</f>
        <v> </v>
      </c>
      <c r="BR3" s="5" t="str">
        <f>data!BR70</f>
        <v> </v>
      </c>
      <c r="BS3" s="5" t="str">
        <f>data!BS70</f>
        <v> </v>
      </c>
      <c r="BT3" s="5" t="str">
        <f>data!BT70</f>
        <v/>
      </c>
      <c r="BU3" s="5" t="str">
        <f>data!BU70</f>
        <v> </v>
      </c>
      <c r="BV3" s="5" t="str">
        <f>data!BV70</f>
        <v> </v>
      </c>
      <c r="BW3" s="5" t="str">
        <f>data!BW70</f>
        <v>5</v>
      </c>
      <c r="BX3" s="5" t="str">
        <f>data!BX70</f>
        <v> </v>
      </c>
      <c r="BY3" s="5" t="str">
        <f>data!BY70</f>
        <v> </v>
      </c>
      <c r="BZ3" s="5" t="str">
        <f>data!BZ70</f>
        <v> </v>
      </c>
      <c r="CA3" s="5" t="str">
        <f>data!CA70</f>
        <v/>
      </c>
      <c r="CB3" s="5" t="str">
        <f>data!CB70</f>
        <v> </v>
      </c>
      <c r="CC3" s="5" t="str">
        <f>data!CC70</f>
        <v/>
      </c>
      <c r="CD3" s="5" t="str">
        <f>data!CD70</f>
        <v> </v>
      </c>
      <c r="CE3" s="5" t="str">
        <f>data!CE70</f>
        <v> </v>
      </c>
      <c r="CF3" s="5" t="str">
        <f>data!CF70</f>
        <v> </v>
      </c>
      <c r="CG3" s="5" t="str">
        <f>data!CG70</f>
        <v> </v>
      </c>
      <c r="CH3" s="5" t="str">
        <f>data!CH70</f>
        <v>4</v>
      </c>
      <c r="CI3" s="5" t="str">
        <f>data!CI70</f>
        <v> </v>
      </c>
      <c r="CJ3" s="5" t="str">
        <f>data!CJ70</f>
        <v> </v>
      </c>
      <c r="CK3" s="5" t="str">
        <f>data!CK70</f>
        <v> </v>
      </c>
      <c r="CL3" s="5" t="str">
        <f>data!CL70</f>
        <v> </v>
      </c>
      <c r="CM3" s="5" t="str">
        <f>data!CM70</f>
        <v> </v>
      </c>
      <c r="CN3" s="5" t="str">
        <f>data!CN70</f>
        <v> </v>
      </c>
      <c r="CO3" s="5" t="str">
        <f>data!CO70</f>
        <v/>
      </c>
      <c r="CP3" s="5" t="str">
        <f>data!CP70</f>
        <v> </v>
      </c>
      <c r="CQ3" s="5" t="str">
        <f>data!CQ70</f>
        <v>3</v>
      </c>
      <c r="CR3" s="5" t="str">
        <f>data!CR70</f>
        <v> </v>
      </c>
      <c r="CS3" s="5" t="str">
        <f>data!CS70</f>
        <v> </v>
      </c>
      <c r="CT3" s="5" t="str">
        <f>data!CT70</f>
        <v> </v>
      </c>
      <c r="CU3" s="5" t="str">
        <f>data!CU70</f>
        <v> </v>
      </c>
      <c r="CV3" s="5" t="str">
        <f>data!CV70</f>
        <v>5</v>
      </c>
      <c r="CW3" s="5" t="str">
        <f>data!CW70</f>
        <v> </v>
      </c>
      <c r="CX3" s="5" t="str">
        <f>data!CX70</f>
        <v> </v>
      </c>
      <c r="CY3" s="5" t="str">
        <f>data!CY70</f>
        <v> </v>
      </c>
      <c r="CZ3" s="5" t="str">
        <f>data!CZ70</f>
        <v> </v>
      </c>
      <c r="DA3" s="5" t="str">
        <f>data!DA70</f>
        <v> </v>
      </c>
      <c r="DB3" s="5" t="str">
        <f>data!DB70</f>
        <v> </v>
      </c>
      <c r="DC3" s="5" t="str">
        <f>data!DC70</f>
        <v/>
      </c>
      <c r="DD3" s="5" t="str">
        <f>data!DD70</f>
        <v> </v>
      </c>
      <c r="DE3" s="5" t="str">
        <f>data!DE70</f>
        <v>5</v>
      </c>
      <c r="DF3" s="5" t="str">
        <f>data!DF70</f>
        <v> </v>
      </c>
      <c r="DG3" s="5" t="str">
        <f>data!DG70</f>
        <v> </v>
      </c>
      <c r="DH3" s="5" t="str">
        <f>data!DH70</f>
        <v> </v>
      </c>
      <c r="DI3" s="5" t="str">
        <f>data!DI70</f>
        <v> </v>
      </c>
      <c r="DJ3" s="5" t="str">
        <f>data!DJ70</f>
        <v/>
      </c>
      <c r="DK3" s="5" t="str">
        <f>data!DK70</f>
        <v> </v>
      </c>
      <c r="DL3" s="5" t="str">
        <f>data!DL70</f>
        <v> </v>
      </c>
      <c r="DM3" s="5" t="str">
        <f>data!DM70</f>
        <v> </v>
      </c>
      <c r="DN3" s="5" t="str">
        <f>data!DN70</f>
        <v> </v>
      </c>
      <c r="DO3" s="5" t="str">
        <f>data!DO70</f>
        <v> </v>
      </c>
      <c r="DP3" s="5" t="str">
        <f>data!DP70</f>
        <v> </v>
      </c>
      <c r="DQ3" s="5" t="str">
        <f>data!DQ70</f>
        <v> </v>
      </c>
      <c r="DR3" s="5" t="str">
        <f>data!DR70</f>
        <v> </v>
      </c>
      <c r="DS3" s="5" t="str">
        <f>data!DS70</f>
        <v> </v>
      </c>
      <c r="DT3" s="5" t="str">
        <f>data!DT70</f>
        <v> </v>
      </c>
      <c r="DU3" s="5" t="str">
        <f>data!DU70</f>
        <v> </v>
      </c>
      <c r="DV3" s="5" t="str">
        <f>data!DV70</f>
        <v> </v>
      </c>
      <c r="DW3" s="5" t="str">
        <f>data!DW70</f>
        <v> </v>
      </c>
      <c r="DX3" s="5" t="str">
        <f>data!DX70</f>
        <v> </v>
      </c>
      <c r="DY3" s="5" t="str">
        <f>data!DY70</f>
        <v> </v>
      </c>
      <c r="DZ3" s="5" t="str">
        <f>data!DZ70</f>
        <v> </v>
      </c>
      <c r="EA3" s="5" t="str">
        <f>data!EA70</f>
        <v> </v>
      </c>
      <c r="EB3" s="5" t="str">
        <f>data!EB70</f>
        <v> </v>
      </c>
      <c r="EC3" s="5" t="str">
        <f>data!EC70</f>
        <v> </v>
      </c>
      <c r="ED3" s="5" t="str">
        <f>data!ED70</f>
        <v> </v>
      </c>
      <c r="EE3" s="5" t="str">
        <f>data!EE70</f>
        <v/>
      </c>
      <c r="EF3" s="5" t="str">
        <f>data!EF70</f>
        <v> </v>
      </c>
      <c r="EG3" s="5" t="str">
        <f>data!EG70</f>
        <v>5</v>
      </c>
      <c r="EH3" s="5" t="str">
        <f>data!EH70</f>
        <v> </v>
      </c>
      <c r="EI3" s="5" t="str">
        <f>data!EI70</f>
        <v> </v>
      </c>
      <c r="EJ3" s="5" t="str">
        <f>data!EJ70</f>
        <v> </v>
      </c>
      <c r="EK3" s="5" t="str">
        <f>data!EK70</f>
        <v> </v>
      </c>
      <c r="EL3" s="5" t="str">
        <f>data!EL70</f>
        <v> </v>
      </c>
      <c r="EM3" s="5" t="str">
        <f>data!EM70</f>
        <v> </v>
      </c>
      <c r="EN3" s="5" t="str">
        <f>data!EN70</f>
        <v/>
      </c>
      <c r="EO3" s="5" t="str">
        <f>data!EO70</f>
        <v> </v>
      </c>
      <c r="EP3" s="5" t="str">
        <f>data!EP70</f>
        <v> </v>
      </c>
      <c r="EQ3" s="5" t="str">
        <f>data!EQ70</f>
        <v> </v>
      </c>
      <c r="ER3" s="5" t="str">
        <f>data!ER70</f>
        <v> </v>
      </c>
      <c r="ES3" s="5" t="str">
        <f>data!ES70</f>
        <v/>
      </c>
      <c r="ET3" s="5" t="str">
        <f>data!ET70</f>
        <v> </v>
      </c>
      <c r="EU3" s="5" t="str">
        <f>data!EU70</f>
        <v> </v>
      </c>
      <c r="EV3" s="5" t="str">
        <f>data!EV70</f>
        <v> </v>
      </c>
      <c r="EW3" s="5" t="str">
        <f>data!EW70</f>
        <v> </v>
      </c>
      <c r="EX3" s="5" t="str">
        <f>data!EX70</f>
        <v> </v>
      </c>
      <c r="EY3" s="5" t="str">
        <f>data!EY70</f>
        <v> </v>
      </c>
      <c r="EZ3" s="5" t="str">
        <f>data!EZ70</f>
        <v/>
      </c>
      <c r="FA3" s="5" t="str">
        <f>data!FA70</f>
        <v> </v>
      </c>
      <c r="FB3" s="5" t="str">
        <f>data!FB70</f>
        <v>3</v>
      </c>
      <c r="FC3" s="5" t="str">
        <f>data!FC70</f>
        <v> </v>
      </c>
      <c r="FD3" s="5" t="str">
        <f>data!FD70</f>
        <v> </v>
      </c>
      <c r="FE3" s="5" t="str">
        <f>data!FE70</f>
        <v> </v>
      </c>
      <c r="FF3" s="5" t="str">
        <f>data!FF70</f>
        <v> </v>
      </c>
      <c r="FG3" s="5" t="str">
        <f>data!FG70</f>
        <v/>
      </c>
      <c r="FH3" s="5" t="str">
        <f>data!FH70</f>
        <v> </v>
      </c>
      <c r="FI3" s="5" t="str">
        <f>data!FI70</f>
        <v>4</v>
      </c>
      <c r="FJ3" s="5" t="str">
        <f>data!FJ70</f>
        <v> </v>
      </c>
      <c r="FK3" s="5" t="str">
        <f>data!FK70</f>
        <v> </v>
      </c>
      <c r="FL3" s="5" t="str">
        <f>data!FL70</f>
        <v> </v>
      </c>
      <c r="FM3" s="5" t="str">
        <f>data!FM70</f>
        <v> </v>
      </c>
      <c r="FN3" s="5" t="str">
        <f>data!FN70</f>
        <v/>
      </c>
      <c r="FO3" s="5" t="str">
        <f>data!FO70</f>
        <v> </v>
      </c>
      <c r="FP3" s="5" t="str">
        <f>data!FP70</f>
        <v> </v>
      </c>
      <c r="FQ3" s="5" t="str">
        <f>data!FQ70</f>
        <v> </v>
      </c>
      <c r="FR3" s="5" t="str">
        <f>data!FR70</f>
        <v> </v>
      </c>
      <c r="FS3" s="5" t="str">
        <f>data!FS70</f>
        <v> </v>
      </c>
      <c r="FT3" s="5" t="str">
        <f>data!FT70</f>
        <v> </v>
      </c>
      <c r="FU3" s="5" t="str">
        <f>data!FU70</f>
        <v>5</v>
      </c>
      <c r="FV3" s="5" t="str">
        <f>data!FV70</f>
        <v> </v>
      </c>
      <c r="FW3" s="5" t="str">
        <f>data!FW70</f>
        <v/>
      </c>
      <c r="FX3" s="5" t="str">
        <f>data!FX70</f>
        <v> </v>
      </c>
      <c r="FY3" s="5" t="str">
        <f>data!FY70</f>
        <v> </v>
      </c>
      <c r="FZ3" s="5" t="str">
        <f>data!FZ70</f>
        <v> </v>
      </c>
      <c r="GA3" s="5" t="str">
        <f>data!GA70</f>
        <v> </v>
      </c>
      <c r="GB3" s="5" t="str">
        <f>data!GB70</f>
        <v>5</v>
      </c>
      <c r="GC3" s="5" t="str">
        <f>data!GC70</f>
        <v> </v>
      </c>
      <c r="GD3" s="5" t="str">
        <f>data!GD70</f>
        <v>4</v>
      </c>
      <c r="GE3" s="5" t="str">
        <f>data!GE70</f>
        <v> </v>
      </c>
      <c r="GF3" s="5" t="str">
        <f>data!GF70</f>
        <v> </v>
      </c>
      <c r="GG3" s="5" t="str">
        <f>data!GG70</f>
        <v> </v>
      </c>
      <c r="GH3" s="5" t="str">
        <f>data!GH70</f>
        <v> </v>
      </c>
      <c r="GI3" s="5" t="str">
        <f>data!GI70</f>
        <v/>
      </c>
      <c r="GJ3" s="5" t="str">
        <f>data!GJ70</f>
        <v> </v>
      </c>
      <c r="GK3" s="5" t="str">
        <f>data!GK70</f>
        <v/>
      </c>
      <c r="GL3" s="5" t="str">
        <f>data!GL70</f>
        <v> </v>
      </c>
      <c r="GM3" s="5" t="str">
        <f>data!GM70</f>
        <v> </v>
      </c>
      <c r="GN3" s="5" t="str">
        <f>data!GN70</f>
        <v> </v>
      </c>
      <c r="GO3" s="5" t="str">
        <f>data!GO70</f>
        <v> </v>
      </c>
      <c r="GP3" s="5" t="str">
        <f>data!GP70</f>
        <v/>
      </c>
      <c r="GQ3" s="5" t="str">
        <f>data!GQ70</f>
        <v> </v>
      </c>
      <c r="GR3" s="5" t="str">
        <f>data!GR70</f>
        <v/>
      </c>
      <c r="GS3" s="5" t="str">
        <f>data!GS70</f>
        <v> </v>
      </c>
      <c r="GT3" s="5" t="str">
        <f>data!GT70</f>
        <v> </v>
      </c>
      <c r="GU3" s="5" t="str">
        <f>data!GU70</f>
        <v> </v>
      </c>
      <c r="GV3" s="5" t="str">
        <f>data!GV70</f>
        <v> </v>
      </c>
      <c r="GW3" s="5" t="str">
        <f>data!GW70</f>
        <v> </v>
      </c>
      <c r="GX3" s="5" t="str">
        <f>data!GX70</f>
        <v> </v>
      </c>
      <c r="GY3" s="5" t="str">
        <f>data!GY70</f>
        <v> </v>
      </c>
      <c r="GZ3" s="5" t="str">
        <f>data!GZ70</f>
        <v> </v>
      </c>
      <c r="HA3" s="5" t="str">
        <f>data!HA70</f>
        <v> </v>
      </c>
      <c r="HB3" s="5" t="str">
        <f>data!HB70</f>
        <v> </v>
      </c>
      <c r="HC3" s="5" t="str">
        <f>data!HC70</f>
        <v> </v>
      </c>
      <c r="HD3" s="5" t="str">
        <f>data!HD70</f>
        <v> </v>
      </c>
      <c r="HE3" s="5" t="str">
        <f>data!HE70</f>
        <v> </v>
      </c>
      <c r="HF3" s="5" t="str">
        <f>data!HF70</f>
        <v> </v>
      </c>
      <c r="HG3" s="5" t="str">
        <f>data!HG70</f>
        <v> </v>
      </c>
      <c r="HH3" s="5" t="str">
        <f>data!HH70</f>
        <v> </v>
      </c>
      <c r="HI3" s="5" t="str">
        <f>data!HI70</f>
        <v> </v>
      </c>
      <c r="HJ3" s="5" t="str">
        <f>data!HJ70</f>
        <v> </v>
      </c>
      <c r="HK3" s="5" t="str">
        <f>data!HK70</f>
        <v> </v>
      </c>
      <c r="HL3" s="5" t="str">
        <f>data!HL70</f>
        <v> </v>
      </c>
      <c r="HM3" s="5" t="str">
        <f>data!HM70</f>
        <v> </v>
      </c>
      <c r="HN3" s="5" t="str">
        <f>data!HN70</f>
        <v> </v>
      </c>
      <c r="HO3" s="5" t="str">
        <f>data!HO70</f>
        <v> </v>
      </c>
      <c r="HP3" s="5" t="str">
        <f>data!HP70</f>
        <v> </v>
      </c>
      <c r="HQ3" s="5" t="str">
        <f>data!HQ70</f>
        <v> </v>
      </c>
      <c r="HR3" s="5" t="str">
        <f>data!HR70</f>
        <v> </v>
      </c>
      <c r="HS3" s="5" t="str">
        <f>data!HS70</f>
        <v> </v>
      </c>
      <c r="HT3" s="5" t="str">
        <f>data!HT70</f>
        <v> </v>
      </c>
      <c r="HU3" s="5" t="str">
        <f>data!HU70</f>
        <v> </v>
      </c>
      <c r="HV3" s="5" t="str">
        <f>data!HV70</f>
        <v> </v>
      </c>
      <c r="HW3" s="5" t="str">
        <f>data!HW70</f>
        <v> </v>
      </c>
      <c r="HX3" s="5" t="str">
        <f>data!HX70</f>
        <v> </v>
      </c>
      <c r="HY3" s="5" t="str">
        <f>data!HY70</f>
        <v> </v>
      </c>
      <c r="HZ3" s="5" t="str">
        <f>data!HZ70</f>
        <v> </v>
      </c>
      <c r="IA3" s="5" t="str">
        <f>data!IA70</f>
        <v> </v>
      </c>
      <c r="IB3" s="5" t="str">
        <f>data!IB70</f>
        <v> </v>
      </c>
      <c r="IC3" s="5" t="str">
        <f>data!IC70</f>
        <v> </v>
      </c>
      <c r="ID3" s="5" t="str">
        <f>data!ID70</f>
        <v> </v>
      </c>
      <c r="IE3" s="5" t="str">
        <f>data!IE70</f>
        <v> </v>
      </c>
      <c r="IF3" s="5" t="str">
        <f>data!IF70</f>
        <v> </v>
      </c>
      <c r="IG3" s="5" t="str">
        <f>data!IG70</f>
        <v> </v>
      </c>
      <c r="IH3" s="5" t="str">
        <f>data!IH70</f>
        <v> </v>
      </c>
      <c r="II3" s="5" t="str">
        <f>data!II70</f>
        <v> </v>
      </c>
      <c r="IJ3" s="5" t="str">
        <f>data!IJ70</f>
        <v> </v>
      </c>
      <c r="IK3" s="5" t="str">
        <f>data!IK70</f>
        <v> </v>
      </c>
      <c r="IL3" s="5" t="str">
        <f>data!IL70</f>
        <v> </v>
      </c>
      <c r="IM3" s="5" t="str">
        <f>data!IM70</f>
        <v> </v>
      </c>
      <c r="IN3" s="5" t="str">
        <f>data!IN70</f>
        <v> </v>
      </c>
      <c r="IO3" s="5" t="str">
        <f>data!IO70</f>
        <v> </v>
      </c>
      <c r="IP3" s="5" t="str">
        <f>data!IP70</f>
        <v> </v>
      </c>
      <c r="IQ3" s="5" t="str">
        <f>data!IQ70</f>
        <v> </v>
      </c>
      <c r="IR3" s="5" t="str">
        <f>data!IR70</f>
        <v> </v>
      </c>
      <c r="IS3" s="5" t="str">
        <f>data!IS70</f>
        <v> </v>
      </c>
      <c r="IT3" s="5" t="str">
        <f>data!IT70</f>
        <v> </v>
      </c>
      <c r="IU3" s="5" t="str">
        <f>data!IU70</f>
        <v> </v>
      </c>
      <c r="IV3" s="5" t="str">
        <f>data!IV70</f>
        <v> </v>
      </c>
      <c r="IW3" s="5" t="str">
        <f>data!IW70</f>
        <v> </v>
      </c>
      <c r="IX3" s="5" t="str">
        <f>data!IX70</f>
        <v> </v>
      </c>
      <c r="IY3" s="5" t="str">
        <f>data!IY70</f>
        <v> </v>
      </c>
      <c r="IZ3" s="5" t="str">
        <f>data!IZ70</f>
        <v> </v>
      </c>
      <c r="JA3" s="5" t="str">
        <f>data!JA70</f>
        <v> </v>
      </c>
      <c r="JB3" s="5" t="str">
        <f>data!JB70</f>
        <v> </v>
      </c>
      <c r="JC3" s="5" t="str">
        <f>data!JC70</f>
        <v> </v>
      </c>
      <c r="JD3" s="5" t="str">
        <f>data!JD70</f>
        <v> </v>
      </c>
      <c r="JE3" s="5" t="str">
        <f>data!JE70</f>
        <v> </v>
      </c>
    </row>
    <row r="4" ht="22.5" customHeight="1">
      <c r="A4" s="4" t="str">
        <f>data!A71</f>
        <v>Литература</v>
      </c>
      <c r="B4" s="5" t="str">
        <f>data!B71</f>
        <v/>
      </c>
      <c r="C4" s="5" t="str">
        <f>data!C71</f>
        <v> </v>
      </c>
      <c r="D4" s="5" t="str">
        <f>data!D71</f>
        <v>5</v>
      </c>
      <c r="E4" s="5" t="str">
        <f>data!E71</f>
        <v> </v>
      </c>
      <c r="F4" s="5" t="str">
        <f>data!F71</f>
        <v> </v>
      </c>
      <c r="G4" s="5" t="str">
        <f>data!G71</f>
        <v> </v>
      </c>
      <c r="H4" s="5" t="str">
        <f>data!H71</f>
        <v> </v>
      </c>
      <c r="I4" s="5" t="str">
        <f>data!I71</f>
        <v>см</v>
      </c>
      <c r="J4" s="5" t="str">
        <f>data!J71</f>
        <v> </v>
      </c>
      <c r="K4" s="5" t="str">
        <f>data!K71</f>
        <v> </v>
      </c>
      <c r="L4" s="5" t="str">
        <f>data!L71</f>
        <v>5</v>
      </c>
      <c r="M4" s="5" t="str">
        <f>data!M71</f>
        <v> </v>
      </c>
      <c r="N4" s="5" t="str">
        <f>data!N71</f>
        <v> </v>
      </c>
      <c r="O4" s="5" t="str">
        <f>data!O71</f>
        <v> </v>
      </c>
      <c r="P4" s="5" t="str">
        <f>data!P71</f>
        <v/>
      </c>
      <c r="Q4" s="5" t="str">
        <f>data!Q71</f>
        <v> </v>
      </c>
      <c r="R4" s="5" t="str">
        <f>data!R71</f>
        <v/>
      </c>
      <c r="S4" s="5" t="str">
        <f>data!S71</f>
        <v> </v>
      </c>
      <c r="T4" s="5" t="str">
        <f>data!T71</f>
        <v> </v>
      </c>
      <c r="U4" s="5" t="str">
        <f>data!U71</f>
        <v> </v>
      </c>
      <c r="V4" s="5" t="str">
        <f>data!V71</f>
        <v> </v>
      </c>
      <c r="W4" s="5" t="str">
        <f>data!W71</f>
        <v> </v>
      </c>
      <c r="X4" s="5" t="str">
        <f>data!X71</f>
        <v> </v>
      </c>
      <c r="Y4" s="5" t="str">
        <f>data!Y71</f>
        <v/>
      </c>
      <c r="Z4" s="5" t="str">
        <f>data!Z71</f>
        <v> </v>
      </c>
      <c r="AA4" s="5" t="str">
        <f>data!AA71</f>
        <v> </v>
      </c>
      <c r="AB4" s="5" t="str">
        <f>data!AB71</f>
        <v> </v>
      </c>
      <c r="AC4" s="5" t="str">
        <f>data!AC71</f>
        <v> </v>
      </c>
      <c r="AD4" s="5" t="str">
        <f>data!AD71</f>
        <v>4</v>
      </c>
      <c r="AE4" s="5" t="str">
        <f>data!AE71</f>
        <v> </v>
      </c>
      <c r="AF4" s="5" t="str">
        <f>data!AF71</f>
        <v>см</v>
      </c>
      <c r="AG4" s="5" t="str">
        <f>data!AG71</f>
        <v> </v>
      </c>
      <c r="AH4" s="5" t="str">
        <f>data!AH71</f>
        <v> </v>
      </c>
      <c r="AI4" s="5" t="str">
        <f>data!AI71</f>
        <v> </v>
      </c>
      <c r="AJ4" s="5" t="str">
        <f>data!AJ71</f>
        <v> </v>
      </c>
      <c r="AK4" s="5" t="str">
        <f>data!AK71</f>
        <v/>
      </c>
      <c r="AL4" s="5" t="str">
        <f>data!AL71</f>
        <v> </v>
      </c>
      <c r="AM4" s="5" t="str">
        <f>data!AM71</f>
        <v/>
      </c>
      <c r="AN4" s="5" t="str">
        <f>data!AN71</f>
        <v> </v>
      </c>
      <c r="AO4" s="5" t="str">
        <f>data!AO71</f>
        <v> </v>
      </c>
      <c r="AP4" s="5" t="str">
        <f>data!AP71</f>
        <v> </v>
      </c>
      <c r="AQ4" s="5" t="str">
        <f>data!AQ71</f>
        <v> </v>
      </c>
      <c r="AR4" s="5" t="str">
        <f>data!AR71</f>
        <v>5</v>
      </c>
      <c r="AS4" s="5" t="str">
        <f>data!AS71</f>
        <v> </v>
      </c>
      <c r="AT4" s="5" t="str">
        <f>data!AT71</f>
        <v>5</v>
      </c>
      <c r="AU4" s="5" t="str">
        <f>data!AU71</f>
        <v> </v>
      </c>
      <c r="AV4" s="5" t="str">
        <f>data!AV71</f>
        <v> </v>
      </c>
      <c r="AW4" s="5" t="str">
        <f>data!AW71</f>
        <v> </v>
      </c>
      <c r="AX4" s="5" t="str">
        <f>data!AX71</f>
        <v> </v>
      </c>
      <c r="AY4" s="5" t="str">
        <f>data!AY71</f>
        <v/>
      </c>
      <c r="AZ4" s="5" t="str">
        <f>data!AZ71</f>
        <v> </v>
      </c>
      <c r="BA4" s="5" t="str">
        <f>data!BA71</f>
        <v/>
      </c>
      <c r="BB4" s="5" t="str">
        <f>data!BB71</f>
        <v>5</v>
      </c>
      <c r="BC4" s="5" t="str">
        <f>data!BC71</f>
        <v> </v>
      </c>
      <c r="BD4" s="5" t="str">
        <f>data!BD71</f>
        <v> </v>
      </c>
      <c r="BE4" s="5" t="str">
        <f>data!BE71</f>
        <v> </v>
      </c>
      <c r="BF4" s="5" t="str">
        <f>data!BF71</f>
        <v> </v>
      </c>
      <c r="BG4" s="5" t="str">
        <f>data!BG71</f>
        <v> </v>
      </c>
      <c r="BH4" s="5" t="str">
        <f>data!BH71</f>
        <v>4</v>
      </c>
      <c r="BI4" s="5" t="str">
        <f>data!BI71</f>
        <v>4</v>
      </c>
      <c r="BJ4" s="5" t="str">
        <f>data!BJ71</f>
        <v> </v>
      </c>
      <c r="BK4" s="5" t="str">
        <f>data!BK71</f>
        <v> </v>
      </c>
      <c r="BL4" s="5" t="str">
        <f>data!BL71</f>
        <v> </v>
      </c>
      <c r="BM4" s="5" t="str">
        <f>data!BM71</f>
        <v> </v>
      </c>
      <c r="BN4" s="5" t="str">
        <f>data!BN71</f>
        <v> </v>
      </c>
      <c r="BO4" s="5" t="str">
        <f>data!BO71</f>
        <v> </v>
      </c>
      <c r="BP4" s="5" t="str">
        <f>data!BP71</f>
        <v> </v>
      </c>
      <c r="BQ4" s="5" t="str">
        <f>data!BQ71</f>
        <v> </v>
      </c>
      <c r="BR4" s="5" t="str">
        <f>data!BR71</f>
        <v> </v>
      </c>
      <c r="BS4" s="5" t="str">
        <f>data!BS71</f>
        <v> </v>
      </c>
      <c r="BT4" s="5" t="str">
        <f>data!BT71</f>
        <v>4</v>
      </c>
      <c r="BU4" s="5" t="str">
        <f>data!BU71</f>
        <v> </v>
      </c>
      <c r="BV4" s="5" t="str">
        <f>data!BV71</f>
        <v>5</v>
      </c>
      <c r="BW4" s="5" t="str">
        <f>data!BW71</f>
        <v> </v>
      </c>
      <c r="BX4" s="5" t="str">
        <f>data!BX71</f>
        <v> </v>
      </c>
      <c r="BY4" s="5" t="str">
        <f>data!BY71</f>
        <v> </v>
      </c>
      <c r="BZ4" s="5" t="str">
        <f>data!BZ71</f>
        <v> </v>
      </c>
      <c r="CA4" s="5" t="str">
        <f>data!CA71</f>
        <v>н</v>
      </c>
      <c r="CB4" s="5" t="str">
        <f>data!CB71</f>
        <v> </v>
      </c>
      <c r="CC4" s="5" t="str">
        <f>data!CC71</f>
        <v>2</v>
      </c>
      <c r="CD4" s="5" t="str">
        <f>data!CD71</f>
        <v> </v>
      </c>
      <c r="CE4" s="5" t="str">
        <f>data!CE71</f>
        <v> </v>
      </c>
      <c r="CF4" s="5" t="str">
        <f>data!CF71</f>
        <v> </v>
      </c>
      <c r="CG4" s="5" t="str">
        <f>data!CG71</f>
        <v> </v>
      </c>
      <c r="CH4" s="5" t="str">
        <f>data!CH71</f>
        <v/>
      </c>
      <c r="CI4" s="5" t="str">
        <f>data!CI71</f>
        <v> </v>
      </c>
      <c r="CJ4" s="5" t="str">
        <f>data!CJ71</f>
        <v>2</v>
      </c>
      <c r="CK4" s="5" t="str">
        <f>data!CK71</f>
        <v> </v>
      </c>
      <c r="CL4" s="5" t="str">
        <f>data!CL71</f>
        <v> </v>
      </c>
      <c r="CM4" s="5" t="str">
        <f>data!CM71</f>
        <v> </v>
      </c>
      <c r="CN4" s="5" t="str">
        <f>data!CN71</f>
        <v> </v>
      </c>
      <c r="CO4" s="5" t="str">
        <f>data!CO71</f>
        <v> </v>
      </c>
      <c r="CP4" s="5" t="str">
        <f>data!CP71</f>
        <v> </v>
      </c>
      <c r="CQ4" s="5" t="str">
        <f>data!CQ71</f>
        <v/>
      </c>
      <c r="CR4" s="5" t="str">
        <f>data!CR71</f>
        <v> </v>
      </c>
      <c r="CS4" s="5" t="str">
        <f>data!CS71</f>
        <v> </v>
      </c>
      <c r="CT4" s="5" t="str">
        <f>data!CT71</f>
        <v> </v>
      </c>
      <c r="CU4" s="5" t="str">
        <f>data!CU71</f>
        <v> </v>
      </c>
      <c r="CV4" s="5" t="str">
        <f>data!CV71</f>
        <v/>
      </c>
      <c r="CW4" s="5" t="str">
        <f>data!CW71</f>
        <v> </v>
      </c>
      <c r="CX4" s="5" t="str">
        <f>data!CX71</f>
        <v/>
      </c>
      <c r="CY4" s="5" t="str">
        <f>data!CY71</f>
        <v> </v>
      </c>
      <c r="CZ4" s="5" t="str">
        <f>data!CZ71</f>
        <v> </v>
      </c>
      <c r="DA4" s="5" t="str">
        <f>data!DA71</f>
        <v> </v>
      </c>
      <c r="DB4" s="5" t="str">
        <f>data!DB71</f>
        <v> </v>
      </c>
      <c r="DC4" s="5" t="str">
        <f>data!DC71</f>
        <v>5</v>
      </c>
      <c r="DD4" s="5" t="str">
        <f>data!DD71</f>
        <v> </v>
      </c>
      <c r="DE4" s="5" t="str">
        <f>data!DE71</f>
        <v>4</v>
      </c>
      <c r="DF4" s="5" t="str">
        <f>data!DF71</f>
        <v> </v>
      </c>
      <c r="DG4" s="5" t="str">
        <f>data!DG71</f>
        <v> </v>
      </c>
      <c r="DH4" s="5" t="str">
        <f>data!DH71</f>
        <v> </v>
      </c>
      <c r="DI4" s="5" t="str">
        <f>data!DI71</f>
        <v> </v>
      </c>
      <c r="DJ4" s="5" t="str">
        <f>data!DJ71</f>
        <v>3</v>
      </c>
      <c r="DK4" s="5" t="str">
        <f>data!DK71</f>
        <v> </v>
      </c>
      <c r="DL4" s="5" t="str">
        <f>data!DL71</f>
        <v>5</v>
      </c>
      <c r="DM4" s="5" t="str">
        <f>data!DM71</f>
        <v> </v>
      </c>
      <c r="DN4" s="5" t="str">
        <f>data!DN71</f>
        <v> </v>
      </c>
      <c r="DO4" s="5" t="str">
        <f>data!DO71</f>
        <v> </v>
      </c>
      <c r="DP4" s="5" t="str">
        <f>data!DP71</f>
        <v> </v>
      </c>
      <c r="DQ4" s="5" t="str">
        <f>data!DQ71</f>
        <v> </v>
      </c>
      <c r="DR4" s="5" t="str">
        <f>data!DR71</f>
        <v> </v>
      </c>
      <c r="DS4" s="5" t="str">
        <f>data!DS71</f>
        <v> </v>
      </c>
      <c r="DT4" s="5" t="str">
        <f>data!DT71</f>
        <v> </v>
      </c>
      <c r="DU4" s="5" t="str">
        <f>data!DU71</f>
        <v> </v>
      </c>
      <c r="DV4" s="5" t="str">
        <f>data!DV71</f>
        <v> </v>
      </c>
      <c r="DW4" s="5" t="str">
        <f>data!DW71</f>
        <v> </v>
      </c>
      <c r="DX4" s="5" t="str">
        <f>data!DX71</f>
        <v> </v>
      </c>
      <c r="DY4" s="5" t="str">
        <f>data!DY71</f>
        <v> </v>
      </c>
      <c r="DZ4" s="5" t="str">
        <f>data!DZ71</f>
        <v> </v>
      </c>
      <c r="EA4" s="5" t="str">
        <f>data!EA71</f>
        <v> </v>
      </c>
      <c r="EB4" s="5" t="str">
        <f>data!EB71</f>
        <v> </v>
      </c>
      <c r="EC4" s="5" t="str">
        <f>data!EC71</f>
        <v> </v>
      </c>
      <c r="ED4" s="5" t="str">
        <f>data!ED71</f>
        <v> </v>
      </c>
      <c r="EE4" s="5" t="str">
        <f>data!EE71</f>
        <v/>
      </c>
      <c r="EF4" s="5" t="str">
        <f>data!EF71</f>
        <v> </v>
      </c>
      <c r="EG4" s="5" t="str">
        <f>data!EG71</f>
        <v/>
      </c>
      <c r="EH4" s="5" t="str">
        <f>data!EH71</f>
        <v> </v>
      </c>
      <c r="EI4" s="5" t="str">
        <f>data!EI71</f>
        <v> </v>
      </c>
      <c r="EJ4" s="5" t="str">
        <f>data!EJ71</f>
        <v> </v>
      </c>
      <c r="EK4" s="5" t="str">
        <f>data!EK71</f>
        <v> </v>
      </c>
      <c r="EL4" s="5" t="str">
        <f>data!EL71</f>
        <v/>
      </c>
      <c r="EM4" s="5" t="str">
        <f>data!EM71</f>
        <v> </v>
      </c>
      <c r="EN4" s="5" t="str">
        <f>data!EN71</f>
        <v>2</v>
      </c>
      <c r="EO4" s="5" t="str">
        <f>data!EO71</f>
        <v> </v>
      </c>
      <c r="EP4" s="5" t="str">
        <f>data!EP71</f>
        <v> </v>
      </c>
      <c r="EQ4" s="5" t="str">
        <f>data!EQ71</f>
        <v> </v>
      </c>
      <c r="ER4" s="5" t="str">
        <f>data!ER71</f>
        <v> </v>
      </c>
      <c r="ES4" s="5" t="str">
        <f>data!ES71</f>
        <v/>
      </c>
      <c r="ET4" s="5" t="str">
        <f>data!ET71</f>
        <v> </v>
      </c>
      <c r="EU4" s="5" t="str">
        <f>data!EU71</f>
        <v>2</v>
      </c>
      <c r="EV4" s="5" t="str">
        <f>data!EV71</f>
        <v> </v>
      </c>
      <c r="EW4" s="5" t="str">
        <f>data!EW71</f>
        <v> </v>
      </c>
      <c r="EX4" s="5" t="str">
        <f>data!EX71</f>
        <v> </v>
      </c>
      <c r="EY4" s="5" t="str">
        <f>data!EY71</f>
        <v> </v>
      </c>
      <c r="EZ4" s="5" t="str">
        <f>data!EZ71</f>
        <v>5</v>
      </c>
      <c r="FA4" s="5" t="str">
        <f>data!FA71</f>
        <v> </v>
      </c>
      <c r="FB4" s="5" t="str">
        <f>data!FB71</f>
        <v>5</v>
      </c>
      <c r="FC4" s="5" t="str">
        <f>data!FC71</f>
        <v> </v>
      </c>
      <c r="FD4" s="5" t="str">
        <f>data!FD71</f>
        <v> </v>
      </c>
      <c r="FE4" s="5" t="str">
        <f>data!FE71</f>
        <v> </v>
      </c>
      <c r="FF4" s="5" t="str">
        <f>data!FF71</f>
        <v> </v>
      </c>
      <c r="FG4" s="5" t="str">
        <f>data!FG71</f>
        <v>5</v>
      </c>
      <c r="FH4" s="5" t="str">
        <f>data!FH71</f>
        <v> </v>
      </c>
      <c r="FI4" s="5" t="str">
        <f>data!FI71</f>
        <v>5</v>
      </c>
      <c r="FJ4" s="5" t="str">
        <f>data!FJ71</f>
        <v> </v>
      </c>
      <c r="FK4" s="5" t="str">
        <f>data!FK71</f>
        <v> </v>
      </c>
      <c r="FL4" s="5" t="str">
        <f>data!FL71</f>
        <v> </v>
      </c>
      <c r="FM4" s="5" t="str">
        <f>data!FM71</f>
        <v> </v>
      </c>
      <c r="FN4" s="5" t="str">
        <f>data!FN71</f>
        <v>5</v>
      </c>
      <c r="FO4" s="5" t="str">
        <f>data!FO71</f>
        <v> </v>
      </c>
      <c r="FP4" s="5" t="str">
        <f>data!FP71</f>
        <v/>
      </c>
      <c r="FQ4" s="5" t="str">
        <f>data!FQ71</f>
        <v> </v>
      </c>
      <c r="FR4" s="5" t="str">
        <f>data!FR71</f>
        <v> </v>
      </c>
      <c r="FS4" s="5" t="str">
        <f>data!FS71</f>
        <v> </v>
      </c>
      <c r="FT4" s="5" t="str">
        <f>data!FT71</f>
        <v> </v>
      </c>
      <c r="FU4" s="5" t="str">
        <f>data!FU71</f>
        <v>5</v>
      </c>
      <c r="FV4" s="5" t="str">
        <f>data!FV71</f>
        <v> </v>
      </c>
      <c r="FW4" s="5" t="str">
        <f>data!FW71</f>
        <v/>
      </c>
      <c r="FX4" s="5" t="str">
        <f>data!FX71</f>
        <v> </v>
      </c>
      <c r="FY4" s="5" t="str">
        <f>data!FY71</f>
        <v> </v>
      </c>
      <c r="FZ4" s="5" t="str">
        <f>data!FZ71</f>
        <v> </v>
      </c>
      <c r="GA4" s="5" t="str">
        <f>data!GA71</f>
        <v> </v>
      </c>
      <c r="GB4" s="5" t="str">
        <f>data!GB71</f>
        <v/>
      </c>
      <c r="GC4" s="5" t="str">
        <f>data!GC71</f>
        <v> </v>
      </c>
      <c r="GD4" s="5" t="str">
        <f>data!GD71</f>
        <v/>
      </c>
      <c r="GE4" s="5" t="str">
        <f>data!GE71</f>
        <v> </v>
      </c>
      <c r="GF4" s="5" t="str">
        <f>data!GF71</f>
        <v> </v>
      </c>
      <c r="GG4" s="5" t="str">
        <f>data!GG71</f>
        <v> </v>
      </c>
      <c r="GH4" s="5" t="str">
        <f>data!GH71</f>
        <v> </v>
      </c>
      <c r="GI4" s="5" t="str">
        <f>data!GI71</f>
        <v/>
      </c>
      <c r="GJ4" s="5" t="str">
        <f>data!GJ71</f>
        <v> </v>
      </c>
      <c r="GK4" s="5" t="str">
        <f>data!GK71</f>
        <v>4</v>
      </c>
      <c r="GL4" s="5" t="str">
        <f>data!GL71</f>
        <v> </v>
      </c>
      <c r="GM4" s="5" t="str">
        <f>data!GM71</f>
        <v> </v>
      </c>
      <c r="GN4" s="5" t="str">
        <f>data!GN71</f>
        <v> </v>
      </c>
      <c r="GO4" s="5" t="str">
        <f>data!GO71</f>
        <v> </v>
      </c>
      <c r="GP4" s="5" t="str">
        <f>data!GP71</f>
        <v> </v>
      </c>
      <c r="GQ4" s="5" t="str">
        <f>data!GQ71</f>
        <v> </v>
      </c>
      <c r="GR4" s="5" t="str">
        <f>data!GR71</f>
        <v> </v>
      </c>
      <c r="GS4" s="5" t="str">
        <f>data!GS71</f>
        <v> </v>
      </c>
      <c r="GT4" s="5" t="str">
        <f>data!GT71</f>
        <v> </v>
      </c>
      <c r="GU4" s="5" t="str">
        <f>data!GU71</f>
        <v> </v>
      </c>
      <c r="GV4" s="5" t="str">
        <f>data!GV71</f>
        <v> </v>
      </c>
      <c r="GW4" s="5" t="str">
        <f>data!GW71</f>
        <v> </v>
      </c>
      <c r="GX4" s="5" t="str">
        <f>data!GX71</f>
        <v> </v>
      </c>
      <c r="GY4" s="5" t="str">
        <f>data!GY71</f>
        <v> </v>
      </c>
      <c r="GZ4" s="5" t="str">
        <f>data!GZ71</f>
        <v> </v>
      </c>
      <c r="HA4" s="5" t="str">
        <f>data!HA71</f>
        <v> </v>
      </c>
      <c r="HB4" s="5" t="str">
        <f>data!HB71</f>
        <v> </v>
      </c>
      <c r="HC4" s="5" t="str">
        <f>data!HC71</f>
        <v> </v>
      </c>
      <c r="HD4" s="5" t="str">
        <f>data!HD71</f>
        <v> </v>
      </c>
      <c r="HE4" s="5" t="str">
        <f>data!HE71</f>
        <v> </v>
      </c>
      <c r="HF4" s="5" t="str">
        <f>data!HF71</f>
        <v> </v>
      </c>
      <c r="HG4" s="5" t="str">
        <f>data!HG71</f>
        <v> </v>
      </c>
      <c r="HH4" s="5" t="str">
        <f>data!HH71</f>
        <v> </v>
      </c>
      <c r="HI4" s="5" t="str">
        <f>data!HI71</f>
        <v> </v>
      </c>
      <c r="HJ4" s="5" t="str">
        <f>data!HJ71</f>
        <v> </v>
      </c>
      <c r="HK4" s="5" t="str">
        <f>data!HK71</f>
        <v> </v>
      </c>
      <c r="HL4" s="5" t="str">
        <f>data!HL71</f>
        <v> </v>
      </c>
      <c r="HM4" s="5" t="str">
        <f>data!HM71</f>
        <v> </v>
      </c>
      <c r="HN4" s="5" t="str">
        <f>data!HN71</f>
        <v> </v>
      </c>
      <c r="HO4" s="5" t="str">
        <f>data!HO71</f>
        <v> </v>
      </c>
      <c r="HP4" s="5" t="str">
        <f>data!HP71</f>
        <v> </v>
      </c>
      <c r="HQ4" s="5" t="str">
        <f>data!HQ71</f>
        <v> </v>
      </c>
      <c r="HR4" s="5" t="str">
        <f>data!HR71</f>
        <v> </v>
      </c>
      <c r="HS4" s="5" t="str">
        <f>data!HS71</f>
        <v> </v>
      </c>
      <c r="HT4" s="5" t="str">
        <f>data!HT71</f>
        <v> </v>
      </c>
      <c r="HU4" s="5" t="str">
        <f>data!HU71</f>
        <v> </v>
      </c>
      <c r="HV4" s="5" t="str">
        <f>data!HV71</f>
        <v> </v>
      </c>
      <c r="HW4" s="5" t="str">
        <f>data!HW71</f>
        <v> </v>
      </c>
      <c r="HX4" s="5" t="str">
        <f>data!HX71</f>
        <v> </v>
      </c>
      <c r="HY4" s="5" t="str">
        <f>data!HY71</f>
        <v> </v>
      </c>
      <c r="HZ4" s="5" t="str">
        <f>data!HZ71</f>
        <v> </v>
      </c>
      <c r="IA4" s="5" t="str">
        <f>data!IA71</f>
        <v> </v>
      </c>
      <c r="IB4" s="5" t="str">
        <f>data!IB71</f>
        <v> </v>
      </c>
      <c r="IC4" s="5" t="str">
        <f>data!IC71</f>
        <v> </v>
      </c>
      <c r="ID4" s="5" t="str">
        <f>data!ID71</f>
        <v> </v>
      </c>
      <c r="IE4" s="5" t="str">
        <f>data!IE71</f>
        <v> </v>
      </c>
      <c r="IF4" s="5" t="str">
        <f>data!IF71</f>
        <v> </v>
      </c>
      <c r="IG4" s="5" t="str">
        <f>data!IG71</f>
        <v> </v>
      </c>
      <c r="IH4" s="5" t="str">
        <f>data!IH71</f>
        <v> </v>
      </c>
      <c r="II4" s="5" t="str">
        <f>data!II71</f>
        <v> </v>
      </c>
      <c r="IJ4" s="5" t="str">
        <f>data!IJ71</f>
        <v> </v>
      </c>
      <c r="IK4" s="5" t="str">
        <f>data!IK71</f>
        <v> </v>
      </c>
      <c r="IL4" s="5" t="str">
        <f>data!IL71</f>
        <v> </v>
      </c>
      <c r="IM4" s="5" t="str">
        <f>data!IM71</f>
        <v> </v>
      </c>
      <c r="IN4" s="5" t="str">
        <f>data!IN71</f>
        <v> </v>
      </c>
      <c r="IO4" s="5" t="str">
        <f>data!IO71</f>
        <v> </v>
      </c>
      <c r="IP4" s="5" t="str">
        <f>data!IP71</f>
        <v> </v>
      </c>
      <c r="IQ4" s="5" t="str">
        <f>data!IQ71</f>
        <v> </v>
      </c>
      <c r="IR4" s="5" t="str">
        <f>data!IR71</f>
        <v> </v>
      </c>
      <c r="IS4" s="5" t="str">
        <f>data!IS71</f>
        <v> </v>
      </c>
      <c r="IT4" s="5" t="str">
        <f>data!IT71</f>
        <v> </v>
      </c>
      <c r="IU4" s="5" t="str">
        <f>data!IU71</f>
        <v> </v>
      </c>
      <c r="IV4" s="5" t="str">
        <f>data!IV71</f>
        <v> </v>
      </c>
      <c r="IW4" s="5" t="str">
        <f>data!IW71</f>
        <v> </v>
      </c>
      <c r="IX4" s="5" t="str">
        <f>data!IX71</f>
        <v> </v>
      </c>
      <c r="IY4" s="5" t="str">
        <f>data!IY71</f>
        <v> </v>
      </c>
      <c r="IZ4" s="5" t="str">
        <f>data!IZ71</f>
        <v> </v>
      </c>
      <c r="JA4" s="5" t="str">
        <f>data!JA71</f>
        <v> </v>
      </c>
      <c r="JB4" s="5" t="str">
        <f>data!JB71</f>
        <v> </v>
      </c>
      <c r="JC4" s="5" t="str">
        <f>data!JC71</f>
        <v> </v>
      </c>
      <c r="JD4" s="5" t="str">
        <f>data!JD71</f>
        <v> </v>
      </c>
      <c r="JE4" s="5" t="str">
        <f>data!JE71</f>
        <v> </v>
      </c>
    </row>
    <row r="5" ht="22.5" customHeight="1">
      <c r="A5" s="4" t="str">
        <f>data!A72</f>
        <v>Узбекский язык</v>
      </c>
      <c r="B5" s="5" t="str">
        <f>data!B72</f>
        <v> </v>
      </c>
      <c r="C5" s="5" t="str">
        <f>data!C72</f>
        <v> </v>
      </c>
      <c r="D5" s="5" t="str">
        <f>data!D72</f>
        <v/>
      </c>
      <c r="E5" s="5" t="str">
        <f>data!E72</f>
        <v> </v>
      </c>
      <c r="F5" s="5" t="str">
        <f>data!F72</f>
        <v/>
      </c>
      <c r="G5" s="5" t="str">
        <f>data!G72</f>
        <v> </v>
      </c>
      <c r="H5" s="5" t="str">
        <f>data!H72</f>
        <v> </v>
      </c>
      <c r="I5" s="5" t="str">
        <f>data!I72</f>
        <v> </v>
      </c>
      <c r="J5" s="5" t="str">
        <f>data!J72</f>
        <v> </v>
      </c>
      <c r="K5" s="5" t="str">
        <f>data!K72</f>
        <v/>
      </c>
      <c r="L5" s="5" t="str">
        <f>data!L72</f>
        <v/>
      </c>
      <c r="M5" s="5" t="str">
        <f>data!M72</f>
        <v/>
      </c>
      <c r="N5" s="5" t="str">
        <f>data!N72</f>
        <v> </v>
      </c>
      <c r="O5" s="5" t="str">
        <f>data!O72</f>
        <v> </v>
      </c>
      <c r="P5" s="5" t="str">
        <f>data!P72</f>
        <v> </v>
      </c>
      <c r="Q5" s="5" t="str">
        <f>data!Q72</f>
        <v> </v>
      </c>
      <c r="R5" s="5" t="str">
        <f>data!R72</f>
        <v/>
      </c>
      <c r="S5" s="5" t="str">
        <f>data!S72</f>
        <v/>
      </c>
      <c r="T5" s="5" t="str">
        <f>data!T72</f>
        <v>3</v>
      </c>
      <c r="U5" s="5" t="str">
        <f>data!U72</f>
        <v> </v>
      </c>
      <c r="V5" s="5" t="str">
        <f>data!V72</f>
        <v> </v>
      </c>
      <c r="W5" s="5" t="str">
        <f>data!W72</f>
        <v> </v>
      </c>
      <c r="X5" s="5" t="str">
        <f>data!X72</f>
        <v> </v>
      </c>
      <c r="Y5" s="5" t="str">
        <f>data!Y72</f>
        <v/>
      </c>
      <c r="Z5" s="5" t="str">
        <f>data!Z72</f>
        <v/>
      </c>
      <c r="AA5" s="5" t="str">
        <f>data!AA72</f>
        <v/>
      </c>
      <c r="AB5" s="5" t="str">
        <f>data!AB72</f>
        <v> </v>
      </c>
      <c r="AC5" s="5" t="str">
        <f>data!AC72</f>
        <v> </v>
      </c>
      <c r="AD5" s="5" t="str">
        <f>data!AD72</f>
        <v> </v>
      </c>
      <c r="AE5" s="5" t="str">
        <f>data!AE72</f>
        <v> </v>
      </c>
      <c r="AF5" s="5" t="str">
        <f>data!AF72</f>
        <v>4</v>
      </c>
      <c r="AG5" s="5" t="str">
        <f>data!AG72</f>
        <v/>
      </c>
      <c r="AH5" s="5" t="str">
        <f>data!AH72</f>
        <v/>
      </c>
      <c r="AI5" s="5" t="str">
        <f>data!AI72</f>
        <v> </v>
      </c>
      <c r="AJ5" s="5" t="str">
        <f>data!AJ72</f>
        <v> </v>
      </c>
      <c r="AK5" s="5" t="str">
        <f>data!AK72</f>
        <v> </v>
      </c>
      <c r="AL5" s="5" t="str">
        <f>data!AL72</f>
        <v> </v>
      </c>
      <c r="AM5" s="5" t="str">
        <f>data!AM72</f>
        <v/>
      </c>
      <c r="AN5" s="5" t="str">
        <f>data!AN72</f>
        <v>4</v>
      </c>
      <c r="AO5" s="5" t="str">
        <f>data!AO72</f>
        <v/>
      </c>
      <c r="AP5" s="5" t="str">
        <f>data!AP72</f>
        <v> </v>
      </c>
      <c r="AQ5" s="5" t="str">
        <f>data!AQ72</f>
        <v> </v>
      </c>
      <c r="AR5" s="5" t="str">
        <f>data!AR72</f>
        <v> </v>
      </c>
      <c r="AS5" s="5" t="str">
        <f>data!AS72</f>
        <v> </v>
      </c>
      <c r="AT5" s="5" t="str">
        <f>data!AT72</f>
        <v/>
      </c>
      <c r="AU5" s="5" t="str">
        <f>data!AU72</f>
        <v/>
      </c>
      <c r="AV5" s="5" t="str">
        <f>data!AV72</f>
        <v/>
      </c>
      <c r="AW5" s="5" t="str">
        <f>data!AW72</f>
        <v> </v>
      </c>
      <c r="AX5" s="5" t="str">
        <f>data!AX72</f>
        <v> </v>
      </c>
      <c r="AY5" s="5" t="str">
        <f>data!AY72</f>
        <v> </v>
      </c>
      <c r="AZ5" s="5" t="str">
        <f>data!AZ72</f>
        <v> </v>
      </c>
      <c r="BA5" s="5" t="str">
        <f>data!BA72</f>
        <v/>
      </c>
      <c r="BB5" s="5" t="str">
        <f>data!BB72</f>
        <v/>
      </c>
      <c r="BC5" s="5" t="str">
        <f>data!BC72</f>
        <v>3</v>
      </c>
      <c r="BD5" s="5" t="str">
        <f>data!BD72</f>
        <v> </v>
      </c>
      <c r="BE5" s="5" t="str">
        <f>data!BE72</f>
        <v> </v>
      </c>
      <c r="BF5" s="5" t="str">
        <f>data!BF72</f>
        <v> </v>
      </c>
      <c r="BG5" s="5" t="str">
        <f>data!BG72</f>
        <v> </v>
      </c>
      <c r="BH5" s="5" t="str">
        <f>data!BH72</f>
        <v>3</v>
      </c>
      <c r="BI5" s="5" t="str">
        <f>data!BI72</f>
        <v/>
      </c>
      <c r="BJ5" s="5" t="str">
        <f>data!BJ72</f>
        <v> </v>
      </c>
      <c r="BK5" s="5" t="str">
        <f>data!BK72</f>
        <v> </v>
      </c>
      <c r="BL5" s="5" t="str">
        <f>data!BL72</f>
        <v> </v>
      </c>
      <c r="BM5" s="5" t="str">
        <f>data!BM72</f>
        <v> </v>
      </c>
      <c r="BN5" s="5" t="str">
        <f>data!BN72</f>
        <v> </v>
      </c>
      <c r="BO5" s="5" t="str">
        <f>data!BO72</f>
        <v> </v>
      </c>
      <c r="BP5" s="5" t="str">
        <f>data!BP72</f>
        <v> </v>
      </c>
      <c r="BQ5" s="5" t="str">
        <f>data!BQ72</f>
        <v> </v>
      </c>
      <c r="BR5" s="5" t="str">
        <f>data!BR72</f>
        <v> </v>
      </c>
      <c r="BS5" s="5" t="str">
        <f>data!BS72</f>
        <v> </v>
      </c>
      <c r="BT5" s="5" t="str">
        <f>data!BT72</f>
        <v> </v>
      </c>
      <c r="BU5" s="5" t="str">
        <f>data!BU72</f>
        <v> </v>
      </c>
      <c r="BV5" s="5" t="str">
        <f>data!BV72</f>
        <v/>
      </c>
      <c r="BW5" s="5" t="str">
        <f>data!BW72</f>
        <v/>
      </c>
      <c r="BX5" s="5" t="str">
        <f>data!BX72</f>
        <v>5</v>
      </c>
      <c r="BY5" s="5" t="str">
        <f>data!BY72</f>
        <v> </v>
      </c>
      <c r="BZ5" s="5" t="str">
        <f>data!BZ72</f>
        <v> </v>
      </c>
      <c r="CA5" s="5" t="str">
        <f>data!CA72</f>
        <v> </v>
      </c>
      <c r="CB5" s="5" t="str">
        <f>data!CB72</f>
        <v> </v>
      </c>
      <c r="CC5" s="5" t="str">
        <f>data!CC72</f>
        <v/>
      </c>
      <c r="CD5" s="5" t="str">
        <f>data!CD72</f>
        <v/>
      </c>
      <c r="CE5" s="5" t="str">
        <f>data!CE72</f>
        <v/>
      </c>
      <c r="CF5" s="5" t="str">
        <f>data!CF72</f>
        <v> </v>
      </c>
      <c r="CG5" s="5" t="str">
        <f>data!CG72</f>
        <v> </v>
      </c>
      <c r="CH5" s="5" t="str">
        <f>data!CH72</f>
        <v> </v>
      </c>
      <c r="CI5" s="5" t="str">
        <f>data!CI72</f>
        <v> </v>
      </c>
      <c r="CJ5" s="5" t="str">
        <f>data!CJ72</f>
        <v>3</v>
      </c>
      <c r="CK5" s="5" t="str">
        <f>data!CK72</f>
        <v>3</v>
      </c>
      <c r="CL5" s="5" t="str">
        <f>data!CL72</f>
        <v/>
      </c>
      <c r="CM5" s="5" t="str">
        <f>data!CM72</f>
        <v> </v>
      </c>
      <c r="CN5" s="5" t="str">
        <f>data!CN72</f>
        <v> </v>
      </c>
      <c r="CO5" s="5" t="str">
        <f>data!CO72</f>
        <v> </v>
      </c>
      <c r="CP5" s="5" t="str">
        <f>data!CP72</f>
        <v> </v>
      </c>
      <c r="CQ5" s="5" t="str">
        <f>data!CQ72</f>
        <v/>
      </c>
      <c r="CR5" s="5" t="str">
        <f>data!CR72</f>
        <v>5</v>
      </c>
      <c r="CS5" s="5" t="str">
        <f>data!CS72</f>
        <v>3</v>
      </c>
      <c r="CT5" s="5" t="str">
        <f>data!CT72</f>
        <v> </v>
      </c>
      <c r="CU5" s="5" t="str">
        <f>data!CU72</f>
        <v> </v>
      </c>
      <c r="CV5" s="5" t="str">
        <f>data!CV72</f>
        <v> </v>
      </c>
      <c r="CW5" s="5" t="str">
        <f>data!CW72</f>
        <v> </v>
      </c>
      <c r="CX5" s="5" t="str">
        <f>data!CX72</f>
        <v/>
      </c>
      <c r="CY5" s="5" t="str">
        <f>data!CY72</f>
        <v/>
      </c>
      <c r="CZ5" s="5" t="str">
        <f>data!CZ72</f>
        <v/>
      </c>
      <c r="DA5" s="5" t="str">
        <f>data!DA72</f>
        <v> </v>
      </c>
      <c r="DB5" s="5" t="str">
        <f>data!DB72</f>
        <v> </v>
      </c>
      <c r="DC5" s="5" t="str">
        <f>data!DC72</f>
        <v> </v>
      </c>
      <c r="DD5" s="5" t="str">
        <f>data!DD72</f>
        <v> </v>
      </c>
      <c r="DE5" s="5" t="str">
        <f>data!DE72</f>
        <v/>
      </c>
      <c r="DF5" s="5" t="str">
        <f>data!DF72</f>
        <v>-</v>
      </c>
      <c r="DG5" s="5" t="str">
        <f>data!DG72</f>
        <v/>
      </c>
      <c r="DH5" s="5" t="str">
        <f>data!DH72</f>
        <v> </v>
      </c>
      <c r="DI5" s="5" t="str">
        <f>data!DI72</f>
        <v> </v>
      </c>
      <c r="DJ5" s="5" t="str">
        <f>data!DJ72</f>
        <v> </v>
      </c>
      <c r="DK5" s="5" t="str">
        <f>data!DK72</f>
        <v> </v>
      </c>
      <c r="DL5" s="5" t="str">
        <f>data!DL72</f>
        <v>3</v>
      </c>
      <c r="DM5" s="5" t="str">
        <f>data!DM72</f>
        <v> </v>
      </c>
      <c r="DN5" s="5" t="str">
        <f>data!DN72</f>
        <v> </v>
      </c>
      <c r="DO5" s="5" t="str">
        <f>data!DO72</f>
        <v> </v>
      </c>
      <c r="DP5" s="5" t="str">
        <f>data!DP72</f>
        <v> </v>
      </c>
      <c r="DQ5" s="5" t="str">
        <f>data!DQ72</f>
        <v> </v>
      </c>
      <c r="DR5" s="5" t="str">
        <f>data!DR72</f>
        <v> </v>
      </c>
      <c r="DS5" s="5" t="str">
        <f>data!DS72</f>
        <v> </v>
      </c>
      <c r="DT5" s="5" t="str">
        <f>data!DT72</f>
        <v> </v>
      </c>
      <c r="DU5" s="5" t="str">
        <f>data!DU72</f>
        <v> </v>
      </c>
      <c r="DV5" s="5" t="str">
        <f>data!DV72</f>
        <v> </v>
      </c>
      <c r="DW5" s="5" t="str">
        <f>data!DW72</f>
        <v> </v>
      </c>
      <c r="DX5" s="5" t="str">
        <f>data!DX72</f>
        <v> </v>
      </c>
      <c r="DY5" s="5" t="str">
        <f>data!DY72</f>
        <v> </v>
      </c>
      <c r="DZ5" s="5" t="str">
        <f>data!DZ72</f>
        <v> </v>
      </c>
      <c r="EA5" s="5" t="str">
        <f>data!EA72</f>
        <v> </v>
      </c>
      <c r="EB5" s="5" t="str">
        <f>data!EB72</f>
        <v> </v>
      </c>
      <c r="EC5" s="5" t="str">
        <f>data!EC72</f>
        <v> </v>
      </c>
      <c r="ED5" s="5" t="str">
        <f>data!ED72</f>
        <v> </v>
      </c>
      <c r="EE5" s="5" t="str">
        <f>data!EE72</f>
        <v> </v>
      </c>
      <c r="EF5" s="5" t="str">
        <f>data!EF72</f>
        <v> </v>
      </c>
      <c r="EG5" s="5" t="str">
        <f>data!EG72</f>
        <v/>
      </c>
      <c r="EH5" s="5" t="str">
        <f>data!EH72</f>
        <v>3</v>
      </c>
      <c r="EI5" s="5" t="str">
        <f>data!EI72</f>
        <v/>
      </c>
      <c r="EJ5" s="5" t="str">
        <f>data!EJ72</f>
        <v> </v>
      </c>
      <c r="EK5" s="5" t="str">
        <f>data!EK72</f>
        <v> </v>
      </c>
      <c r="EL5" s="5" t="str">
        <f>data!EL72</f>
        <v> </v>
      </c>
      <c r="EM5" s="5" t="str">
        <f>data!EM72</f>
        <v> </v>
      </c>
      <c r="EN5" s="5" t="str">
        <f>data!EN72</f>
        <v/>
      </c>
      <c r="EO5" s="5" t="str">
        <f>data!EO72</f>
        <v>2</v>
      </c>
      <c r="EP5" s="5" t="str">
        <f>data!EP72</f>
        <v>3</v>
      </c>
      <c r="EQ5" s="5" t="str">
        <f>data!EQ72</f>
        <v> </v>
      </c>
      <c r="ER5" s="5" t="str">
        <f>data!ER72</f>
        <v> </v>
      </c>
      <c r="ES5" s="5" t="str">
        <f>data!ES72</f>
        <v> </v>
      </c>
      <c r="ET5" s="5" t="str">
        <f>data!ET72</f>
        <v>4</v>
      </c>
      <c r="EU5" s="5" t="str">
        <f>data!EU72</f>
        <v/>
      </c>
      <c r="EV5" s="5" t="str">
        <f>data!EV72</f>
        <v/>
      </c>
      <c r="EW5" s="5" t="str">
        <f>data!EW72</f>
        <v>3</v>
      </c>
      <c r="EX5" s="5" t="str">
        <f>data!EX72</f>
        <v> </v>
      </c>
      <c r="EY5" s="5" t="str">
        <f>data!EY72</f>
        <v> </v>
      </c>
      <c r="EZ5" s="5" t="str">
        <f>data!EZ72</f>
        <v> </v>
      </c>
      <c r="FA5" s="5" t="str">
        <f>data!FA72</f>
        <v> </v>
      </c>
      <c r="FB5" s="5" t="str">
        <f>data!FB72</f>
        <v/>
      </c>
      <c r="FC5" s="5" t="str">
        <f>data!FC72</f>
        <v>3</v>
      </c>
      <c r="FD5" s="5" t="str">
        <f>data!FD72</f>
        <v/>
      </c>
      <c r="FE5" s="5" t="str">
        <f>data!FE72</f>
        <v> </v>
      </c>
      <c r="FF5" s="5" t="str">
        <f>data!FF72</f>
        <v> </v>
      </c>
      <c r="FG5" s="5" t="str">
        <f>data!FG72</f>
        <v> </v>
      </c>
      <c r="FH5" s="5" t="str">
        <f>data!FH72</f>
        <v> </v>
      </c>
      <c r="FI5" s="5" t="str">
        <f>data!FI72</f>
        <v>-</v>
      </c>
      <c r="FJ5" s="5" t="str">
        <f>data!FJ72</f>
        <v/>
      </c>
      <c r="FK5" s="5" t="str">
        <f>data!FK72</f>
        <v>4</v>
      </c>
      <c r="FL5" s="5" t="str">
        <f>data!FL72</f>
        <v> </v>
      </c>
      <c r="FM5" s="5" t="str">
        <f>data!FM72</f>
        <v> </v>
      </c>
      <c r="FN5" s="5" t="str">
        <f>data!FN72</f>
        <v> </v>
      </c>
      <c r="FO5" s="5" t="str">
        <f>data!FO72</f>
        <v> </v>
      </c>
      <c r="FP5" s="5" t="str">
        <f>data!FP72</f>
        <v/>
      </c>
      <c r="FQ5" s="5" t="str">
        <f>data!FQ72</f>
        <v>5</v>
      </c>
      <c r="FR5" s="5" t="str">
        <f>data!FR72</f>
        <v>3</v>
      </c>
      <c r="FS5" s="5" t="str">
        <f>data!FS72</f>
        <v> </v>
      </c>
      <c r="FT5" s="5" t="str">
        <f>data!FT72</f>
        <v> </v>
      </c>
      <c r="FU5" s="5" t="str">
        <f>data!FU72</f>
        <v> </v>
      </c>
      <c r="FV5" s="5" t="str">
        <f>data!FV72</f>
        <v> </v>
      </c>
      <c r="FW5" s="5" t="str">
        <f>data!FW72</f>
        <v>3</v>
      </c>
      <c r="FX5" s="5" t="str">
        <f>data!FX72</f>
        <v/>
      </c>
      <c r="FY5" s="5" t="str">
        <f>data!FY72</f>
        <v/>
      </c>
      <c r="FZ5" s="5" t="str">
        <f>data!FZ72</f>
        <v> </v>
      </c>
      <c r="GA5" s="5" t="str">
        <f>data!GA72</f>
        <v> </v>
      </c>
      <c r="GB5" s="5" t="str">
        <f>data!GB72</f>
        <v> </v>
      </c>
      <c r="GC5" s="5" t="str">
        <f>data!GC72</f>
        <v> </v>
      </c>
      <c r="GD5" s="5" t="str">
        <f>data!GD72</f>
        <v>3</v>
      </c>
      <c r="GE5" s="5" t="str">
        <f>data!GE72</f>
        <v/>
      </c>
      <c r="GF5" s="5" t="str">
        <f>data!GF72</f>
        <v/>
      </c>
      <c r="GG5" s="5" t="str">
        <f>data!GG72</f>
        <v> </v>
      </c>
      <c r="GH5" s="5" t="str">
        <f>data!GH72</f>
        <v> </v>
      </c>
      <c r="GI5" s="5" t="str">
        <f>data!GI72</f>
        <v> </v>
      </c>
      <c r="GJ5" s="5" t="str">
        <f>data!GJ72</f>
        <v> </v>
      </c>
      <c r="GK5" s="5" t="str">
        <f>data!GK72</f>
        <v>3</v>
      </c>
      <c r="GL5" s="5" t="str">
        <f>data!GL72</f>
        <v/>
      </c>
      <c r="GM5" s="5" t="str">
        <f>data!GM72</f>
        <v/>
      </c>
      <c r="GN5" s="5" t="str">
        <f>data!GN72</f>
        <v> </v>
      </c>
      <c r="GO5" s="5" t="str">
        <f>data!GO72</f>
        <v> </v>
      </c>
      <c r="GP5" s="5" t="str">
        <f>data!GP72</f>
        <v> </v>
      </c>
      <c r="GQ5" s="5" t="str">
        <f>data!GQ72</f>
        <v> </v>
      </c>
      <c r="GR5" s="5" t="str">
        <f>data!GR72</f>
        <v> </v>
      </c>
      <c r="GS5" s="5" t="str">
        <f>data!GS72</f>
        <v> </v>
      </c>
      <c r="GT5" s="5" t="str">
        <f>data!GT72</f>
        <v> </v>
      </c>
      <c r="GU5" s="5" t="str">
        <f>data!GU72</f>
        <v> </v>
      </c>
      <c r="GV5" s="5" t="str">
        <f>data!GV72</f>
        <v> </v>
      </c>
      <c r="GW5" s="5" t="str">
        <f>data!GW72</f>
        <v> </v>
      </c>
      <c r="GX5" s="5" t="str">
        <f>data!GX72</f>
        <v> </v>
      </c>
      <c r="GY5" s="5" t="str">
        <f>data!GY72</f>
        <v> </v>
      </c>
      <c r="GZ5" s="5" t="str">
        <f>data!GZ72</f>
        <v> </v>
      </c>
      <c r="HA5" s="5" t="str">
        <f>data!HA72</f>
        <v> </v>
      </c>
      <c r="HB5" s="5" t="str">
        <f>data!HB72</f>
        <v> </v>
      </c>
      <c r="HC5" s="5" t="str">
        <f>data!HC72</f>
        <v> </v>
      </c>
      <c r="HD5" s="5" t="str">
        <f>data!HD72</f>
        <v> </v>
      </c>
      <c r="HE5" s="5" t="str">
        <f>data!HE72</f>
        <v> </v>
      </c>
      <c r="HF5" s="5" t="str">
        <f>data!HF72</f>
        <v> </v>
      </c>
      <c r="HG5" s="5" t="str">
        <f>data!HG72</f>
        <v> </v>
      </c>
      <c r="HH5" s="5" t="str">
        <f>data!HH72</f>
        <v> </v>
      </c>
      <c r="HI5" s="5" t="str">
        <f>data!HI72</f>
        <v> </v>
      </c>
      <c r="HJ5" s="5" t="str">
        <f>data!HJ72</f>
        <v> </v>
      </c>
      <c r="HK5" s="5" t="str">
        <f>data!HK72</f>
        <v> </v>
      </c>
      <c r="HL5" s="5" t="str">
        <f>data!HL72</f>
        <v> </v>
      </c>
      <c r="HM5" s="5" t="str">
        <f>data!HM72</f>
        <v> </v>
      </c>
      <c r="HN5" s="5" t="str">
        <f>data!HN72</f>
        <v> </v>
      </c>
      <c r="HO5" s="5" t="str">
        <f>data!HO72</f>
        <v> </v>
      </c>
      <c r="HP5" s="5" t="str">
        <f>data!HP72</f>
        <v> </v>
      </c>
      <c r="HQ5" s="5" t="str">
        <f>data!HQ72</f>
        <v> </v>
      </c>
      <c r="HR5" s="5" t="str">
        <f>data!HR72</f>
        <v> </v>
      </c>
      <c r="HS5" s="5" t="str">
        <f>data!HS72</f>
        <v> </v>
      </c>
      <c r="HT5" s="5" t="str">
        <f>data!HT72</f>
        <v> </v>
      </c>
      <c r="HU5" s="5" t="str">
        <f>data!HU72</f>
        <v> </v>
      </c>
      <c r="HV5" s="5" t="str">
        <f>data!HV72</f>
        <v> </v>
      </c>
      <c r="HW5" s="5" t="str">
        <f>data!HW72</f>
        <v> </v>
      </c>
      <c r="HX5" s="5" t="str">
        <f>data!HX72</f>
        <v> </v>
      </c>
      <c r="HY5" s="5" t="str">
        <f>data!HY72</f>
        <v> </v>
      </c>
      <c r="HZ5" s="5" t="str">
        <f>data!HZ72</f>
        <v> </v>
      </c>
      <c r="IA5" s="5" t="str">
        <f>data!IA72</f>
        <v> </v>
      </c>
      <c r="IB5" s="5" t="str">
        <f>data!IB72</f>
        <v> </v>
      </c>
      <c r="IC5" s="5" t="str">
        <f>data!IC72</f>
        <v> </v>
      </c>
      <c r="ID5" s="5" t="str">
        <f>data!ID72</f>
        <v> </v>
      </c>
      <c r="IE5" s="5" t="str">
        <f>data!IE72</f>
        <v> </v>
      </c>
      <c r="IF5" s="5" t="str">
        <f>data!IF72</f>
        <v> </v>
      </c>
      <c r="IG5" s="5" t="str">
        <f>data!IG72</f>
        <v> </v>
      </c>
      <c r="IH5" s="5" t="str">
        <f>data!IH72</f>
        <v> </v>
      </c>
      <c r="II5" s="5" t="str">
        <f>data!II72</f>
        <v> </v>
      </c>
      <c r="IJ5" s="5" t="str">
        <f>data!IJ72</f>
        <v> </v>
      </c>
      <c r="IK5" s="5" t="str">
        <f>data!IK72</f>
        <v> </v>
      </c>
      <c r="IL5" s="5" t="str">
        <f>data!IL72</f>
        <v> </v>
      </c>
      <c r="IM5" s="5" t="str">
        <f>data!IM72</f>
        <v> </v>
      </c>
      <c r="IN5" s="5" t="str">
        <f>data!IN72</f>
        <v> </v>
      </c>
      <c r="IO5" s="5" t="str">
        <f>data!IO72</f>
        <v> </v>
      </c>
      <c r="IP5" s="5" t="str">
        <f>data!IP72</f>
        <v> </v>
      </c>
      <c r="IQ5" s="5" t="str">
        <f>data!IQ72</f>
        <v> </v>
      </c>
      <c r="IR5" s="5" t="str">
        <f>data!IR72</f>
        <v> </v>
      </c>
      <c r="IS5" s="5" t="str">
        <f>data!IS72</f>
        <v> </v>
      </c>
      <c r="IT5" s="5" t="str">
        <f>data!IT72</f>
        <v> </v>
      </c>
      <c r="IU5" s="5" t="str">
        <f>data!IU72</f>
        <v> </v>
      </c>
      <c r="IV5" s="5" t="str">
        <f>data!IV72</f>
        <v> </v>
      </c>
      <c r="IW5" s="5" t="str">
        <f>data!IW72</f>
        <v> </v>
      </c>
      <c r="IX5" s="5" t="str">
        <f>data!IX72</f>
        <v> </v>
      </c>
      <c r="IY5" s="5" t="str">
        <f>data!IY72</f>
        <v> </v>
      </c>
      <c r="IZ5" s="5" t="str">
        <f>data!IZ72</f>
        <v> </v>
      </c>
      <c r="JA5" s="5" t="str">
        <f>data!JA72</f>
        <v> </v>
      </c>
      <c r="JB5" s="5" t="str">
        <f>data!JB72</f>
        <v> </v>
      </c>
      <c r="JC5" s="5" t="str">
        <f>data!JC72</f>
        <v> </v>
      </c>
      <c r="JD5" s="5" t="str">
        <f>data!JD72</f>
        <v> </v>
      </c>
      <c r="JE5" s="5" t="str">
        <f>data!JE72</f>
        <v> </v>
      </c>
    </row>
    <row r="6" ht="22.5" customHeight="1">
      <c r="A6" s="4" t="str">
        <f>data!A73</f>
        <v>Английский язык</v>
      </c>
      <c r="B6" s="5" t="str">
        <f>data!B73</f>
        <v/>
      </c>
      <c r="C6" s="5" t="str">
        <f>data!C73</f>
        <v>5</v>
      </c>
      <c r="D6" s="5" t="str">
        <f>data!D73</f>
        <v/>
      </c>
      <c r="E6" s="5" t="str">
        <f>data!E73</f>
        <v>2</v>
      </c>
      <c r="F6" s="5" t="str">
        <f>data!F73</f>
        <v> </v>
      </c>
      <c r="G6" s="5" t="str">
        <f>data!G73</f>
        <v> </v>
      </c>
      <c r="H6" s="5" t="str">
        <f>data!H73</f>
        <v> </v>
      </c>
      <c r="I6" s="5" t="str">
        <f>data!I73</f>
        <v/>
      </c>
      <c r="J6" s="5" t="str">
        <f>data!J73</f>
        <v>5</v>
      </c>
      <c r="K6" s="5" t="str">
        <f>data!K73</f>
        <v/>
      </c>
      <c r="L6" s="5" t="str">
        <f>data!L73</f>
        <v/>
      </c>
      <c r="M6" s="5" t="str">
        <f>data!M73</f>
        <v> </v>
      </c>
      <c r="N6" s="5" t="str">
        <f>data!N73</f>
        <v> </v>
      </c>
      <c r="O6" s="5" t="str">
        <f>data!O73</f>
        <v> </v>
      </c>
      <c r="P6" s="5" t="str">
        <f>data!P73</f>
        <v> </v>
      </c>
      <c r="Q6" s="5" t="str">
        <f>data!Q73</f>
        <v/>
      </c>
      <c r="R6" s="5" t="str">
        <f>data!R73</f>
        <v/>
      </c>
      <c r="S6" s="5" t="str">
        <f>data!S73</f>
        <v>4</v>
      </c>
      <c r="T6" s="5" t="str">
        <f>data!T73</f>
        <v>3</v>
      </c>
      <c r="U6" s="5" t="str">
        <f>data!U73</f>
        <v> </v>
      </c>
      <c r="V6" s="5" t="str">
        <f>data!V73</f>
        <v> </v>
      </c>
      <c r="W6" s="5" t="str">
        <f>data!W73</f>
        <v> </v>
      </c>
      <c r="X6" s="5" t="str">
        <f>data!X73</f>
        <v/>
      </c>
      <c r="Y6" s="5" t="str">
        <f>data!Y73</f>
        <v>3</v>
      </c>
      <c r="Z6" s="5" t="str">
        <f>data!Z73</f>
        <v>3</v>
      </c>
      <c r="AA6" s="5" t="str">
        <f>data!AA73</f>
        <v/>
      </c>
      <c r="AB6" s="5" t="str">
        <f>data!AB73</f>
        <v> </v>
      </c>
      <c r="AC6" s="5" t="str">
        <f>data!AC73</f>
        <v> </v>
      </c>
      <c r="AD6" s="5" t="str">
        <f>data!AD73</f>
        <v> </v>
      </c>
      <c r="AE6" s="5" t="str">
        <f>data!AE73</f>
        <v> </v>
      </c>
      <c r="AF6" s="5" t="str">
        <f>data!AF73</f>
        <v>3</v>
      </c>
      <c r="AG6" s="5" t="str">
        <f>data!AG73</f>
        <v>5</v>
      </c>
      <c r="AH6" s="5" t="str">
        <f>data!AH73</f>
        <v/>
      </c>
      <c r="AI6" s="5" t="str">
        <f>data!AI73</f>
        <v> </v>
      </c>
      <c r="AJ6" s="5" t="str">
        <f>data!AJ73</f>
        <v> </v>
      </c>
      <c r="AK6" s="5" t="str">
        <f>data!AK73</f>
        <v/>
      </c>
      <c r="AL6" s="5" t="str">
        <f>data!AL73</f>
        <v/>
      </c>
      <c r="AM6" s="5" t="str">
        <f>data!AM73</f>
        <v>5</v>
      </c>
      <c r="AN6" s="5" t="str">
        <f>data!AN73</f>
        <v/>
      </c>
      <c r="AO6" s="5" t="str">
        <f>data!AO73</f>
        <v> </v>
      </c>
      <c r="AP6" s="5" t="str">
        <f>data!AP73</f>
        <v> </v>
      </c>
      <c r="AQ6" s="5" t="str">
        <f>data!AQ73</f>
        <v> </v>
      </c>
      <c r="AR6" s="5" t="str">
        <f>data!AR73</f>
        <v/>
      </c>
      <c r="AS6" s="5" t="str">
        <f>data!AS73</f>
        <v/>
      </c>
      <c r="AT6" s="5" t="str">
        <f>data!AT73</f>
        <v>4</v>
      </c>
      <c r="AU6" s="5" t="str">
        <f>data!AU73</f>
        <v>4</v>
      </c>
      <c r="AV6" s="5" t="str">
        <f>data!AV73</f>
        <v> </v>
      </c>
      <c r="AW6" s="5" t="str">
        <f>data!AW73</f>
        <v> </v>
      </c>
      <c r="AX6" s="5" t="str">
        <f>data!AX73</f>
        <v> </v>
      </c>
      <c r="AY6" s="5" t="str">
        <f>data!AY73</f>
        <v>5</v>
      </c>
      <c r="AZ6" s="5" t="str">
        <f>data!AZ73</f>
        <v/>
      </c>
      <c r="BA6" s="5" t="str">
        <f>data!BA73</f>
        <v>5</v>
      </c>
      <c r="BB6" s="5" t="str">
        <f>data!BB73</f>
        <v>4</v>
      </c>
      <c r="BC6" s="5" t="str">
        <f>data!BC73</f>
        <v> </v>
      </c>
      <c r="BD6" s="5" t="str">
        <f>data!BD73</f>
        <v> </v>
      </c>
      <c r="BE6" s="5" t="str">
        <f>data!BE73</f>
        <v> </v>
      </c>
      <c r="BF6" s="5" t="str">
        <f>data!BF73</f>
        <v/>
      </c>
      <c r="BG6" s="5" t="str">
        <f>data!BG73</f>
        <v/>
      </c>
      <c r="BH6" s="5" t="str">
        <f>data!BH73</f>
        <v/>
      </c>
      <c r="BI6" s="5" t="str">
        <f>data!BI73</f>
        <v>4</v>
      </c>
      <c r="BJ6" s="5" t="str">
        <f>data!BJ73</f>
        <v> </v>
      </c>
      <c r="BK6" s="5" t="str">
        <f>data!BK73</f>
        <v> </v>
      </c>
      <c r="BL6" s="5" t="str">
        <f>data!BL73</f>
        <v> </v>
      </c>
      <c r="BM6" s="5" t="str">
        <f>data!BM73</f>
        <v> </v>
      </c>
      <c r="BN6" s="5" t="str">
        <f>data!BN73</f>
        <v> </v>
      </c>
      <c r="BO6" s="5" t="str">
        <f>data!BO73</f>
        <v> </v>
      </c>
      <c r="BP6" s="5" t="str">
        <f>data!BP73</f>
        <v> </v>
      </c>
      <c r="BQ6" s="5" t="str">
        <f>data!BQ73</f>
        <v> </v>
      </c>
      <c r="BR6" s="5" t="str">
        <f>data!BR73</f>
        <v> </v>
      </c>
      <c r="BS6" s="5" t="str">
        <f>data!BS73</f>
        <v> </v>
      </c>
      <c r="BT6" s="5" t="str">
        <f>data!BT73</f>
        <v> </v>
      </c>
      <c r="BU6" s="5" t="str">
        <f>data!BU73</f>
        <v>2</v>
      </c>
      <c r="BV6" s="5" t="str">
        <f>data!BV73</f>
        <v/>
      </c>
      <c r="BW6" s="5" t="str">
        <f>data!BW73</f>
        <v>4</v>
      </c>
      <c r="BX6" s="5" t="str">
        <f>data!BX73</f>
        <v/>
      </c>
      <c r="BY6" s="5" t="str">
        <f>data!BY73</f>
        <v> </v>
      </c>
      <c r="BZ6" s="5" t="str">
        <f>data!BZ73</f>
        <v> </v>
      </c>
      <c r="CA6" s="5" t="str">
        <f>data!CA73</f>
        <v> </v>
      </c>
      <c r="CB6" s="5" t="str">
        <f>data!CB73</f>
        <v/>
      </c>
      <c r="CC6" s="5" t="str">
        <f>data!CC73</f>
        <v/>
      </c>
      <c r="CD6" s="5" t="str">
        <f>data!CD73</f>
        <v/>
      </c>
      <c r="CE6" s="5" t="str">
        <f>data!CE73</f>
        <v>н</v>
      </c>
      <c r="CF6" s="5" t="str">
        <f>data!CF73</f>
        <v> </v>
      </c>
      <c r="CG6" s="5" t="str">
        <f>data!CG73</f>
        <v> </v>
      </c>
      <c r="CH6" s="5" t="str">
        <f>data!CH73</f>
        <v> </v>
      </c>
      <c r="CI6" s="5" t="str">
        <f>data!CI73</f>
        <v/>
      </c>
      <c r="CJ6" s="5" t="str">
        <f>data!CJ73</f>
        <v/>
      </c>
      <c r="CK6" s="5" t="str">
        <f>data!CK73</f>
        <v>4</v>
      </c>
      <c r="CL6" s="5" t="str">
        <f>data!CL73</f>
        <v/>
      </c>
      <c r="CM6" s="5" t="str">
        <f>data!CM73</f>
        <v> </v>
      </c>
      <c r="CN6" s="5" t="str">
        <f>data!CN73</f>
        <v> </v>
      </c>
      <c r="CO6" s="5" t="str">
        <f>data!CO73</f>
        <v>5</v>
      </c>
      <c r="CP6" s="5" t="str">
        <f>data!CP73</f>
        <v>4</v>
      </c>
      <c r="CQ6" s="5" t="str">
        <f>data!CQ73</f>
        <v/>
      </c>
      <c r="CR6" s="5" t="str">
        <f>data!CR73</f>
        <v/>
      </c>
      <c r="CS6" s="5" t="str">
        <f>data!CS73</f>
        <v> </v>
      </c>
      <c r="CT6" s="5" t="str">
        <f>data!CT73</f>
        <v> </v>
      </c>
      <c r="CU6" s="5" t="str">
        <f>data!CU73</f>
        <v> </v>
      </c>
      <c r="CV6" s="5" t="str">
        <f>data!CV73</f>
        <v> </v>
      </c>
      <c r="CW6" s="5" t="str">
        <f>data!CW73</f>
        <v/>
      </c>
      <c r="CX6" s="5" t="str">
        <f>data!CX73</f>
        <v>5</v>
      </c>
      <c r="CY6" s="5" t="str">
        <f>data!CY73</f>
        <v/>
      </c>
      <c r="CZ6" s="5" t="str">
        <f>data!CZ73</f>
        <v/>
      </c>
      <c r="DA6" s="5" t="str">
        <f>data!DA73</f>
        <v> </v>
      </c>
      <c r="DB6" s="5" t="str">
        <f>data!DB73</f>
        <v> </v>
      </c>
      <c r="DC6" s="5" t="str">
        <f>data!DC73</f>
        <v> </v>
      </c>
      <c r="DD6" s="5" t="str">
        <f>data!DD73</f>
        <v/>
      </c>
      <c r="DE6" s="5" t="str">
        <f>data!DE73</f>
        <v/>
      </c>
      <c r="DF6" s="5" t="str">
        <f>data!DF73</f>
        <v>н</v>
      </c>
      <c r="DG6" s="5" t="str">
        <f>data!DG73</f>
        <v/>
      </c>
      <c r="DH6" s="5" t="str">
        <f>data!DH73</f>
        <v> </v>
      </c>
      <c r="DI6" s="5" t="str">
        <f>data!DI73</f>
        <v> </v>
      </c>
      <c r="DJ6" s="5" t="str">
        <f>data!DJ73</f>
        <v> </v>
      </c>
      <c r="DK6" s="5" t="str">
        <f>data!DK73</f>
        <v/>
      </c>
      <c r="DL6" s="5" t="str">
        <f>data!DL73</f>
        <v/>
      </c>
      <c r="DM6" s="5" t="str">
        <f>data!DM73</f>
        <v/>
      </c>
      <c r="DN6" s="5" t="str">
        <f>data!DN73</f>
        <v>4</v>
      </c>
      <c r="DO6" s="5" t="str">
        <f>data!DO73</f>
        <v> </v>
      </c>
      <c r="DP6" s="5" t="str">
        <f>data!DP73</f>
        <v> </v>
      </c>
      <c r="DQ6" s="5" t="str">
        <f>data!DQ73</f>
        <v> </v>
      </c>
      <c r="DR6" s="5" t="str">
        <f>data!DR73</f>
        <v> </v>
      </c>
      <c r="DS6" s="5" t="str">
        <f>data!DS73</f>
        <v> </v>
      </c>
      <c r="DT6" s="5" t="str">
        <f>data!DT73</f>
        <v> </v>
      </c>
      <c r="DU6" s="5" t="str">
        <f>data!DU73</f>
        <v> </v>
      </c>
      <c r="DV6" s="5" t="str">
        <f>data!DV73</f>
        <v> </v>
      </c>
      <c r="DW6" s="5" t="str">
        <f>data!DW73</f>
        <v> </v>
      </c>
      <c r="DX6" s="5" t="str">
        <f>data!DX73</f>
        <v> </v>
      </c>
      <c r="DY6" s="5" t="str">
        <f>data!DY73</f>
        <v> </v>
      </c>
      <c r="DZ6" s="5" t="str">
        <f>data!DZ73</f>
        <v> </v>
      </c>
      <c r="EA6" s="5" t="str">
        <f>data!EA73</f>
        <v> </v>
      </c>
      <c r="EB6" s="5" t="str">
        <f>data!EB73</f>
        <v> </v>
      </c>
      <c r="EC6" s="5" t="str">
        <f>data!EC73</f>
        <v> </v>
      </c>
      <c r="ED6" s="5" t="str">
        <f>data!ED73</f>
        <v> </v>
      </c>
      <c r="EE6" s="5" t="str">
        <f>data!EE73</f>
        <v> </v>
      </c>
      <c r="EF6" s="5" t="str">
        <f>data!EF73</f>
        <v/>
      </c>
      <c r="EG6" s="5" t="str">
        <f>data!EG73</f>
        <v>5</v>
      </c>
      <c r="EH6" s="5" t="str">
        <f>data!EH73</f>
        <v>н</v>
      </c>
      <c r="EI6" s="5" t="str">
        <f>data!EI73</f>
        <v> </v>
      </c>
      <c r="EJ6" s="5" t="str">
        <f>data!EJ73</f>
        <v> </v>
      </c>
      <c r="EK6" s="5" t="str">
        <f>data!EK73</f>
        <v> </v>
      </c>
      <c r="EL6" s="5" t="str">
        <f>data!EL73</f>
        <v> </v>
      </c>
      <c r="EM6" s="5" t="str">
        <f>data!EM73</f>
        <v>5</v>
      </c>
      <c r="EN6" s="5" t="str">
        <f>data!EN73</f>
        <v>3</v>
      </c>
      <c r="EO6" s="5" t="str">
        <f>data!EO73</f>
        <v/>
      </c>
      <c r="EP6" s="5" t="str">
        <f>data!EP73</f>
        <v> </v>
      </c>
      <c r="EQ6" s="5" t="str">
        <f>data!EQ73</f>
        <v> </v>
      </c>
      <c r="ER6" s="5" t="str">
        <f>data!ER73</f>
        <v> </v>
      </c>
      <c r="ES6" s="5" t="str">
        <f>data!ES73</f>
        <v> </v>
      </c>
      <c r="ET6" s="5" t="str">
        <f>data!ET73</f>
        <v/>
      </c>
      <c r="EU6" s="5" t="str">
        <f>data!EU73</f>
        <v/>
      </c>
      <c r="EV6" s="5" t="str">
        <f>data!EV73</f>
        <v>5/5</v>
      </c>
      <c r="EW6" s="5" t="str">
        <f>data!EW73</f>
        <v> </v>
      </c>
      <c r="EX6" s="5" t="str">
        <f>data!EX73</f>
        <v> </v>
      </c>
      <c r="EY6" s="5" t="str">
        <f>data!EY73</f>
        <v> </v>
      </c>
      <c r="EZ6" s="5" t="str">
        <f>data!EZ73</f>
        <v> </v>
      </c>
      <c r="FA6" s="5" t="str">
        <f>data!FA73</f>
        <v/>
      </c>
      <c r="FB6" s="5" t="str">
        <f>data!FB73</f>
        <v/>
      </c>
      <c r="FC6" s="5" t="str">
        <f>data!FC73</f>
        <v>4</v>
      </c>
      <c r="FD6" s="5" t="str">
        <f>data!FD73</f>
        <v> </v>
      </c>
      <c r="FE6" s="5" t="str">
        <f>data!FE73</f>
        <v> </v>
      </c>
      <c r="FF6" s="5" t="str">
        <f>data!FF73</f>
        <v> </v>
      </c>
      <c r="FG6" s="5" t="str">
        <f>data!FG73</f>
        <v> </v>
      </c>
      <c r="FH6" s="5" t="str">
        <f>data!FH73</f>
        <v/>
      </c>
      <c r="FI6" s="5" t="str">
        <f>data!FI73</f>
        <v>2</v>
      </c>
      <c r="FJ6" s="5" t="str">
        <f>data!FJ73</f>
        <v>.</v>
      </c>
      <c r="FK6" s="5" t="str">
        <f>data!FK73</f>
        <v> </v>
      </c>
      <c r="FL6" s="5" t="str">
        <f>data!FL73</f>
        <v> </v>
      </c>
      <c r="FM6" s="5" t="str">
        <f>data!FM73</f>
        <v> </v>
      </c>
      <c r="FN6" s="5" t="str">
        <f>data!FN73</f>
        <v> </v>
      </c>
      <c r="FO6" s="5" t="str">
        <f>data!FO73</f>
        <v>4</v>
      </c>
      <c r="FP6" s="5" t="str">
        <f>data!FP73</f>
        <v/>
      </c>
      <c r="FQ6" s="5" t="str">
        <f>data!FQ73</f>
        <v/>
      </c>
      <c r="FR6" s="5" t="str">
        <f>data!FR73</f>
        <v> </v>
      </c>
      <c r="FS6" s="5" t="str">
        <f>data!FS73</f>
        <v> </v>
      </c>
      <c r="FT6" s="5" t="str">
        <f>data!FT73</f>
        <v> </v>
      </c>
      <c r="FU6" s="5" t="str">
        <f>data!FU73</f>
        <v> </v>
      </c>
      <c r="FV6" s="5" t="str">
        <f>data!FV73</f>
        <v>н</v>
      </c>
      <c r="FW6" s="5" t="str">
        <f>data!FW73</f>
        <v/>
      </c>
      <c r="FX6" s="5" t="str">
        <f>data!FX73</f>
        <v>.</v>
      </c>
      <c r="FY6" s="5" t="str">
        <f>data!FY73</f>
        <v> </v>
      </c>
      <c r="FZ6" s="5" t="str">
        <f>data!FZ73</f>
        <v> </v>
      </c>
      <c r="GA6" s="5" t="str">
        <f>data!GA73</f>
        <v> </v>
      </c>
      <c r="GB6" s="5" t="str">
        <f>data!GB73</f>
        <v> </v>
      </c>
      <c r="GC6" s="5" t="str">
        <f>data!GC73</f>
        <v>3</v>
      </c>
      <c r="GD6" s="5" t="str">
        <f>data!GD73</f>
        <v/>
      </c>
      <c r="GE6" s="5" t="str">
        <f>data!GE73</f>
        <v>4</v>
      </c>
      <c r="GF6" s="5" t="str">
        <f>data!GF73</f>
        <v> </v>
      </c>
      <c r="GG6" s="5" t="str">
        <f>data!GG73</f>
        <v> </v>
      </c>
      <c r="GH6" s="5" t="str">
        <f>data!GH73</f>
        <v> </v>
      </c>
      <c r="GI6" s="5" t="str">
        <f>data!GI73</f>
        <v> </v>
      </c>
      <c r="GJ6" s="5" t="str">
        <f>data!GJ73</f>
        <v/>
      </c>
      <c r="GK6" s="5" t="str">
        <f>data!GK73</f>
        <v>дз</v>
      </c>
      <c r="GL6" s="5" t="str">
        <f>data!GL73</f>
        <v/>
      </c>
      <c r="GM6" s="5" t="str">
        <f>data!GM73</f>
        <v> </v>
      </c>
      <c r="GN6" s="5" t="str">
        <f>data!GN73</f>
        <v> </v>
      </c>
      <c r="GO6" s="5" t="str">
        <f>data!GO73</f>
        <v> </v>
      </c>
      <c r="GP6" s="5" t="str">
        <f>data!GP73</f>
        <v> </v>
      </c>
      <c r="GQ6" s="5" t="str">
        <f>data!GQ73</f>
        <v/>
      </c>
      <c r="GR6" s="5" t="str">
        <f>data!GR73</f>
        <v>4</v>
      </c>
      <c r="GS6" s="5" t="str">
        <f>data!GS73</f>
        <v> </v>
      </c>
      <c r="GT6" s="5" t="str">
        <f>data!GT73</f>
        <v> </v>
      </c>
      <c r="GU6" s="5" t="str">
        <f>data!GU73</f>
        <v> </v>
      </c>
      <c r="GV6" s="5" t="str">
        <f>data!GV73</f>
        <v> </v>
      </c>
      <c r="GW6" s="5" t="str">
        <f>data!GW73</f>
        <v> </v>
      </c>
      <c r="GX6" s="5" t="str">
        <f>data!GX73</f>
        <v> </v>
      </c>
      <c r="GY6" s="5" t="str">
        <f>data!GY73</f>
        <v> </v>
      </c>
      <c r="GZ6" s="5" t="str">
        <f>data!GZ73</f>
        <v> </v>
      </c>
      <c r="HA6" s="5" t="str">
        <f>data!HA73</f>
        <v> </v>
      </c>
      <c r="HB6" s="5" t="str">
        <f>data!HB73</f>
        <v> </v>
      </c>
      <c r="HC6" s="5" t="str">
        <f>data!HC73</f>
        <v> </v>
      </c>
      <c r="HD6" s="5" t="str">
        <f>data!HD73</f>
        <v> </v>
      </c>
      <c r="HE6" s="5" t="str">
        <f>data!HE73</f>
        <v> </v>
      </c>
      <c r="HF6" s="5" t="str">
        <f>data!HF73</f>
        <v> </v>
      </c>
      <c r="HG6" s="5" t="str">
        <f>data!HG73</f>
        <v> </v>
      </c>
      <c r="HH6" s="5" t="str">
        <f>data!HH73</f>
        <v> </v>
      </c>
      <c r="HI6" s="5" t="str">
        <f>data!HI73</f>
        <v> </v>
      </c>
      <c r="HJ6" s="5" t="str">
        <f>data!HJ73</f>
        <v> </v>
      </c>
      <c r="HK6" s="5" t="str">
        <f>data!HK73</f>
        <v> </v>
      </c>
      <c r="HL6" s="5" t="str">
        <f>data!HL73</f>
        <v> </v>
      </c>
      <c r="HM6" s="5" t="str">
        <f>data!HM73</f>
        <v> </v>
      </c>
      <c r="HN6" s="5" t="str">
        <f>data!HN73</f>
        <v> </v>
      </c>
      <c r="HO6" s="5" t="str">
        <f>data!HO73</f>
        <v> </v>
      </c>
      <c r="HP6" s="5" t="str">
        <f>data!HP73</f>
        <v> </v>
      </c>
      <c r="HQ6" s="5" t="str">
        <f>data!HQ73</f>
        <v> </v>
      </c>
      <c r="HR6" s="5" t="str">
        <f>data!HR73</f>
        <v> </v>
      </c>
      <c r="HS6" s="5" t="str">
        <f>data!HS73</f>
        <v> </v>
      </c>
      <c r="HT6" s="5" t="str">
        <f>data!HT73</f>
        <v> </v>
      </c>
      <c r="HU6" s="5" t="str">
        <f>data!HU73</f>
        <v> </v>
      </c>
      <c r="HV6" s="5" t="str">
        <f>data!HV73</f>
        <v> </v>
      </c>
      <c r="HW6" s="5" t="str">
        <f>data!HW73</f>
        <v> </v>
      </c>
      <c r="HX6" s="5" t="str">
        <f>data!HX73</f>
        <v> </v>
      </c>
      <c r="HY6" s="5" t="str">
        <f>data!HY73</f>
        <v> </v>
      </c>
      <c r="HZ6" s="5" t="str">
        <f>data!HZ73</f>
        <v> </v>
      </c>
      <c r="IA6" s="5" t="str">
        <f>data!IA73</f>
        <v> </v>
      </c>
      <c r="IB6" s="5" t="str">
        <f>data!IB73</f>
        <v> </v>
      </c>
      <c r="IC6" s="5" t="str">
        <f>data!IC73</f>
        <v> </v>
      </c>
      <c r="ID6" s="5" t="str">
        <f>data!ID73</f>
        <v> </v>
      </c>
      <c r="IE6" s="5" t="str">
        <f>data!IE73</f>
        <v> </v>
      </c>
      <c r="IF6" s="5" t="str">
        <f>data!IF73</f>
        <v> </v>
      </c>
      <c r="IG6" s="5" t="str">
        <f>data!IG73</f>
        <v> </v>
      </c>
      <c r="IH6" s="5" t="str">
        <f>data!IH73</f>
        <v> </v>
      </c>
      <c r="II6" s="5" t="str">
        <f>data!II73</f>
        <v> </v>
      </c>
      <c r="IJ6" s="5" t="str">
        <f>data!IJ73</f>
        <v> </v>
      </c>
      <c r="IK6" s="5" t="str">
        <f>data!IK73</f>
        <v> </v>
      </c>
      <c r="IL6" s="5" t="str">
        <f>data!IL73</f>
        <v> </v>
      </c>
      <c r="IM6" s="5" t="str">
        <f>data!IM73</f>
        <v> </v>
      </c>
      <c r="IN6" s="5" t="str">
        <f>data!IN73</f>
        <v> </v>
      </c>
      <c r="IO6" s="5" t="str">
        <f>data!IO73</f>
        <v> </v>
      </c>
      <c r="IP6" s="5" t="str">
        <f>data!IP73</f>
        <v> </v>
      </c>
      <c r="IQ6" s="5" t="str">
        <f>data!IQ73</f>
        <v> </v>
      </c>
      <c r="IR6" s="5" t="str">
        <f>data!IR73</f>
        <v> </v>
      </c>
      <c r="IS6" s="5" t="str">
        <f>data!IS73</f>
        <v> </v>
      </c>
      <c r="IT6" s="5" t="str">
        <f>data!IT73</f>
        <v> </v>
      </c>
      <c r="IU6" s="5" t="str">
        <f>data!IU73</f>
        <v> </v>
      </c>
      <c r="IV6" s="5" t="str">
        <f>data!IV73</f>
        <v> </v>
      </c>
      <c r="IW6" s="5" t="str">
        <f>data!IW73</f>
        <v> </v>
      </c>
      <c r="IX6" s="5" t="str">
        <f>data!IX73</f>
        <v> </v>
      </c>
      <c r="IY6" s="5" t="str">
        <f>data!IY73</f>
        <v> </v>
      </c>
      <c r="IZ6" s="5" t="str">
        <f>data!IZ73</f>
        <v> </v>
      </c>
      <c r="JA6" s="5" t="str">
        <f>data!JA73</f>
        <v> </v>
      </c>
      <c r="JB6" s="5" t="str">
        <f>data!JB73</f>
        <v> </v>
      </c>
      <c r="JC6" s="5" t="str">
        <f>data!JC73</f>
        <v> </v>
      </c>
      <c r="JD6" s="5" t="str">
        <f>data!JD73</f>
        <v> </v>
      </c>
      <c r="JE6" s="5" t="str">
        <f>data!JE73</f>
        <v> </v>
      </c>
    </row>
    <row r="7" ht="22.5" customHeight="1">
      <c r="A7" s="4" t="str">
        <f>data!A74</f>
        <v>История</v>
      </c>
      <c r="B7" s="5" t="str">
        <f>data!B74</f>
        <v/>
      </c>
      <c r="C7" s="5" t="str">
        <f>data!C74</f>
        <v> </v>
      </c>
      <c r="D7" s="5" t="str">
        <f>data!D74</f>
        <v> </v>
      </c>
      <c r="E7" s="5" t="str">
        <f>data!E74</f>
        <v> </v>
      </c>
      <c r="F7" s="5" t="str">
        <f>data!F74</f>
        <v> </v>
      </c>
      <c r="G7" s="5" t="str">
        <f>data!G74</f>
        <v> </v>
      </c>
      <c r="H7" s="5" t="str">
        <f>data!H74</f>
        <v/>
      </c>
      <c r="I7" s="5" t="str">
        <f>data!I74</f>
        <v/>
      </c>
      <c r="J7" s="5" t="str">
        <f>data!J74</f>
        <v> </v>
      </c>
      <c r="K7" s="5" t="str">
        <f>data!K74</f>
        <v> </v>
      </c>
      <c r="L7" s="5" t="str">
        <f>data!L74</f>
        <v> </v>
      </c>
      <c r="M7" s="5" t="str">
        <f>data!M74</f>
        <v> </v>
      </c>
      <c r="N7" s="5" t="str">
        <f>data!N74</f>
        <v> </v>
      </c>
      <c r="O7" s="5" t="str">
        <f>data!O74</f>
        <v/>
      </c>
      <c r="P7" s="5" t="str">
        <f>data!P74</f>
        <v>2</v>
      </c>
      <c r="Q7" s="5" t="str">
        <f>data!Q74</f>
        <v> </v>
      </c>
      <c r="R7" s="5" t="str">
        <f>data!R74</f>
        <v> </v>
      </c>
      <c r="S7" s="5" t="str">
        <f>data!S74</f>
        <v> </v>
      </c>
      <c r="T7" s="5" t="str">
        <f>data!T74</f>
        <v> </v>
      </c>
      <c r="U7" s="5" t="str">
        <f>data!U74</f>
        <v> </v>
      </c>
      <c r="V7" s="5" t="str">
        <f>data!V74</f>
        <v>5</v>
      </c>
      <c r="W7" s="5" t="str">
        <f>data!W74</f>
        <v>5</v>
      </c>
      <c r="X7" s="5" t="str">
        <f>data!X74</f>
        <v> </v>
      </c>
      <c r="Y7" s="5" t="str">
        <f>data!Y74</f>
        <v> </v>
      </c>
      <c r="Z7" s="5" t="str">
        <f>data!Z74</f>
        <v> </v>
      </c>
      <c r="AA7" s="5" t="str">
        <f>data!AA74</f>
        <v> </v>
      </c>
      <c r="AB7" s="5" t="str">
        <f>data!AB74</f>
        <v> </v>
      </c>
      <c r="AC7" s="5" t="str">
        <f>data!AC74</f>
        <v>5</v>
      </c>
      <c r="AD7" s="5" t="str">
        <f>data!AD74</f>
        <v/>
      </c>
      <c r="AE7" s="5" t="str">
        <f>data!AE74</f>
        <v> </v>
      </c>
      <c r="AF7" s="5" t="str">
        <f>data!AF74</f>
        <v> </v>
      </c>
      <c r="AG7" s="5" t="str">
        <f>data!AG74</f>
        <v> </v>
      </c>
      <c r="AH7" s="5" t="str">
        <f>data!AH74</f>
        <v> </v>
      </c>
      <c r="AI7" s="5" t="str">
        <f>data!AI74</f>
        <v> </v>
      </c>
      <c r="AJ7" s="5" t="str">
        <f>data!AJ74</f>
        <v/>
      </c>
      <c r="AK7" s="5" t="str">
        <f>data!AK74</f>
        <v>4</v>
      </c>
      <c r="AL7" s="5" t="str">
        <f>data!AL74</f>
        <v> </v>
      </c>
      <c r="AM7" s="5" t="str">
        <f>data!AM74</f>
        <v> </v>
      </c>
      <c r="AN7" s="5" t="str">
        <f>data!AN74</f>
        <v> </v>
      </c>
      <c r="AO7" s="5" t="str">
        <f>data!AO74</f>
        <v> </v>
      </c>
      <c r="AP7" s="5" t="str">
        <f>data!AP74</f>
        <v> </v>
      </c>
      <c r="AQ7" s="5" t="str">
        <f>data!AQ74</f>
        <v/>
      </c>
      <c r="AR7" s="5" t="str">
        <f>data!AR74</f>
        <v/>
      </c>
      <c r="AS7" s="5" t="str">
        <f>data!AS74</f>
        <v> </v>
      </c>
      <c r="AT7" s="5" t="str">
        <f>data!AT74</f>
        <v> </v>
      </c>
      <c r="AU7" s="5" t="str">
        <f>data!AU74</f>
        <v> </v>
      </c>
      <c r="AV7" s="5" t="str">
        <f>data!AV74</f>
        <v> </v>
      </c>
      <c r="AW7" s="5" t="str">
        <f>data!AW74</f>
        <v> </v>
      </c>
      <c r="AX7" s="5" t="str">
        <f>data!AX74</f>
        <v/>
      </c>
      <c r="AY7" s="5" t="str">
        <f>data!AY74</f>
        <v/>
      </c>
      <c r="AZ7" s="5" t="str">
        <f>data!AZ74</f>
        <v> </v>
      </c>
      <c r="BA7" s="5" t="str">
        <f>data!BA74</f>
        <v> </v>
      </c>
      <c r="BB7" s="5" t="str">
        <f>data!BB74</f>
        <v> </v>
      </c>
      <c r="BC7" s="5" t="str">
        <f>data!BC74</f>
        <v> </v>
      </c>
      <c r="BD7" s="5" t="str">
        <f>data!BD74</f>
        <v> </v>
      </c>
      <c r="BE7" s="5" t="str">
        <f>data!BE74</f>
        <v>3</v>
      </c>
      <c r="BF7" s="5" t="str">
        <f>data!BF74</f>
        <v>2</v>
      </c>
      <c r="BG7" s="5" t="str">
        <f>data!BG74</f>
        <v> </v>
      </c>
      <c r="BH7" s="5" t="str">
        <f>data!BH74</f>
        <v> </v>
      </c>
      <c r="BI7" s="5" t="str">
        <f>data!BI74</f>
        <v> </v>
      </c>
      <c r="BJ7" s="5" t="str">
        <f>data!BJ74</f>
        <v> </v>
      </c>
      <c r="BK7" s="5" t="str">
        <f>data!BK74</f>
        <v> </v>
      </c>
      <c r="BL7" s="5" t="str">
        <f>data!BL74</f>
        <v> </v>
      </c>
      <c r="BM7" s="5" t="str">
        <f>data!BM74</f>
        <v> </v>
      </c>
      <c r="BN7" s="5" t="str">
        <f>data!BN74</f>
        <v> </v>
      </c>
      <c r="BO7" s="5" t="str">
        <f>data!BO74</f>
        <v> </v>
      </c>
      <c r="BP7" s="5" t="str">
        <f>data!BP74</f>
        <v> </v>
      </c>
      <c r="BQ7" s="5" t="str">
        <f>data!BQ74</f>
        <v> </v>
      </c>
      <c r="BR7" s="5" t="str">
        <f>data!BR74</f>
        <v> </v>
      </c>
      <c r="BS7" s="5" t="str">
        <f>data!BS74</f>
        <v/>
      </c>
      <c r="BT7" s="5" t="str">
        <f>data!BT74</f>
        <v>5</v>
      </c>
      <c r="BU7" s="5" t="str">
        <f>data!BU74</f>
        <v> </v>
      </c>
      <c r="BV7" s="5" t="str">
        <f>data!BV74</f>
        <v> </v>
      </c>
      <c r="BW7" s="5" t="str">
        <f>data!BW74</f>
        <v> </v>
      </c>
      <c r="BX7" s="5" t="str">
        <f>data!BX74</f>
        <v> </v>
      </c>
      <c r="BY7" s="5" t="str">
        <f>data!BY74</f>
        <v> </v>
      </c>
      <c r="BZ7" s="5" t="str">
        <f>data!BZ74</f>
        <v/>
      </c>
      <c r="CA7" s="5" t="str">
        <f>data!CA74</f>
        <v>-</v>
      </c>
      <c r="CB7" s="5" t="str">
        <f>data!CB74</f>
        <v> </v>
      </c>
      <c r="CC7" s="5" t="str">
        <f>data!CC74</f>
        <v> </v>
      </c>
      <c r="CD7" s="5" t="str">
        <f>data!CD74</f>
        <v> </v>
      </c>
      <c r="CE7" s="5" t="str">
        <f>data!CE74</f>
        <v> </v>
      </c>
      <c r="CF7" s="5" t="str">
        <f>data!CF74</f>
        <v> </v>
      </c>
      <c r="CG7" s="5" t="str">
        <f>data!CG74</f>
        <v/>
      </c>
      <c r="CH7" s="5" t="str">
        <f>data!CH74</f>
        <v>5</v>
      </c>
      <c r="CI7" s="5" t="str">
        <f>data!CI74</f>
        <v> </v>
      </c>
      <c r="CJ7" s="5" t="str">
        <f>data!CJ74</f>
        <v> </v>
      </c>
      <c r="CK7" s="5" t="str">
        <f>data!CK74</f>
        <v> </v>
      </c>
      <c r="CL7" s="5" t="str">
        <f>data!CL74</f>
        <v> </v>
      </c>
      <c r="CM7" s="5" t="str">
        <f>data!CM74</f>
        <v> </v>
      </c>
      <c r="CN7" s="5" t="str">
        <f>data!CN74</f>
        <v>-</v>
      </c>
      <c r="CO7" s="5" t="str">
        <f>data!CO74</f>
        <v>4</v>
      </c>
      <c r="CP7" s="5" t="str">
        <f>data!CP74</f>
        <v> </v>
      </c>
      <c r="CQ7" s="5" t="str">
        <f>data!CQ74</f>
        <v> </v>
      </c>
      <c r="CR7" s="5" t="str">
        <f>data!CR74</f>
        <v> </v>
      </c>
      <c r="CS7" s="5" t="str">
        <f>data!CS74</f>
        <v> </v>
      </c>
      <c r="CT7" s="5" t="str">
        <f>data!CT74</f>
        <v> </v>
      </c>
      <c r="CU7" s="5" t="str">
        <f>data!CU74</f>
        <v> </v>
      </c>
      <c r="CV7" s="5" t="str">
        <f>data!CV74</f>
        <v/>
      </c>
      <c r="CW7" s="5" t="str">
        <f>data!CW74</f>
        <v> </v>
      </c>
      <c r="CX7" s="5" t="str">
        <f>data!CX74</f>
        <v> </v>
      </c>
      <c r="CY7" s="5" t="str">
        <f>data!CY74</f>
        <v> </v>
      </c>
      <c r="CZ7" s="5" t="str">
        <f>data!CZ74</f>
        <v> </v>
      </c>
      <c r="DA7" s="5" t="str">
        <f>data!DA74</f>
        <v> </v>
      </c>
      <c r="DB7" s="5" t="str">
        <f>data!DB74</f>
        <v/>
      </c>
      <c r="DC7" s="5" t="str">
        <f>data!DC74</f>
        <v/>
      </c>
      <c r="DD7" s="5" t="str">
        <f>data!DD74</f>
        <v> </v>
      </c>
      <c r="DE7" s="5" t="str">
        <f>data!DE74</f>
        <v> </v>
      </c>
      <c r="DF7" s="5" t="str">
        <f>data!DF74</f>
        <v> </v>
      </c>
      <c r="DG7" s="5" t="str">
        <f>data!DG74</f>
        <v> </v>
      </c>
      <c r="DH7" s="5" t="str">
        <f>data!DH74</f>
        <v> </v>
      </c>
      <c r="DI7" s="5" t="str">
        <f>data!DI74</f>
        <v>5</v>
      </c>
      <c r="DJ7" s="5" t="str">
        <f>data!DJ74</f>
        <v>5</v>
      </c>
      <c r="DK7" s="5" t="str">
        <f>data!DK74</f>
        <v> </v>
      </c>
      <c r="DL7" s="5" t="str">
        <f>data!DL74</f>
        <v> </v>
      </c>
      <c r="DM7" s="5" t="str">
        <f>data!DM74</f>
        <v> </v>
      </c>
      <c r="DN7" s="5" t="str">
        <f>data!DN74</f>
        <v> </v>
      </c>
      <c r="DO7" s="5" t="str">
        <f>data!DO74</f>
        <v> </v>
      </c>
      <c r="DP7" s="5" t="str">
        <f>data!DP74</f>
        <v> </v>
      </c>
      <c r="DQ7" s="5" t="str">
        <f>data!DQ74</f>
        <v> </v>
      </c>
      <c r="DR7" s="5" t="str">
        <f>data!DR74</f>
        <v> </v>
      </c>
      <c r="DS7" s="5" t="str">
        <f>data!DS74</f>
        <v> </v>
      </c>
      <c r="DT7" s="5" t="str">
        <f>data!DT74</f>
        <v> </v>
      </c>
      <c r="DU7" s="5" t="str">
        <f>data!DU74</f>
        <v> </v>
      </c>
      <c r="DV7" s="5" t="str">
        <f>data!DV74</f>
        <v> </v>
      </c>
      <c r="DW7" s="5" t="str">
        <f>data!DW74</f>
        <v> </v>
      </c>
      <c r="DX7" s="5" t="str">
        <f>data!DX74</f>
        <v> </v>
      </c>
      <c r="DY7" s="5" t="str">
        <f>data!DY74</f>
        <v> </v>
      </c>
      <c r="DZ7" s="5" t="str">
        <f>data!DZ74</f>
        <v> </v>
      </c>
      <c r="EA7" s="5" t="str">
        <f>data!EA74</f>
        <v> </v>
      </c>
      <c r="EB7" s="5" t="str">
        <f>data!EB74</f>
        <v> </v>
      </c>
      <c r="EC7" s="5" t="str">
        <f>data!EC74</f>
        <v> </v>
      </c>
      <c r="ED7" s="5" t="str">
        <f>data!ED74</f>
        <v/>
      </c>
      <c r="EE7" s="5" t="str">
        <f>data!EE74</f>
        <v/>
      </c>
      <c r="EF7" s="5" t="str">
        <f>data!EF74</f>
        <v> </v>
      </c>
      <c r="EG7" s="5" t="str">
        <f>data!EG74</f>
        <v> </v>
      </c>
      <c r="EH7" s="5" t="str">
        <f>data!EH74</f>
        <v> </v>
      </c>
      <c r="EI7" s="5" t="str">
        <f>data!EI74</f>
        <v> </v>
      </c>
      <c r="EJ7" s="5" t="str">
        <f>data!EJ74</f>
        <v> </v>
      </c>
      <c r="EK7" s="5" t="str">
        <f>data!EK74</f>
        <v/>
      </c>
      <c r="EL7" s="5" t="str">
        <f>data!EL74</f>
        <v>2</v>
      </c>
      <c r="EM7" s="5" t="str">
        <f>data!EM74</f>
        <v> </v>
      </c>
      <c r="EN7" s="5" t="str">
        <f>data!EN74</f>
        <v> </v>
      </c>
      <c r="EO7" s="5" t="str">
        <f>data!EO74</f>
        <v> </v>
      </c>
      <c r="EP7" s="5" t="str">
        <f>data!EP74</f>
        <v> </v>
      </c>
      <c r="EQ7" s="5" t="str">
        <f>data!EQ74</f>
        <v> </v>
      </c>
      <c r="ER7" s="5" t="str">
        <f>data!ER74</f>
        <v/>
      </c>
      <c r="ES7" s="5" t="str">
        <f>data!ES74</f>
        <v/>
      </c>
      <c r="ET7" s="5" t="str">
        <f>data!ET74</f>
        <v> </v>
      </c>
      <c r="EU7" s="5" t="str">
        <f>data!EU74</f>
        <v> </v>
      </c>
      <c r="EV7" s="5" t="str">
        <f>data!EV74</f>
        <v> </v>
      </c>
      <c r="EW7" s="5" t="str">
        <f>data!EW74</f>
        <v> </v>
      </c>
      <c r="EX7" s="5" t="str">
        <f>data!EX74</f>
        <v> </v>
      </c>
      <c r="EY7" s="5" t="str">
        <f>data!EY74</f>
        <v>5</v>
      </c>
      <c r="EZ7" s="5" t="str">
        <f>data!EZ74</f>
        <v/>
      </c>
      <c r="FA7" s="5" t="str">
        <f>data!FA74</f>
        <v> </v>
      </c>
      <c r="FB7" s="5" t="str">
        <f>data!FB74</f>
        <v> </v>
      </c>
      <c r="FC7" s="5" t="str">
        <f>data!FC74</f>
        <v> </v>
      </c>
      <c r="FD7" s="5" t="str">
        <f>data!FD74</f>
        <v> </v>
      </c>
      <c r="FE7" s="5" t="str">
        <f>data!FE74</f>
        <v> </v>
      </c>
      <c r="FF7" s="5" t="str">
        <f>data!FF74</f>
        <v/>
      </c>
      <c r="FG7" s="5" t="str">
        <f>data!FG74</f>
        <v>4</v>
      </c>
      <c r="FH7" s="5" t="str">
        <f>data!FH74</f>
        <v> </v>
      </c>
      <c r="FI7" s="5" t="str">
        <f>data!FI74</f>
        <v> </v>
      </c>
      <c r="FJ7" s="5" t="str">
        <f>data!FJ74</f>
        <v> </v>
      </c>
      <c r="FK7" s="5" t="str">
        <f>data!FK74</f>
        <v> </v>
      </c>
      <c r="FL7" s="5" t="str">
        <f>data!FL74</f>
        <v> </v>
      </c>
      <c r="FM7" s="5" t="str">
        <f>data!FM74</f>
        <v/>
      </c>
      <c r="FN7" s="5" t="str">
        <f>data!FN74</f>
        <v>2</v>
      </c>
      <c r="FO7" s="5" t="str">
        <f>data!FO74</f>
        <v> </v>
      </c>
      <c r="FP7" s="5" t="str">
        <f>data!FP74</f>
        <v> </v>
      </c>
      <c r="FQ7" s="5" t="str">
        <f>data!FQ74</f>
        <v> </v>
      </c>
      <c r="FR7" s="5" t="str">
        <f>data!FR74</f>
        <v> </v>
      </c>
      <c r="FS7" s="5" t="str">
        <f>data!FS74</f>
        <v> </v>
      </c>
      <c r="FT7" s="5" t="str">
        <f>data!FT74</f>
        <v>4</v>
      </c>
      <c r="FU7" s="5" t="str">
        <f>data!FU74</f>
        <v/>
      </c>
      <c r="FV7" s="5" t="str">
        <f>data!FV74</f>
        <v> </v>
      </c>
      <c r="FW7" s="5" t="str">
        <f>data!FW74</f>
        <v> </v>
      </c>
      <c r="FX7" s="5" t="str">
        <f>data!FX74</f>
        <v> </v>
      </c>
      <c r="FY7" s="5" t="str">
        <f>data!FY74</f>
        <v> </v>
      </c>
      <c r="FZ7" s="5" t="str">
        <f>data!FZ74</f>
        <v> </v>
      </c>
      <c r="GA7" s="5" t="str">
        <f>data!GA74</f>
        <v/>
      </c>
      <c r="GB7" s="5" t="str">
        <f>data!GB74</f>
        <v/>
      </c>
      <c r="GC7" s="5" t="str">
        <f>data!GC74</f>
        <v> </v>
      </c>
      <c r="GD7" s="5" t="str">
        <f>data!GD74</f>
        <v> </v>
      </c>
      <c r="GE7" s="5" t="str">
        <f>data!GE74</f>
        <v> </v>
      </c>
      <c r="GF7" s="5" t="str">
        <f>data!GF74</f>
        <v> </v>
      </c>
      <c r="GG7" s="5" t="str">
        <f>data!GG74</f>
        <v> </v>
      </c>
      <c r="GH7" s="5" t="str">
        <f>data!GH74</f>
        <v> </v>
      </c>
      <c r="GI7" s="5" t="str">
        <f>data!GI74</f>
        <v>5</v>
      </c>
      <c r="GJ7" s="5" t="str">
        <f>data!GJ74</f>
        <v> </v>
      </c>
      <c r="GK7" s="5" t="str">
        <f>data!GK74</f>
        <v> </v>
      </c>
      <c r="GL7" s="5" t="str">
        <f>data!GL74</f>
        <v> </v>
      </c>
      <c r="GM7" s="5" t="str">
        <f>data!GM74</f>
        <v> </v>
      </c>
      <c r="GN7" s="5" t="str">
        <f>data!GN74</f>
        <v> </v>
      </c>
      <c r="GO7" s="5" t="str">
        <f>data!GO74</f>
        <v>4</v>
      </c>
      <c r="GP7" s="5" t="str">
        <f>data!GP74</f>
        <v/>
      </c>
      <c r="GQ7" s="5" t="str">
        <f>data!GQ74</f>
        <v> </v>
      </c>
      <c r="GR7" s="5" t="str">
        <f>data!GR74</f>
        <v> </v>
      </c>
      <c r="GS7" s="5" t="str">
        <f>data!GS74</f>
        <v> </v>
      </c>
      <c r="GT7" s="5" t="str">
        <f>data!GT74</f>
        <v> </v>
      </c>
      <c r="GU7" s="5" t="str">
        <f>data!GU74</f>
        <v> </v>
      </c>
      <c r="GV7" s="5" t="str">
        <f>data!GV74</f>
        <v> </v>
      </c>
      <c r="GW7" s="5" t="str">
        <f>data!GW74</f>
        <v> </v>
      </c>
      <c r="GX7" s="5" t="str">
        <f>data!GX74</f>
        <v> </v>
      </c>
      <c r="GY7" s="5" t="str">
        <f>data!GY74</f>
        <v> </v>
      </c>
      <c r="GZ7" s="5" t="str">
        <f>data!GZ74</f>
        <v> </v>
      </c>
      <c r="HA7" s="5" t="str">
        <f>data!HA74</f>
        <v> </v>
      </c>
      <c r="HB7" s="5" t="str">
        <f>data!HB74</f>
        <v> </v>
      </c>
      <c r="HC7" s="5" t="str">
        <f>data!HC74</f>
        <v> </v>
      </c>
      <c r="HD7" s="5" t="str">
        <f>data!HD74</f>
        <v> </v>
      </c>
      <c r="HE7" s="5" t="str">
        <f>data!HE74</f>
        <v> </v>
      </c>
      <c r="HF7" s="5" t="str">
        <f>data!HF74</f>
        <v> </v>
      </c>
      <c r="HG7" s="5" t="str">
        <f>data!HG74</f>
        <v> </v>
      </c>
      <c r="HH7" s="5" t="str">
        <f>data!HH74</f>
        <v> </v>
      </c>
      <c r="HI7" s="5" t="str">
        <f>data!HI74</f>
        <v> </v>
      </c>
      <c r="HJ7" s="5" t="str">
        <f>data!HJ74</f>
        <v> </v>
      </c>
      <c r="HK7" s="5" t="str">
        <f>data!HK74</f>
        <v> </v>
      </c>
      <c r="HL7" s="5" t="str">
        <f>data!HL74</f>
        <v> </v>
      </c>
      <c r="HM7" s="5" t="str">
        <f>data!HM74</f>
        <v> </v>
      </c>
      <c r="HN7" s="5" t="str">
        <f>data!HN74</f>
        <v> </v>
      </c>
      <c r="HO7" s="5" t="str">
        <f>data!HO74</f>
        <v> </v>
      </c>
      <c r="HP7" s="5" t="str">
        <f>data!HP74</f>
        <v> </v>
      </c>
      <c r="HQ7" s="5" t="str">
        <f>data!HQ74</f>
        <v> </v>
      </c>
      <c r="HR7" s="5" t="str">
        <f>data!HR74</f>
        <v> </v>
      </c>
      <c r="HS7" s="5" t="str">
        <f>data!HS74</f>
        <v> </v>
      </c>
      <c r="HT7" s="5" t="str">
        <f>data!HT74</f>
        <v> </v>
      </c>
      <c r="HU7" s="5" t="str">
        <f>data!HU74</f>
        <v> </v>
      </c>
      <c r="HV7" s="5" t="str">
        <f>data!HV74</f>
        <v> </v>
      </c>
      <c r="HW7" s="5" t="str">
        <f>data!HW74</f>
        <v> </v>
      </c>
      <c r="HX7" s="5" t="str">
        <f>data!HX74</f>
        <v> </v>
      </c>
      <c r="HY7" s="5" t="str">
        <f>data!HY74</f>
        <v> </v>
      </c>
      <c r="HZ7" s="5" t="str">
        <f>data!HZ74</f>
        <v> </v>
      </c>
      <c r="IA7" s="5" t="str">
        <f>data!IA74</f>
        <v> </v>
      </c>
      <c r="IB7" s="5" t="str">
        <f>data!IB74</f>
        <v> </v>
      </c>
      <c r="IC7" s="5" t="str">
        <f>data!IC74</f>
        <v> </v>
      </c>
      <c r="ID7" s="5" t="str">
        <f>data!ID74</f>
        <v> </v>
      </c>
      <c r="IE7" s="5" t="str">
        <f>data!IE74</f>
        <v> </v>
      </c>
      <c r="IF7" s="5" t="str">
        <f>data!IF74</f>
        <v> </v>
      </c>
      <c r="IG7" s="5" t="str">
        <f>data!IG74</f>
        <v> </v>
      </c>
      <c r="IH7" s="5" t="str">
        <f>data!IH74</f>
        <v> </v>
      </c>
      <c r="II7" s="5" t="str">
        <f>data!II74</f>
        <v> </v>
      </c>
      <c r="IJ7" s="5" t="str">
        <f>data!IJ74</f>
        <v> </v>
      </c>
      <c r="IK7" s="5" t="str">
        <f>data!IK74</f>
        <v> </v>
      </c>
      <c r="IL7" s="5" t="str">
        <f>data!IL74</f>
        <v> </v>
      </c>
      <c r="IM7" s="5" t="str">
        <f>data!IM74</f>
        <v> </v>
      </c>
      <c r="IN7" s="5" t="str">
        <f>data!IN74</f>
        <v> </v>
      </c>
      <c r="IO7" s="5" t="str">
        <f>data!IO74</f>
        <v> </v>
      </c>
      <c r="IP7" s="5" t="str">
        <f>data!IP74</f>
        <v> </v>
      </c>
      <c r="IQ7" s="5" t="str">
        <f>data!IQ74</f>
        <v> </v>
      </c>
      <c r="IR7" s="5" t="str">
        <f>data!IR74</f>
        <v> </v>
      </c>
      <c r="IS7" s="5" t="str">
        <f>data!IS74</f>
        <v> </v>
      </c>
      <c r="IT7" s="5" t="str">
        <f>data!IT74</f>
        <v> </v>
      </c>
      <c r="IU7" s="5" t="str">
        <f>data!IU74</f>
        <v> </v>
      </c>
      <c r="IV7" s="5" t="str">
        <f>data!IV74</f>
        <v> </v>
      </c>
      <c r="IW7" s="5" t="str">
        <f>data!IW74</f>
        <v> </v>
      </c>
      <c r="IX7" s="5" t="str">
        <f>data!IX74</f>
        <v> </v>
      </c>
      <c r="IY7" s="5" t="str">
        <f>data!IY74</f>
        <v> </v>
      </c>
      <c r="IZ7" s="5" t="str">
        <f>data!IZ74</f>
        <v> </v>
      </c>
      <c r="JA7" s="5" t="str">
        <f>data!JA74</f>
        <v> </v>
      </c>
      <c r="JB7" s="5" t="str">
        <f>data!JB74</f>
        <v> </v>
      </c>
      <c r="JC7" s="5" t="str">
        <f>data!JC74</f>
        <v> </v>
      </c>
      <c r="JD7" s="5" t="str">
        <f>data!JD74</f>
        <v> </v>
      </c>
      <c r="JE7" s="5" t="str">
        <f>data!JE74</f>
        <v> </v>
      </c>
    </row>
    <row r="8" ht="22.5" customHeight="1">
      <c r="A8" s="4" t="str">
        <f>data!A75</f>
        <v>Воспитание</v>
      </c>
      <c r="B8" s="5" t="str">
        <f>data!B75</f>
        <v> </v>
      </c>
      <c r="C8" s="5" t="str">
        <f>data!C75</f>
        <v> </v>
      </c>
      <c r="D8" s="5" t="str">
        <f>data!D75</f>
        <v> </v>
      </c>
      <c r="E8" s="5" t="str">
        <f>data!E75</f>
        <v> </v>
      </c>
      <c r="F8" s="5" t="str">
        <f>data!F75</f>
        <v> </v>
      </c>
      <c r="G8" s="5" t="str">
        <f>data!G75</f>
        <v> </v>
      </c>
      <c r="H8" s="5" t="str">
        <f>data!H75</f>
        <v/>
      </c>
      <c r="I8" s="5" t="str">
        <f>data!I75</f>
        <v> </v>
      </c>
      <c r="J8" s="5" t="str">
        <f>data!J75</f>
        <v> </v>
      </c>
      <c r="K8" s="5" t="str">
        <f>data!K75</f>
        <v> </v>
      </c>
      <c r="L8" s="5" t="str">
        <f>data!L75</f>
        <v> </v>
      </c>
      <c r="M8" s="5" t="str">
        <f>data!M75</f>
        <v> </v>
      </c>
      <c r="N8" s="5" t="str">
        <f>data!N75</f>
        <v> </v>
      </c>
      <c r="O8" s="5" t="str">
        <f>data!O75</f>
        <v>5</v>
      </c>
      <c r="P8" s="5" t="str">
        <f>data!P75</f>
        <v> </v>
      </c>
      <c r="Q8" s="5" t="str">
        <f>data!Q75</f>
        <v> </v>
      </c>
      <c r="R8" s="5" t="str">
        <f>data!R75</f>
        <v> </v>
      </c>
      <c r="S8" s="5" t="str">
        <f>data!S75</f>
        <v> </v>
      </c>
      <c r="T8" s="5" t="str">
        <f>data!T75</f>
        <v> </v>
      </c>
      <c r="U8" s="5" t="str">
        <f>data!U75</f>
        <v> </v>
      </c>
      <c r="V8" s="5" t="str">
        <f>data!V75</f>
        <v>5</v>
      </c>
      <c r="W8" s="5" t="str">
        <f>data!W75</f>
        <v> </v>
      </c>
      <c r="X8" s="5" t="str">
        <f>data!X75</f>
        <v> </v>
      </c>
      <c r="Y8" s="5" t="str">
        <f>data!Y75</f>
        <v> </v>
      </c>
      <c r="Z8" s="5" t="str">
        <f>data!Z75</f>
        <v> </v>
      </c>
      <c r="AA8" s="5" t="str">
        <f>data!AA75</f>
        <v> </v>
      </c>
      <c r="AB8" s="5" t="str">
        <f>data!AB75</f>
        <v> </v>
      </c>
      <c r="AC8" s="5" t="str">
        <f>data!AC75</f>
        <v>5</v>
      </c>
      <c r="AD8" s="5" t="str">
        <f>data!AD75</f>
        <v> </v>
      </c>
      <c r="AE8" s="5" t="str">
        <f>data!AE75</f>
        <v> </v>
      </c>
      <c r="AF8" s="5" t="str">
        <f>data!AF75</f>
        <v> </v>
      </c>
      <c r="AG8" s="5" t="str">
        <f>data!AG75</f>
        <v> </v>
      </c>
      <c r="AH8" s="5" t="str">
        <f>data!AH75</f>
        <v> </v>
      </c>
      <c r="AI8" s="5" t="str">
        <f>data!AI75</f>
        <v> </v>
      </c>
      <c r="AJ8" s="5" t="str">
        <f>data!AJ75</f>
        <v/>
      </c>
      <c r="AK8" s="5" t="str">
        <f>data!AK75</f>
        <v> </v>
      </c>
      <c r="AL8" s="5" t="str">
        <f>data!AL75</f>
        <v> </v>
      </c>
      <c r="AM8" s="5" t="str">
        <f>data!AM75</f>
        <v> </v>
      </c>
      <c r="AN8" s="5" t="str">
        <f>data!AN75</f>
        <v> </v>
      </c>
      <c r="AO8" s="5" t="str">
        <f>data!AO75</f>
        <v> </v>
      </c>
      <c r="AP8" s="5" t="str">
        <f>data!AP75</f>
        <v> </v>
      </c>
      <c r="AQ8" s="5" t="str">
        <f>data!AQ75</f>
        <v/>
      </c>
      <c r="AR8" s="5" t="str">
        <f>data!AR75</f>
        <v> </v>
      </c>
      <c r="AS8" s="5" t="str">
        <f>data!AS75</f>
        <v> </v>
      </c>
      <c r="AT8" s="5" t="str">
        <f>data!AT75</f>
        <v> </v>
      </c>
      <c r="AU8" s="5" t="str">
        <f>data!AU75</f>
        <v> </v>
      </c>
      <c r="AV8" s="5" t="str">
        <f>data!AV75</f>
        <v> </v>
      </c>
      <c r="AW8" s="5" t="str">
        <f>data!AW75</f>
        <v> </v>
      </c>
      <c r="AX8" s="5" t="str">
        <f>data!AX75</f>
        <v/>
      </c>
      <c r="AY8" s="5" t="str">
        <f>data!AY75</f>
        <v> </v>
      </c>
      <c r="AZ8" s="5" t="str">
        <f>data!AZ75</f>
        <v> </v>
      </c>
      <c r="BA8" s="5" t="str">
        <f>data!BA75</f>
        <v> </v>
      </c>
      <c r="BB8" s="5" t="str">
        <f>data!BB75</f>
        <v> </v>
      </c>
      <c r="BC8" s="5" t="str">
        <f>data!BC75</f>
        <v> </v>
      </c>
      <c r="BD8" s="5" t="str">
        <f>data!BD75</f>
        <v> </v>
      </c>
      <c r="BE8" s="5" t="str">
        <f>data!BE75</f>
        <v>5</v>
      </c>
      <c r="BF8" s="5" t="str">
        <f>data!BF75</f>
        <v> </v>
      </c>
      <c r="BG8" s="5" t="str">
        <f>data!BG75</f>
        <v> </v>
      </c>
      <c r="BH8" s="5" t="str">
        <f>data!BH75</f>
        <v> </v>
      </c>
      <c r="BI8" s="5" t="str">
        <f>data!BI75</f>
        <v> </v>
      </c>
      <c r="BJ8" s="5" t="str">
        <f>data!BJ75</f>
        <v> </v>
      </c>
      <c r="BK8" s="5" t="str">
        <f>data!BK75</f>
        <v> </v>
      </c>
      <c r="BL8" s="5" t="str">
        <f>data!BL75</f>
        <v/>
      </c>
      <c r="BM8" s="5" t="str">
        <f>data!BM75</f>
        <v> </v>
      </c>
      <c r="BN8" s="5" t="str">
        <f>data!BN75</f>
        <v> </v>
      </c>
      <c r="BO8" s="5" t="str">
        <f>data!BO75</f>
        <v> </v>
      </c>
      <c r="BP8" s="5" t="str">
        <f>data!BP75</f>
        <v> </v>
      </c>
      <c r="BQ8" s="5" t="str">
        <f>data!BQ75</f>
        <v> </v>
      </c>
      <c r="BR8" s="5" t="str">
        <f>data!BR75</f>
        <v> </v>
      </c>
      <c r="BS8" s="5" t="str">
        <f>data!BS75</f>
        <v> </v>
      </c>
      <c r="BT8" s="5" t="str">
        <f>data!BT75</f>
        <v> </v>
      </c>
      <c r="BU8" s="5" t="str">
        <f>data!BU75</f>
        <v> </v>
      </c>
      <c r="BV8" s="5" t="str">
        <f>data!BV75</f>
        <v> </v>
      </c>
      <c r="BW8" s="5" t="str">
        <f>data!BW75</f>
        <v> </v>
      </c>
      <c r="BX8" s="5" t="str">
        <f>data!BX75</f>
        <v> </v>
      </c>
      <c r="BY8" s="5" t="str">
        <f>data!BY75</f>
        <v> </v>
      </c>
      <c r="BZ8" s="5" t="str">
        <f>data!BZ75</f>
        <v/>
      </c>
      <c r="CA8" s="5" t="str">
        <f>data!CA75</f>
        <v> </v>
      </c>
      <c r="CB8" s="5" t="str">
        <f>data!CB75</f>
        <v> </v>
      </c>
      <c r="CC8" s="5" t="str">
        <f>data!CC75</f>
        <v> </v>
      </c>
      <c r="CD8" s="5" t="str">
        <f>data!CD75</f>
        <v> </v>
      </c>
      <c r="CE8" s="5" t="str">
        <f>data!CE75</f>
        <v> </v>
      </c>
      <c r="CF8" s="5" t="str">
        <f>data!CF75</f>
        <v> </v>
      </c>
      <c r="CG8" s="5" t="str">
        <f>data!CG75</f>
        <v>5</v>
      </c>
      <c r="CH8" s="5" t="str">
        <f>data!CH75</f>
        <v> </v>
      </c>
      <c r="CI8" s="5" t="str">
        <f>data!CI75</f>
        <v> </v>
      </c>
      <c r="CJ8" s="5" t="str">
        <f>data!CJ75</f>
        <v> </v>
      </c>
      <c r="CK8" s="5" t="str">
        <f>data!CK75</f>
        <v> </v>
      </c>
      <c r="CL8" s="5" t="str">
        <f>data!CL75</f>
        <v> </v>
      </c>
      <c r="CM8" s="5" t="str">
        <f>data!CM75</f>
        <v> </v>
      </c>
      <c r="CN8" s="5" t="str">
        <f>data!CN75</f>
        <v>-</v>
      </c>
      <c r="CO8" s="5" t="str">
        <f>data!CO75</f>
        <v> </v>
      </c>
      <c r="CP8" s="5" t="str">
        <f>data!CP75</f>
        <v> </v>
      </c>
      <c r="CQ8" s="5" t="str">
        <f>data!CQ75</f>
        <v> </v>
      </c>
      <c r="CR8" s="5" t="str">
        <f>data!CR75</f>
        <v> </v>
      </c>
      <c r="CS8" s="5" t="str">
        <f>data!CS75</f>
        <v> </v>
      </c>
      <c r="CT8" s="5" t="str">
        <f>data!CT75</f>
        <v> </v>
      </c>
      <c r="CU8" s="5" t="str">
        <f>data!CU75</f>
        <v> </v>
      </c>
      <c r="CV8" s="5" t="str">
        <f>data!CV75</f>
        <v> </v>
      </c>
      <c r="CW8" s="5" t="str">
        <f>data!CW75</f>
        <v> </v>
      </c>
      <c r="CX8" s="5" t="str">
        <f>data!CX75</f>
        <v> </v>
      </c>
      <c r="CY8" s="5" t="str">
        <f>data!CY75</f>
        <v> </v>
      </c>
      <c r="CZ8" s="5" t="str">
        <f>data!CZ75</f>
        <v> </v>
      </c>
      <c r="DA8" s="5" t="str">
        <f>data!DA75</f>
        <v> </v>
      </c>
      <c r="DB8" s="5" t="str">
        <f>data!DB75</f>
        <v/>
      </c>
      <c r="DC8" s="5" t="str">
        <f>data!DC75</f>
        <v> </v>
      </c>
      <c r="DD8" s="5" t="str">
        <f>data!DD75</f>
        <v> </v>
      </c>
      <c r="DE8" s="5" t="str">
        <f>data!DE75</f>
        <v> </v>
      </c>
      <c r="DF8" s="5" t="str">
        <f>data!DF75</f>
        <v> </v>
      </c>
      <c r="DG8" s="5" t="str">
        <f>data!DG75</f>
        <v> </v>
      </c>
      <c r="DH8" s="5" t="str">
        <f>data!DH75</f>
        <v> </v>
      </c>
      <c r="DI8" s="5" t="str">
        <f>data!DI75</f>
        <v>5</v>
      </c>
      <c r="DJ8" s="5" t="str">
        <f>data!DJ75</f>
        <v> </v>
      </c>
      <c r="DK8" s="5" t="str">
        <f>data!DK75</f>
        <v> </v>
      </c>
      <c r="DL8" s="5" t="str">
        <f>data!DL75</f>
        <v> </v>
      </c>
      <c r="DM8" s="5" t="str">
        <f>data!DM75</f>
        <v> </v>
      </c>
      <c r="DN8" s="5" t="str">
        <f>data!DN75</f>
        <v> </v>
      </c>
      <c r="DO8" s="5" t="str">
        <f>data!DO75</f>
        <v> </v>
      </c>
      <c r="DP8" s="5" t="str">
        <f>data!DP75</f>
        <v> </v>
      </c>
      <c r="DQ8" s="5" t="str">
        <f>data!DQ75</f>
        <v> </v>
      </c>
      <c r="DR8" s="5" t="str">
        <f>data!DR75</f>
        <v> </v>
      </c>
      <c r="DS8" s="5" t="str">
        <f>data!DS75</f>
        <v> </v>
      </c>
      <c r="DT8" s="5" t="str">
        <f>data!DT75</f>
        <v> </v>
      </c>
      <c r="DU8" s="5" t="str">
        <f>data!DU75</f>
        <v> </v>
      </c>
      <c r="DV8" s="5" t="str">
        <f>data!DV75</f>
        <v> </v>
      </c>
      <c r="DW8" s="5" t="str">
        <f>data!DW75</f>
        <v> </v>
      </c>
      <c r="DX8" s="5" t="str">
        <f>data!DX75</f>
        <v> </v>
      </c>
      <c r="DY8" s="5" t="str">
        <f>data!DY75</f>
        <v> </v>
      </c>
      <c r="DZ8" s="5" t="str">
        <f>data!DZ75</f>
        <v> </v>
      </c>
      <c r="EA8" s="5" t="str">
        <f>data!EA75</f>
        <v> </v>
      </c>
      <c r="EB8" s="5" t="str">
        <f>data!EB75</f>
        <v> </v>
      </c>
      <c r="EC8" s="5" t="str">
        <f>data!EC75</f>
        <v> </v>
      </c>
      <c r="ED8" s="5" t="str">
        <f>data!ED75</f>
        <v>5</v>
      </c>
      <c r="EE8" s="5" t="str">
        <f>data!EE75</f>
        <v> </v>
      </c>
      <c r="EF8" s="5" t="str">
        <f>data!EF75</f>
        <v> </v>
      </c>
      <c r="EG8" s="5" t="str">
        <f>data!EG75</f>
        <v> </v>
      </c>
      <c r="EH8" s="5" t="str">
        <f>data!EH75</f>
        <v> </v>
      </c>
      <c r="EI8" s="5" t="str">
        <f>data!EI75</f>
        <v> </v>
      </c>
      <c r="EJ8" s="5" t="str">
        <f>data!EJ75</f>
        <v> </v>
      </c>
      <c r="EK8" s="5" t="str">
        <f>data!EK75</f>
        <v/>
      </c>
      <c r="EL8" s="5" t="str">
        <f>data!EL75</f>
        <v> </v>
      </c>
      <c r="EM8" s="5" t="str">
        <f>data!EM75</f>
        <v> </v>
      </c>
      <c r="EN8" s="5" t="str">
        <f>data!EN75</f>
        <v> </v>
      </c>
      <c r="EO8" s="5" t="str">
        <f>data!EO75</f>
        <v> </v>
      </c>
      <c r="EP8" s="5" t="str">
        <f>data!EP75</f>
        <v> </v>
      </c>
      <c r="EQ8" s="5" t="str">
        <f>data!EQ75</f>
        <v> </v>
      </c>
      <c r="ER8" s="5" t="str">
        <f>data!ER75</f>
        <v>-</v>
      </c>
      <c r="ES8" s="5" t="str">
        <f>data!ES75</f>
        <v> </v>
      </c>
      <c r="ET8" s="5" t="str">
        <f>data!ET75</f>
        <v> </v>
      </c>
      <c r="EU8" s="5" t="str">
        <f>data!EU75</f>
        <v> </v>
      </c>
      <c r="EV8" s="5" t="str">
        <f>data!EV75</f>
        <v> </v>
      </c>
      <c r="EW8" s="5" t="str">
        <f>data!EW75</f>
        <v> </v>
      </c>
      <c r="EX8" s="5" t="str">
        <f>data!EX75</f>
        <v> </v>
      </c>
      <c r="EY8" s="5" t="str">
        <f>data!EY75</f>
        <v/>
      </c>
      <c r="EZ8" s="5" t="str">
        <f>data!EZ75</f>
        <v> </v>
      </c>
      <c r="FA8" s="5" t="str">
        <f>data!FA75</f>
        <v> </v>
      </c>
      <c r="FB8" s="5" t="str">
        <f>data!FB75</f>
        <v> </v>
      </c>
      <c r="FC8" s="5" t="str">
        <f>data!FC75</f>
        <v> </v>
      </c>
      <c r="FD8" s="5" t="str">
        <f>data!FD75</f>
        <v> </v>
      </c>
      <c r="FE8" s="5" t="str">
        <f>data!FE75</f>
        <v> </v>
      </c>
      <c r="FF8" s="5" t="str">
        <f>data!FF75</f>
        <v>5</v>
      </c>
      <c r="FG8" s="5" t="str">
        <f>data!FG75</f>
        <v> </v>
      </c>
      <c r="FH8" s="5" t="str">
        <f>data!FH75</f>
        <v> </v>
      </c>
      <c r="FI8" s="5" t="str">
        <f>data!FI75</f>
        <v> </v>
      </c>
      <c r="FJ8" s="5" t="str">
        <f>data!FJ75</f>
        <v> </v>
      </c>
      <c r="FK8" s="5" t="str">
        <f>data!FK75</f>
        <v> </v>
      </c>
      <c r="FL8" s="5" t="str">
        <f>data!FL75</f>
        <v> </v>
      </c>
      <c r="FM8" s="5" t="str">
        <f>data!FM75</f>
        <v/>
      </c>
      <c r="FN8" s="5" t="str">
        <f>data!FN75</f>
        <v> </v>
      </c>
      <c r="FO8" s="5" t="str">
        <f>data!FO75</f>
        <v> </v>
      </c>
      <c r="FP8" s="5" t="str">
        <f>data!FP75</f>
        <v> </v>
      </c>
      <c r="FQ8" s="5" t="str">
        <f>data!FQ75</f>
        <v> </v>
      </c>
      <c r="FR8" s="5" t="str">
        <f>data!FR75</f>
        <v> </v>
      </c>
      <c r="FS8" s="5" t="str">
        <f>data!FS75</f>
        <v> </v>
      </c>
      <c r="FT8" s="5" t="str">
        <f>data!FT75</f>
        <v>2</v>
      </c>
      <c r="FU8" s="5" t="str">
        <f>data!FU75</f>
        <v> </v>
      </c>
      <c r="FV8" s="5" t="str">
        <f>data!FV75</f>
        <v> </v>
      </c>
      <c r="FW8" s="5" t="str">
        <f>data!FW75</f>
        <v> </v>
      </c>
      <c r="FX8" s="5" t="str">
        <f>data!FX75</f>
        <v> </v>
      </c>
      <c r="FY8" s="5" t="str">
        <f>data!FY75</f>
        <v> </v>
      </c>
      <c r="FZ8" s="5" t="str">
        <f>data!FZ75</f>
        <v> </v>
      </c>
      <c r="GA8" s="5" t="str">
        <f>data!GA75</f>
        <v/>
      </c>
      <c r="GB8" s="5" t="str">
        <f>data!GB75</f>
        <v> </v>
      </c>
      <c r="GC8" s="5" t="str">
        <f>data!GC75</f>
        <v> </v>
      </c>
      <c r="GD8" s="5" t="str">
        <f>data!GD75</f>
        <v> </v>
      </c>
      <c r="GE8" s="5" t="str">
        <f>data!GE75</f>
        <v> </v>
      </c>
      <c r="GF8" s="5" t="str">
        <f>data!GF75</f>
        <v> </v>
      </c>
      <c r="GG8" s="5" t="str">
        <f>data!GG75</f>
        <v> </v>
      </c>
      <c r="GH8" s="5" t="str">
        <f>data!GH75</f>
        <v/>
      </c>
      <c r="GI8" s="5" t="str">
        <f>data!GI75</f>
        <v> </v>
      </c>
      <c r="GJ8" s="5" t="str">
        <f>data!GJ75</f>
        <v> </v>
      </c>
      <c r="GK8" s="5" t="str">
        <f>data!GK75</f>
        <v> </v>
      </c>
      <c r="GL8" s="5" t="str">
        <f>data!GL75</f>
        <v> </v>
      </c>
      <c r="GM8" s="5" t="str">
        <f>data!GM75</f>
        <v> </v>
      </c>
      <c r="GN8" s="5" t="str">
        <f>data!GN75</f>
        <v> </v>
      </c>
      <c r="GO8" s="5" t="str">
        <f>data!GO75</f>
        <v>5</v>
      </c>
      <c r="GP8" s="5" t="str">
        <f>data!GP75</f>
        <v> </v>
      </c>
      <c r="GQ8" s="5" t="str">
        <f>data!GQ75</f>
        <v> </v>
      </c>
      <c r="GR8" s="5" t="str">
        <f>data!GR75</f>
        <v> </v>
      </c>
      <c r="GS8" s="5" t="str">
        <f>data!GS75</f>
        <v> </v>
      </c>
      <c r="GT8" s="5" t="str">
        <f>data!GT75</f>
        <v> </v>
      </c>
      <c r="GU8" s="5" t="str">
        <f>data!GU75</f>
        <v> </v>
      </c>
      <c r="GV8" s="5" t="str">
        <f>data!GV75</f>
        <v> </v>
      </c>
      <c r="GW8" s="5" t="str">
        <f>data!GW75</f>
        <v> </v>
      </c>
      <c r="GX8" s="5" t="str">
        <f>data!GX75</f>
        <v> </v>
      </c>
      <c r="GY8" s="5" t="str">
        <f>data!GY75</f>
        <v> </v>
      </c>
      <c r="GZ8" s="5" t="str">
        <f>data!GZ75</f>
        <v> </v>
      </c>
      <c r="HA8" s="5" t="str">
        <f>data!HA75</f>
        <v> </v>
      </c>
      <c r="HB8" s="5" t="str">
        <f>data!HB75</f>
        <v> </v>
      </c>
      <c r="HC8" s="5" t="str">
        <f>data!HC75</f>
        <v> </v>
      </c>
      <c r="HD8" s="5" t="str">
        <f>data!HD75</f>
        <v> </v>
      </c>
      <c r="HE8" s="5" t="str">
        <f>data!HE75</f>
        <v> </v>
      </c>
      <c r="HF8" s="5" t="str">
        <f>data!HF75</f>
        <v> </v>
      </c>
      <c r="HG8" s="5" t="str">
        <f>data!HG75</f>
        <v> </v>
      </c>
      <c r="HH8" s="5" t="str">
        <f>data!HH75</f>
        <v> </v>
      </c>
      <c r="HI8" s="5" t="str">
        <f>data!HI75</f>
        <v> </v>
      </c>
      <c r="HJ8" s="5" t="str">
        <f>data!HJ75</f>
        <v> </v>
      </c>
      <c r="HK8" s="5" t="str">
        <f>data!HK75</f>
        <v> </v>
      </c>
      <c r="HL8" s="5" t="str">
        <f>data!HL75</f>
        <v> </v>
      </c>
      <c r="HM8" s="5" t="str">
        <f>data!HM75</f>
        <v> </v>
      </c>
      <c r="HN8" s="5" t="str">
        <f>data!HN75</f>
        <v> </v>
      </c>
      <c r="HO8" s="5" t="str">
        <f>data!HO75</f>
        <v> </v>
      </c>
      <c r="HP8" s="5" t="str">
        <f>data!HP75</f>
        <v> </v>
      </c>
      <c r="HQ8" s="5" t="str">
        <f>data!HQ75</f>
        <v> </v>
      </c>
      <c r="HR8" s="5" t="str">
        <f>data!HR75</f>
        <v> </v>
      </c>
      <c r="HS8" s="5" t="str">
        <f>data!HS75</f>
        <v> </v>
      </c>
      <c r="HT8" s="5" t="str">
        <f>data!HT75</f>
        <v> </v>
      </c>
      <c r="HU8" s="5" t="str">
        <f>data!HU75</f>
        <v> </v>
      </c>
      <c r="HV8" s="5" t="str">
        <f>data!HV75</f>
        <v> </v>
      </c>
      <c r="HW8" s="5" t="str">
        <f>data!HW75</f>
        <v> </v>
      </c>
      <c r="HX8" s="5" t="str">
        <f>data!HX75</f>
        <v> </v>
      </c>
      <c r="HY8" s="5" t="str">
        <f>data!HY75</f>
        <v> </v>
      </c>
      <c r="HZ8" s="5" t="str">
        <f>data!HZ75</f>
        <v> </v>
      </c>
      <c r="IA8" s="5" t="str">
        <f>data!IA75</f>
        <v> </v>
      </c>
      <c r="IB8" s="5" t="str">
        <f>data!IB75</f>
        <v> </v>
      </c>
      <c r="IC8" s="5" t="str">
        <f>data!IC75</f>
        <v> </v>
      </c>
      <c r="ID8" s="5" t="str">
        <f>data!ID75</f>
        <v> </v>
      </c>
      <c r="IE8" s="5" t="str">
        <f>data!IE75</f>
        <v> </v>
      </c>
      <c r="IF8" s="5" t="str">
        <f>data!IF75</f>
        <v> </v>
      </c>
      <c r="IG8" s="5" t="str">
        <f>data!IG75</f>
        <v> </v>
      </c>
      <c r="IH8" s="5" t="str">
        <f>data!IH75</f>
        <v> </v>
      </c>
      <c r="II8" s="5" t="str">
        <f>data!II75</f>
        <v> </v>
      </c>
      <c r="IJ8" s="5" t="str">
        <f>data!IJ75</f>
        <v> </v>
      </c>
      <c r="IK8" s="5" t="str">
        <f>data!IK75</f>
        <v> </v>
      </c>
      <c r="IL8" s="5" t="str">
        <f>data!IL75</f>
        <v> </v>
      </c>
      <c r="IM8" s="5" t="str">
        <f>data!IM75</f>
        <v> </v>
      </c>
      <c r="IN8" s="5" t="str">
        <f>data!IN75</f>
        <v> </v>
      </c>
      <c r="IO8" s="5" t="str">
        <f>data!IO75</f>
        <v> </v>
      </c>
      <c r="IP8" s="5" t="str">
        <f>data!IP75</f>
        <v> </v>
      </c>
      <c r="IQ8" s="5" t="str">
        <f>data!IQ75</f>
        <v> </v>
      </c>
      <c r="IR8" s="5" t="str">
        <f>data!IR75</f>
        <v> </v>
      </c>
      <c r="IS8" s="5" t="str">
        <f>data!IS75</f>
        <v> </v>
      </c>
      <c r="IT8" s="5" t="str">
        <f>data!IT75</f>
        <v> </v>
      </c>
      <c r="IU8" s="5" t="str">
        <f>data!IU75</f>
        <v> </v>
      </c>
      <c r="IV8" s="5" t="str">
        <f>data!IV75</f>
        <v> </v>
      </c>
      <c r="IW8" s="5" t="str">
        <f>data!IW75</f>
        <v> </v>
      </c>
      <c r="IX8" s="5" t="str">
        <f>data!IX75</f>
        <v> </v>
      </c>
      <c r="IY8" s="5" t="str">
        <f>data!IY75</f>
        <v> </v>
      </c>
      <c r="IZ8" s="5" t="str">
        <f>data!IZ75</f>
        <v> </v>
      </c>
      <c r="JA8" s="5" t="str">
        <f>data!JA75</f>
        <v> </v>
      </c>
      <c r="JB8" s="5" t="str">
        <f>data!JB75</f>
        <v> </v>
      </c>
      <c r="JC8" s="5" t="str">
        <f>data!JC75</f>
        <v> </v>
      </c>
      <c r="JD8" s="5" t="str">
        <f>data!JD75</f>
        <v> </v>
      </c>
      <c r="JE8" s="5" t="str">
        <f>data!JE75</f>
        <v> </v>
      </c>
    </row>
    <row r="9" ht="22.5" customHeight="1">
      <c r="A9" s="4" t="str">
        <f>data!A76</f>
        <v>Физкультура</v>
      </c>
      <c r="B9" s="5" t="str">
        <f>data!B76</f>
        <v> </v>
      </c>
      <c r="C9" s="5" t="str">
        <f>data!C76</f>
        <v> </v>
      </c>
      <c r="D9" s="5" t="str">
        <f>data!D76</f>
        <v> </v>
      </c>
      <c r="E9" s="5" t="str">
        <f>data!E76</f>
        <v> </v>
      </c>
      <c r="F9" s="5" t="str">
        <f>data!F76</f>
        <v>5</v>
      </c>
      <c r="G9" s="5" t="str">
        <f>data!G76</f>
        <v> </v>
      </c>
      <c r="H9" s="5" t="str">
        <f>data!H76</f>
        <v>5</v>
      </c>
      <c r="I9" s="5" t="str">
        <f>data!I76</f>
        <v> </v>
      </c>
      <c r="J9" s="5" t="str">
        <f>data!J76</f>
        <v> </v>
      </c>
      <c r="K9" s="5" t="str">
        <f>data!K76</f>
        <v> </v>
      </c>
      <c r="L9" s="5" t="str">
        <f>data!L76</f>
        <v> </v>
      </c>
      <c r="M9" s="5" t="str">
        <f>data!M76</f>
        <v>Б/ф</v>
      </c>
      <c r="N9" s="5" t="str">
        <f>data!N76</f>
        <v> </v>
      </c>
      <c r="O9" s="5" t="str">
        <f>data!O76</f>
        <v>4</v>
      </c>
      <c r="P9" s="5" t="str">
        <f>data!P76</f>
        <v> </v>
      </c>
      <c r="Q9" s="5" t="str">
        <f>data!Q76</f>
        <v>Б/ф</v>
      </c>
      <c r="R9" s="5" t="str">
        <f>data!R76</f>
        <v> </v>
      </c>
      <c r="S9" s="5" t="str">
        <f>data!S76</f>
        <v> </v>
      </c>
      <c r="T9" s="5" t="str">
        <f>data!T76</f>
        <v> </v>
      </c>
      <c r="U9" s="5" t="str">
        <f>data!U76</f>
        <v> </v>
      </c>
      <c r="V9" s="5" t="str">
        <f>data!V76</f>
        <v>5</v>
      </c>
      <c r="W9" s="5" t="str">
        <f>data!W76</f>
        <v> </v>
      </c>
      <c r="X9" s="5" t="str">
        <f>data!X76</f>
        <v/>
      </c>
      <c r="Y9" s="5" t="str">
        <f>data!Y76</f>
        <v> </v>
      </c>
      <c r="Z9" s="5" t="str">
        <f>data!Z76</f>
        <v> </v>
      </c>
      <c r="AA9" s="5" t="str">
        <f>data!AA76</f>
        <v> </v>
      </c>
      <c r="AB9" s="5" t="str">
        <f>data!AB76</f>
        <v> </v>
      </c>
      <c r="AC9" s="5" t="str">
        <f>data!AC76</f>
        <v>2</v>
      </c>
      <c r="AD9" s="5" t="str">
        <f>data!AD76</f>
        <v> </v>
      </c>
      <c r="AE9" s="5" t="str">
        <f>data!AE76</f>
        <v> </v>
      </c>
      <c r="AF9" s="5" t="str">
        <f>data!AF76</f>
        <v> </v>
      </c>
      <c r="AG9" s="5" t="str">
        <f>data!AG76</f>
        <v> </v>
      </c>
      <c r="AH9" s="5" t="str">
        <f>data!AH76</f>
        <v> </v>
      </c>
      <c r="AI9" s="5" t="str">
        <f>data!AI76</f>
        <v> </v>
      </c>
      <c r="AJ9" s="5" t="str">
        <f>data!AJ76</f>
        <v>4</v>
      </c>
      <c r="AK9" s="5" t="str">
        <f>data!AK76</f>
        <v> </v>
      </c>
      <c r="AL9" s="5" t="str">
        <f>data!AL76</f>
        <v/>
      </c>
      <c r="AM9" s="5" t="str">
        <f>data!AM76</f>
        <v> </v>
      </c>
      <c r="AN9" s="5" t="str">
        <f>data!AN76</f>
        <v> </v>
      </c>
      <c r="AO9" s="5" t="str">
        <f>data!AO76</f>
        <v> </v>
      </c>
      <c r="AP9" s="5" t="str">
        <f>data!AP76</f>
        <v> </v>
      </c>
      <c r="AQ9" s="5" t="str">
        <f>data!AQ76</f>
        <v>2</v>
      </c>
      <c r="AR9" s="5" t="str">
        <f>data!AR76</f>
        <v> </v>
      </c>
      <c r="AS9" s="5" t="str">
        <f>data!AS76</f>
        <v>5</v>
      </c>
      <c r="AT9" s="5" t="str">
        <f>data!AT76</f>
        <v> </v>
      </c>
      <c r="AU9" s="5" t="str">
        <f>data!AU76</f>
        <v> </v>
      </c>
      <c r="AV9" s="5" t="str">
        <f>data!AV76</f>
        <v> </v>
      </c>
      <c r="AW9" s="5" t="str">
        <f>data!AW76</f>
        <v> </v>
      </c>
      <c r="AX9" s="5" t="str">
        <f>data!AX76</f>
        <v>4</v>
      </c>
      <c r="AY9" s="5" t="str">
        <f>data!AY76</f>
        <v> </v>
      </c>
      <c r="AZ9" s="5" t="str">
        <f>data!AZ76</f>
        <v>5</v>
      </c>
      <c r="BA9" s="5" t="str">
        <f>data!BA76</f>
        <v> </v>
      </c>
      <c r="BB9" s="5" t="str">
        <f>data!BB76</f>
        <v> </v>
      </c>
      <c r="BC9" s="5" t="str">
        <f>data!BC76</f>
        <v>5</v>
      </c>
      <c r="BD9" s="5" t="str">
        <f>data!BD76</f>
        <v> </v>
      </c>
      <c r="BE9" s="5" t="str">
        <f>data!BE76</f>
        <v>5</v>
      </c>
      <c r="BF9" s="5" t="str">
        <f>data!BF76</f>
        <v> </v>
      </c>
      <c r="BG9" s="5" t="str">
        <f>data!BG76</f>
        <v>2</v>
      </c>
      <c r="BH9" s="5" t="str">
        <f>data!BH76</f>
        <v> </v>
      </c>
      <c r="BI9" s="5" t="str">
        <f>data!BI76</f>
        <v> </v>
      </c>
      <c r="BJ9" s="5" t="str">
        <f>data!BJ76</f>
        <v> </v>
      </c>
      <c r="BK9" s="5" t="str">
        <f>data!BK76</f>
        <v> </v>
      </c>
      <c r="BL9" s="5" t="str">
        <f>data!BL76</f>
        <v>5</v>
      </c>
      <c r="BM9" s="5" t="str">
        <f>data!BM76</f>
        <v> </v>
      </c>
      <c r="BN9" s="5" t="str">
        <f>data!BN76</f>
        <v> </v>
      </c>
      <c r="BO9" s="5" t="str">
        <f>data!BO76</f>
        <v> </v>
      </c>
      <c r="BP9" s="5" t="str">
        <f>data!BP76</f>
        <v> </v>
      </c>
      <c r="BQ9" s="5" t="str">
        <f>data!BQ76</f>
        <v> </v>
      </c>
      <c r="BR9" s="5" t="str">
        <f>data!BR76</f>
        <v> </v>
      </c>
      <c r="BS9" s="5" t="str">
        <f>data!BS76</f>
        <v>5</v>
      </c>
      <c r="BT9" s="5" t="str">
        <f>data!BT76</f>
        <v> </v>
      </c>
      <c r="BU9" s="5" t="str">
        <f>data!BU76</f>
        <v>Б/Ф</v>
      </c>
      <c r="BV9" s="5" t="str">
        <f>data!BV76</f>
        <v> </v>
      </c>
      <c r="BW9" s="5" t="str">
        <f>data!BW76</f>
        <v> </v>
      </c>
      <c r="BX9" s="5" t="str">
        <f>data!BX76</f>
        <v> </v>
      </c>
      <c r="BY9" s="5" t="str">
        <f>data!BY76</f>
        <v> </v>
      </c>
      <c r="BZ9" s="5" t="str">
        <f>data!BZ76</f>
        <v>Н</v>
      </c>
      <c r="CA9" s="5" t="str">
        <f>data!CA76</f>
        <v> </v>
      </c>
      <c r="CB9" s="5" t="str">
        <f>data!CB76</f>
        <v>5</v>
      </c>
      <c r="CC9" s="5" t="str">
        <f>data!CC76</f>
        <v> </v>
      </c>
      <c r="CD9" s="5" t="str">
        <f>data!CD76</f>
        <v> </v>
      </c>
      <c r="CE9" s="5" t="str">
        <f>data!CE76</f>
        <v> </v>
      </c>
      <c r="CF9" s="5" t="str">
        <f>data!CF76</f>
        <v> </v>
      </c>
      <c r="CG9" s="5" t="str">
        <f>data!CG76</f>
        <v>5</v>
      </c>
      <c r="CH9" s="5" t="str">
        <f>data!CH76</f>
        <v> </v>
      </c>
      <c r="CI9" s="5" t="str">
        <f>data!CI76</f>
        <v>5</v>
      </c>
      <c r="CJ9" s="5" t="str">
        <f>data!CJ76</f>
        <v> </v>
      </c>
      <c r="CK9" s="5" t="str">
        <f>data!CK76</f>
        <v> </v>
      </c>
      <c r="CL9" s="5" t="str">
        <f>data!CL76</f>
        <v> </v>
      </c>
      <c r="CM9" s="5" t="str">
        <f>data!CM76</f>
        <v> </v>
      </c>
      <c r="CN9" s="5" t="str">
        <f>data!CN76</f>
        <v>н</v>
      </c>
      <c r="CO9" s="5" t="str">
        <f>data!CO76</f>
        <v> </v>
      </c>
      <c r="CP9" s="5" t="str">
        <f>data!CP76</f>
        <v>б/ф</v>
      </c>
      <c r="CQ9" s="5" t="str">
        <f>data!CQ76</f>
        <v> </v>
      </c>
      <c r="CR9" s="5" t="str">
        <f>data!CR76</f>
        <v> </v>
      </c>
      <c r="CS9" s="5" t="str">
        <f>data!CS76</f>
        <v>2</v>
      </c>
      <c r="CT9" s="5" t="str">
        <f>data!CT76</f>
        <v> </v>
      </c>
      <c r="CU9" s="5" t="str">
        <f>data!CU76</f>
        <v> </v>
      </c>
      <c r="CV9" s="5" t="str">
        <f>data!CV76</f>
        <v> </v>
      </c>
      <c r="CW9" s="5" t="str">
        <f>data!CW76</f>
        <v>5</v>
      </c>
      <c r="CX9" s="5" t="str">
        <f>data!CX76</f>
        <v> </v>
      </c>
      <c r="CY9" s="5" t="str">
        <f>data!CY76</f>
        <v> </v>
      </c>
      <c r="CZ9" s="5" t="str">
        <f>data!CZ76</f>
        <v> </v>
      </c>
      <c r="DA9" s="5" t="str">
        <f>data!DA76</f>
        <v> </v>
      </c>
      <c r="DB9" s="5" t="str">
        <f>data!DB76</f>
        <v>5</v>
      </c>
      <c r="DC9" s="5" t="str">
        <f>data!DC76</f>
        <v> </v>
      </c>
      <c r="DD9" s="5" t="str">
        <f>data!DD76</f>
        <v>2</v>
      </c>
      <c r="DE9" s="5" t="str">
        <f>data!DE76</f>
        <v> </v>
      </c>
      <c r="DF9" s="5" t="str">
        <f>data!DF76</f>
        <v> </v>
      </c>
      <c r="DG9" s="5" t="str">
        <f>data!DG76</f>
        <v> </v>
      </c>
      <c r="DH9" s="5" t="str">
        <f>data!DH76</f>
        <v> </v>
      </c>
      <c r="DI9" s="5" t="str">
        <f>data!DI76</f>
        <v> </v>
      </c>
      <c r="DJ9" s="5" t="str">
        <f>data!DJ76</f>
        <v> </v>
      </c>
      <c r="DK9" s="5" t="str">
        <f>data!DK76</f>
        <v> </v>
      </c>
      <c r="DL9" s="5" t="str">
        <f>data!DL76</f>
        <v> </v>
      </c>
      <c r="DM9" s="5" t="str">
        <f>data!DM76</f>
        <v> </v>
      </c>
      <c r="DN9" s="5" t="str">
        <f>data!DN76</f>
        <v> </v>
      </c>
      <c r="DO9" s="5" t="str">
        <f>data!DO76</f>
        <v> </v>
      </c>
      <c r="DP9" s="5" t="str">
        <f>data!DP76</f>
        <v> </v>
      </c>
      <c r="DQ9" s="5" t="str">
        <f>data!DQ76</f>
        <v> </v>
      </c>
      <c r="DR9" s="5" t="str">
        <f>data!DR76</f>
        <v> </v>
      </c>
      <c r="DS9" s="5" t="str">
        <f>data!DS76</f>
        <v> </v>
      </c>
      <c r="DT9" s="5" t="str">
        <f>data!DT76</f>
        <v> </v>
      </c>
      <c r="DU9" s="5" t="str">
        <f>data!DU76</f>
        <v> </v>
      </c>
      <c r="DV9" s="5" t="str">
        <f>data!DV76</f>
        <v> </v>
      </c>
      <c r="DW9" s="5" t="str">
        <f>data!DW76</f>
        <v> </v>
      </c>
      <c r="DX9" s="5" t="str">
        <f>data!DX76</f>
        <v> </v>
      </c>
      <c r="DY9" s="5" t="str">
        <f>data!DY76</f>
        <v> </v>
      </c>
      <c r="DZ9" s="5" t="str">
        <f>data!DZ76</f>
        <v> </v>
      </c>
      <c r="EA9" s="5" t="str">
        <f>data!EA76</f>
        <v> </v>
      </c>
      <c r="EB9" s="5" t="str">
        <f>data!EB76</f>
        <v> </v>
      </c>
      <c r="EC9" s="5" t="str">
        <f>data!EC76</f>
        <v> </v>
      </c>
      <c r="ED9" s="5" t="str">
        <f>data!ED76</f>
        <v>5</v>
      </c>
      <c r="EE9" s="5" t="str">
        <f>data!EE76</f>
        <v> </v>
      </c>
      <c r="EF9" s="5" t="str">
        <f>data!EF76</f>
        <v>о8</v>
      </c>
      <c r="EG9" s="5" t="str">
        <f>data!EG76</f>
        <v> </v>
      </c>
      <c r="EH9" s="5" t="str">
        <f>data!EH76</f>
        <v> </v>
      </c>
      <c r="EI9" s="5" t="str">
        <f>data!EI76</f>
        <v> </v>
      </c>
      <c r="EJ9" s="5" t="str">
        <f>data!EJ76</f>
        <v> </v>
      </c>
      <c r="EK9" s="5" t="str">
        <f>data!EK76</f>
        <v>б/ф</v>
      </c>
      <c r="EL9" s="5" t="str">
        <f>data!EL76</f>
        <v> </v>
      </c>
      <c r="EM9" s="5" t="str">
        <f>data!EM76</f>
        <v>4</v>
      </c>
      <c r="EN9" s="5" t="str">
        <f>data!EN76</f>
        <v> </v>
      </c>
      <c r="EO9" s="5" t="str">
        <f>data!EO76</f>
        <v> </v>
      </c>
      <c r="EP9" s="5" t="str">
        <f>data!EP76</f>
        <v> </v>
      </c>
      <c r="EQ9" s="5" t="str">
        <f>data!EQ76</f>
        <v> </v>
      </c>
      <c r="ER9" s="5" t="str">
        <f>data!ER76</f>
        <v>н</v>
      </c>
      <c r="ES9" s="5" t="str">
        <f>data!ES76</f>
        <v> </v>
      </c>
      <c r="ET9" s="5" t="str">
        <f>data!ET76</f>
        <v>5</v>
      </c>
      <c r="EU9" s="5" t="str">
        <f>data!EU76</f>
        <v> </v>
      </c>
      <c r="EV9" s="5" t="str">
        <f>data!EV76</f>
        <v> </v>
      </c>
      <c r="EW9" s="5" t="str">
        <f>data!EW76</f>
        <v> </v>
      </c>
      <c r="EX9" s="5" t="str">
        <f>data!EX76</f>
        <v> </v>
      </c>
      <c r="EY9" s="5" t="str">
        <f>data!EY76</f>
        <v>5</v>
      </c>
      <c r="EZ9" s="5" t="str">
        <f>data!EZ76</f>
        <v> </v>
      </c>
      <c r="FA9" s="5" t="str">
        <f>data!FA76</f>
        <v>б/ф</v>
      </c>
      <c r="FB9" s="5" t="str">
        <f>data!FB76</f>
        <v> </v>
      </c>
      <c r="FC9" s="5" t="str">
        <f>data!FC76</f>
        <v> </v>
      </c>
      <c r="FD9" s="5" t="str">
        <f>data!FD76</f>
        <v> </v>
      </c>
      <c r="FE9" s="5" t="str">
        <f>data!FE76</f>
        <v> </v>
      </c>
      <c r="FF9" s="5" t="str">
        <f>data!FF76</f>
        <v>5</v>
      </c>
      <c r="FG9" s="5" t="str">
        <f>data!FG76</f>
        <v> </v>
      </c>
      <c r="FH9" s="5" t="str">
        <f>data!FH76</f>
        <v>5</v>
      </c>
      <c r="FI9" s="5" t="str">
        <f>data!FI76</f>
        <v> </v>
      </c>
      <c r="FJ9" s="5" t="str">
        <f>data!FJ76</f>
        <v> </v>
      </c>
      <c r="FK9" s="5" t="str">
        <f>data!FK76</f>
        <v> </v>
      </c>
      <c r="FL9" s="5" t="str">
        <f>data!FL76</f>
        <v> </v>
      </c>
      <c r="FM9" s="5" t="str">
        <f>data!FM76</f>
        <v>2</v>
      </c>
      <c r="FN9" s="5" t="str">
        <f>data!FN76</f>
        <v> </v>
      </c>
      <c r="FO9" s="5" t="str">
        <f>data!FO76</f>
        <v>5</v>
      </c>
      <c r="FP9" s="5" t="str">
        <f>data!FP76</f>
        <v> </v>
      </c>
      <c r="FQ9" s="5" t="str">
        <f>data!FQ76</f>
        <v> </v>
      </c>
      <c r="FR9" s="5" t="str">
        <f>data!FR76</f>
        <v>О7</v>
      </c>
      <c r="FS9" s="5" t="str">
        <f>data!FS76</f>
        <v> </v>
      </c>
      <c r="FT9" s="5" t="str">
        <f>data!FT76</f>
        <v>Б</v>
      </c>
      <c r="FU9" s="5" t="str">
        <f>data!FU76</f>
        <v> </v>
      </c>
      <c r="FV9" s="5" t="str">
        <f>data!FV76</f>
        <v>Н</v>
      </c>
      <c r="FW9" s="5" t="str">
        <f>data!FW76</f>
        <v> </v>
      </c>
      <c r="FX9" s="5" t="str">
        <f>data!FX76</f>
        <v> </v>
      </c>
      <c r="FY9" s="5" t="str">
        <f>data!FY76</f>
        <v> </v>
      </c>
      <c r="FZ9" s="5" t="str">
        <f>data!FZ76</f>
        <v> </v>
      </c>
      <c r="GA9" s="5" t="str">
        <f>data!GA76</f>
        <v>5</v>
      </c>
      <c r="GB9" s="5" t="str">
        <f>data!GB76</f>
        <v> </v>
      </c>
      <c r="GC9" s="5" t="str">
        <f>data!GC76</f>
        <v>5</v>
      </c>
      <c r="GD9" s="5" t="str">
        <f>data!GD76</f>
        <v> </v>
      </c>
      <c r="GE9" s="5" t="str">
        <f>data!GE76</f>
        <v> </v>
      </c>
      <c r="GF9" s="5" t="str">
        <f>data!GF76</f>
        <v> </v>
      </c>
      <c r="GG9" s="5" t="str">
        <f>data!GG76</f>
        <v> </v>
      </c>
      <c r="GH9" s="5" t="str">
        <f>data!GH76</f>
        <v> </v>
      </c>
      <c r="GI9" s="5" t="str">
        <f>data!GI76</f>
        <v> </v>
      </c>
      <c r="GJ9" s="5" t="str">
        <f>data!GJ76</f>
        <v>5</v>
      </c>
      <c r="GK9" s="5" t="str">
        <f>data!GK76</f>
        <v> </v>
      </c>
      <c r="GL9" s="5" t="str">
        <f>data!GL76</f>
        <v> </v>
      </c>
      <c r="GM9" s="5" t="str">
        <f>data!GM76</f>
        <v> </v>
      </c>
      <c r="GN9" s="5" t="str">
        <f>data!GN76</f>
        <v> </v>
      </c>
      <c r="GO9" s="5" t="str">
        <f>data!GO76</f>
        <v/>
      </c>
      <c r="GP9" s="5" t="str">
        <f>data!GP76</f>
        <v> </v>
      </c>
      <c r="GQ9" s="5" t="str">
        <f>data!GQ76</f>
        <v/>
      </c>
      <c r="GR9" s="5" t="str">
        <f>data!GR76</f>
        <v> </v>
      </c>
      <c r="GS9" s="5" t="str">
        <f>data!GS76</f>
        <v> </v>
      </c>
      <c r="GT9" s="5" t="str">
        <f>data!GT76</f>
        <v> </v>
      </c>
      <c r="GU9" s="5" t="str">
        <f>data!GU76</f>
        <v> </v>
      </c>
      <c r="GV9" s="5" t="str">
        <f>data!GV76</f>
        <v> </v>
      </c>
      <c r="GW9" s="5" t="str">
        <f>data!GW76</f>
        <v> </v>
      </c>
      <c r="GX9" s="5" t="str">
        <f>data!GX76</f>
        <v> </v>
      </c>
      <c r="GY9" s="5" t="str">
        <f>data!GY76</f>
        <v> </v>
      </c>
      <c r="GZ9" s="5" t="str">
        <f>data!GZ76</f>
        <v> </v>
      </c>
      <c r="HA9" s="5" t="str">
        <f>data!HA76</f>
        <v> </v>
      </c>
      <c r="HB9" s="5" t="str">
        <f>data!HB76</f>
        <v> </v>
      </c>
      <c r="HC9" s="5" t="str">
        <f>data!HC76</f>
        <v> </v>
      </c>
      <c r="HD9" s="5" t="str">
        <f>data!HD76</f>
        <v> </v>
      </c>
      <c r="HE9" s="5" t="str">
        <f>data!HE76</f>
        <v> </v>
      </c>
      <c r="HF9" s="5" t="str">
        <f>data!HF76</f>
        <v> </v>
      </c>
      <c r="HG9" s="5" t="str">
        <f>data!HG76</f>
        <v> </v>
      </c>
      <c r="HH9" s="5" t="str">
        <f>data!HH76</f>
        <v> </v>
      </c>
      <c r="HI9" s="5" t="str">
        <f>data!HI76</f>
        <v> </v>
      </c>
      <c r="HJ9" s="5" t="str">
        <f>data!HJ76</f>
        <v> </v>
      </c>
      <c r="HK9" s="5" t="str">
        <f>data!HK76</f>
        <v> </v>
      </c>
      <c r="HL9" s="5" t="str">
        <f>data!HL76</f>
        <v> </v>
      </c>
      <c r="HM9" s="5" t="str">
        <f>data!HM76</f>
        <v> </v>
      </c>
      <c r="HN9" s="5" t="str">
        <f>data!HN76</f>
        <v> </v>
      </c>
      <c r="HO9" s="5" t="str">
        <f>data!HO76</f>
        <v> </v>
      </c>
      <c r="HP9" s="5" t="str">
        <f>data!HP76</f>
        <v> </v>
      </c>
      <c r="HQ9" s="5" t="str">
        <f>data!HQ76</f>
        <v> </v>
      </c>
      <c r="HR9" s="5" t="str">
        <f>data!HR76</f>
        <v> </v>
      </c>
      <c r="HS9" s="5" t="str">
        <f>data!HS76</f>
        <v> </v>
      </c>
      <c r="HT9" s="5" t="str">
        <f>data!HT76</f>
        <v> </v>
      </c>
      <c r="HU9" s="5" t="str">
        <f>data!HU76</f>
        <v> </v>
      </c>
      <c r="HV9" s="5" t="str">
        <f>data!HV76</f>
        <v> </v>
      </c>
      <c r="HW9" s="5" t="str">
        <f>data!HW76</f>
        <v> </v>
      </c>
      <c r="HX9" s="5" t="str">
        <f>data!HX76</f>
        <v> </v>
      </c>
      <c r="HY9" s="5" t="str">
        <f>data!HY76</f>
        <v> </v>
      </c>
      <c r="HZ9" s="5" t="str">
        <f>data!HZ76</f>
        <v> </v>
      </c>
      <c r="IA9" s="5" t="str">
        <f>data!IA76</f>
        <v> </v>
      </c>
      <c r="IB9" s="5" t="str">
        <f>data!IB76</f>
        <v> </v>
      </c>
      <c r="IC9" s="5" t="str">
        <f>data!IC76</f>
        <v> </v>
      </c>
      <c r="ID9" s="5" t="str">
        <f>data!ID76</f>
        <v> </v>
      </c>
      <c r="IE9" s="5" t="str">
        <f>data!IE76</f>
        <v> </v>
      </c>
      <c r="IF9" s="5" t="str">
        <f>data!IF76</f>
        <v> </v>
      </c>
      <c r="IG9" s="5" t="str">
        <f>data!IG76</f>
        <v> </v>
      </c>
      <c r="IH9" s="5" t="str">
        <f>data!IH76</f>
        <v> </v>
      </c>
      <c r="II9" s="5" t="str">
        <f>data!II76</f>
        <v> </v>
      </c>
      <c r="IJ9" s="5" t="str">
        <f>data!IJ76</f>
        <v> </v>
      </c>
      <c r="IK9" s="5" t="str">
        <f>data!IK76</f>
        <v> </v>
      </c>
      <c r="IL9" s="5" t="str">
        <f>data!IL76</f>
        <v> </v>
      </c>
      <c r="IM9" s="5" t="str">
        <f>data!IM76</f>
        <v> </v>
      </c>
      <c r="IN9" s="5" t="str">
        <f>data!IN76</f>
        <v> </v>
      </c>
      <c r="IO9" s="5" t="str">
        <f>data!IO76</f>
        <v> </v>
      </c>
      <c r="IP9" s="5" t="str">
        <f>data!IP76</f>
        <v> </v>
      </c>
      <c r="IQ9" s="5" t="str">
        <f>data!IQ76</f>
        <v> </v>
      </c>
      <c r="IR9" s="5" t="str">
        <f>data!IR76</f>
        <v> </v>
      </c>
      <c r="IS9" s="5" t="str">
        <f>data!IS76</f>
        <v> </v>
      </c>
      <c r="IT9" s="5" t="str">
        <f>data!IT76</f>
        <v> </v>
      </c>
      <c r="IU9" s="5" t="str">
        <f>data!IU76</f>
        <v> </v>
      </c>
      <c r="IV9" s="5" t="str">
        <f>data!IV76</f>
        <v> </v>
      </c>
      <c r="IW9" s="5" t="str">
        <f>data!IW76</f>
        <v> </v>
      </c>
      <c r="IX9" s="5" t="str">
        <f>data!IX76</f>
        <v> </v>
      </c>
      <c r="IY9" s="5" t="str">
        <f>data!IY76</f>
        <v> </v>
      </c>
      <c r="IZ9" s="5" t="str">
        <f>data!IZ76</f>
        <v> </v>
      </c>
      <c r="JA9" s="5" t="str">
        <f>data!JA76</f>
        <v> </v>
      </c>
      <c r="JB9" s="5" t="str">
        <f>data!JB76</f>
        <v> </v>
      </c>
      <c r="JC9" s="5" t="str">
        <f>data!JC76</f>
        <v> </v>
      </c>
      <c r="JD9" s="5" t="str">
        <f>data!JD76</f>
        <v> </v>
      </c>
      <c r="JE9" s="5" t="str">
        <f>data!JE76</f>
        <v> </v>
      </c>
    </row>
    <row r="10" ht="22.5" customHeight="1">
      <c r="A10" s="4" t="str">
        <f>data!A77</f>
        <v>Математика</v>
      </c>
      <c r="B10" s="5" t="str">
        <f>data!B77</f>
        <v/>
      </c>
      <c r="C10" s="5" t="str">
        <f>data!C77</f>
        <v/>
      </c>
      <c r="D10" s="5" t="str">
        <f>data!D77</f>
        <v/>
      </c>
      <c r="E10" s="5" t="str">
        <f>data!E77</f>
        <v/>
      </c>
      <c r="F10" s="5" t="str">
        <f>data!F77</f>
        <v> </v>
      </c>
      <c r="G10" s="5" t="str">
        <f>data!G77</f>
        <v> </v>
      </c>
      <c r="H10" s="5" t="str">
        <f>data!H77</f>
        <v> </v>
      </c>
      <c r="I10" s="5" t="str">
        <f>data!I77</f>
        <v/>
      </c>
      <c r="J10" s="5" t="str">
        <f>data!J77</f>
        <v>4</v>
      </c>
      <c r="K10" s="5" t="str">
        <f>data!K77</f>
        <v/>
      </c>
      <c r="L10" s="5" t="str">
        <f>data!L77</f>
        <v/>
      </c>
      <c r="M10" s="5" t="str">
        <f>data!M77</f>
        <v> </v>
      </c>
      <c r="N10" s="5" t="str">
        <f>data!N77</f>
        <v> </v>
      </c>
      <c r="O10" s="5" t="str">
        <f>data!O77</f>
        <v> </v>
      </c>
      <c r="P10" s="5" t="str">
        <f>data!P77</f>
        <v>5</v>
      </c>
      <c r="Q10" s="5" t="str">
        <f>data!Q77</f>
        <v>5</v>
      </c>
      <c r="R10" s="5" t="str">
        <f>data!R77</f>
        <v/>
      </c>
      <c r="S10" s="5" t="str">
        <f>data!S77</f>
        <v> </v>
      </c>
      <c r="T10" s="5" t="str">
        <f>data!T77</f>
        <v/>
      </c>
      <c r="U10" s="5" t="str">
        <f>data!U77</f>
        <v> </v>
      </c>
      <c r="V10" s="5" t="str">
        <f>data!V77</f>
        <v> </v>
      </c>
      <c r="W10" s="5" t="str">
        <f>data!W77</f>
        <v>5</v>
      </c>
      <c r="X10" s="5" t="str">
        <f>data!X77</f>
        <v>5</v>
      </c>
      <c r="Y10" s="5" t="str">
        <f>data!Y77</f>
        <v>5</v>
      </c>
      <c r="Z10" s="5" t="str">
        <f>data!Z77</f>
        <v> </v>
      </c>
      <c r="AA10" s="5" t="str">
        <f>data!AA77</f>
        <v/>
      </c>
      <c r="AB10" s="5" t="str">
        <f>data!AB77</f>
        <v> </v>
      </c>
      <c r="AC10" s="5" t="str">
        <f>data!AC77</f>
        <v> </v>
      </c>
      <c r="AD10" s="5" t="str">
        <f>data!AD77</f>
        <v>5</v>
      </c>
      <c r="AE10" s="5" t="str">
        <f>data!AE77</f>
        <v> </v>
      </c>
      <c r="AF10" s="5" t="str">
        <f>data!AF77</f>
        <v/>
      </c>
      <c r="AG10" s="5" t="str">
        <f>data!AG77</f>
        <v> </v>
      </c>
      <c r="AH10" s="5" t="str">
        <f>data!AH77</f>
        <v/>
      </c>
      <c r="AI10" s="5" t="str">
        <f>data!AI77</f>
        <v> </v>
      </c>
      <c r="AJ10" s="5" t="str">
        <f>data!AJ77</f>
        <v> </v>
      </c>
      <c r="AK10" s="5" t="str">
        <f>data!AK77</f>
        <v>4</v>
      </c>
      <c r="AL10" s="5" t="str">
        <f>data!AL77</f>
        <v/>
      </c>
      <c r="AM10" s="5" t="str">
        <f>data!AM77</f>
        <v/>
      </c>
      <c r="AN10" s="5" t="str">
        <f>data!AN77</f>
        <v> </v>
      </c>
      <c r="AO10" s="5" t="str">
        <f>data!AO77</f>
        <v/>
      </c>
      <c r="AP10" s="5" t="str">
        <f>data!AP77</f>
        <v> </v>
      </c>
      <c r="AQ10" s="5" t="str">
        <f>data!AQ77</f>
        <v> </v>
      </c>
      <c r="AR10" s="5" t="str">
        <f>data!AR77</f>
        <v>4</v>
      </c>
      <c r="AS10" s="5" t="str">
        <f>data!AS77</f>
        <v/>
      </c>
      <c r="AT10" s="5" t="str">
        <f>data!AT77</f>
        <v/>
      </c>
      <c r="AU10" s="5" t="str">
        <f>data!AU77</f>
        <v/>
      </c>
      <c r="AV10" s="5" t="str">
        <f>data!AV77</f>
        <v>5</v>
      </c>
      <c r="AW10" s="5" t="str">
        <f>data!AW77</f>
        <v/>
      </c>
      <c r="AX10" s="5" t="str">
        <f>data!AX77</f>
        <v/>
      </c>
      <c r="AY10" s="5" t="str">
        <f>data!AY77</f>
        <v/>
      </c>
      <c r="AZ10" s="5" t="str">
        <f>data!AZ77</f>
        <v>5</v>
      </c>
      <c r="BA10" s="5" t="str">
        <f>data!BA77</f>
        <v/>
      </c>
      <c r="BB10" s="5" t="str">
        <f>data!BB77</f>
        <v/>
      </c>
      <c r="BC10" s="5" t="str">
        <f>data!BC77</f>
        <v/>
      </c>
      <c r="BD10" s="5" t="str">
        <f>data!BD77</f>
        <v/>
      </c>
      <c r="BE10" s="5" t="str">
        <f>data!BE77</f>
        <v/>
      </c>
      <c r="BF10" s="5" t="str">
        <f>data!BF77</f>
        <v/>
      </c>
      <c r="BG10" s="5" t="str">
        <f>data!BG77</f>
        <v>3</v>
      </c>
      <c r="BH10" s="5" t="str">
        <f>data!BH77</f>
        <v>5</v>
      </c>
      <c r="BI10" s="5" t="str">
        <f>data!BI77</f>
        <v/>
      </c>
      <c r="BJ10" s="5" t="str">
        <f>data!BJ77</f>
        <v> </v>
      </c>
      <c r="BK10" s="5" t="str">
        <f>data!BK77</f>
        <v> </v>
      </c>
      <c r="BL10" s="5" t="str">
        <f>data!BL77</f>
        <v> </v>
      </c>
      <c r="BM10" s="5" t="str">
        <f>data!BM77</f>
        <v> </v>
      </c>
      <c r="BN10" s="5" t="str">
        <f>data!BN77</f>
        <v> </v>
      </c>
      <c r="BO10" s="5" t="str">
        <f>data!BO77</f>
        <v> </v>
      </c>
      <c r="BP10" s="5" t="str">
        <f>data!BP77</f>
        <v> </v>
      </c>
      <c r="BQ10" s="5" t="str">
        <f>data!BQ77</f>
        <v> </v>
      </c>
      <c r="BR10" s="5" t="str">
        <f>data!BR77</f>
        <v> </v>
      </c>
      <c r="BS10" s="5" t="str">
        <f>data!BS77</f>
        <v> </v>
      </c>
      <c r="BT10" s="5" t="str">
        <f>data!BT77</f>
        <v/>
      </c>
      <c r="BU10" s="5" t="str">
        <f>data!BU77</f>
        <v/>
      </c>
      <c r="BV10" s="5" t="str">
        <f>data!BV77</f>
        <v>3</v>
      </c>
      <c r="BW10" s="5" t="str">
        <f>data!BW77</f>
        <v> </v>
      </c>
      <c r="BX10" s="5" t="str">
        <f>data!BX77</f>
        <v/>
      </c>
      <c r="BY10" s="5" t="str">
        <f>data!BY77</f>
        <v> </v>
      </c>
      <c r="BZ10" s="5" t="str">
        <f>data!BZ77</f>
        <v> </v>
      </c>
      <c r="CA10" s="5" t="str">
        <f>data!CA77</f>
        <v>н/н</v>
      </c>
      <c r="CB10" s="5" t="str">
        <f>data!CB77</f>
        <v>2</v>
      </c>
      <c r="CC10" s="5" t="str">
        <f>data!CC77</f>
        <v/>
      </c>
      <c r="CD10" s="5" t="str">
        <f>data!CD77</f>
        <v> </v>
      </c>
      <c r="CE10" s="5" t="str">
        <f>data!CE77</f>
        <v>н/н</v>
      </c>
      <c r="CF10" s="5" t="str">
        <f>data!CF77</f>
        <v> </v>
      </c>
      <c r="CG10" s="5" t="str">
        <f>data!CG77</f>
        <v> </v>
      </c>
      <c r="CH10" s="5" t="str">
        <f>data!CH77</f>
        <v>5</v>
      </c>
      <c r="CI10" s="5" t="str">
        <f>data!CI77</f>
        <v>3</v>
      </c>
      <c r="CJ10" s="5" t="str">
        <f>data!CJ77</f>
        <v/>
      </c>
      <c r="CK10" s="5" t="str">
        <f>data!CK77</f>
        <v> </v>
      </c>
      <c r="CL10" s="5" t="str">
        <f>data!CL77</f>
        <v>5</v>
      </c>
      <c r="CM10" s="5" t="str">
        <f>data!CM77</f>
        <v> </v>
      </c>
      <c r="CN10" s="5" t="str">
        <f>data!CN77</f>
        <v> </v>
      </c>
      <c r="CO10" s="5" t="str">
        <f>data!CO77</f>
        <v/>
      </c>
      <c r="CP10" s="5" t="str">
        <f>data!CP77</f>
        <v/>
      </c>
      <c r="CQ10" s="5" t="str">
        <f>data!CQ77</f>
        <v/>
      </c>
      <c r="CR10" s="5" t="str">
        <f>data!CR77</f>
        <v> </v>
      </c>
      <c r="CS10" s="5" t="str">
        <f>data!CS77</f>
        <v/>
      </c>
      <c r="CT10" s="5" t="str">
        <f>data!CT77</f>
        <v> </v>
      </c>
      <c r="CU10" s="5" t="str">
        <f>data!CU77</f>
        <v> </v>
      </c>
      <c r="CV10" s="5" t="str">
        <f>data!CV77</f>
        <v/>
      </c>
      <c r="CW10" s="5" t="str">
        <f>data!CW77</f>
        <v>4</v>
      </c>
      <c r="CX10" s="5" t="str">
        <f>data!CX77</f>
        <v/>
      </c>
      <c r="CY10" s="5" t="str">
        <f>data!CY77</f>
        <v/>
      </c>
      <c r="CZ10" s="5" t="str">
        <f>data!CZ77</f>
        <v>4</v>
      </c>
      <c r="DA10" s="5" t="str">
        <f>data!DA77</f>
        <v/>
      </c>
      <c r="DB10" s="5" t="str">
        <f>data!DB77</f>
        <v/>
      </c>
      <c r="DC10" s="5" t="str">
        <f>data!DC77</f>
        <v>5</v>
      </c>
      <c r="DD10" s="5" t="str">
        <f>data!DD77</f>
        <v/>
      </c>
      <c r="DE10" s="5" t="str">
        <f>data!DE77</f>
        <v>5</v>
      </c>
      <c r="DF10" s="5" t="str">
        <f>data!DF77</f>
        <v/>
      </c>
      <c r="DG10" s="5" t="str">
        <f>data!DG77</f>
        <v>5</v>
      </c>
      <c r="DH10" s="5" t="str">
        <f>data!DH77</f>
        <v/>
      </c>
      <c r="DI10" s="5" t="str">
        <f>data!DI77</f>
        <v/>
      </c>
      <c r="DJ10" s="5" t="str">
        <f>data!DJ77</f>
        <v>н</v>
      </c>
      <c r="DK10" s="5" t="str">
        <f>data!DK77</f>
        <v/>
      </c>
      <c r="DL10" s="5" t="str">
        <f>data!DL77</f>
        <v/>
      </c>
      <c r="DM10" s="5" t="str">
        <f>data!DM77</f>
        <v>5</v>
      </c>
      <c r="DN10" s="5" t="str">
        <f>data!DN77</f>
        <v/>
      </c>
      <c r="DO10" s="5" t="str">
        <f>data!DO77</f>
        <v> </v>
      </c>
      <c r="DP10" s="5" t="str">
        <f>data!DP77</f>
        <v> </v>
      </c>
      <c r="DQ10" s="5" t="str">
        <f>data!DQ77</f>
        <v> </v>
      </c>
      <c r="DR10" s="5" t="str">
        <f>data!DR77</f>
        <v> </v>
      </c>
      <c r="DS10" s="5" t="str">
        <f>data!DS77</f>
        <v> </v>
      </c>
      <c r="DT10" s="5" t="str">
        <f>data!DT77</f>
        <v> </v>
      </c>
      <c r="DU10" s="5" t="str">
        <f>data!DU77</f>
        <v> </v>
      </c>
      <c r="DV10" s="5" t="str">
        <f>data!DV77</f>
        <v> </v>
      </c>
      <c r="DW10" s="5" t="str">
        <f>data!DW77</f>
        <v> </v>
      </c>
      <c r="DX10" s="5" t="str">
        <f>data!DX77</f>
        <v> </v>
      </c>
      <c r="DY10" s="5" t="str">
        <f>data!DY77</f>
        <v> </v>
      </c>
      <c r="DZ10" s="5" t="str">
        <f>data!DZ77</f>
        <v> </v>
      </c>
      <c r="EA10" s="5" t="str">
        <f>data!EA77</f>
        <v> </v>
      </c>
      <c r="EB10" s="5" t="str">
        <f>data!EB77</f>
        <v> </v>
      </c>
      <c r="EC10" s="5" t="str">
        <f>data!EC77</f>
        <v> </v>
      </c>
      <c r="ED10" s="5" t="str">
        <f>data!ED77</f>
        <v> </v>
      </c>
      <c r="EE10" s="5" t="str">
        <f>data!EE77</f>
        <v/>
      </c>
      <c r="EF10" s="5" t="str">
        <f>data!EF77</f>
        <v/>
      </c>
      <c r="EG10" s="5" t="str">
        <f>data!EG77</f>
        <v/>
      </c>
      <c r="EH10" s="5" t="str">
        <f>data!EH77</f>
        <v> </v>
      </c>
      <c r="EI10" s="5" t="str">
        <f>data!EI77</f>
        <v/>
      </c>
      <c r="EJ10" s="5" t="str">
        <f>data!EJ77</f>
        <v> </v>
      </c>
      <c r="EK10" s="5" t="str">
        <f>data!EK77</f>
        <v> </v>
      </c>
      <c r="EL10" s="5" t="str">
        <f>data!EL77</f>
        <v>3</v>
      </c>
      <c r="EM10" s="5" t="str">
        <f>data!EM77</f>
        <v/>
      </c>
      <c r="EN10" s="5" t="str">
        <f>data!EN77</f>
        <v/>
      </c>
      <c r="EO10" s="5" t="str">
        <f>data!EO77</f>
        <v> </v>
      </c>
      <c r="EP10" s="5" t="str">
        <f>data!EP77</f>
        <v>4</v>
      </c>
      <c r="EQ10" s="5" t="str">
        <f>data!EQ77</f>
        <v> </v>
      </c>
      <c r="ER10" s="5" t="str">
        <f>data!ER77</f>
        <v> </v>
      </c>
      <c r="ES10" s="5" t="str">
        <f>data!ES77</f>
        <v>4/4/5</v>
      </c>
      <c r="ET10" s="5" t="str">
        <f>data!ET77</f>
        <v/>
      </c>
      <c r="EU10" s="5" t="str">
        <f>data!EU77</f>
        <v/>
      </c>
      <c r="EV10" s="5" t="str">
        <f>data!EV77</f>
        <v> </v>
      </c>
      <c r="EW10" s="5" t="str">
        <f>data!EW77</f>
        <v>н</v>
      </c>
      <c r="EX10" s="5" t="str">
        <f>data!EX77</f>
        <v> </v>
      </c>
      <c r="EY10" s="5" t="str">
        <f>data!EY77</f>
        <v> </v>
      </c>
      <c r="EZ10" s="5" t="str">
        <f>data!EZ77</f>
        <v>4</v>
      </c>
      <c r="FA10" s="5" t="str">
        <f>data!FA77</f>
        <v/>
      </c>
      <c r="FB10" s="5" t="str">
        <f>data!FB77</f>
        <v/>
      </c>
      <c r="FC10" s="5" t="str">
        <f>data!FC77</f>
        <v> </v>
      </c>
      <c r="FD10" s="5" t="str">
        <f>data!FD77</f>
        <v>5/3</v>
      </c>
      <c r="FE10" s="5" t="str">
        <f>data!FE77</f>
        <v> </v>
      </c>
      <c r="FF10" s="5" t="str">
        <f>data!FF77</f>
        <v> </v>
      </c>
      <c r="FG10" s="5" t="str">
        <f>data!FG77</f>
        <v>2</v>
      </c>
      <c r="FH10" s="5" t="str">
        <f>data!FH77</f>
        <v> </v>
      </c>
      <c r="FI10" s="5" t="str">
        <f>data!FI77</f>
        <v/>
      </c>
      <c r="FJ10" s="5" t="str">
        <f>data!FJ77</f>
        <v> </v>
      </c>
      <c r="FK10" s="5" t="str">
        <f>data!FK77</f>
        <v/>
      </c>
      <c r="FL10" s="5" t="str">
        <f>data!FL77</f>
        <v> </v>
      </c>
      <c r="FM10" s="5" t="str">
        <f>data!FM77</f>
        <v> </v>
      </c>
      <c r="FN10" s="5" t="str">
        <f>data!FN77</f>
        <v/>
      </c>
      <c r="FO10" s="5" t="str">
        <f>data!FO77</f>
        <v> </v>
      </c>
      <c r="FP10" s="5" t="str">
        <f>data!FP77</f>
        <v> </v>
      </c>
      <c r="FQ10" s="5" t="str">
        <f>data!FQ77</f>
        <v> </v>
      </c>
      <c r="FR10" s="5" t="str">
        <f>data!FR77</f>
        <v>3</v>
      </c>
      <c r="FS10" s="5" t="str">
        <f>data!FS77</f>
        <v> </v>
      </c>
      <c r="FT10" s="5" t="str">
        <f>data!FT77</f>
        <v> </v>
      </c>
      <c r="FU10" s="5" t="str">
        <f>data!FU77</f>
        <v>3</v>
      </c>
      <c r="FV10" s="5" t="str">
        <f>data!FV77</f>
        <v>н</v>
      </c>
      <c r="FW10" s="5" t="str">
        <f>data!FW77</f>
        <v/>
      </c>
      <c r="FX10" s="5" t="str">
        <f>data!FX77</f>
        <v> </v>
      </c>
      <c r="FY10" s="5" t="str">
        <f>data!FY77</f>
        <v/>
      </c>
      <c r="FZ10" s="5" t="str">
        <f>data!FZ77</f>
        <v> </v>
      </c>
      <c r="GA10" s="5" t="str">
        <f>data!GA77</f>
        <v> </v>
      </c>
      <c r="GB10" s="5" t="str">
        <f>data!GB77</f>
        <v>5</v>
      </c>
      <c r="GC10" s="5" t="str">
        <f>data!GC77</f>
        <v/>
      </c>
      <c r="GD10" s="5" t="str">
        <f>data!GD77</f>
        <v/>
      </c>
      <c r="GE10" s="5" t="str">
        <f>data!GE77</f>
        <v> </v>
      </c>
      <c r="GF10" s="5" t="str">
        <f>data!GF77</f>
        <v>н</v>
      </c>
      <c r="GG10" s="5" t="str">
        <f>data!GG77</f>
        <v> </v>
      </c>
      <c r="GH10" s="5" t="str">
        <f>data!GH77</f>
        <v> </v>
      </c>
      <c r="GI10" s="5" t="str">
        <f>data!GI77</f>
        <v>4</v>
      </c>
      <c r="GJ10" s="5" t="str">
        <f>data!GJ77</f>
        <v/>
      </c>
      <c r="GK10" s="5" t="str">
        <f>data!GK77</f>
        <v/>
      </c>
      <c r="GL10" s="5" t="str">
        <f>data!GL77</f>
        <v> </v>
      </c>
      <c r="GM10" s="5" t="str">
        <f>data!GM77</f>
        <v>5</v>
      </c>
      <c r="GN10" s="5" t="str">
        <f>data!GN77</f>
        <v> </v>
      </c>
      <c r="GO10" s="5" t="str">
        <f>data!GO77</f>
        <v> </v>
      </c>
      <c r="GP10" s="5" t="str">
        <f>data!GP77</f>
        <v>4</v>
      </c>
      <c r="GQ10" s="5" t="str">
        <f>data!GQ77</f>
        <v/>
      </c>
      <c r="GR10" s="5" t="str">
        <f>data!GR77</f>
        <v/>
      </c>
      <c r="GS10" s="5" t="str">
        <f>data!GS77</f>
        <v> </v>
      </c>
      <c r="GT10" s="5" t="str">
        <f>data!GT77</f>
        <v> </v>
      </c>
      <c r="GU10" s="5" t="str">
        <f>data!GU77</f>
        <v> </v>
      </c>
      <c r="GV10" s="5" t="str">
        <f>data!GV77</f>
        <v> </v>
      </c>
      <c r="GW10" s="5" t="str">
        <f>data!GW77</f>
        <v> </v>
      </c>
      <c r="GX10" s="5" t="str">
        <f>data!GX77</f>
        <v> </v>
      </c>
      <c r="GY10" s="5" t="str">
        <f>data!GY77</f>
        <v> </v>
      </c>
      <c r="GZ10" s="5" t="str">
        <f>data!GZ77</f>
        <v> </v>
      </c>
      <c r="HA10" s="5" t="str">
        <f>data!HA77</f>
        <v> </v>
      </c>
      <c r="HB10" s="5" t="str">
        <f>data!HB77</f>
        <v> </v>
      </c>
      <c r="HC10" s="5" t="str">
        <f>data!HC77</f>
        <v> </v>
      </c>
      <c r="HD10" s="5" t="str">
        <f>data!HD77</f>
        <v> </v>
      </c>
      <c r="HE10" s="5" t="str">
        <f>data!HE77</f>
        <v> </v>
      </c>
      <c r="HF10" s="5" t="str">
        <f>data!HF77</f>
        <v> </v>
      </c>
      <c r="HG10" s="5" t="str">
        <f>data!HG77</f>
        <v> </v>
      </c>
      <c r="HH10" s="5" t="str">
        <f>data!HH77</f>
        <v> </v>
      </c>
      <c r="HI10" s="5" t="str">
        <f>data!HI77</f>
        <v> </v>
      </c>
      <c r="HJ10" s="5" t="str">
        <f>data!HJ77</f>
        <v> </v>
      </c>
      <c r="HK10" s="5" t="str">
        <f>data!HK77</f>
        <v> </v>
      </c>
      <c r="HL10" s="5" t="str">
        <f>data!HL77</f>
        <v> </v>
      </c>
      <c r="HM10" s="5" t="str">
        <f>data!HM77</f>
        <v> </v>
      </c>
      <c r="HN10" s="5" t="str">
        <f>data!HN77</f>
        <v> </v>
      </c>
      <c r="HO10" s="5" t="str">
        <f>data!HO77</f>
        <v> </v>
      </c>
      <c r="HP10" s="5" t="str">
        <f>data!HP77</f>
        <v> </v>
      </c>
      <c r="HQ10" s="5" t="str">
        <f>data!HQ77</f>
        <v> </v>
      </c>
      <c r="HR10" s="5" t="str">
        <f>data!HR77</f>
        <v> </v>
      </c>
      <c r="HS10" s="5" t="str">
        <f>data!HS77</f>
        <v> </v>
      </c>
      <c r="HT10" s="5" t="str">
        <f>data!HT77</f>
        <v> </v>
      </c>
      <c r="HU10" s="5" t="str">
        <f>data!HU77</f>
        <v> </v>
      </c>
      <c r="HV10" s="5" t="str">
        <f>data!HV77</f>
        <v> </v>
      </c>
      <c r="HW10" s="5" t="str">
        <f>data!HW77</f>
        <v> </v>
      </c>
      <c r="HX10" s="5" t="str">
        <f>data!HX77</f>
        <v> </v>
      </c>
      <c r="HY10" s="5" t="str">
        <f>data!HY77</f>
        <v> </v>
      </c>
      <c r="HZ10" s="5" t="str">
        <f>data!HZ77</f>
        <v> </v>
      </c>
      <c r="IA10" s="5" t="str">
        <f>data!IA77</f>
        <v> </v>
      </c>
      <c r="IB10" s="5" t="str">
        <f>data!IB77</f>
        <v> </v>
      </c>
      <c r="IC10" s="5" t="str">
        <f>data!IC77</f>
        <v> </v>
      </c>
      <c r="ID10" s="5" t="str">
        <f>data!ID77</f>
        <v> </v>
      </c>
      <c r="IE10" s="5" t="str">
        <f>data!IE77</f>
        <v> </v>
      </c>
      <c r="IF10" s="5" t="str">
        <f>data!IF77</f>
        <v> </v>
      </c>
      <c r="IG10" s="5" t="str">
        <f>data!IG77</f>
        <v> </v>
      </c>
      <c r="IH10" s="5" t="str">
        <f>data!IH77</f>
        <v> </v>
      </c>
      <c r="II10" s="5" t="str">
        <f>data!II77</f>
        <v> </v>
      </c>
      <c r="IJ10" s="5" t="str">
        <f>data!IJ77</f>
        <v> </v>
      </c>
      <c r="IK10" s="5" t="str">
        <f>data!IK77</f>
        <v> </v>
      </c>
      <c r="IL10" s="5" t="str">
        <f>data!IL77</f>
        <v> </v>
      </c>
      <c r="IM10" s="5" t="str">
        <f>data!IM77</f>
        <v> </v>
      </c>
      <c r="IN10" s="5" t="str">
        <f>data!IN77</f>
        <v> </v>
      </c>
      <c r="IO10" s="5" t="str">
        <f>data!IO77</f>
        <v> </v>
      </c>
      <c r="IP10" s="5" t="str">
        <f>data!IP77</f>
        <v> </v>
      </c>
      <c r="IQ10" s="5" t="str">
        <f>data!IQ77</f>
        <v> </v>
      </c>
      <c r="IR10" s="5" t="str">
        <f>data!IR77</f>
        <v> </v>
      </c>
      <c r="IS10" s="5" t="str">
        <f>data!IS77</f>
        <v> </v>
      </c>
      <c r="IT10" s="5" t="str">
        <f>data!IT77</f>
        <v> </v>
      </c>
      <c r="IU10" s="5" t="str">
        <f>data!IU77</f>
        <v> </v>
      </c>
      <c r="IV10" s="5" t="str">
        <f>data!IV77</f>
        <v> </v>
      </c>
      <c r="IW10" s="5" t="str">
        <f>data!IW77</f>
        <v> </v>
      </c>
      <c r="IX10" s="5" t="str">
        <f>data!IX77</f>
        <v> </v>
      </c>
      <c r="IY10" s="5" t="str">
        <f>data!IY77</f>
        <v> </v>
      </c>
      <c r="IZ10" s="5" t="str">
        <f>data!IZ77</f>
        <v> </v>
      </c>
      <c r="JA10" s="5" t="str">
        <f>data!JA77</f>
        <v> </v>
      </c>
      <c r="JB10" s="5" t="str">
        <f>data!JB77</f>
        <v> </v>
      </c>
      <c r="JC10" s="5" t="str">
        <f>data!JC77</f>
        <v> </v>
      </c>
      <c r="JD10" s="5" t="str">
        <f>data!JD77</f>
        <v> </v>
      </c>
      <c r="JE10" s="5" t="str">
        <f>data!JE77</f>
        <v> </v>
      </c>
    </row>
    <row r="11" ht="22.5" customHeight="1">
      <c r="A11" s="4" t="str">
        <f>data!A78</f>
        <v>Ботаника</v>
      </c>
      <c r="B11" s="5" t="str">
        <f>data!B78</f>
        <v> </v>
      </c>
      <c r="C11" s="5" t="str">
        <f>data!C78</f>
        <v>4</v>
      </c>
      <c r="D11" s="5" t="str">
        <f>data!D78</f>
        <v> </v>
      </c>
      <c r="E11" s="5" t="str">
        <f>data!E78</f>
        <v> </v>
      </c>
      <c r="F11" s="5" t="str">
        <f>data!F78</f>
        <v> </v>
      </c>
      <c r="G11" s="5" t="str">
        <f>data!G78</f>
        <v> </v>
      </c>
      <c r="H11" s="5" t="str">
        <f>data!H78</f>
        <v> </v>
      </c>
      <c r="I11" s="5" t="str">
        <f>data!I78</f>
        <v> </v>
      </c>
      <c r="J11" s="5" t="str">
        <f>data!J78</f>
        <v> </v>
      </c>
      <c r="K11" s="5" t="str">
        <f>data!K78</f>
        <v/>
      </c>
      <c r="L11" s="5" t="str">
        <f>data!L78</f>
        <v> </v>
      </c>
      <c r="M11" s="5" t="str">
        <f>data!M78</f>
        <v> </v>
      </c>
      <c r="N11" s="5" t="str">
        <f>data!N78</f>
        <v> </v>
      </c>
      <c r="O11" s="5" t="str">
        <f>data!O78</f>
        <v> </v>
      </c>
      <c r="P11" s="5" t="str">
        <f>data!P78</f>
        <v> </v>
      </c>
      <c r="Q11" s="5" t="str">
        <f>data!Q78</f>
        <v> </v>
      </c>
      <c r="R11" s="5" t="str">
        <f>data!R78</f>
        <v/>
      </c>
      <c r="S11" s="5" t="str">
        <f>data!S78</f>
        <v> </v>
      </c>
      <c r="T11" s="5" t="str">
        <f>data!T78</f>
        <v> </v>
      </c>
      <c r="U11" s="5" t="str">
        <f>data!U78</f>
        <v> </v>
      </c>
      <c r="V11" s="5" t="str">
        <f>data!V78</f>
        <v> </v>
      </c>
      <c r="W11" s="5" t="str">
        <f>data!W78</f>
        <v> </v>
      </c>
      <c r="X11" s="5" t="str">
        <f>data!X78</f>
        <v> </v>
      </c>
      <c r="Y11" s="5" t="str">
        <f>data!Y78</f>
        <v/>
      </c>
      <c r="Z11" s="5" t="str">
        <f>data!Z78</f>
        <v> </v>
      </c>
      <c r="AA11" s="5" t="str">
        <f>data!AA78</f>
        <v> </v>
      </c>
      <c r="AB11" s="5" t="str">
        <f>data!AB78</f>
        <v> </v>
      </c>
      <c r="AC11" s="5" t="str">
        <f>data!AC78</f>
        <v> </v>
      </c>
      <c r="AD11" s="5" t="str">
        <f>data!AD78</f>
        <v> </v>
      </c>
      <c r="AE11" s="5" t="str">
        <f>data!AE78</f>
        <v> </v>
      </c>
      <c r="AF11" s="5" t="str">
        <f>data!AF78</f>
        <v/>
      </c>
      <c r="AG11" s="5" t="str">
        <f>data!AG78</f>
        <v> </v>
      </c>
      <c r="AH11" s="5" t="str">
        <f>data!AH78</f>
        <v> </v>
      </c>
      <c r="AI11" s="5" t="str">
        <f>data!AI78</f>
        <v> </v>
      </c>
      <c r="AJ11" s="5" t="str">
        <f>data!AJ78</f>
        <v> </v>
      </c>
      <c r="AK11" s="5" t="str">
        <f>data!AK78</f>
        <v> </v>
      </c>
      <c r="AL11" s="5" t="str">
        <f>data!AL78</f>
        <v> </v>
      </c>
      <c r="AM11" s="5" t="str">
        <f>data!AM78</f>
        <v>5</v>
      </c>
      <c r="AN11" s="5" t="str">
        <f>data!AN78</f>
        <v> </v>
      </c>
      <c r="AO11" s="5" t="str">
        <f>data!AO78</f>
        <v> </v>
      </c>
      <c r="AP11" s="5" t="str">
        <f>data!AP78</f>
        <v> </v>
      </c>
      <c r="AQ11" s="5" t="str">
        <f>data!AQ78</f>
        <v> </v>
      </c>
      <c r="AR11" s="5" t="str">
        <f>data!AR78</f>
        <v> </v>
      </c>
      <c r="AS11" s="5" t="str">
        <f>data!AS78</f>
        <v> </v>
      </c>
      <c r="AT11" s="5" t="str">
        <f>data!AT78</f>
        <v/>
      </c>
      <c r="AU11" s="5" t="str">
        <f>data!AU78</f>
        <v> </v>
      </c>
      <c r="AV11" s="5" t="str">
        <f>data!AV78</f>
        <v> </v>
      </c>
      <c r="AW11" s="5" t="str">
        <f>data!AW78</f>
        <v> </v>
      </c>
      <c r="AX11" s="5" t="str">
        <f>data!AX78</f>
        <v> </v>
      </c>
      <c r="AY11" s="5" t="str">
        <f>data!AY78</f>
        <v> </v>
      </c>
      <c r="AZ11" s="5" t="str">
        <f>data!AZ78</f>
        <v> </v>
      </c>
      <c r="BA11" s="5" t="str">
        <f>data!BA78</f>
        <v> </v>
      </c>
      <c r="BB11" s="5" t="str">
        <f>data!BB78</f>
        <v> </v>
      </c>
      <c r="BC11" s="5" t="str">
        <f>data!BC78</f>
        <v> </v>
      </c>
      <c r="BD11" s="5" t="str">
        <f>data!BD78</f>
        <v> </v>
      </c>
      <c r="BE11" s="5" t="str">
        <f>data!BE78</f>
        <v> </v>
      </c>
      <c r="BF11" s="5" t="str">
        <f>data!BF78</f>
        <v> </v>
      </c>
      <c r="BG11" s="5" t="str">
        <f>data!BG78</f>
        <v> </v>
      </c>
      <c r="BH11" s="5" t="str">
        <f>data!BH78</f>
        <v>5</v>
      </c>
      <c r="BI11" s="5" t="str">
        <f>data!BI78</f>
        <v> </v>
      </c>
      <c r="BJ11" s="5" t="str">
        <f>data!BJ78</f>
        <v> </v>
      </c>
      <c r="BK11" s="5" t="str">
        <f>data!BK78</f>
        <v> </v>
      </c>
      <c r="BL11" s="5" t="str">
        <f>data!BL78</f>
        <v> </v>
      </c>
      <c r="BM11" s="5" t="str">
        <f>data!BM78</f>
        <v> </v>
      </c>
      <c r="BN11" s="5" t="str">
        <f>data!BN78</f>
        <v> </v>
      </c>
      <c r="BO11" s="5" t="str">
        <f>data!BO78</f>
        <v> </v>
      </c>
      <c r="BP11" s="5" t="str">
        <f>data!BP78</f>
        <v> </v>
      </c>
      <c r="BQ11" s="5" t="str">
        <f>data!BQ78</f>
        <v> </v>
      </c>
      <c r="BR11" s="5" t="str">
        <f>data!BR78</f>
        <v> </v>
      </c>
      <c r="BS11" s="5" t="str">
        <f>data!BS78</f>
        <v> </v>
      </c>
      <c r="BT11" s="5" t="str">
        <f>data!BT78</f>
        <v> </v>
      </c>
      <c r="BU11" s="5" t="str">
        <f>data!BU78</f>
        <v> </v>
      </c>
      <c r="BV11" s="5" t="str">
        <f>data!BV78</f>
        <v/>
      </c>
      <c r="BW11" s="5" t="str">
        <f>data!BW78</f>
        <v> </v>
      </c>
      <c r="BX11" s="5" t="str">
        <f>data!BX78</f>
        <v> </v>
      </c>
      <c r="BY11" s="5" t="str">
        <f>data!BY78</f>
        <v> </v>
      </c>
      <c r="BZ11" s="5" t="str">
        <f>data!BZ78</f>
        <v> </v>
      </c>
      <c r="CA11" s="5" t="str">
        <f>data!CA78</f>
        <v> </v>
      </c>
      <c r="CB11" s="5" t="str">
        <f>data!CB78</f>
        <v> </v>
      </c>
      <c r="CC11" s="5" t="str">
        <f>data!CC78</f>
        <v>5</v>
      </c>
      <c r="CD11" s="5" t="str">
        <f>data!CD78</f>
        <v> </v>
      </c>
      <c r="CE11" s="5" t="str">
        <f>data!CE78</f>
        <v> </v>
      </c>
      <c r="CF11" s="5" t="str">
        <f>data!CF78</f>
        <v> </v>
      </c>
      <c r="CG11" s="5" t="str">
        <f>data!CG78</f>
        <v> </v>
      </c>
      <c r="CH11" s="5" t="str">
        <f>data!CH78</f>
        <v> </v>
      </c>
      <c r="CI11" s="5" t="str">
        <f>data!CI78</f>
        <v> </v>
      </c>
      <c r="CJ11" s="5" t="str">
        <f>data!CJ78</f>
        <v/>
      </c>
      <c r="CK11" s="5" t="str">
        <f>data!CK78</f>
        <v> </v>
      </c>
      <c r="CL11" s="5" t="str">
        <f>data!CL78</f>
        <v> </v>
      </c>
      <c r="CM11" s="5" t="str">
        <f>data!CM78</f>
        <v> </v>
      </c>
      <c r="CN11" s="5" t="str">
        <f>data!CN78</f>
        <v> </v>
      </c>
      <c r="CO11" s="5" t="str">
        <f>data!CO78</f>
        <v> </v>
      </c>
      <c r="CP11" s="5" t="str">
        <f>data!CP78</f>
        <v> </v>
      </c>
      <c r="CQ11" s="5" t="str">
        <f>data!CQ78</f>
        <v>5</v>
      </c>
      <c r="CR11" s="5" t="str">
        <f>data!CR78</f>
        <v> </v>
      </c>
      <c r="CS11" s="5" t="str">
        <f>data!CS78</f>
        <v> </v>
      </c>
      <c r="CT11" s="5" t="str">
        <f>data!CT78</f>
        <v> </v>
      </c>
      <c r="CU11" s="5" t="str">
        <f>data!CU78</f>
        <v> </v>
      </c>
      <c r="CV11" s="5" t="str">
        <f>data!CV78</f>
        <v> </v>
      </c>
      <c r="CW11" s="5" t="str">
        <f>data!CW78</f>
        <v> </v>
      </c>
      <c r="CX11" s="5" t="str">
        <f>data!CX78</f>
        <v/>
      </c>
      <c r="CY11" s="5" t="str">
        <f>data!CY78</f>
        <v> </v>
      </c>
      <c r="CZ11" s="5" t="str">
        <f>data!CZ78</f>
        <v> </v>
      </c>
      <c r="DA11" s="5" t="str">
        <f>data!DA78</f>
        <v> </v>
      </c>
      <c r="DB11" s="5" t="str">
        <f>data!DB78</f>
        <v> </v>
      </c>
      <c r="DC11" s="5" t="str">
        <f>data!DC78</f>
        <v> </v>
      </c>
      <c r="DD11" s="5" t="str">
        <f>data!DD78</f>
        <v> </v>
      </c>
      <c r="DE11" s="5" t="str">
        <f>data!DE78</f>
        <v>5</v>
      </c>
      <c r="DF11" s="5" t="str">
        <f>data!DF78</f>
        <v> </v>
      </c>
      <c r="DG11" s="5" t="str">
        <f>data!DG78</f>
        <v> </v>
      </c>
      <c r="DH11" s="5" t="str">
        <f>data!DH78</f>
        <v> </v>
      </c>
      <c r="DI11" s="5" t="str">
        <f>data!DI78</f>
        <v> </v>
      </c>
      <c r="DJ11" s="5" t="str">
        <f>data!DJ78</f>
        <v> </v>
      </c>
      <c r="DK11" s="5" t="str">
        <f>data!DK78</f>
        <v> </v>
      </c>
      <c r="DL11" s="5" t="str">
        <f>data!DL78</f>
        <v>4</v>
      </c>
      <c r="DM11" s="5" t="str">
        <f>data!DM78</f>
        <v> </v>
      </c>
      <c r="DN11" s="5" t="str">
        <f>data!DN78</f>
        <v> </v>
      </c>
      <c r="DO11" s="5" t="str">
        <f>data!DO78</f>
        <v> </v>
      </c>
      <c r="DP11" s="5" t="str">
        <f>data!DP78</f>
        <v> </v>
      </c>
      <c r="DQ11" s="5" t="str">
        <f>data!DQ78</f>
        <v> </v>
      </c>
      <c r="DR11" s="5" t="str">
        <f>data!DR78</f>
        <v> </v>
      </c>
      <c r="DS11" s="5" t="str">
        <f>data!DS78</f>
        <v> </v>
      </c>
      <c r="DT11" s="5" t="str">
        <f>data!DT78</f>
        <v> </v>
      </c>
      <c r="DU11" s="5" t="str">
        <f>data!DU78</f>
        <v> </v>
      </c>
      <c r="DV11" s="5" t="str">
        <f>data!DV78</f>
        <v> </v>
      </c>
      <c r="DW11" s="5" t="str">
        <f>data!DW78</f>
        <v> </v>
      </c>
      <c r="DX11" s="5" t="str">
        <f>data!DX78</f>
        <v> </v>
      </c>
      <c r="DY11" s="5" t="str">
        <f>data!DY78</f>
        <v> </v>
      </c>
      <c r="DZ11" s="5" t="str">
        <f>data!DZ78</f>
        <v> </v>
      </c>
      <c r="EA11" s="5" t="str">
        <f>data!EA78</f>
        <v> </v>
      </c>
      <c r="EB11" s="5" t="str">
        <f>data!EB78</f>
        <v> </v>
      </c>
      <c r="EC11" s="5" t="str">
        <f>data!EC78</f>
        <v> </v>
      </c>
      <c r="ED11" s="5" t="str">
        <f>data!ED78</f>
        <v> </v>
      </c>
      <c r="EE11" s="5" t="str">
        <f>data!EE78</f>
        <v> </v>
      </c>
      <c r="EF11" s="5" t="str">
        <f>data!EF78</f>
        <v> </v>
      </c>
      <c r="EG11" s="5" t="str">
        <f>data!EG78</f>
        <v/>
      </c>
      <c r="EH11" s="5" t="str">
        <f>data!EH78</f>
        <v> </v>
      </c>
      <c r="EI11" s="5" t="str">
        <f>data!EI78</f>
        <v> </v>
      </c>
      <c r="EJ11" s="5" t="str">
        <f>data!EJ78</f>
        <v> </v>
      </c>
      <c r="EK11" s="5" t="str">
        <f>data!EK78</f>
        <v> </v>
      </c>
      <c r="EL11" s="5" t="str">
        <f>data!EL78</f>
        <v> </v>
      </c>
      <c r="EM11" s="5" t="str">
        <f>data!EM78</f>
        <v> </v>
      </c>
      <c r="EN11" s="5" t="str">
        <f>data!EN78</f>
        <v>2</v>
      </c>
      <c r="EO11" s="5" t="str">
        <f>data!EO78</f>
        <v> </v>
      </c>
      <c r="EP11" s="5" t="str">
        <f>data!EP78</f>
        <v> </v>
      </c>
      <c r="EQ11" s="5" t="str">
        <f>data!EQ78</f>
        <v> </v>
      </c>
      <c r="ER11" s="5" t="str">
        <f>data!ER78</f>
        <v> </v>
      </c>
      <c r="ES11" s="5" t="str">
        <f>data!ES78</f>
        <v> </v>
      </c>
      <c r="ET11" s="5" t="str">
        <f>data!ET78</f>
        <v> </v>
      </c>
      <c r="EU11" s="5" t="str">
        <f>data!EU78</f>
        <v>4</v>
      </c>
      <c r="EV11" s="5" t="str">
        <f>data!EV78</f>
        <v> </v>
      </c>
      <c r="EW11" s="5" t="str">
        <f>data!EW78</f>
        <v> </v>
      </c>
      <c r="EX11" s="5" t="str">
        <f>data!EX78</f>
        <v> </v>
      </c>
      <c r="EY11" s="5" t="str">
        <f>data!EY78</f>
        <v> </v>
      </c>
      <c r="EZ11" s="5" t="str">
        <f>data!EZ78</f>
        <v> </v>
      </c>
      <c r="FA11" s="5" t="str">
        <f>data!FA78</f>
        <v> </v>
      </c>
      <c r="FB11" s="5" t="str">
        <f>data!FB78</f>
        <v/>
      </c>
      <c r="FC11" s="5" t="str">
        <f>data!FC78</f>
        <v> </v>
      </c>
      <c r="FD11" s="5" t="str">
        <f>data!FD78</f>
        <v> </v>
      </c>
      <c r="FE11" s="5" t="str">
        <f>data!FE78</f>
        <v> </v>
      </c>
      <c r="FF11" s="5" t="str">
        <f>data!FF78</f>
        <v> </v>
      </c>
      <c r="FG11" s="5" t="str">
        <f>data!FG78</f>
        <v> </v>
      </c>
      <c r="FH11" s="5" t="str">
        <f>data!FH78</f>
        <v> </v>
      </c>
      <c r="FI11" s="5" t="str">
        <f>data!FI78</f>
        <v>5</v>
      </c>
      <c r="FJ11" s="5" t="str">
        <f>data!FJ78</f>
        <v> </v>
      </c>
      <c r="FK11" s="5" t="str">
        <f>data!FK78</f>
        <v> </v>
      </c>
      <c r="FL11" s="5" t="str">
        <f>data!FL78</f>
        <v> </v>
      </c>
      <c r="FM11" s="5" t="str">
        <f>data!FM78</f>
        <v> </v>
      </c>
      <c r="FN11" s="5" t="str">
        <f>data!FN78</f>
        <v> </v>
      </c>
      <c r="FO11" s="5" t="str">
        <f>data!FO78</f>
        <v> </v>
      </c>
      <c r="FP11" s="5" t="str">
        <f>data!FP78</f>
        <v/>
      </c>
      <c r="FQ11" s="5" t="str">
        <f>data!FQ78</f>
        <v> </v>
      </c>
      <c r="FR11" s="5" t="str">
        <f>data!FR78</f>
        <v> </v>
      </c>
      <c r="FS11" s="5" t="str">
        <f>data!FS78</f>
        <v> </v>
      </c>
      <c r="FT11" s="5" t="str">
        <f>data!FT78</f>
        <v> </v>
      </c>
      <c r="FU11" s="5" t="str">
        <f>data!FU78</f>
        <v> </v>
      </c>
      <c r="FV11" s="5" t="str">
        <f>data!FV78</f>
        <v> </v>
      </c>
      <c r="FW11" s="5" t="str">
        <f>data!FW78</f>
        <v/>
      </c>
      <c r="FX11" s="5" t="str">
        <f>data!FX78</f>
        <v> </v>
      </c>
      <c r="FY11" s="5" t="str">
        <f>data!FY78</f>
        <v> </v>
      </c>
      <c r="FZ11" s="5" t="str">
        <f>data!FZ78</f>
        <v> </v>
      </c>
      <c r="GA11" s="5" t="str">
        <f>data!GA78</f>
        <v> </v>
      </c>
      <c r="GB11" s="5" t="str">
        <f>data!GB78</f>
        <v> </v>
      </c>
      <c r="GC11" s="5" t="str">
        <f>data!GC78</f>
        <v> </v>
      </c>
      <c r="GD11" s="5" t="str">
        <f>data!GD78</f>
        <v/>
      </c>
      <c r="GE11" s="5" t="str">
        <f>data!GE78</f>
        <v> </v>
      </c>
      <c r="GF11" s="5" t="str">
        <f>data!GF78</f>
        <v> </v>
      </c>
      <c r="GG11" s="5" t="str">
        <f>data!GG78</f>
        <v> </v>
      </c>
      <c r="GH11" s="5" t="str">
        <f>data!GH78</f>
        <v> </v>
      </c>
      <c r="GI11" s="5" t="str">
        <f>data!GI78</f>
        <v> </v>
      </c>
      <c r="GJ11" s="5" t="str">
        <f>data!GJ78</f>
        <v> </v>
      </c>
      <c r="GK11" s="5" t="str">
        <f>data!GK78</f>
        <v/>
      </c>
      <c r="GL11" s="5" t="str">
        <f>data!GL78</f>
        <v> </v>
      </c>
      <c r="GM11" s="5" t="str">
        <f>data!GM78</f>
        <v> </v>
      </c>
      <c r="GN11" s="5" t="str">
        <f>data!GN78</f>
        <v> </v>
      </c>
      <c r="GO11" s="5" t="str">
        <f>data!GO78</f>
        <v> </v>
      </c>
      <c r="GP11" s="5" t="str">
        <f>data!GP78</f>
        <v> </v>
      </c>
      <c r="GQ11" s="5" t="str">
        <f>data!GQ78</f>
        <v> </v>
      </c>
      <c r="GR11" s="5" t="str">
        <f>data!GR78</f>
        <v> </v>
      </c>
      <c r="GS11" s="5" t="str">
        <f>data!GS78</f>
        <v> </v>
      </c>
      <c r="GT11" s="5" t="str">
        <f>data!GT78</f>
        <v> </v>
      </c>
      <c r="GU11" s="5" t="str">
        <f>data!GU78</f>
        <v> </v>
      </c>
      <c r="GV11" s="5" t="str">
        <f>data!GV78</f>
        <v> </v>
      </c>
      <c r="GW11" s="5" t="str">
        <f>data!GW78</f>
        <v> </v>
      </c>
      <c r="GX11" s="5" t="str">
        <f>data!GX78</f>
        <v> </v>
      </c>
      <c r="GY11" s="5" t="str">
        <f>data!GY78</f>
        <v> </v>
      </c>
      <c r="GZ11" s="5" t="str">
        <f>data!GZ78</f>
        <v> </v>
      </c>
      <c r="HA11" s="5" t="str">
        <f>data!HA78</f>
        <v> </v>
      </c>
      <c r="HB11" s="5" t="str">
        <f>data!HB78</f>
        <v> </v>
      </c>
      <c r="HC11" s="5" t="str">
        <f>data!HC78</f>
        <v> </v>
      </c>
      <c r="HD11" s="5" t="str">
        <f>data!HD78</f>
        <v> </v>
      </c>
      <c r="HE11" s="5" t="str">
        <f>data!HE78</f>
        <v> </v>
      </c>
      <c r="HF11" s="5" t="str">
        <f>data!HF78</f>
        <v> </v>
      </c>
      <c r="HG11" s="5" t="str">
        <f>data!HG78</f>
        <v> </v>
      </c>
      <c r="HH11" s="5" t="str">
        <f>data!HH78</f>
        <v> </v>
      </c>
      <c r="HI11" s="5" t="str">
        <f>data!HI78</f>
        <v> </v>
      </c>
      <c r="HJ11" s="5" t="str">
        <f>data!HJ78</f>
        <v> </v>
      </c>
      <c r="HK11" s="5" t="str">
        <f>data!HK78</f>
        <v> </v>
      </c>
      <c r="HL11" s="5" t="str">
        <f>data!HL78</f>
        <v> </v>
      </c>
      <c r="HM11" s="5" t="str">
        <f>data!HM78</f>
        <v> </v>
      </c>
      <c r="HN11" s="5" t="str">
        <f>data!HN78</f>
        <v> </v>
      </c>
      <c r="HO11" s="5" t="str">
        <f>data!HO78</f>
        <v> </v>
      </c>
      <c r="HP11" s="5" t="str">
        <f>data!HP78</f>
        <v> </v>
      </c>
      <c r="HQ11" s="5" t="str">
        <f>data!HQ78</f>
        <v> </v>
      </c>
      <c r="HR11" s="5" t="str">
        <f>data!HR78</f>
        <v> </v>
      </c>
      <c r="HS11" s="5" t="str">
        <f>data!HS78</f>
        <v> </v>
      </c>
      <c r="HT11" s="5" t="str">
        <f>data!HT78</f>
        <v> </v>
      </c>
      <c r="HU11" s="5" t="str">
        <f>data!HU78</f>
        <v> </v>
      </c>
      <c r="HV11" s="5" t="str">
        <f>data!HV78</f>
        <v> </v>
      </c>
      <c r="HW11" s="5" t="str">
        <f>data!HW78</f>
        <v> </v>
      </c>
      <c r="HX11" s="5" t="str">
        <f>data!HX78</f>
        <v> </v>
      </c>
      <c r="HY11" s="5" t="str">
        <f>data!HY78</f>
        <v> </v>
      </c>
      <c r="HZ11" s="5" t="str">
        <f>data!HZ78</f>
        <v> </v>
      </c>
      <c r="IA11" s="5" t="str">
        <f>data!IA78</f>
        <v> </v>
      </c>
      <c r="IB11" s="5" t="str">
        <f>data!IB78</f>
        <v> </v>
      </c>
      <c r="IC11" s="5" t="str">
        <f>data!IC78</f>
        <v> </v>
      </c>
      <c r="ID11" s="5" t="str">
        <f>data!ID78</f>
        <v> </v>
      </c>
      <c r="IE11" s="5" t="str">
        <f>data!IE78</f>
        <v> </v>
      </c>
      <c r="IF11" s="5" t="str">
        <f>data!IF78</f>
        <v> </v>
      </c>
      <c r="IG11" s="5" t="str">
        <f>data!IG78</f>
        <v> </v>
      </c>
      <c r="IH11" s="5" t="str">
        <f>data!IH78</f>
        <v> </v>
      </c>
      <c r="II11" s="5" t="str">
        <f>data!II78</f>
        <v> </v>
      </c>
      <c r="IJ11" s="5" t="str">
        <f>data!IJ78</f>
        <v> </v>
      </c>
      <c r="IK11" s="5" t="str">
        <f>data!IK78</f>
        <v> </v>
      </c>
      <c r="IL11" s="5" t="str">
        <f>data!IL78</f>
        <v> </v>
      </c>
      <c r="IM11" s="5" t="str">
        <f>data!IM78</f>
        <v> </v>
      </c>
      <c r="IN11" s="5" t="str">
        <f>data!IN78</f>
        <v> </v>
      </c>
      <c r="IO11" s="5" t="str">
        <f>data!IO78</f>
        <v> </v>
      </c>
      <c r="IP11" s="5" t="str">
        <f>data!IP78</f>
        <v> </v>
      </c>
      <c r="IQ11" s="5" t="str">
        <f>data!IQ78</f>
        <v> </v>
      </c>
      <c r="IR11" s="5" t="str">
        <f>data!IR78</f>
        <v> </v>
      </c>
      <c r="IS11" s="5" t="str">
        <f>data!IS78</f>
        <v> </v>
      </c>
      <c r="IT11" s="5" t="str">
        <f>data!IT78</f>
        <v> </v>
      </c>
      <c r="IU11" s="5" t="str">
        <f>data!IU78</f>
        <v> </v>
      </c>
      <c r="IV11" s="5" t="str">
        <f>data!IV78</f>
        <v> </v>
      </c>
      <c r="IW11" s="5" t="str">
        <f>data!IW78</f>
        <v> </v>
      </c>
      <c r="IX11" s="5" t="str">
        <f>data!IX78</f>
        <v> </v>
      </c>
      <c r="IY11" s="5" t="str">
        <f>data!IY78</f>
        <v> </v>
      </c>
      <c r="IZ11" s="5" t="str">
        <f>data!IZ78</f>
        <v> </v>
      </c>
      <c r="JA11" s="5" t="str">
        <f>data!JA78</f>
        <v> </v>
      </c>
      <c r="JB11" s="5" t="str">
        <f>data!JB78</f>
        <v> </v>
      </c>
      <c r="JC11" s="5" t="str">
        <f>data!JC78</f>
        <v> </v>
      </c>
      <c r="JD11" s="5" t="str">
        <f>data!JD78</f>
        <v> </v>
      </c>
      <c r="JE11" s="5" t="str">
        <f>data!JE78</f>
        <v> </v>
      </c>
    </row>
    <row r="12" ht="22.5" customHeight="1">
      <c r="A12" s="4" t="str">
        <f>data!A79</f>
        <v>География</v>
      </c>
      <c r="B12" s="5" t="str">
        <f>data!B79</f>
        <v> </v>
      </c>
      <c r="C12" s="5" t="str">
        <f>data!C79</f>
        <v> </v>
      </c>
      <c r="D12" s="5" t="str">
        <f>data!D79</f>
        <v> </v>
      </c>
      <c r="E12" s="5" t="str">
        <f>data!E79</f>
        <v> </v>
      </c>
      <c r="F12" s="5" t="str">
        <f>data!F79</f>
        <v> </v>
      </c>
      <c r="G12" s="5" t="str">
        <f>data!G79</f>
        <v> </v>
      </c>
      <c r="H12" s="5" t="str">
        <f>data!H79</f>
        <v>4</v>
      </c>
      <c r="I12" s="5" t="str">
        <f>data!I79</f>
        <v> </v>
      </c>
      <c r="J12" s="5" t="str">
        <f>data!J79</f>
        <v> </v>
      </c>
      <c r="K12" s="5" t="str">
        <f>data!K79</f>
        <v> </v>
      </c>
      <c r="L12" s="5" t="str">
        <f>data!L79</f>
        <v> </v>
      </c>
      <c r="M12" s="5" t="str">
        <f>data!M79</f>
        <v> </v>
      </c>
      <c r="N12" s="5" t="str">
        <f>data!N79</f>
        <v> </v>
      </c>
      <c r="O12" s="5" t="str">
        <f>data!O79</f>
        <v/>
      </c>
      <c r="P12" s="5" t="str">
        <f>data!P79</f>
        <v> </v>
      </c>
      <c r="Q12" s="5" t="str">
        <f>data!Q79</f>
        <v> </v>
      </c>
      <c r="R12" s="5" t="str">
        <f>data!R79</f>
        <v> </v>
      </c>
      <c r="S12" s="5" t="str">
        <f>data!S79</f>
        <v> </v>
      </c>
      <c r="T12" s="5" t="str">
        <f>data!T79</f>
        <v> </v>
      </c>
      <c r="U12" s="5" t="str">
        <f>data!U79</f>
        <v> </v>
      </c>
      <c r="V12" s="5" t="str">
        <f>data!V79</f>
        <v/>
      </c>
      <c r="W12" s="5" t="str">
        <f>data!W79</f>
        <v> </v>
      </c>
      <c r="X12" s="5" t="str">
        <f>data!X79</f>
        <v> </v>
      </c>
      <c r="Y12" s="5" t="str">
        <f>data!Y79</f>
        <v> </v>
      </c>
      <c r="Z12" s="5" t="str">
        <f>data!Z79</f>
        <v> </v>
      </c>
      <c r="AA12" s="5" t="str">
        <f>data!AA79</f>
        <v> </v>
      </c>
      <c r="AB12" s="5" t="str">
        <f>data!AB79</f>
        <v> </v>
      </c>
      <c r="AC12" s="5" t="str">
        <f>data!AC79</f>
        <v/>
      </c>
      <c r="AD12" s="5" t="str">
        <f>data!AD79</f>
        <v> </v>
      </c>
      <c r="AE12" s="5" t="str">
        <f>data!AE79</f>
        <v> </v>
      </c>
      <c r="AF12" s="5" t="str">
        <f>data!AF79</f>
        <v> </v>
      </c>
      <c r="AG12" s="5" t="str">
        <f>data!AG79</f>
        <v> </v>
      </c>
      <c r="AH12" s="5" t="str">
        <f>data!AH79</f>
        <v> </v>
      </c>
      <c r="AI12" s="5" t="str">
        <f>data!AI79</f>
        <v> </v>
      </c>
      <c r="AJ12" s="5" t="str">
        <f>data!AJ79</f>
        <v/>
      </c>
      <c r="AK12" s="5" t="str">
        <f>data!AK79</f>
        <v> </v>
      </c>
      <c r="AL12" s="5" t="str">
        <f>data!AL79</f>
        <v> </v>
      </c>
      <c r="AM12" s="5" t="str">
        <f>data!AM79</f>
        <v> </v>
      </c>
      <c r="AN12" s="5" t="str">
        <f>data!AN79</f>
        <v> </v>
      </c>
      <c r="AO12" s="5" t="str">
        <f>data!AO79</f>
        <v> </v>
      </c>
      <c r="AP12" s="5" t="str">
        <f>data!AP79</f>
        <v> </v>
      </c>
      <c r="AQ12" s="5" t="str">
        <f>data!AQ79</f>
        <v>5</v>
      </c>
      <c r="AR12" s="5" t="str">
        <f>data!AR79</f>
        <v> </v>
      </c>
      <c r="AS12" s="5" t="str">
        <f>data!AS79</f>
        <v> </v>
      </c>
      <c r="AT12" s="5" t="str">
        <f>data!AT79</f>
        <v> </v>
      </c>
      <c r="AU12" s="5" t="str">
        <f>data!AU79</f>
        <v> </v>
      </c>
      <c r="AV12" s="5" t="str">
        <f>data!AV79</f>
        <v> </v>
      </c>
      <c r="AW12" s="5" t="str">
        <f>data!AW79</f>
        <v> </v>
      </c>
      <c r="AX12" s="5" t="str">
        <f>data!AX79</f>
        <v/>
      </c>
      <c r="AY12" s="5" t="str">
        <f>data!AY79</f>
        <v> </v>
      </c>
      <c r="AZ12" s="5" t="str">
        <f>data!AZ79</f>
        <v> </v>
      </c>
      <c r="BA12" s="5" t="str">
        <f>data!BA79</f>
        <v> </v>
      </c>
      <c r="BB12" s="5" t="str">
        <f>data!BB79</f>
        <v> </v>
      </c>
      <c r="BC12" s="5" t="str">
        <f>data!BC79</f>
        <v> </v>
      </c>
      <c r="BD12" s="5" t="str">
        <f>data!BD79</f>
        <v> </v>
      </c>
      <c r="BE12" s="5" t="str">
        <f>data!BE79</f>
        <v/>
      </c>
      <c r="BF12" s="5" t="str">
        <f>data!BF79</f>
        <v> </v>
      </c>
      <c r="BG12" s="5" t="str">
        <f>data!BG79</f>
        <v> </v>
      </c>
      <c r="BH12" s="5" t="str">
        <f>data!BH79</f>
        <v> </v>
      </c>
      <c r="BI12" s="5" t="str">
        <f>data!BI79</f>
        <v> </v>
      </c>
      <c r="BJ12" s="5" t="str">
        <f>data!BJ79</f>
        <v> </v>
      </c>
      <c r="BK12" s="5" t="str">
        <f>data!BK79</f>
        <v> </v>
      </c>
      <c r="BL12" s="5" t="str">
        <f>data!BL79</f>
        <v> </v>
      </c>
      <c r="BM12" s="5" t="str">
        <f>data!BM79</f>
        <v> </v>
      </c>
      <c r="BN12" s="5" t="str">
        <f>data!BN79</f>
        <v> </v>
      </c>
      <c r="BO12" s="5" t="str">
        <f>data!BO79</f>
        <v> </v>
      </c>
      <c r="BP12" s="5" t="str">
        <f>data!BP79</f>
        <v> </v>
      </c>
      <c r="BQ12" s="5" t="str">
        <f>data!BQ79</f>
        <v> </v>
      </c>
      <c r="BR12" s="5" t="str">
        <f>data!BR79</f>
        <v> </v>
      </c>
      <c r="BS12" s="5" t="str">
        <f>data!BS79</f>
        <v/>
      </c>
      <c r="BT12" s="5" t="str">
        <f>data!BT79</f>
        <v> </v>
      </c>
      <c r="BU12" s="5" t="str">
        <f>data!BU79</f>
        <v> </v>
      </c>
      <c r="BV12" s="5" t="str">
        <f>data!BV79</f>
        <v> </v>
      </c>
      <c r="BW12" s="5" t="str">
        <f>data!BW79</f>
        <v> </v>
      </c>
      <c r="BX12" s="5" t="str">
        <f>data!BX79</f>
        <v> </v>
      </c>
      <c r="BY12" s="5" t="str">
        <f>data!BY79</f>
        <v> </v>
      </c>
      <c r="BZ12" s="5" t="str">
        <f>data!BZ79</f>
        <v>н</v>
      </c>
      <c r="CA12" s="5" t="str">
        <f>data!CA79</f>
        <v> </v>
      </c>
      <c r="CB12" s="5" t="str">
        <f>data!CB79</f>
        <v> </v>
      </c>
      <c r="CC12" s="5" t="str">
        <f>data!CC79</f>
        <v> </v>
      </c>
      <c r="CD12" s="5" t="str">
        <f>data!CD79</f>
        <v> </v>
      </c>
      <c r="CE12" s="5" t="str">
        <f>data!CE79</f>
        <v> </v>
      </c>
      <c r="CF12" s="5" t="str">
        <f>data!CF79</f>
        <v> </v>
      </c>
      <c r="CG12" s="5" t="str">
        <f>data!CG79</f>
        <v/>
      </c>
      <c r="CH12" s="5" t="str">
        <f>data!CH79</f>
        <v> </v>
      </c>
      <c r="CI12" s="5" t="str">
        <f>data!CI79</f>
        <v> </v>
      </c>
      <c r="CJ12" s="5" t="str">
        <f>data!CJ79</f>
        <v> </v>
      </c>
      <c r="CK12" s="5" t="str">
        <f>data!CK79</f>
        <v> </v>
      </c>
      <c r="CL12" s="5" t="str">
        <f>data!CL79</f>
        <v> </v>
      </c>
      <c r="CM12" s="5" t="str">
        <f>data!CM79</f>
        <v> </v>
      </c>
      <c r="CN12" s="5" t="str">
        <f>data!CN79</f>
        <v>н</v>
      </c>
      <c r="CO12" s="5" t="str">
        <f>data!CO79</f>
        <v> </v>
      </c>
      <c r="CP12" s="5" t="str">
        <f>data!CP79</f>
        <v> </v>
      </c>
      <c r="CQ12" s="5" t="str">
        <f>data!CQ79</f>
        <v> </v>
      </c>
      <c r="CR12" s="5" t="str">
        <f>data!CR79</f>
        <v> </v>
      </c>
      <c r="CS12" s="5" t="str">
        <f>data!CS79</f>
        <v> </v>
      </c>
      <c r="CT12" s="5" t="str">
        <f>data!CT79</f>
        <v> </v>
      </c>
      <c r="CU12" s="5" t="str">
        <f>data!CU79</f>
        <v> </v>
      </c>
      <c r="CV12" s="5" t="str">
        <f>data!CV79</f>
        <v/>
      </c>
      <c r="CW12" s="5" t="str">
        <f>data!CW79</f>
        <v> </v>
      </c>
      <c r="CX12" s="5" t="str">
        <f>data!CX79</f>
        <v> </v>
      </c>
      <c r="CY12" s="5" t="str">
        <f>data!CY79</f>
        <v> </v>
      </c>
      <c r="CZ12" s="5" t="str">
        <f>data!CZ79</f>
        <v> </v>
      </c>
      <c r="DA12" s="5" t="str">
        <f>data!DA79</f>
        <v> </v>
      </c>
      <c r="DB12" s="5" t="str">
        <f>data!DB79</f>
        <v>5/4</v>
      </c>
      <c r="DC12" s="5" t="str">
        <f>data!DC79</f>
        <v> </v>
      </c>
      <c r="DD12" s="5" t="str">
        <f>data!DD79</f>
        <v> </v>
      </c>
      <c r="DE12" s="5" t="str">
        <f>data!DE79</f>
        <v> </v>
      </c>
      <c r="DF12" s="5" t="str">
        <f>data!DF79</f>
        <v> </v>
      </c>
      <c r="DG12" s="5" t="str">
        <f>data!DG79</f>
        <v> </v>
      </c>
      <c r="DH12" s="5" t="str">
        <f>data!DH79</f>
        <v> </v>
      </c>
      <c r="DI12" s="5" t="str">
        <f>data!DI79</f>
        <v/>
      </c>
      <c r="DJ12" s="5" t="str">
        <f>data!DJ79</f>
        <v> </v>
      </c>
      <c r="DK12" s="5" t="str">
        <f>data!DK79</f>
        <v> </v>
      </c>
      <c r="DL12" s="5" t="str">
        <f>data!DL79</f>
        <v> </v>
      </c>
      <c r="DM12" s="5" t="str">
        <f>data!DM79</f>
        <v> </v>
      </c>
      <c r="DN12" s="5" t="str">
        <f>data!DN79</f>
        <v> </v>
      </c>
      <c r="DO12" s="5" t="str">
        <f>data!DO79</f>
        <v> </v>
      </c>
      <c r="DP12" s="5" t="str">
        <f>data!DP79</f>
        <v> </v>
      </c>
      <c r="DQ12" s="5" t="str">
        <f>data!DQ79</f>
        <v> </v>
      </c>
      <c r="DR12" s="5" t="str">
        <f>data!DR79</f>
        <v> </v>
      </c>
      <c r="DS12" s="5" t="str">
        <f>data!DS79</f>
        <v> </v>
      </c>
      <c r="DT12" s="5" t="str">
        <f>data!DT79</f>
        <v> </v>
      </c>
      <c r="DU12" s="5" t="str">
        <f>data!DU79</f>
        <v> </v>
      </c>
      <c r="DV12" s="5" t="str">
        <f>data!DV79</f>
        <v> </v>
      </c>
      <c r="DW12" s="5" t="str">
        <f>data!DW79</f>
        <v> </v>
      </c>
      <c r="DX12" s="5" t="str">
        <f>data!DX79</f>
        <v> </v>
      </c>
      <c r="DY12" s="5" t="str">
        <f>data!DY79</f>
        <v> </v>
      </c>
      <c r="DZ12" s="5" t="str">
        <f>data!DZ79</f>
        <v> </v>
      </c>
      <c r="EA12" s="5" t="str">
        <f>data!EA79</f>
        <v> </v>
      </c>
      <c r="EB12" s="5" t="str">
        <f>data!EB79</f>
        <v> </v>
      </c>
      <c r="EC12" s="5" t="str">
        <f>data!EC79</f>
        <v> </v>
      </c>
      <c r="ED12" s="5" t="str">
        <f>data!ED79</f>
        <v> </v>
      </c>
      <c r="EE12" s="5" t="str">
        <f>data!EE79</f>
        <v> </v>
      </c>
      <c r="EF12" s="5" t="str">
        <f>data!EF79</f>
        <v> </v>
      </c>
      <c r="EG12" s="5" t="str">
        <f>data!EG79</f>
        <v> </v>
      </c>
      <c r="EH12" s="5" t="str">
        <f>data!EH79</f>
        <v> </v>
      </c>
      <c r="EI12" s="5" t="str">
        <f>data!EI79</f>
        <v/>
      </c>
      <c r="EJ12" s="5" t="str">
        <f>data!EJ79</f>
        <v> </v>
      </c>
      <c r="EK12" s="5" t="str">
        <f>data!EK79</f>
        <v> </v>
      </c>
      <c r="EL12" s="5" t="str">
        <f>data!EL79</f>
        <v> </v>
      </c>
      <c r="EM12" s="5" t="str">
        <f>data!EM79</f>
        <v> </v>
      </c>
      <c r="EN12" s="5" t="str">
        <f>data!EN79</f>
        <v> </v>
      </c>
      <c r="EO12" s="5" t="str">
        <f>data!EO79</f>
        <v> </v>
      </c>
      <c r="EP12" s="5" t="str">
        <f>data!EP79</f>
        <v/>
      </c>
      <c r="EQ12" s="5" t="str">
        <f>data!EQ79</f>
        <v> </v>
      </c>
      <c r="ER12" s="5" t="str">
        <f>data!ER79</f>
        <v> </v>
      </c>
      <c r="ES12" s="5" t="str">
        <f>data!ES79</f>
        <v> </v>
      </c>
      <c r="ET12" s="5" t="str">
        <f>data!ET79</f>
        <v> </v>
      </c>
      <c r="EU12" s="5" t="str">
        <f>data!EU79</f>
        <v> </v>
      </c>
      <c r="EV12" s="5" t="str">
        <f>data!EV79</f>
        <v> </v>
      </c>
      <c r="EW12" s="5" t="str">
        <f>data!EW79</f>
        <v>н</v>
      </c>
      <c r="EX12" s="5" t="str">
        <f>data!EX79</f>
        <v> </v>
      </c>
      <c r="EY12" s="5" t="str">
        <f>data!EY79</f>
        <v> </v>
      </c>
      <c r="EZ12" s="5" t="str">
        <f>data!EZ79</f>
        <v> </v>
      </c>
      <c r="FA12" s="5" t="str">
        <f>data!FA79</f>
        <v> </v>
      </c>
      <c r="FB12" s="5" t="str">
        <f>data!FB79</f>
        <v> </v>
      </c>
      <c r="FC12" s="5" t="str">
        <f>data!FC79</f>
        <v> </v>
      </c>
      <c r="FD12" s="5" t="str">
        <f>data!FD79</f>
        <v/>
      </c>
      <c r="FE12" s="5" t="str">
        <f>data!FE79</f>
        <v> </v>
      </c>
      <c r="FF12" s="5" t="str">
        <f>data!FF79</f>
        <v> </v>
      </c>
      <c r="FG12" s="5" t="str">
        <f>data!FG79</f>
        <v> </v>
      </c>
      <c r="FH12" s="5" t="str">
        <f>data!FH79</f>
        <v> </v>
      </c>
      <c r="FI12" s="5" t="str">
        <f>data!FI79</f>
        <v> </v>
      </c>
      <c r="FJ12" s="5" t="str">
        <f>data!FJ79</f>
        <v> </v>
      </c>
      <c r="FK12" s="5" t="str">
        <f>data!FK79</f>
        <v/>
      </c>
      <c r="FL12" s="5" t="str">
        <f>data!FL79</f>
        <v> </v>
      </c>
      <c r="FM12" s="5" t="str">
        <f>data!FM79</f>
        <v> </v>
      </c>
      <c r="FN12" s="5" t="str">
        <f>data!FN79</f>
        <v> </v>
      </c>
      <c r="FO12" s="5" t="str">
        <f>data!FO79</f>
        <v> </v>
      </c>
      <c r="FP12" s="5" t="str">
        <f>data!FP79</f>
        <v> </v>
      </c>
      <c r="FQ12" s="5" t="str">
        <f>data!FQ79</f>
        <v> </v>
      </c>
      <c r="FR12" s="5" t="str">
        <f>data!FR79</f>
        <v/>
      </c>
      <c r="FS12" s="5" t="str">
        <f>data!FS79</f>
        <v> </v>
      </c>
      <c r="FT12" s="5" t="str">
        <f>data!FT79</f>
        <v> </v>
      </c>
      <c r="FU12" s="5" t="str">
        <f>data!FU79</f>
        <v> </v>
      </c>
      <c r="FV12" s="5" t="str">
        <f>data!FV79</f>
        <v> </v>
      </c>
      <c r="FW12" s="5" t="str">
        <f>data!FW79</f>
        <v> </v>
      </c>
      <c r="FX12" s="5" t="str">
        <f>data!FX79</f>
        <v> </v>
      </c>
      <c r="FY12" s="5" t="str">
        <f>data!FY79</f>
        <v/>
      </c>
      <c r="FZ12" s="5" t="str">
        <f>data!FZ79</f>
        <v> </v>
      </c>
      <c r="GA12" s="5" t="str">
        <f>data!GA79</f>
        <v> </v>
      </c>
      <c r="GB12" s="5" t="str">
        <f>data!GB79</f>
        <v> </v>
      </c>
      <c r="GC12" s="5" t="str">
        <f>data!GC79</f>
        <v> </v>
      </c>
      <c r="GD12" s="5" t="str">
        <f>data!GD79</f>
        <v> </v>
      </c>
      <c r="GE12" s="5" t="str">
        <f>data!GE79</f>
        <v> </v>
      </c>
      <c r="GF12" s="5" t="str">
        <f>data!GF79</f>
        <v> </v>
      </c>
      <c r="GG12" s="5" t="str">
        <f>data!GG79</f>
        <v> </v>
      </c>
      <c r="GH12" s="5" t="str">
        <f>data!GH79</f>
        <v> </v>
      </c>
      <c r="GI12" s="5" t="str">
        <f>data!GI79</f>
        <v> </v>
      </c>
      <c r="GJ12" s="5" t="str">
        <f>data!GJ79</f>
        <v> </v>
      </c>
      <c r="GK12" s="5" t="str">
        <f>data!GK79</f>
        <v> </v>
      </c>
      <c r="GL12" s="5" t="str">
        <f>data!GL79</f>
        <v> </v>
      </c>
      <c r="GM12" s="5" t="str">
        <f>data!GM79</f>
        <v>н</v>
      </c>
      <c r="GN12" s="5" t="str">
        <f>data!GN79</f>
        <v> </v>
      </c>
      <c r="GO12" s="5" t="str">
        <f>data!GO79</f>
        <v> </v>
      </c>
      <c r="GP12" s="5" t="str">
        <f>data!GP79</f>
        <v> </v>
      </c>
      <c r="GQ12" s="5" t="str">
        <f>data!GQ79</f>
        <v> </v>
      </c>
      <c r="GR12" s="5" t="str">
        <f>data!GR79</f>
        <v> </v>
      </c>
      <c r="GS12" s="5" t="str">
        <f>data!GS79</f>
        <v> </v>
      </c>
      <c r="GT12" s="5" t="str">
        <f>data!GT79</f>
        <v> </v>
      </c>
      <c r="GU12" s="5" t="str">
        <f>data!GU79</f>
        <v> </v>
      </c>
      <c r="GV12" s="5" t="str">
        <f>data!GV79</f>
        <v> </v>
      </c>
      <c r="GW12" s="5" t="str">
        <f>data!GW79</f>
        <v> </v>
      </c>
      <c r="GX12" s="5" t="str">
        <f>data!GX79</f>
        <v> </v>
      </c>
      <c r="GY12" s="5" t="str">
        <f>data!GY79</f>
        <v> </v>
      </c>
      <c r="GZ12" s="5" t="str">
        <f>data!GZ79</f>
        <v> </v>
      </c>
      <c r="HA12" s="5" t="str">
        <f>data!HA79</f>
        <v> </v>
      </c>
      <c r="HB12" s="5" t="str">
        <f>data!HB79</f>
        <v> </v>
      </c>
      <c r="HC12" s="5" t="str">
        <f>data!HC79</f>
        <v> </v>
      </c>
      <c r="HD12" s="5" t="str">
        <f>data!HD79</f>
        <v> </v>
      </c>
      <c r="HE12" s="5" t="str">
        <f>data!HE79</f>
        <v> </v>
      </c>
      <c r="HF12" s="5" t="str">
        <f>data!HF79</f>
        <v> </v>
      </c>
      <c r="HG12" s="5" t="str">
        <f>data!HG79</f>
        <v> </v>
      </c>
      <c r="HH12" s="5" t="str">
        <f>data!HH79</f>
        <v> </v>
      </c>
      <c r="HI12" s="5" t="str">
        <f>data!HI79</f>
        <v> </v>
      </c>
      <c r="HJ12" s="5" t="str">
        <f>data!HJ79</f>
        <v> </v>
      </c>
      <c r="HK12" s="5" t="str">
        <f>data!HK79</f>
        <v> </v>
      </c>
      <c r="HL12" s="5" t="str">
        <f>data!HL79</f>
        <v> </v>
      </c>
      <c r="HM12" s="5" t="str">
        <f>data!HM79</f>
        <v> </v>
      </c>
      <c r="HN12" s="5" t="str">
        <f>data!HN79</f>
        <v> </v>
      </c>
      <c r="HO12" s="5" t="str">
        <f>data!HO79</f>
        <v> </v>
      </c>
      <c r="HP12" s="5" t="str">
        <f>data!HP79</f>
        <v> </v>
      </c>
      <c r="HQ12" s="5" t="str">
        <f>data!HQ79</f>
        <v> </v>
      </c>
      <c r="HR12" s="5" t="str">
        <f>data!HR79</f>
        <v> </v>
      </c>
      <c r="HS12" s="5" t="str">
        <f>data!HS79</f>
        <v> </v>
      </c>
      <c r="HT12" s="5" t="str">
        <f>data!HT79</f>
        <v> </v>
      </c>
      <c r="HU12" s="5" t="str">
        <f>data!HU79</f>
        <v> </v>
      </c>
      <c r="HV12" s="5" t="str">
        <f>data!HV79</f>
        <v> </v>
      </c>
      <c r="HW12" s="5" t="str">
        <f>data!HW79</f>
        <v> </v>
      </c>
      <c r="HX12" s="5" t="str">
        <f>data!HX79</f>
        <v> </v>
      </c>
      <c r="HY12" s="5" t="str">
        <f>data!HY79</f>
        <v> </v>
      </c>
      <c r="HZ12" s="5" t="str">
        <f>data!HZ79</f>
        <v> </v>
      </c>
      <c r="IA12" s="5" t="str">
        <f>data!IA79</f>
        <v> </v>
      </c>
      <c r="IB12" s="5" t="str">
        <f>data!IB79</f>
        <v> </v>
      </c>
      <c r="IC12" s="5" t="str">
        <f>data!IC79</f>
        <v> </v>
      </c>
      <c r="ID12" s="5" t="str">
        <f>data!ID79</f>
        <v> </v>
      </c>
      <c r="IE12" s="5" t="str">
        <f>data!IE79</f>
        <v> </v>
      </c>
      <c r="IF12" s="5" t="str">
        <f>data!IF79</f>
        <v> </v>
      </c>
      <c r="IG12" s="5" t="str">
        <f>data!IG79</f>
        <v> </v>
      </c>
      <c r="IH12" s="5" t="str">
        <f>data!IH79</f>
        <v> </v>
      </c>
      <c r="II12" s="5" t="str">
        <f>data!II79</f>
        <v> </v>
      </c>
      <c r="IJ12" s="5" t="str">
        <f>data!IJ79</f>
        <v> </v>
      </c>
      <c r="IK12" s="5" t="str">
        <f>data!IK79</f>
        <v> </v>
      </c>
      <c r="IL12" s="5" t="str">
        <f>data!IL79</f>
        <v> </v>
      </c>
      <c r="IM12" s="5" t="str">
        <f>data!IM79</f>
        <v> </v>
      </c>
      <c r="IN12" s="5" t="str">
        <f>data!IN79</f>
        <v> </v>
      </c>
      <c r="IO12" s="5" t="str">
        <f>data!IO79</f>
        <v> </v>
      </c>
      <c r="IP12" s="5" t="str">
        <f>data!IP79</f>
        <v> </v>
      </c>
      <c r="IQ12" s="5" t="str">
        <f>data!IQ79</f>
        <v> </v>
      </c>
      <c r="IR12" s="5" t="str">
        <f>data!IR79</f>
        <v> </v>
      </c>
      <c r="IS12" s="5" t="str">
        <f>data!IS79</f>
        <v> </v>
      </c>
      <c r="IT12" s="5" t="str">
        <f>data!IT79</f>
        <v> </v>
      </c>
      <c r="IU12" s="5" t="str">
        <f>data!IU79</f>
        <v> </v>
      </c>
      <c r="IV12" s="5" t="str">
        <f>data!IV79</f>
        <v> </v>
      </c>
      <c r="IW12" s="5" t="str">
        <f>data!IW79</f>
        <v> </v>
      </c>
      <c r="IX12" s="5" t="str">
        <f>data!IX79</f>
        <v> </v>
      </c>
      <c r="IY12" s="5" t="str">
        <f>data!IY79</f>
        <v> </v>
      </c>
      <c r="IZ12" s="5" t="str">
        <f>data!IZ79</f>
        <v> </v>
      </c>
      <c r="JA12" s="5" t="str">
        <f>data!JA79</f>
        <v> </v>
      </c>
      <c r="JB12" s="5" t="str">
        <f>data!JB79</f>
        <v> </v>
      </c>
      <c r="JC12" s="5" t="str">
        <f>data!JC79</f>
        <v> </v>
      </c>
      <c r="JD12" s="5" t="str">
        <f>data!JD79</f>
        <v> </v>
      </c>
      <c r="JE12" s="5" t="str">
        <f>data!JE79</f>
        <v> </v>
      </c>
    </row>
    <row r="13" ht="22.5" customHeight="1">
      <c r="A13" s="4" t="str">
        <f>data!A80</f>
        <v>ИЗО</v>
      </c>
      <c r="B13" s="5" t="str">
        <f>data!B80</f>
        <v/>
      </c>
      <c r="C13" s="5" t="str">
        <f>data!C80</f>
        <v> </v>
      </c>
      <c r="D13" s="5" t="str">
        <f>data!D80</f>
        <v> </v>
      </c>
      <c r="E13" s="5" t="str">
        <f>data!E80</f>
        <v> </v>
      </c>
      <c r="F13" s="5" t="str">
        <f>data!F80</f>
        <v> </v>
      </c>
      <c r="G13" s="5" t="str">
        <f>data!G80</f>
        <v> </v>
      </c>
      <c r="H13" s="5" t="str">
        <f>data!H80</f>
        <v/>
      </c>
      <c r="I13" s="5" t="str">
        <f>data!I80</f>
        <v> </v>
      </c>
      <c r="J13" s="5" t="str">
        <f>data!J80</f>
        <v> </v>
      </c>
      <c r="K13" s="5" t="str">
        <f>data!K80</f>
        <v> </v>
      </c>
      <c r="L13" s="5" t="str">
        <f>data!L80</f>
        <v> </v>
      </c>
      <c r="M13" s="5" t="str">
        <f>data!M80</f>
        <v> </v>
      </c>
      <c r="N13" s="5" t="str">
        <f>data!N80</f>
        <v> </v>
      </c>
      <c r="O13" s="5" t="str">
        <f>data!O80</f>
        <v/>
      </c>
      <c r="P13" s="5" t="str">
        <f>data!P80</f>
        <v> </v>
      </c>
      <c r="Q13" s="5" t="str">
        <f>data!Q80</f>
        <v> </v>
      </c>
      <c r="R13" s="5" t="str">
        <f>data!R80</f>
        <v> </v>
      </c>
      <c r="S13" s="5" t="str">
        <f>data!S80</f>
        <v> </v>
      </c>
      <c r="T13" s="5" t="str">
        <f>data!T80</f>
        <v> </v>
      </c>
      <c r="U13" s="5" t="str">
        <f>data!U80</f>
        <v> </v>
      </c>
      <c r="V13" s="5" t="str">
        <f>data!V80</f>
        <v>5</v>
      </c>
      <c r="W13" s="5" t="str">
        <f>data!W80</f>
        <v> </v>
      </c>
      <c r="X13" s="5" t="str">
        <f>data!X80</f>
        <v/>
      </c>
      <c r="Y13" s="5" t="str">
        <f>data!Y80</f>
        <v> </v>
      </c>
      <c r="Z13" s="5" t="str">
        <f>data!Z80</f>
        <v> </v>
      </c>
      <c r="AA13" s="5" t="str">
        <f>data!AA80</f>
        <v> </v>
      </c>
      <c r="AB13" s="5" t="str">
        <f>data!AB80</f>
        <v> </v>
      </c>
      <c r="AC13" s="5" t="str">
        <f>data!AC80</f>
        <v> </v>
      </c>
      <c r="AD13" s="5" t="str">
        <f>data!AD80</f>
        <v> </v>
      </c>
      <c r="AE13" s="5" t="str">
        <f>data!AE80</f>
        <v> </v>
      </c>
      <c r="AF13" s="5" t="str">
        <f>data!AF80</f>
        <v> </v>
      </c>
      <c r="AG13" s="5" t="str">
        <f>data!AG80</f>
        <v> </v>
      </c>
      <c r="AH13" s="5" t="str">
        <f>data!AH80</f>
        <v> </v>
      </c>
      <c r="AI13" s="5" t="str">
        <f>data!AI80</f>
        <v> </v>
      </c>
      <c r="AJ13" s="5" t="str">
        <f>data!AJ80</f>
        <v> </v>
      </c>
      <c r="AK13" s="5" t="str">
        <f>data!AK80</f>
        <v> </v>
      </c>
      <c r="AL13" s="5" t="str">
        <f>data!AL80</f>
        <v>5</v>
      </c>
      <c r="AM13" s="5" t="str">
        <f>data!AM80</f>
        <v> </v>
      </c>
      <c r="AN13" s="5" t="str">
        <f>data!AN80</f>
        <v> </v>
      </c>
      <c r="AO13" s="5" t="str">
        <f>data!AO80</f>
        <v> </v>
      </c>
      <c r="AP13" s="5" t="str">
        <f>data!AP80</f>
        <v> </v>
      </c>
      <c r="AQ13" s="5" t="str">
        <f>data!AQ80</f>
        <v> </v>
      </c>
      <c r="AR13" s="5" t="str">
        <f>data!AR80</f>
        <v> </v>
      </c>
      <c r="AS13" s="5" t="str">
        <f>data!AS80</f>
        <v/>
      </c>
      <c r="AT13" s="5" t="str">
        <f>data!AT80</f>
        <v> </v>
      </c>
      <c r="AU13" s="5" t="str">
        <f>data!AU80</f>
        <v> </v>
      </c>
      <c r="AV13" s="5" t="str">
        <f>data!AV80</f>
        <v> </v>
      </c>
      <c r="AW13" s="5" t="str">
        <f>data!AW80</f>
        <v> </v>
      </c>
      <c r="AX13" s="5" t="str">
        <f>data!AX80</f>
        <v> </v>
      </c>
      <c r="AY13" s="5" t="str">
        <f>data!AY80</f>
        <v> </v>
      </c>
      <c r="AZ13" s="5" t="str">
        <f>data!AZ80</f>
        <v/>
      </c>
      <c r="BA13" s="5" t="str">
        <f>data!BA80</f>
        <v> </v>
      </c>
      <c r="BB13" s="5" t="str">
        <f>data!BB80</f>
        <v> </v>
      </c>
      <c r="BC13" s="5" t="str">
        <f>data!BC80</f>
        <v> </v>
      </c>
      <c r="BD13" s="5" t="str">
        <f>data!BD80</f>
        <v> </v>
      </c>
      <c r="BE13" s="5" t="str">
        <f>data!BE80</f>
        <v/>
      </c>
      <c r="BF13" s="5" t="str">
        <f>data!BF80</f>
        <v> </v>
      </c>
      <c r="BG13" s="5" t="str">
        <f>data!BG80</f>
        <v> </v>
      </c>
      <c r="BH13" s="5" t="str">
        <f>data!BH80</f>
        <v> </v>
      </c>
      <c r="BI13" s="5" t="str">
        <f>data!BI80</f>
        <v> </v>
      </c>
      <c r="BJ13" s="5" t="str">
        <f>data!BJ80</f>
        <v> </v>
      </c>
      <c r="BK13" s="5" t="str">
        <f>data!BK80</f>
        <v> </v>
      </c>
      <c r="BL13" s="5" t="str">
        <f>data!BL80</f>
        <v/>
      </c>
      <c r="BM13" s="5" t="str">
        <f>data!BM80</f>
        <v> </v>
      </c>
      <c r="BN13" s="5" t="str">
        <f>data!BN80</f>
        <v> </v>
      </c>
      <c r="BO13" s="5" t="str">
        <f>data!BO80</f>
        <v> </v>
      </c>
      <c r="BP13" s="5" t="str">
        <f>data!BP80</f>
        <v> </v>
      </c>
      <c r="BQ13" s="5" t="str">
        <f>data!BQ80</f>
        <v> </v>
      </c>
      <c r="BR13" s="5" t="str">
        <f>data!BR80</f>
        <v> </v>
      </c>
      <c r="BS13" s="5" t="str">
        <f>data!BS80</f>
        <v>н</v>
      </c>
      <c r="BT13" s="5" t="str">
        <f>data!BT80</f>
        <v> </v>
      </c>
      <c r="BU13" s="5" t="str">
        <f>data!BU80</f>
        <v> </v>
      </c>
      <c r="BV13" s="5" t="str">
        <f>data!BV80</f>
        <v> </v>
      </c>
      <c r="BW13" s="5" t="str">
        <f>data!BW80</f>
        <v> </v>
      </c>
      <c r="BX13" s="5" t="str">
        <f>data!BX80</f>
        <v> </v>
      </c>
      <c r="BY13" s="5" t="str">
        <f>data!BY80</f>
        <v> </v>
      </c>
      <c r="BZ13" s="5" t="str">
        <f>data!BZ80</f>
        <v/>
      </c>
      <c r="CA13" s="5" t="str">
        <f>data!CA80</f>
        <v> </v>
      </c>
      <c r="CB13" s="5" t="str">
        <f>data!CB80</f>
        <v> </v>
      </c>
      <c r="CC13" s="5" t="str">
        <f>data!CC80</f>
        <v> </v>
      </c>
      <c r="CD13" s="5" t="str">
        <f>data!CD80</f>
        <v> </v>
      </c>
      <c r="CE13" s="5" t="str">
        <f>data!CE80</f>
        <v> </v>
      </c>
      <c r="CF13" s="5" t="str">
        <f>data!CF80</f>
        <v> </v>
      </c>
      <c r="CG13" s="5" t="str">
        <f>data!CG80</f>
        <v/>
      </c>
      <c r="CH13" s="5" t="str">
        <f>data!CH80</f>
        <v> </v>
      </c>
      <c r="CI13" s="5" t="str">
        <f>data!CI80</f>
        <v> </v>
      </c>
      <c r="CJ13" s="5" t="str">
        <f>data!CJ80</f>
        <v> </v>
      </c>
      <c r="CK13" s="5" t="str">
        <f>data!CK80</f>
        <v> </v>
      </c>
      <c r="CL13" s="5" t="str">
        <f>data!CL80</f>
        <v> </v>
      </c>
      <c r="CM13" s="5" t="str">
        <f>data!CM80</f>
        <v> </v>
      </c>
      <c r="CN13" s="5" t="str">
        <f>data!CN80</f>
        <v> </v>
      </c>
      <c r="CO13" s="5" t="str">
        <f>data!CO80</f>
        <v> </v>
      </c>
      <c r="CP13" s="5" t="str">
        <f>data!CP80</f>
        <v> </v>
      </c>
      <c r="CQ13" s="5" t="str">
        <f>data!CQ80</f>
        <v> </v>
      </c>
      <c r="CR13" s="5" t="str">
        <f>data!CR80</f>
        <v> </v>
      </c>
      <c r="CS13" s="5" t="str">
        <f>data!CS80</f>
        <v> </v>
      </c>
      <c r="CT13" s="5" t="str">
        <f>data!CT80</f>
        <v> </v>
      </c>
      <c r="CU13" s="5" t="str">
        <f>data!CU80</f>
        <v> </v>
      </c>
      <c r="CV13" s="5" t="str">
        <f>data!CV80</f>
        <v/>
      </c>
      <c r="CW13" s="5" t="str">
        <f>data!CW80</f>
        <v> </v>
      </c>
      <c r="CX13" s="5" t="str">
        <f>data!CX80</f>
        <v> </v>
      </c>
      <c r="CY13" s="5" t="str">
        <f>data!CY80</f>
        <v> </v>
      </c>
      <c r="CZ13" s="5" t="str">
        <f>data!CZ80</f>
        <v> </v>
      </c>
      <c r="DA13" s="5" t="str">
        <f>data!DA80</f>
        <v> </v>
      </c>
      <c r="DB13" s="5" t="str">
        <f>data!DB80</f>
        <v/>
      </c>
      <c r="DC13" s="5" t="str">
        <f>data!DC80</f>
        <v> </v>
      </c>
      <c r="DD13" s="5" t="str">
        <f>data!DD80</f>
        <v> </v>
      </c>
      <c r="DE13" s="5" t="str">
        <f>data!DE80</f>
        <v> </v>
      </c>
      <c r="DF13" s="5" t="str">
        <f>data!DF80</f>
        <v> </v>
      </c>
      <c r="DG13" s="5" t="str">
        <f>data!DG80</f>
        <v> </v>
      </c>
      <c r="DH13" s="5" t="str">
        <f>data!DH80</f>
        <v> </v>
      </c>
      <c r="DI13" s="5" t="str">
        <f>data!DI80</f>
        <v/>
      </c>
      <c r="DJ13" s="5" t="str">
        <f>data!DJ80</f>
        <v> </v>
      </c>
      <c r="DK13" s="5" t="str">
        <f>data!DK80</f>
        <v> </v>
      </c>
      <c r="DL13" s="5" t="str">
        <f>data!DL80</f>
        <v> </v>
      </c>
      <c r="DM13" s="5" t="str">
        <f>data!DM80</f>
        <v> </v>
      </c>
      <c r="DN13" s="5" t="str">
        <f>data!DN80</f>
        <v> </v>
      </c>
      <c r="DO13" s="5" t="str">
        <f>data!DO80</f>
        <v> </v>
      </c>
      <c r="DP13" s="5" t="str">
        <f>data!DP80</f>
        <v> </v>
      </c>
      <c r="DQ13" s="5" t="str">
        <f>data!DQ80</f>
        <v> </v>
      </c>
      <c r="DR13" s="5" t="str">
        <f>data!DR80</f>
        <v> </v>
      </c>
      <c r="DS13" s="5" t="str">
        <f>data!DS80</f>
        <v> </v>
      </c>
      <c r="DT13" s="5" t="str">
        <f>data!DT80</f>
        <v> </v>
      </c>
      <c r="DU13" s="5" t="str">
        <f>data!DU80</f>
        <v> </v>
      </c>
      <c r="DV13" s="5" t="str">
        <f>data!DV80</f>
        <v> </v>
      </c>
      <c r="DW13" s="5" t="str">
        <f>data!DW80</f>
        <v> </v>
      </c>
      <c r="DX13" s="5" t="str">
        <f>data!DX80</f>
        <v> </v>
      </c>
      <c r="DY13" s="5" t="str">
        <f>data!DY80</f>
        <v> </v>
      </c>
      <c r="DZ13" s="5" t="str">
        <f>data!DZ80</f>
        <v> </v>
      </c>
      <c r="EA13" s="5" t="str">
        <f>data!EA80</f>
        <v> </v>
      </c>
      <c r="EB13" s="5" t="str">
        <f>data!EB80</f>
        <v> </v>
      </c>
      <c r="EC13" s="5" t="str">
        <f>data!EC80</f>
        <v> </v>
      </c>
      <c r="ED13" s="5" t="str">
        <f>data!ED80</f>
        <v>5</v>
      </c>
      <c r="EE13" s="5" t="str">
        <f>data!EE80</f>
        <v> </v>
      </c>
      <c r="EF13" s="5" t="str">
        <f>data!EF80</f>
        <v> </v>
      </c>
      <c r="EG13" s="5" t="str">
        <f>data!EG80</f>
        <v> </v>
      </c>
      <c r="EH13" s="5" t="str">
        <f>data!EH80</f>
        <v> </v>
      </c>
      <c r="EI13" s="5" t="str">
        <f>data!EI80</f>
        <v> </v>
      </c>
      <c r="EJ13" s="5" t="str">
        <f>data!EJ80</f>
        <v> </v>
      </c>
      <c r="EK13" s="5" t="str">
        <f>data!EK80</f>
        <v>5</v>
      </c>
      <c r="EL13" s="5" t="str">
        <f>data!EL80</f>
        <v> </v>
      </c>
      <c r="EM13" s="5" t="str">
        <f>data!EM80</f>
        <v> </v>
      </c>
      <c r="EN13" s="5" t="str">
        <f>data!EN80</f>
        <v> </v>
      </c>
      <c r="EO13" s="5" t="str">
        <f>data!EO80</f>
        <v> </v>
      </c>
      <c r="EP13" s="5" t="str">
        <f>data!EP80</f>
        <v> </v>
      </c>
      <c r="EQ13" s="5" t="str">
        <f>data!EQ80</f>
        <v> </v>
      </c>
      <c r="ER13" s="5" t="str">
        <f>data!ER80</f>
        <v/>
      </c>
      <c r="ES13" s="5" t="str">
        <f>data!ES80</f>
        <v> </v>
      </c>
      <c r="ET13" s="5" t="str">
        <f>data!ET80</f>
        <v> </v>
      </c>
      <c r="EU13" s="5" t="str">
        <f>data!EU80</f>
        <v> </v>
      </c>
      <c r="EV13" s="5" t="str">
        <f>data!EV80</f>
        <v> </v>
      </c>
      <c r="EW13" s="5" t="str">
        <f>data!EW80</f>
        <v> </v>
      </c>
      <c r="EX13" s="5" t="str">
        <f>data!EX80</f>
        <v> </v>
      </c>
      <c r="EY13" s="5" t="str">
        <f>data!EY80</f>
        <v/>
      </c>
      <c r="EZ13" s="5" t="str">
        <f>data!EZ80</f>
        <v> </v>
      </c>
      <c r="FA13" s="5" t="str">
        <f>data!FA80</f>
        <v> </v>
      </c>
      <c r="FB13" s="5" t="str">
        <f>data!FB80</f>
        <v> </v>
      </c>
      <c r="FC13" s="5" t="str">
        <f>data!FC80</f>
        <v> </v>
      </c>
      <c r="FD13" s="5" t="str">
        <f>data!FD80</f>
        <v> </v>
      </c>
      <c r="FE13" s="5" t="str">
        <f>data!FE80</f>
        <v> </v>
      </c>
      <c r="FF13" s="5" t="str">
        <f>data!FF80</f>
        <v>5</v>
      </c>
      <c r="FG13" s="5" t="str">
        <f>data!FG80</f>
        <v> </v>
      </c>
      <c r="FH13" s="5" t="str">
        <f>data!FH80</f>
        <v> </v>
      </c>
      <c r="FI13" s="5" t="str">
        <f>data!FI80</f>
        <v> </v>
      </c>
      <c r="FJ13" s="5" t="str">
        <f>data!FJ80</f>
        <v> </v>
      </c>
      <c r="FK13" s="5" t="str">
        <f>data!FK80</f>
        <v> </v>
      </c>
      <c r="FL13" s="5" t="str">
        <f>data!FL80</f>
        <v> </v>
      </c>
      <c r="FM13" s="5" t="str">
        <f>data!FM80</f>
        <v/>
      </c>
      <c r="FN13" s="5" t="str">
        <f>data!FN80</f>
        <v> </v>
      </c>
      <c r="FO13" s="5" t="str">
        <f>data!FO80</f>
        <v> </v>
      </c>
      <c r="FP13" s="5" t="str">
        <f>data!FP80</f>
        <v> </v>
      </c>
      <c r="FQ13" s="5" t="str">
        <f>data!FQ80</f>
        <v> </v>
      </c>
      <c r="FR13" s="5" t="str">
        <f>data!FR80</f>
        <v> </v>
      </c>
      <c r="FS13" s="5" t="str">
        <f>data!FS80</f>
        <v> </v>
      </c>
      <c r="FT13" s="5" t="str">
        <f>data!FT80</f>
        <v>5</v>
      </c>
      <c r="FU13" s="5" t="str">
        <f>data!FU80</f>
        <v> </v>
      </c>
      <c r="FV13" s="5" t="str">
        <f>data!FV80</f>
        <v> </v>
      </c>
      <c r="FW13" s="5" t="str">
        <f>data!FW80</f>
        <v> </v>
      </c>
      <c r="FX13" s="5" t="str">
        <f>data!FX80</f>
        <v> </v>
      </c>
      <c r="FY13" s="5" t="str">
        <f>data!FY80</f>
        <v> </v>
      </c>
      <c r="FZ13" s="5" t="str">
        <f>data!FZ80</f>
        <v> </v>
      </c>
      <c r="GA13" s="5" t="str">
        <f>data!GA80</f>
        <v/>
      </c>
      <c r="GB13" s="5" t="str">
        <f>data!GB80</f>
        <v> </v>
      </c>
      <c r="GC13" s="5" t="str">
        <f>data!GC80</f>
        <v> </v>
      </c>
      <c r="GD13" s="5" t="str">
        <f>data!GD80</f>
        <v> </v>
      </c>
      <c r="GE13" s="5" t="str">
        <f>data!GE80</f>
        <v> </v>
      </c>
      <c r="GF13" s="5" t="str">
        <f>data!GF80</f>
        <v> </v>
      </c>
      <c r="GG13" s="5" t="str">
        <f>data!GG80</f>
        <v> </v>
      </c>
      <c r="GH13" s="5" t="str">
        <f>data!GH80</f>
        <v/>
      </c>
      <c r="GI13" s="5" t="str">
        <f>data!GI80</f>
        <v> </v>
      </c>
      <c r="GJ13" s="5" t="str">
        <f>data!GJ80</f>
        <v> </v>
      </c>
      <c r="GK13" s="5" t="str">
        <f>data!GK80</f>
        <v> </v>
      </c>
      <c r="GL13" s="5" t="str">
        <f>data!GL80</f>
        <v> </v>
      </c>
      <c r="GM13" s="5" t="str">
        <f>data!GM80</f>
        <v> </v>
      </c>
      <c r="GN13" s="5" t="str">
        <f>data!GN80</f>
        <v> </v>
      </c>
      <c r="GO13" s="5" t="str">
        <f>data!GO80</f>
        <v/>
      </c>
      <c r="GP13" s="5" t="str">
        <f>data!GP80</f>
        <v> </v>
      </c>
      <c r="GQ13" s="5" t="str">
        <f>data!GQ80</f>
        <v> </v>
      </c>
      <c r="GR13" s="5" t="str">
        <f>data!GR80</f>
        <v> </v>
      </c>
      <c r="GS13" s="5" t="str">
        <f>data!GS80</f>
        <v> </v>
      </c>
      <c r="GT13" s="5" t="str">
        <f>data!GT80</f>
        <v> </v>
      </c>
      <c r="GU13" s="5" t="str">
        <f>data!GU80</f>
        <v> </v>
      </c>
      <c r="GV13" s="5" t="str">
        <f>data!GV80</f>
        <v> </v>
      </c>
      <c r="GW13" s="5" t="str">
        <f>data!GW80</f>
        <v> </v>
      </c>
      <c r="GX13" s="5" t="str">
        <f>data!GX80</f>
        <v> </v>
      </c>
      <c r="GY13" s="5" t="str">
        <f>data!GY80</f>
        <v> </v>
      </c>
      <c r="GZ13" s="5" t="str">
        <f>data!GZ80</f>
        <v> </v>
      </c>
      <c r="HA13" s="5" t="str">
        <f>data!HA80</f>
        <v> </v>
      </c>
      <c r="HB13" s="5" t="str">
        <f>data!HB80</f>
        <v> </v>
      </c>
      <c r="HC13" s="5" t="str">
        <f>data!HC80</f>
        <v> </v>
      </c>
      <c r="HD13" s="5" t="str">
        <f>data!HD80</f>
        <v> </v>
      </c>
      <c r="HE13" s="5" t="str">
        <f>data!HE80</f>
        <v> </v>
      </c>
      <c r="HF13" s="5" t="str">
        <f>data!HF80</f>
        <v> </v>
      </c>
      <c r="HG13" s="5" t="str">
        <f>data!HG80</f>
        <v> </v>
      </c>
      <c r="HH13" s="5" t="str">
        <f>data!HH80</f>
        <v> </v>
      </c>
      <c r="HI13" s="5" t="str">
        <f>data!HI80</f>
        <v> </v>
      </c>
      <c r="HJ13" s="5" t="str">
        <f>data!HJ80</f>
        <v> </v>
      </c>
      <c r="HK13" s="5" t="str">
        <f>data!HK80</f>
        <v> </v>
      </c>
      <c r="HL13" s="5" t="str">
        <f>data!HL80</f>
        <v> </v>
      </c>
      <c r="HM13" s="5" t="str">
        <f>data!HM80</f>
        <v> </v>
      </c>
      <c r="HN13" s="5" t="str">
        <f>data!HN80</f>
        <v> </v>
      </c>
      <c r="HO13" s="5" t="str">
        <f>data!HO80</f>
        <v> </v>
      </c>
      <c r="HP13" s="5" t="str">
        <f>data!HP80</f>
        <v> </v>
      </c>
      <c r="HQ13" s="5" t="str">
        <f>data!HQ80</f>
        <v> </v>
      </c>
      <c r="HR13" s="5" t="str">
        <f>data!HR80</f>
        <v> </v>
      </c>
      <c r="HS13" s="5" t="str">
        <f>data!HS80</f>
        <v> </v>
      </c>
      <c r="HT13" s="5" t="str">
        <f>data!HT80</f>
        <v> </v>
      </c>
      <c r="HU13" s="5" t="str">
        <f>data!HU80</f>
        <v> </v>
      </c>
      <c r="HV13" s="5" t="str">
        <f>data!HV80</f>
        <v> </v>
      </c>
      <c r="HW13" s="5" t="str">
        <f>data!HW80</f>
        <v> </v>
      </c>
      <c r="HX13" s="5" t="str">
        <f>data!HX80</f>
        <v> </v>
      </c>
      <c r="HY13" s="5" t="str">
        <f>data!HY80</f>
        <v> </v>
      </c>
      <c r="HZ13" s="5" t="str">
        <f>data!HZ80</f>
        <v> </v>
      </c>
      <c r="IA13" s="5" t="str">
        <f>data!IA80</f>
        <v> </v>
      </c>
      <c r="IB13" s="5" t="str">
        <f>data!IB80</f>
        <v> </v>
      </c>
      <c r="IC13" s="5" t="str">
        <f>data!IC80</f>
        <v> </v>
      </c>
      <c r="ID13" s="5" t="str">
        <f>data!ID80</f>
        <v> </v>
      </c>
      <c r="IE13" s="5" t="str">
        <f>data!IE80</f>
        <v> </v>
      </c>
      <c r="IF13" s="5" t="str">
        <f>data!IF80</f>
        <v> </v>
      </c>
      <c r="IG13" s="5" t="str">
        <f>data!IG80</f>
        <v> </v>
      </c>
      <c r="IH13" s="5" t="str">
        <f>data!IH80</f>
        <v> </v>
      </c>
      <c r="II13" s="5" t="str">
        <f>data!II80</f>
        <v> </v>
      </c>
      <c r="IJ13" s="5" t="str">
        <f>data!IJ80</f>
        <v> </v>
      </c>
      <c r="IK13" s="5" t="str">
        <f>data!IK80</f>
        <v> </v>
      </c>
      <c r="IL13" s="5" t="str">
        <f>data!IL80</f>
        <v> </v>
      </c>
      <c r="IM13" s="5" t="str">
        <f>data!IM80</f>
        <v> </v>
      </c>
      <c r="IN13" s="5" t="str">
        <f>data!IN80</f>
        <v> </v>
      </c>
      <c r="IO13" s="5" t="str">
        <f>data!IO80</f>
        <v> </v>
      </c>
      <c r="IP13" s="5" t="str">
        <f>data!IP80</f>
        <v> </v>
      </c>
      <c r="IQ13" s="5" t="str">
        <f>data!IQ80</f>
        <v> </v>
      </c>
      <c r="IR13" s="5" t="str">
        <f>data!IR80</f>
        <v> </v>
      </c>
      <c r="IS13" s="5" t="str">
        <f>data!IS80</f>
        <v> </v>
      </c>
      <c r="IT13" s="5" t="str">
        <f>data!IT80</f>
        <v> </v>
      </c>
      <c r="IU13" s="5" t="str">
        <f>data!IU80</f>
        <v> </v>
      </c>
      <c r="IV13" s="5" t="str">
        <f>data!IV80</f>
        <v> </v>
      </c>
      <c r="IW13" s="5" t="str">
        <f>data!IW80</f>
        <v> </v>
      </c>
      <c r="IX13" s="5" t="str">
        <f>data!IX80</f>
        <v> </v>
      </c>
      <c r="IY13" s="5" t="str">
        <f>data!IY80</f>
        <v> </v>
      </c>
      <c r="IZ13" s="5" t="str">
        <f>data!IZ80</f>
        <v> </v>
      </c>
      <c r="JA13" s="5" t="str">
        <f>data!JA80</f>
        <v> </v>
      </c>
      <c r="JB13" s="5" t="str">
        <f>data!JB80</f>
        <v> </v>
      </c>
      <c r="JC13" s="5" t="str">
        <f>data!JC80</f>
        <v> </v>
      </c>
      <c r="JD13" s="5" t="str">
        <f>data!JD80</f>
        <v> </v>
      </c>
      <c r="JE13" s="5" t="str">
        <f>data!JE80</f>
        <v> </v>
      </c>
    </row>
    <row r="14" ht="22.5" customHeight="1">
      <c r="A14" s="4" t="str">
        <f>data!A81</f>
        <v>Технология</v>
      </c>
      <c r="B14" s="5" t="str">
        <f>data!B81</f>
        <v> </v>
      </c>
      <c r="C14" s="5" t="str">
        <f>data!C81</f>
        <v> </v>
      </c>
      <c r="D14" s="5" t="str">
        <f>data!D81</f>
        <v> </v>
      </c>
      <c r="E14" s="5" t="str">
        <f>data!E81</f>
        <v/>
      </c>
      <c r="F14" s="5" t="str">
        <f>data!F81</f>
        <v> </v>
      </c>
      <c r="G14" s="5" t="str">
        <f>data!G81</f>
        <v> </v>
      </c>
      <c r="H14" s="5" t="str">
        <f>data!H81</f>
        <v> </v>
      </c>
      <c r="I14" s="5" t="str">
        <f>data!I81</f>
        <v> </v>
      </c>
      <c r="J14" s="5" t="str">
        <f>data!J81</f>
        <v> </v>
      </c>
      <c r="K14" s="5" t="str">
        <f>data!K81</f>
        <v> </v>
      </c>
      <c r="L14" s="5" t="str">
        <f>data!L81</f>
        <v>5</v>
      </c>
      <c r="M14" s="5" t="str">
        <f>data!M81</f>
        <v> </v>
      </c>
      <c r="N14" s="5" t="str">
        <f>data!N81</f>
        <v> </v>
      </c>
      <c r="O14" s="5" t="str">
        <f>data!O81</f>
        <v> </v>
      </c>
      <c r="P14" s="5" t="str">
        <f>data!P81</f>
        <v> </v>
      </c>
      <c r="Q14" s="5" t="str">
        <f>data!Q81</f>
        <v> </v>
      </c>
      <c r="R14" s="5" t="str">
        <f>data!R81</f>
        <v> </v>
      </c>
      <c r="S14" s="5" t="str">
        <f>data!S81</f>
        <v>2</v>
      </c>
      <c r="T14" s="5" t="str">
        <f>data!T81</f>
        <v> </v>
      </c>
      <c r="U14" s="5" t="str">
        <f>data!U81</f>
        <v> </v>
      </c>
      <c r="V14" s="5" t="str">
        <f>data!V81</f>
        <v> </v>
      </c>
      <c r="W14" s="5" t="str">
        <f>data!W81</f>
        <v> </v>
      </c>
      <c r="X14" s="5" t="str">
        <f>data!X81</f>
        <v> </v>
      </c>
      <c r="Y14" s="5" t="str">
        <f>data!Y81</f>
        <v> </v>
      </c>
      <c r="Z14" s="5" t="str">
        <f>data!Z81</f>
        <v>5</v>
      </c>
      <c r="AA14" s="5" t="str">
        <f>data!AA81</f>
        <v> </v>
      </c>
      <c r="AB14" s="5" t="str">
        <f>data!AB81</f>
        <v> </v>
      </c>
      <c r="AC14" s="5" t="str">
        <f>data!AC81</f>
        <v> </v>
      </c>
      <c r="AD14" s="5" t="str">
        <f>data!AD81</f>
        <v> </v>
      </c>
      <c r="AE14" s="5" t="str">
        <f>data!AE81</f>
        <v> </v>
      </c>
      <c r="AF14" s="5" t="str">
        <f>data!AF81</f>
        <v> </v>
      </c>
      <c r="AG14" s="5" t="str">
        <f>data!AG81</f>
        <v/>
      </c>
      <c r="AH14" s="5" t="str">
        <f>data!AH81</f>
        <v> </v>
      </c>
      <c r="AI14" s="5" t="str">
        <f>data!AI81</f>
        <v> </v>
      </c>
      <c r="AJ14" s="5" t="str">
        <f>data!AJ81</f>
        <v> </v>
      </c>
      <c r="AK14" s="5" t="str">
        <f>data!AK81</f>
        <v> </v>
      </c>
      <c r="AL14" s="5" t="str">
        <f>data!AL81</f>
        <v> </v>
      </c>
      <c r="AM14" s="5" t="str">
        <f>data!AM81</f>
        <v> </v>
      </c>
      <c r="AN14" s="5" t="str">
        <f>data!AN81</f>
        <v>5</v>
      </c>
      <c r="AO14" s="5" t="str">
        <f>data!AO81</f>
        <v> </v>
      </c>
      <c r="AP14" s="5" t="str">
        <f>data!AP81</f>
        <v> </v>
      </c>
      <c r="AQ14" s="5" t="str">
        <f>data!AQ81</f>
        <v> </v>
      </c>
      <c r="AR14" s="5" t="str">
        <f>data!AR81</f>
        <v> </v>
      </c>
      <c r="AS14" s="5" t="str">
        <f>data!AS81</f>
        <v> </v>
      </c>
      <c r="AT14" s="5" t="str">
        <f>data!AT81</f>
        <v> </v>
      </c>
      <c r="AU14" s="5" t="str">
        <f>data!AU81</f>
        <v/>
      </c>
      <c r="AV14" s="5" t="str">
        <f>data!AV81</f>
        <v> </v>
      </c>
      <c r="AW14" s="5" t="str">
        <f>data!AW81</f>
        <v> </v>
      </c>
      <c r="AX14" s="5" t="str">
        <f>data!AX81</f>
        <v> </v>
      </c>
      <c r="AY14" s="5" t="str">
        <f>data!AY81</f>
        <v> </v>
      </c>
      <c r="AZ14" s="5" t="str">
        <f>data!AZ81</f>
        <v> </v>
      </c>
      <c r="BA14" s="5" t="str">
        <f>data!BA81</f>
        <v> </v>
      </c>
      <c r="BB14" s="5" t="str">
        <f>data!BB81</f>
        <v/>
      </c>
      <c r="BC14" s="5" t="str">
        <f>data!BC81</f>
        <v> </v>
      </c>
      <c r="BD14" s="5" t="str">
        <f>data!BD81</f>
        <v> </v>
      </c>
      <c r="BE14" s="5" t="str">
        <f>data!BE81</f>
        <v> </v>
      </c>
      <c r="BF14" s="5" t="str">
        <f>data!BF81</f>
        <v> </v>
      </c>
      <c r="BG14" s="5" t="str">
        <f>data!BG81</f>
        <v> </v>
      </c>
      <c r="BH14" s="5" t="str">
        <f>data!BH81</f>
        <v> </v>
      </c>
      <c r="BI14" s="5" t="str">
        <f>data!BI81</f>
        <v>н</v>
      </c>
      <c r="BJ14" s="5" t="str">
        <f>data!BJ81</f>
        <v> </v>
      </c>
      <c r="BK14" s="5" t="str">
        <f>data!BK81</f>
        <v> </v>
      </c>
      <c r="BL14" s="5" t="str">
        <f>data!BL81</f>
        <v> </v>
      </c>
      <c r="BM14" s="5" t="str">
        <f>data!BM81</f>
        <v> </v>
      </c>
      <c r="BN14" s="5" t="str">
        <f>data!BN81</f>
        <v> </v>
      </c>
      <c r="BO14" s="5" t="str">
        <f>data!BO81</f>
        <v> </v>
      </c>
      <c r="BP14" s="5" t="str">
        <f>data!BP81</f>
        <v> </v>
      </c>
      <c r="BQ14" s="5" t="str">
        <f>data!BQ81</f>
        <v> </v>
      </c>
      <c r="BR14" s="5" t="str">
        <f>data!BR81</f>
        <v> </v>
      </c>
      <c r="BS14" s="5" t="str">
        <f>data!BS81</f>
        <v> </v>
      </c>
      <c r="BT14" s="5" t="str">
        <f>data!BT81</f>
        <v> </v>
      </c>
      <c r="BU14" s="5" t="str">
        <f>data!BU81</f>
        <v> </v>
      </c>
      <c r="BV14" s="5" t="str">
        <f>data!BV81</f>
        <v> </v>
      </c>
      <c r="BW14" s="5" t="str">
        <f>data!BW81</f>
        <v/>
      </c>
      <c r="BX14" s="5" t="str">
        <f>data!BX81</f>
        <v> </v>
      </c>
      <c r="BY14" s="5" t="str">
        <f>data!BY81</f>
        <v> </v>
      </c>
      <c r="BZ14" s="5" t="str">
        <f>data!BZ81</f>
        <v> </v>
      </c>
      <c r="CA14" s="5" t="str">
        <f>data!CA81</f>
        <v> </v>
      </c>
      <c r="CB14" s="5" t="str">
        <f>data!CB81</f>
        <v> </v>
      </c>
      <c r="CC14" s="5" t="str">
        <f>data!CC81</f>
        <v> </v>
      </c>
      <c r="CD14" s="5" t="str">
        <f>data!CD81</f>
        <v/>
      </c>
      <c r="CE14" s="5" t="str">
        <f>data!CE81</f>
        <v> </v>
      </c>
      <c r="CF14" s="5" t="str">
        <f>data!CF81</f>
        <v> </v>
      </c>
      <c r="CG14" s="5" t="str">
        <f>data!CG81</f>
        <v> </v>
      </c>
      <c r="CH14" s="5" t="str">
        <f>data!CH81</f>
        <v> </v>
      </c>
      <c r="CI14" s="5" t="str">
        <f>data!CI81</f>
        <v> </v>
      </c>
      <c r="CJ14" s="5" t="str">
        <f>data!CJ81</f>
        <v> </v>
      </c>
      <c r="CK14" s="5" t="str">
        <f>data!CK81</f>
        <v/>
      </c>
      <c r="CL14" s="5" t="str">
        <f>data!CL81</f>
        <v> </v>
      </c>
      <c r="CM14" s="5" t="str">
        <f>data!CM81</f>
        <v> </v>
      </c>
      <c r="CN14" s="5" t="str">
        <f>data!CN81</f>
        <v> </v>
      </c>
      <c r="CO14" s="5" t="str">
        <f>data!CO81</f>
        <v> </v>
      </c>
      <c r="CP14" s="5" t="str">
        <f>data!CP81</f>
        <v> </v>
      </c>
      <c r="CQ14" s="5" t="str">
        <f>data!CQ81</f>
        <v> </v>
      </c>
      <c r="CR14" s="5" t="str">
        <f>data!CR81</f>
        <v/>
      </c>
      <c r="CS14" s="5" t="str">
        <f>data!CS81</f>
        <v> </v>
      </c>
      <c r="CT14" s="5" t="str">
        <f>data!CT81</f>
        <v> </v>
      </c>
      <c r="CU14" s="5" t="str">
        <f>data!CU81</f>
        <v> </v>
      </c>
      <c r="CV14" s="5" t="str">
        <f>data!CV81</f>
        <v> </v>
      </c>
      <c r="CW14" s="5" t="str">
        <f>data!CW81</f>
        <v> </v>
      </c>
      <c r="CX14" s="5" t="str">
        <f>data!CX81</f>
        <v> </v>
      </c>
      <c r="CY14" s="5" t="str">
        <f>data!CY81</f>
        <v>5</v>
      </c>
      <c r="CZ14" s="5" t="str">
        <f>data!CZ81</f>
        <v> </v>
      </c>
      <c r="DA14" s="5" t="str">
        <f>data!DA81</f>
        <v> </v>
      </c>
      <c r="DB14" s="5" t="str">
        <f>data!DB81</f>
        <v> </v>
      </c>
      <c r="DC14" s="5" t="str">
        <f>data!DC81</f>
        <v> </v>
      </c>
      <c r="DD14" s="5" t="str">
        <f>data!DD81</f>
        <v> </v>
      </c>
      <c r="DE14" s="5" t="str">
        <f>data!DE81</f>
        <v> </v>
      </c>
      <c r="DF14" s="5" t="str">
        <f>data!DF81</f>
        <v/>
      </c>
      <c r="DG14" s="5" t="str">
        <f>data!DG81</f>
        <v> </v>
      </c>
      <c r="DH14" s="5" t="str">
        <f>data!DH81</f>
        <v> </v>
      </c>
      <c r="DI14" s="5" t="str">
        <f>data!DI81</f>
        <v> </v>
      </c>
      <c r="DJ14" s="5" t="str">
        <f>data!DJ81</f>
        <v> </v>
      </c>
      <c r="DK14" s="5" t="str">
        <f>data!DK81</f>
        <v> </v>
      </c>
      <c r="DL14" s="5" t="str">
        <f>data!DL81</f>
        <v> </v>
      </c>
      <c r="DM14" s="5" t="str">
        <f>data!DM81</f>
        <v>5</v>
      </c>
      <c r="DN14" s="5" t="str">
        <f>data!DN81</f>
        <v> </v>
      </c>
      <c r="DO14" s="5" t="str">
        <f>data!DO81</f>
        <v> </v>
      </c>
      <c r="DP14" s="5" t="str">
        <f>data!DP81</f>
        <v> </v>
      </c>
      <c r="DQ14" s="5" t="str">
        <f>data!DQ81</f>
        <v> </v>
      </c>
      <c r="DR14" s="5" t="str">
        <f>data!DR81</f>
        <v> </v>
      </c>
      <c r="DS14" s="5" t="str">
        <f>data!DS81</f>
        <v> </v>
      </c>
      <c r="DT14" s="5" t="str">
        <f>data!DT81</f>
        <v> </v>
      </c>
      <c r="DU14" s="5" t="str">
        <f>data!DU81</f>
        <v> </v>
      </c>
      <c r="DV14" s="5" t="str">
        <f>data!DV81</f>
        <v> </v>
      </c>
      <c r="DW14" s="5" t="str">
        <f>data!DW81</f>
        <v> </v>
      </c>
      <c r="DX14" s="5" t="str">
        <f>data!DX81</f>
        <v> </v>
      </c>
      <c r="DY14" s="5" t="str">
        <f>data!DY81</f>
        <v> </v>
      </c>
      <c r="DZ14" s="5" t="str">
        <f>data!DZ81</f>
        <v> </v>
      </c>
      <c r="EA14" s="5" t="str">
        <f>data!EA81</f>
        <v> </v>
      </c>
      <c r="EB14" s="5" t="str">
        <f>data!EB81</f>
        <v> </v>
      </c>
      <c r="EC14" s="5" t="str">
        <f>data!EC81</f>
        <v> </v>
      </c>
      <c r="ED14" s="5" t="str">
        <f>data!ED81</f>
        <v/>
      </c>
      <c r="EE14" s="5" t="str">
        <f>data!EE81</f>
        <v> </v>
      </c>
      <c r="EF14" s="5" t="str">
        <f>data!EF81</f>
        <v> </v>
      </c>
      <c r="EG14" s="5" t="str">
        <f>data!EG81</f>
        <v> </v>
      </c>
      <c r="EH14" s="5" t="str">
        <f>data!EH81</f>
        <v> </v>
      </c>
      <c r="EI14" s="5" t="str">
        <f>data!EI81</f>
        <v> </v>
      </c>
      <c r="EJ14" s="5" t="str">
        <f>data!EJ81</f>
        <v> </v>
      </c>
      <c r="EK14" s="5" t="str">
        <f>data!EK81</f>
        <v> </v>
      </c>
      <c r="EL14" s="5" t="str">
        <f>data!EL81</f>
        <v> </v>
      </c>
      <c r="EM14" s="5" t="str">
        <f>data!EM81</f>
        <v> </v>
      </c>
      <c r="EN14" s="5" t="str">
        <f>data!EN81</f>
        <v> </v>
      </c>
      <c r="EO14" s="5" t="str">
        <f>data!EO81</f>
        <v> </v>
      </c>
      <c r="EP14" s="5" t="str">
        <f>data!EP81</f>
        <v> </v>
      </c>
      <c r="EQ14" s="5" t="str">
        <f>data!EQ81</f>
        <v> </v>
      </c>
      <c r="ER14" s="5" t="str">
        <f>data!ER81</f>
        <v> </v>
      </c>
      <c r="ES14" s="5" t="str">
        <f>data!ES81</f>
        <v> </v>
      </c>
      <c r="ET14" s="5" t="str">
        <f>data!ET81</f>
        <v> </v>
      </c>
      <c r="EU14" s="5" t="str">
        <f>data!EU81</f>
        <v> </v>
      </c>
      <c r="EV14" s="5" t="str">
        <f>data!EV81</f>
        <v> </v>
      </c>
      <c r="EW14" s="5" t="str">
        <f>data!EW81</f>
        <v> </v>
      </c>
      <c r="EX14" s="5" t="str">
        <f>data!EX81</f>
        <v> </v>
      </c>
      <c r="EY14" s="5" t="str">
        <f>data!EY81</f>
        <v> </v>
      </c>
      <c r="EZ14" s="5" t="str">
        <f>data!EZ81</f>
        <v> </v>
      </c>
      <c r="FA14" s="5" t="str">
        <f>data!FA81</f>
        <v> </v>
      </c>
      <c r="FB14" s="5" t="str">
        <f>data!FB81</f>
        <v> </v>
      </c>
      <c r="FC14" s="5" t="str">
        <f>data!FC81</f>
        <v> </v>
      </c>
      <c r="FD14" s="5" t="str">
        <f>data!FD81</f>
        <v> </v>
      </c>
      <c r="FE14" s="5" t="str">
        <f>data!FE81</f>
        <v> </v>
      </c>
      <c r="FF14" s="5" t="str">
        <f>data!FF81</f>
        <v> </v>
      </c>
      <c r="FG14" s="5" t="str">
        <f>data!FG81</f>
        <v> </v>
      </c>
      <c r="FH14" s="5" t="str">
        <f>data!FH81</f>
        <v> </v>
      </c>
      <c r="FI14" s="5" t="str">
        <f>data!FI81</f>
        <v> </v>
      </c>
      <c r="FJ14" s="5" t="str">
        <f>data!FJ81</f>
        <v> </v>
      </c>
      <c r="FK14" s="5" t="str">
        <f>data!FK81</f>
        <v> </v>
      </c>
      <c r="FL14" s="5" t="str">
        <f>data!FL81</f>
        <v> </v>
      </c>
      <c r="FM14" s="5" t="str">
        <f>data!FM81</f>
        <v> </v>
      </c>
      <c r="FN14" s="5" t="str">
        <f>data!FN81</f>
        <v> </v>
      </c>
      <c r="FO14" s="5" t="str">
        <f>data!FO81</f>
        <v> </v>
      </c>
      <c r="FP14" s="5" t="str">
        <f>data!FP81</f>
        <v> </v>
      </c>
      <c r="FQ14" s="5" t="str">
        <f>data!FQ81</f>
        <v> </v>
      </c>
      <c r="FR14" s="5" t="str">
        <f>data!FR81</f>
        <v> </v>
      </c>
      <c r="FS14" s="5" t="str">
        <f>data!FS81</f>
        <v> </v>
      </c>
      <c r="FT14" s="5" t="str">
        <f>data!FT81</f>
        <v> </v>
      </c>
      <c r="FU14" s="5" t="str">
        <f>data!FU81</f>
        <v> </v>
      </c>
      <c r="FV14" s="5" t="str">
        <f>data!FV81</f>
        <v> </v>
      </c>
      <c r="FW14" s="5" t="str">
        <f>data!FW81</f>
        <v> </v>
      </c>
      <c r="FX14" s="5" t="str">
        <f>data!FX81</f>
        <v> </v>
      </c>
      <c r="FY14" s="5" t="str">
        <f>data!FY81</f>
        <v> </v>
      </c>
      <c r="FZ14" s="5" t="str">
        <f>data!FZ81</f>
        <v> </v>
      </c>
      <c r="GA14" s="5" t="str">
        <f>data!GA81</f>
        <v> </v>
      </c>
      <c r="GB14" s="5" t="str">
        <f>data!GB81</f>
        <v> </v>
      </c>
      <c r="GC14" s="5" t="str">
        <f>data!GC81</f>
        <v> </v>
      </c>
      <c r="GD14" s="5" t="str">
        <f>data!GD81</f>
        <v> </v>
      </c>
      <c r="GE14" s="5" t="str">
        <f>data!GE81</f>
        <v> </v>
      </c>
      <c r="GF14" s="5" t="str">
        <f>data!GF81</f>
        <v> </v>
      </c>
      <c r="GG14" s="5" t="str">
        <f>data!GG81</f>
        <v> </v>
      </c>
      <c r="GH14" s="5" t="str">
        <f>data!GH81</f>
        <v> </v>
      </c>
      <c r="GI14" s="5" t="str">
        <f>data!GI81</f>
        <v> </v>
      </c>
      <c r="GJ14" s="5" t="str">
        <f>data!GJ81</f>
        <v> </v>
      </c>
      <c r="GK14" s="5" t="str">
        <f>data!GK81</f>
        <v> </v>
      </c>
      <c r="GL14" s="5" t="str">
        <f>data!GL81</f>
        <v> </v>
      </c>
      <c r="GM14" s="5" t="str">
        <f>data!GM81</f>
        <v> </v>
      </c>
      <c r="GN14" s="5" t="str">
        <f>data!GN81</f>
        <v> </v>
      </c>
      <c r="GO14" s="5" t="str">
        <f>data!GO81</f>
        <v> </v>
      </c>
      <c r="GP14" s="5" t="str">
        <f>data!GP81</f>
        <v> </v>
      </c>
      <c r="GQ14" s="5" t="str">
        <f>data!GQ81</f>
        <v> </v>
      </c>
      <c r="GR14" s="5" t="str">
        <f>data!GR81</f>
        <v> </v>
      </c>
      <c r="GS14" s="5" t="str">
        <f>data!GS81</f>
        <v> </v>
      </c>
      <c r="GT14" s="5" t="str">
        <f>data!GT81</f>
        <v> </v>
      </c>
      <c r="GU14" s="5" t="str">
        <f>data!GU81</f>
        <v> </v>
      </c>
      <c r="GV14" s="5" t="str">
        <f>data!GV81</f>
        <v> </v>
      </c>
      <c r="GW14" s="5" t="str">
        <f>data!GW81</f>
        <v> </v>
      </c>
      <c r="GX14" s="5" t="str">
        <f>data!GX81</f>
        <v> </v>
      </c>
      <c r="GY14" s="5" t="str">
        <f>data!GY81</f>
        <v> </v>
      </c>
      <c r="GZ14" s="5" t="str">
        <f>data!GZ81</f>
        <v> </v>
      </c>
      <c r="HA14" s="5" t="str">
        <f>data!HA81</f>
        <v> </v>
      </c>
      <c r="HB14" s="5" t="str">
        <f>data!HB81</f>
        <v> </v>
      </c>
      <c r="HC14" s="5" t="str">
        <f>data!HC81</f>
        <v> </v>
      </c>
      <c r="HD14" s="5" t="str">
        <f>data!HD81</f>
        <v> </v>
      </c>
      <c r="HE14" s="5" t="str">
        <f>data!HE81</f>
        <v> </v>
      </c>
      <c r="HF14" s="5" t="str">
        <f>data!HF81</f>
        <v> </v>
      </c>
      <c r="HG14" s="5" t="str">
        <f>data!HG81</f>
        <v> </v>
      </c>
      <c r="HH14" s="5" t="str">
        <f>data!HH81</f>
        <v> </v>
      </c>
      <c r="HI14" s="5" t="str">
        <f>data!HI81</f>
        <v> </v>
      </c>
      <c r="HJ14" s="5" t="str">
        <f>data!HJ81</f>
        <v> </v>
      </c>
      <c r="HK14" s="5" t="str">
        <f>data!HK81</f>
        <v> </v>
      </c>
      <c r="HL14" s="5" t="str">
        <f>data!HL81</f>
        <v> </v>
      </c>
      <c r="HM14" s="5" t="str">
        <f>data!HM81</f>
        <v> </v>
      </c>
      <c r="HN14" s="5" t="str">
        <f>data!HN81</f>
        <v> </v>
      </c>
      <c r="HO14" s="5" t="str">
        <f>data!HO81</f>
        <v> </v>
      </c>
      <c r="HP14" s="5" t="str">
        <f>data!HP81</f>
        <v> </v>
      </c>
      <c r="HQ14" s="5" t="str">
        <f>data!HQ81</f>
        <v> </v>
      </c>
      <c r="HR14" s="5" t="str">
        <f>data!HR81</f>
        <v> </v>
      </c>
      <c r="HS14" s="5" t="str">
        <f>data!HS81</f>
        <v> </v>
      </c>
      <c r="HT14" s="5" t="str">
        <f>data!HT81</f>
        <v> </v>
      </c>
      <c r="HU14" s="5" t="str">
        <f>data!HU81</f>
        <v> </v>
      </c>
      <c r="HV14" s="5" t="str">
        <f>data!HV81</f>
        <v> </v>
      </c>
      <c r="HW14" s="5" t="str">
        <f>data!HW81</f>
        <v> </v>
      </c>
      <c r="HX14" s="5" t="str">
        <f>data!HX81</f>
        <v> </v>
      </c>
      <c r="HY14" s="5" t="str">
        <f>data!HY81</f>
        <v> </v>
      </c>
      <c r="HZ14" s="5" t="str">
        <f>data!HZ81</f>
        <v> </v>
      </c>
      <c r="IA14" s="5" t="str">
        <f>data!IA81</f>
        <v> </v>
      </c>
      <c r="IB14" s="5" t="str">
        <f>data!IB81</f>
        <v> </v>
      </c>
      <c r="IC14" s="5" t="str">
        <f>data!IC81</f>
        <v> </v>
      </c>
      <c r="ID14" s="5" t="str">
        <f>data!ID81</f>
        <v> </v>
      </c>
      <c r="IE14" s="5" t="str">
        <f>data!IE81</f>
        <v> </v>
      </c>
      <c r="IF14" s="5" t="str">
        <f>data!IF81</f>
        <v> </v>
      </c>
      <c r="IG14" s="5" t="str">
        <f>data!IG81</f>
        <v> </v>
      </c>
      <c r="IH14" s="5" t="str">
        <f>data!IH81</f>
        <v> </v>
      </c>
      <c r="II14" s="5" t="str">
        <f>data!II81</f>
        <v> </v>
      </c>
      <c r="IJ14" s="5" t="str">
        <f>data!IJ81</f>
        <v> </v>
      </c>
      <c r="IK14" s="5" t="str">
        <f>data!IK81</f>
        <v> </v>
      </c>
      <c r="IL14" s="5" t="str">
        <f>data!IL81</f>
        <v> </v>
      </c>
      <c r="IM14" s="5" t="str">
        <f>data!IM81</f>
        <v> </v>
      </c>
      <c r="IN14" s="5" t="str">
        <f>data!IN81</f>
        <v> </v>
      </c>
      <c r="IO14" s="5" t="str">
        <f>data!IO81</f>
        <v> </v>
      </c>
      <c r="IP14" s="5" t="str">
        <f>data!IP81</f>
        <v> </v>
      </c>
      <c r="IQ14" s="5" t="str">
        <f>data!IQ81</f>
        <v> </v>
      </c>
      <c r="IR14" s="5" t="str">
        <f>data!IR81</f>
        <v> </v>
      </c>
      <c r="IS14" s="5" t="str">
        <f>data!IS81</f>
        <v> </v>
      </c>
      <c r="IT14" s="5" t="str">
        <f>data!IT81</f>
        <v> </v>
      </c>
      <c r="IU14" s="5" t="str">
        <f>data!IU81</f>
        <v> </v>
      </c>
      <c r="IV14" s="5" t="str">
        <f>data!IV81</f>
        <v> </v>
      </c>
      <c r="IW14" s="5" t="str">
        <f>data!IW81</f>
        <v> </v>
      </c>
      <c r="IX14" s="5" t="str">
        <f>data!IX81</f>
        <v> </v>
      </c>
      <c r="IY14" s="5" t="str">
        <f>data!IY81</f>
        <v> </v>
      </c>
      <c r="IZ14" s="5" t="str">
        <f>data!IZ81</f>
        <v> </v>
      </c>
      <c r="JA14" s="5" t="str">
        <f>data!JA81</f>
        <v> </v>
      </c>
      <c r="JB14" s="5" t="str">
        <f>data!JB81</f>
        <v> </v>
      </c>
      <c r="JC14" s="5" t="str">
        <f>data!JC81</f>
        <v> </v>
      </c>
      <c r="JD14" s="5" t="str">
        <f>data!JD81</f>
        <v> </v>
      </c>
      <c r="JE14" s="5" t="str">
        <f>data!JE81</f>
        <v> </v>
      </c>
    </row>
    <row r="15" ht="22.5" customHeight="1">
      <c r="A15" s="4" t="str">
        <f>data!A82</f>
        <v>Информатика</v>
      </c>
      <c r="B15" s="5" t="str">
        <f>data!B82</f>
        <v> </v>
      </c>
      <c r="C15" s="5" t="str">
        <f>data!C82</f>
        <v> </v>
      </c>
      <c r="D15" s="5" t="str">
        <f>data!D82</f>
        <v> </v>
      </c>
      <c r="E15" s="5" t="str">
        <f>data!E82</f>
        <v> </v>
      </c>
      <c r="F15" s="5" t="str">
        <f>data!F82</f>
        <v>5</v>
      </c>
      <c r="G15" s="5" t="str">
        <f>data!G82</f>
        <v> </v>
      </c>
      <c r="H15" s="5" t="str">
        <f>data!H82</f>
        <v>5</v>
      </c>
      <c r="I15" s="5" t="str">
        <f>data!I82</f>
        <v> </v>
      </c>
      <c r="J15" s="5" t="str">
        <f>data!J82</f>
        <v/>
      </c>
      <c r="K15" s="5" t="str">
        <f>data!K82</f>
        <v> </v>
      </c>
      <c r="L15" s="5" t="str">
        <f>data!L82</f>
        <v> </v>
      </c>
      <c r="M15" s="5" t="str">
        <f>data!M82</f>
        <v> </v>
      </c>
      <c r="N15" s="5" t="str">
        <f>data!N82</f>
        <v> </v>
      </c>
      <c r="O15" s="5" t="str">
        <f>data!O82</f>
        <v> </v>
      </c>
      <c r="P15" s="5" t="str">
        <f>data!P82</f>
        <v> </v>
      </c>
      <c r="Q15" s="5" t="str">
        <f>data!Q82</f>
        <v>5</v>
      </c>
      <c r="R15" s="5" t="str">
        <f>data!R82</f>
        <v> </v>
      </c>
      <c r="S15" s="5" t="str">
        <f>data!S82</f>
        <v> </v>
      </c>
      <c r="T15" s="5" t="str">
        <f>data!T82</f>
        <v> </v>
      </c>
      <c r="U15" s="5" t="str">
        <f>data!U82</f>
        <v> </v>
      </c>
      <c r="V15" s="5" t="str">
        <f>data!V82</f>
        <v> </v>
      </c>
      <c r="W15" s="5" t="str">
        <f>data!W82</f>
        <v> </v>
      </c>
      <c r="X15" s="5" t="str">
        <f>data!X82</f>
        <v>2</v>
      </c>
      <c r="Y15" s="5" t="str">
        <f>data!Y82</f>
        <v> </v>
      </c>
      <c r="Z15" s="5" t="str">
        <f>data!Z82</f>
        <v> </v>
      </c>
      <c r="AA15" s="5" t="str">
        <f>data!AA82</f>
        <v> </v>
      </c>
      <c r="AB15" s="5" t="str">
        <f>data!AB82</f>
        <v> </v>
      </c>
      <c r="AC15" s="5" t="str">
        <f>data!AC82</f>
        <v> </v>
      </c>
      <c r="AD15" s="5" t="str">
        <f>data!AD82</f>
        <v> </v>
      </c>
      <c r="AE15" s="5" t="str">
        <f>data!AE82</f>
        <v/>
      </c>
      <c r="AF15" s="5" t="str">
        <f>data!AF82</f>
        <v> </v>
      </c>
      <c r="AG15" s="5" t="str">
        <f>data!AG82</f>
        <v> </v>
      </c>
      <c r="AH15" s="5" t="str">
        <f>data!AH82</f>
        <v> </v>
      </c>
      <c r="AI15" s="5" t="str">
        <f>data!AI82</f>
        <v> </v>
      </c>
      <c r="AJ15" s="5" t="str">
        <f>data!AJ82</f>
        <v> </v>
      </c>
      <c r="AK15" s="5" t="str">
        <f>data!AK82</f>
        <v> </v>
      </c>
      <c r="AL15" s="5" t="str">
        <f>data!AL82</f>
        <v>5</v>
      </c>
      <c r="AM15" s="5" t="str">
        <f>data!AM82</f>
        <v> </v>
      </c>
      <c r="AN15" s="5" t="str">
        <f>data!AN82</f>
        <v> </v>
      </c>
      <c r="AO15" s="5" t="str">
        <f>data!AO82</f>
        <v> </v>
      </c>
      <c r="AP15" s="5" t="str">
        <f>data!AP82</f>
        <v> </v>
      </c>
      <c r="AQ15" s="5" t="str">
        <f>data!AQ82</f>
        <v> </v>
      </c>
      <c r="AR15" s="5" t="str">
        <f>data!AR82</f>
        <v> </v>
      </c>
      <c r="AS15" s="5" t="str">
        <f>data!AS82</f>
        <v/>
      </c>
      <c r="AT15" s="5" t="str">
        <f>data!AT82</f>
        <v> </v>
      </c>
      <c r="AU15" s="5" t="str">
        <f>data!AU82</f>
        <v> </v>
      </c>
      <c r="AV15" s="5" t="str">
        <f>data!AV82</f>
        <v> </v>
      </c>
      <c r="AW15" s="5" t="str">
        <f>data!AW82</f>
        <v> </v>
      </c>
      <c r="AX15" s="5" t="str">
        <f>data!AX82</f>
        <v> </v>
      </c>
      <c r="AY15" s="5" t="str">
        <f>data!AY82</f>
        <v> </v>
      </c>
      <c r="AZ15" s="5" t="str">
        <f>data!AZ82</f>
        <v/>
      </c>
      <c r="BA15" s="5" t="str">
        <f>data!BA82</f>
        <v> </v>
      </c>
      <c r="BB15" s="5" t="str">
        <f>data!BB82</f>
        <v> </v>
      </c>
      <c r="BC15" s="5" t="str">
        <f>data!BC82</f>
        <v> </v>
      </c>
      <c r="BD15" s="5" t="str">
        <f>data!BD82</f>
        <v> </v>
      </c>
      <c r="BE15" s="5" t="str">
        <f>data!BE82</f>
        <v> </v>
      </c>
      <c r="BF15" s="5" t="str">
        <f>data!BF82</f>
        <v> </v>
      </c>
      <c r="BG15" s="5" t="str">
        <f>data!BG82</f>
        <v/>
      </c>
      <c r="BH15" s="5" t="str">
        <f>data!BH82</f>
        <v> </v>
      </c>
      <c r="BI15" s="5" t="str">
        <f>data!BI82</f>
        <v> </v>
      </c>
      <c r="BJ15" s="5" t="str">
        <f>data!BJ82</f>
        <v> </v>
      </c>
      <c r="BK15" s="5" t="str">
        <f>data!BK82</f>
        <v> </v>
      </c>
      <c r="BL15" s="5" t="str">
        <f>data!BL82</f>
        <v> </v>
      </c>
      <c r="BM15" s="5" t="str">
        <f>data!BM82</f>
        <v> </v>
      </c>
      <c r="BN15" s="5" t="str">
        <f>data!BN82</f>
        <v> </v>
      </c>
      <c r="BO15" s="5" t="str">
        <f>data!BO82</f>
        <v> </v>
      </c>
      <c r="BP15" s="5" t="str">
        <f>data!BP82</f>
        <v> </v>
      </c>
      <c r="BQ15" s="5" t="str">
        <f>data!BQ82</f>
        <v> </v>
      </c>
      <c r="BR15" s="5" t="str">
        <f>data!BR82</f>
        <v> </v>
      </c>
      <c r="BS15" s="5" t="str">
        <f>data!BS82</f>
        <v> </v>
      </c>
      <c r="BT15" s="5" t="str">
        <f>data!BT82</f>
        <v> </v>
      </c>
      <c r="BU15" s="5" t="str">
        <f>data!BU82</f>
        <v/>
      </c>
      <c r="BV15" s="5" t="str">
        <f>data!BV82</f>
        <v> </v>
      </c>
      <c r="BW15" s="5" t="str">
        <f>data!BW82</f>
        <v> </v>
      </c>
      <c r="BX15" s="5" t="str">
        <f>data!BX82</f>
        <v> </v>
      </c>
      <c r="BY15" s="5" t="str">
        <f>data!BY82</f>
        <v> </v>
      </c>
      <c r="BZ15" s="5" t="str">
        <f>data!BZ82</f>
        <v> </v>
      </c>
      <c r="CA15" s="5" t="str">
        <f>data!CA82</f>
        <v> </v>
      </c>
      <c r="CB15" s="5" t="str">
        <f>data!CB82</f>
        <v/>
      </c>
      <c r="CC15" s="5" t="str">
        <f>data!CC82</f>
        <v> </v>
      </c>
      <c r="CD15" s="5" t="str">
        <f>data!CD82</f>
        <v> </v>
      </c>
      <c r="CE15" s="5" t="str">
        <f>data!CE82</f>
        <v> </v>
      </c>
      <c r="CF15" s="5" t="str">
        <f>data!CF82</f>
        <v> </v>
      </c>
      <c r="CG15" s="5" t="str">
        <f>data!CG82</f>
        <v> </v>
      </c>
      <c r="CH15" s="5" t="str">
        <f>data!CH82</f>
        <v> </v>
      </c>
      <c r="CI15" s="5" t="str">
        <f>data!CI82</f>
        <v>5</v>
      </c>
      <c r="CJ15" s="5" t="str">
        <f>data!CJ82</f>
        <v> </v>
      </c>
      <c r="CK15" s="5" t="str">
        <f>data!CK82</f>
        <v> </v>
      </c>
      <c r="CL15" s="5" t="str">
        <f>data!CL82</f>
        <v> </v>
      </c>
      <c r="CM15" s="5" t="str">
        <f>data!CM82</f>
        <v> </v>
      </c>
      <c r="CN15" s="5" t="str">
        <f>data!CN82</f>
        <v> </v>
      </c>
      <c r="CO15" s="5" t="str">
        <f>data!CO82</f>
        <v> </v>
      </c>
      <c r="CP15" s="5" t="str">
        <f>data!CP82</f>
        <v>5</v>
      </c>
      <c r="CQ15" s="5" t="str">
        <f>data!CQ82</f>
        <v> </v>
      </c>
      <c r="CR15" s="5" t="str">
        <f>data!CR82</f>
        <v> </v>
      </c>
      <c r="CS15" s="5" t="str">
        <f>data!CS82</f>
        <v/>
      </c>
      <c r="CT15" s="5" t="str">
        <f>data!CT82</f>
        <v> </v>
      </c>
      <c r="CU15" s="5" t="str">
        <f>data!CU82</f>
        <v> </v>
      </c>
      <c r="CV15" s="5" t="str">
        <f>data!CV82</f>
        <v> </v>
      </c>
      <c r="CW15" s="5" t="str">
        <f>data!CW82</f>
        <v> </v>
      </c>
      <c r="CX15" s="5" t="str">
        <f>data!CX82</f>
        <v> </v>
      </c>
      <c r="CY15" s="5" t="str">
        <f>data!CY82</f>
        <v> </v>
      </c>
      <c r="CZ15" s="5" t="str">
        <f>data!CZ82</f>
        <v>н</v>
      </c>
      <c r="DA15" s="5" t="str">
        <f>data!DA82</f>
        <v> </v>
      </c>
      <c r="DB15" s="5" t="str">
        <f>data!DB82</f>
        <v> </v>
      </c>
      <c r="DC15" s="5" t="str">
        <f>data!DC82</f>
        <v> </v>
      </c>
      <c r="DD15" s="5" t="str">
        <f>data!DD82</f>
        <v/>
      </c>
      <c r="DE15" s="5" t="str">
        <f>data!DE82</f>
        <v> </v>
      </c>
      <c r="DF15" s="5" t="str">
        <f>data!DF82</f>
        <v> </v>
      </c>
      <c r="DG15" s="5" t="str">
        <f>data!DG82</f>
        <v/>
      </c>
      <c r="DH15" s="5" t="str">
        <f>data!DH82</f>
        <v> </v>
      </c>
      <c r="DI15" s="5" t="str">
        <f>data!DI82</f>
        <v> </v>
      </c>
      <c r="DJ15" s="5" t="str">
        <f>data!DJ82</f>
        <v> </v>
      </c>
      <c r="DK15" s="5" t="str">
        <f>data!DK82</f>
        <v> </v>
      </c>
      <c r="DL15" s="5" t="str">
        <f>data!DL82</f>
        <v> </v>
      </c>
      <c r="DM15" s="5" t="str">
        <f>data!DM82</f>
        <v> </v>
      </c>
      <c r="DN15" s="5" t="str">
        <f>data!DN82</f>
        <v>5</v>
      </c>
      <c r="DO15" s="5" t="str">
        <f>data!DO82</f>
        <v> </v>
      </c>
      <c r="DP15" s="5" t="str">
        <f>data!DP82</f>
        <v> </v>
      </c>
      <c r="DQ15" s="5" t="str">
        <f>data!DQ82</f>
        <v> </v>
      </c>
      <c r="DR15" s="5" t="str">
        <f>data!DR82</f>
        <v> </v>
      </c>
      <c r="DS15" s="5" t="str">
        <f>data!DS82</f>
        <v> </v>
      </c>
      <c r="DT15" s="5" t="str">
        <f>data!DT82</f>
        <v> </v>
      </c>
      <c r="DU15" s="5" t="str">
        <f>data!DU82</f>
        <v> </v>
      </c>
      <c r="DV15" s="5" t="str">
        <f>data!DV82</f>
        <v> </v>
      </c>
      <c r="DW15" s="5" t="str">
        <f>data!DW82</f>
        <v> </v>
      </c>
      <c r="DX15" s="5" t="str">
        <f>data!DX82</f>
        <v> </v>
      </c>
      <c r="DY15" s="5" t="str">
        <f>data!DY82</f>
        <v> </v>
      </c>
      <c r="DZ15" s="5" t="str">
        <f>data!DZ82</f>
        <v> </v>
      </c>
      <c r="EA15" s="5" t="str">
        <f>data!EA82</f>
        <v> </v>
      </c>
      <c r="EB15" s="5" t="str">
        <f>data!EB82</f>
        <v> </v>
      </c>
      <c r="EC15" s="5" t="str">
        <f>data!EC82</f>
        <v> </v>
      </c>
      <c r="ED15" s="5" t="str">
        <f>data!ED82</f>
        <v> </v>
      </c>
      <c r="EE15" s="5" t="str">
        <f>data!EE82</f>
        <v> </v>
      </c>
      <c r="EF15" s="5" t="str">
        <f>data!EF82</f>
        <v/>
      </c>
      <c r="EG15" s="5" t="str">
        <f>data!EG82</f>
        <v> </v>
      </c>
      <c r="EH15" s="5" t="str">
        <f>data!EH82</f>
        <v> </v>
      </c>
      <c r="EI15" s="5" t="str">
        <f>data!EI82</f>
        <v> </v>
      </c>
      <c r="EJ15" s="5" t="str">
        <f>data!EJ82</f>
        <v> </v>
      </c>
      <c r="EK15" s="5" t="str">
        <f>data!EK82</f>
        <v> </v>
      </c>
      <c r="EL15" s="5" t="str">
        <f>data!EL82</f>
        <v> </v>
      </c>
      <c r="EM15" s="5" t="str">
        <f>data!EM82</f>
        <v>5</v>
      </c>
      <c r="EN15" s="5" t="str">
        <f>data!EN82</f>
        <v> </v>
      </c>
      <c r="EO15" s="5" t="str">
        <f>data!EO82</f>
        <v> </v>
      </c>
      <c r="EP15" s="5" t="str">
        <f>data!EP82</f>
        <v> </v>
      </c>
      <c r="EQ15" s="5" t="str">
        <f>data!EQ82</f>
        <v> </v>
      </c>
      <c r="ER15" s="5" t="str">
        <f>data!ER82</f>
        <v> </v>
      </c>
      <c r="ES15" s="5" t="str">
        <f>data!ES82</f>
        <v> </v>
      </c>
      <c r="ET15" s="5" t="str">
        <f>data!ET82</f>
        <v/>
      </c>
      <c r="EU15" s="5" t="str">
        <f>data!EU82</f>
        <v> </v>
      </c>
      <c r="EV15" s="5" t="str">
        <f>data!EV82</f>
        <v> </v>
      </c>
      <c r="EW15" s="5" t="str">
        <f>data!EW82</f>
        <v>н</v>
      </c>
      <c r="EX15" s="5" t="str">
        <f>data!EX82</f>
        <v> </v>
      </c>
      <c r="EY15" s="5" t="str">
        <f>data!EY82</f>
        <v> </v>
      </c>
      <c r="EZ15" s="5" t="str">
        <f>data!EZ82</f>
        <v> </v>
      </c>
      <c r="FA15" s="5" t="str">
        <f>data!FA82</f>
        <v/>
      </c>
      <c r="FB15" s="5" t="str">
        <f>data!FB82</f>
        <v> </v>
      </c>
      <c r="FC15" s="5" t="str">
        <f>data!FC82</f>
        <v> </v>
      </c>
      <c r="FD15" s="5" t="str">
        <f>data!FD82</f>
        <v>4</v>
      </c>
      <c r="FE15" s="5" t="str">
        <f>data!FE82</f>
        <v> </v>
      </c>
      <c r="FF15" s="5" t="str">
        <f>data!FF82</f>
        <v> </v>
      </c>
      <c r="FG15" s="5" t="str">
        <f>data!FG82</f>
        <v> </v>
      </c>
      <c r="FH15" s="5" t="str">
        <f>data!FH82</f>
        <v/>
      </c>
      <c r="FI15" s="5" t="str">
        <f>data!FI82</f>
        <v> </v>
      </c>
      <c r="FJ15" s="5" t="str">
        <f>data!FJ82</f>
        <v> </v>
      </c>
      <c r="FK15" s="5" t="str">
        <f>data!FK82</f>
        <v/>
      </c>
      <c r="FL15" s="5" t="str">
        <f>data!FL82</f>
        <v> </v>
      </c>
      <c r="FM15" s="5" t="str">
        <f>data!FM82</f>
        <v> </v>
      </c>
      <c r="FN15" s="5" t="str">
        <f>data!FN82</f>
        <v> </v>
      </c>
      <c r="FO15" s="5" t="str">
        <f>data!FO82</f>
        <v/>
      </c>
      <c r="FP15" s="5" t="str">
        <f>data!FP82</f>
        <v> </v>
      </c>
      <c r="FQ15" s="5" t="str">
        <f>data!FQ82</f>
        <v> </v>
      </c>
      <c r="FR15" s="5" t="str">
        <f>data!FR82</f>
        <v/>
      </c>
      <c r="FS15" s="5" t="str">
        <f>data!FS82</f>
        <v> </v>
      </c>
      <c r="FT15" s="5" t="str">
        <f>data!FT82</f>
        <v> </v>
      </c>
      <c r="FU15" s="5" t="str">
        <f>data!FU82</f>
        <v> </v>
      </c>
      <c r="FV15" s="5" t="str">
        <f>data!FV82</f>
        <v/>
      </c>
      <c r="FW15" s="5" t="str">
        <f>data!FW82</f>
        <v> </v>
      </c>
      <c r="FX15" s="5" t="str">
        <f>data!FX82</f>
        <v> </v>
      </c>
      <c r="FY15" s="5" t="str">
        <f>data!FY82</f>
        <v/>
      </c>
      <c r="FZ15" s="5" t="str">
        <f>data!FZ82</f>
        <v> </v>
      </c>
      <c r="GA15" s="5" t="str">
        <f>data!GA82</f>
        <v> </v>
      </c>
      <c r="GB15" s="5" t="str">
        <f>data!GB82</f>
        <v> </v>
      </c>
      <c r="GC15" s="5" t="str">
        <f>data!GC82</f>
        <v>4</v>
      </c>
      <c r="GD15" s="5" t="str">
        <f>data!GD82</f>
        <v> </v>
      </c>
      <c r="GE15" s="5" t="str">
        <f>data!GE82</f>
        <v> </v>
      </c>
      <c r="GF15" s="5" t="str">
        <f>data!GF82</f>
        <v/>
      </c>
      <c r="GG15" s="5" t="str">
        <f>data!GG82</f>
        <v> </v>
      </c>
      <c r="GH15" s="5" t="str">
        <f>data!GH82</f>
        <v> </v>
      </c>
      <c r="GI15" s="5" t="str">
        <f>data!GI82</f>
        <v> </v>
      </c>
      <c r="GJ15" s="5" t="str">
        <f>data!GJ82</f>
        <v/>
      </c>
      <c r="GK15" s="5" t="str">
        <f>data!GK82</f>
        <v> </v>
      </c>
      <c r="GL15" s="5" t="str">
        <f>data!GL82</f>
        <v> </v>
      </c>
      <c r="GM15" s="5" t="str">
        <f>data!GM82</f>
        <v/>
      </c>
      <c r="GN15" s="5" t="str">
        <f>data!GN82</f>
        <v> </v>
      </c>
      <c r="GO15" s="5" t="str">
        <f>data!GO82</f>
        <v> </v>
      </c>
      <c r="GP15" s="5" t="str">
        <f>data!GP82</f>
        <v> </v>
      </c>
      <c r="GQ15" s="5" t="str">
        <f>data!GQ82</f>
        <v/>
      </c>
      <c r="GR15" s="5" t="str">
        <f>data!GR82</f>
        <v> </v>
      </c>
      <c r="GS15" s="5" t="str">
        <f>data!GS82</f>
        <v> </v>
      </c>
      <c r="GT15" s="5" t="str">
        <f>data!GT82</f>
        <v> </v>
      </c>
      <c r="GU15" s="5" t="str">
        <f>data!GU82</f>
        <v> </v>
      </c>
      <c r="GV15" s="5" t="str">
        <f>data!GV82</f>
        <v> </v>
      </c>
      <c r="GW15" s="5" t="str">
        <f>data!GW82</f>
        <v> </v>
      </c>
      <c r="GX15" s="5" t="str">
        <f>data!GX82</f>
        <v> </v>
      </c>
      <c r="GY15" s="5" t="str">
        <f>data!GY82</f>
        <v> </v>
      </c>
      <c r="GZ15" s="5" t="str">
        <f>data!GZ82</f>
        <v> </v>
      </c>
      <c r="HA15" s="5" t="str">
        <f>data!HA82</f>
        <v> </v>
      </c>
      <c r="HB15" s="5" t="str">
        <f>data!HB82</f>
        <v> </v>
      </c>
      <c r="HC15" s="5" t="str">
        <f>data!HC82</f>
        <v> </v>
      </c>
      <c r="HD15" s="5" t="str">
        <f>data!HD82</f>
        <v> </v>
      </c>
      <c r="HE15" s="5" t="str">
        <f>data!HE82</f>
        <v> </v>
      </c>
      <c r="HF15" s="5" t="str">
        <f>data!HF82</f>
        <v> </v>
      </c>
      <c r="HG15" s="5" t="str">
        <f>data!HG82</f>
        <v> </v>
      </c>
      <c r="HH15" s="5" t="str">
        <f>data!HH82</f>
        <v> </v>
      </c>
      <c r="HI15" s="5" t="str">
        <f>data!HI82</f>
        <v> </v>
      </c>
      <c r="HJ15" s="5" t="str">
        <f>data!HJ82</f>
        <v> </v>
      </c>
      <c r="HK15" s="5" t="str">
        <f>data!HK82</f>
        <v> </v>
      </c>
      <c r="HL15" s="5" t="str">
        <f>data!HL82</f>
        <v> </v>
      </c>
      <c r="HM15" s="5" t="str">
        <f>data!HM82</f>
        <v> </v>
      </c>
      <c r="HN15" s="5" t="str">
        <f>data!HN82</f>
        <v> </v>
      </c>
      <c r="HO15" s="5" t="str">
        <f>data!HO82</f>
        <v> </v>
      </c>
      <c r="HP15" s="5" t="str">
        <f>data!HP82</f>
        <v> </v>
      </c>
      <c r="HQ15" s="5" t="str">
        <f>data!HQ82</f>
        <v> </v>
      </c>
      <c r="HR15" s="5" t="str">
        <f>data!HR82</f>
        <v> </v>
      </c>
      <c r="HS15" s="5" t="str">
        <f>data!HS82</f>
        <v> </v>
      </c>
      <c r="HT15" s="5" t="str">
        <f>data!HT82</f>
        <v> </v>
      </c>
      <c r="HU15" s="5" t="str">
        <f>data!HU82</f>
        <v> </v>
      </c>
      <c r="HV15" s="5" t="str">
        <f>data!HV82</f>
        <v> </v>
      </c>
      <c r="HW15" s="5" t="str">
        <f>data!HW82</f>
        <v> </v>
      </c>
      <c r="HX15" s="5" t="str">
        <f>data!HX82</f>
        <v> </v>
      </c>
      <c r="HY15" s="5" t="str">
        <f>data!HY82</f>
        <v> </v>
      </c>
      <c r="HZ15" s="5" t="str">
        <f>data!HZ82</f>
        <v> </v>
      </c>
      <c r="IA15" s="5" t="str">
        <f>data!IA82</f>
        <v> </v>
      </c>
      <c r="IB15" s="5" t="str">
        <f>data!IB82</f>
        <v> </v>
      </c>
      <c r="IC15" s="5" t="str">
        <f>data!IC82</f>
        <v> </v>
      </c>
      <c r="ID15" s="5" t="str">
        <f>data!ID82</f>
        <v> </v>
      </c>
      <c r="IE15" s="5" t="str">
        <f>data!IE82</f>
        <v> </v>
      </c>
      <c r="IF15" s="5" t="str">
        <f>data!IF82</f>
        <v> </v>
      </c>
      <c r="IG15" s="5" t="str">
        <f>data!IG82</f>
        <v> </v>
      </c>
      <c r="IH15" s="5" t="str">
        <f>data!IH82</f>
        <v> </v>
      </c>
      <c r="II15" s="5" t="str">
        <f>data!II82</f>
        <v> </v>
      </c>
      <c r="IJ15" s="5" t="str">
        <f>data!IJ82</f>
        <v> </v>
      </c>
      <c r="IK15" s="5" t="str">
        <f>data!IK82</f>
        <v> </v>
      </c>
      <c r="IL15" s="5" t="str">
        <f>data!IL82</f>
        <v> </v>
      </c>
      <c r="IM15" s="5" t="str">
        <f>data!IM82</f>
        <v> </v>
      </c>
      <c r="IN15" s="5" t="str">
        <f>data!IN82</f>
        <v> </v>
      </c>
      <c r="IO15" s="5" t="str">
        <f>data!IO82</f>
        <v> </v>
      </c>
      <c r="IP15" s="5" t="str">
        <f>data!IP82</f>
        <v> </v>
      </c>
      <c r="IQ15" s="5" t="str">
        <f>data!IQ82</f>
        <v> </v>
      </c>
      <c r="IR15" s="5" t="str">
        <f>data!IR82</f>
        <v> </v>
      </c>
      <c r="IS15" s="5" t="str">
        <f>data!IS82</f>
        <v> </v>
      </c>
      <c r="IT15" s="5" t="str">
        <f>data!IT82</f>
        <v> </v>
      </c>
      <c r="IU15" s="5" t="str">
        <f>data!IU82</f>
        <v> </v>
      </c>
      <c r="IV15" s="5" t="str">
        <f>data!IV82</f>
        <v> </v>
      </c>
      <c r="IW15" s="5" t="str">
        <f>data!IW82</f>
        <v> </v>
      </c>
      <c r="IX15" s="5" t="str">
        <f>data!IX82</f>
        <v> </v>
      </c>
      <c r="IY15" s="5" t="str">
        <f>data!IY82</f>
        <v> </v>
      </c>
      <c r="IZ15" s="5" t="str">
        <f>data!IZ82</f>
        <v> </v>
      </c>
      <c r="JA15" s="5" t="str">
        <f>data!JA82</f>
        <v> </v>
      </c>
      <c r="JB15" s="5" t="str">
        <f>data!JB82</f>
        <v> </v>
      </c>
      <c r="JC15" s="5" t="str">
        <f>data!JC82</f>
        <v> </v>
      </c>
      <c r="JD15" s="5" t="str">
        <f>data!JD82</f>
        <v> </v>
      </c>
      <c r="JE15" s="5" t="str">
        <f>data!JE82</f>
        <v> </v>
      </c>
    </row>
    <row r="16" ht="22.5" customHeight="1">
      <c r="A16" s="4" t="str">
        <f>data!A83</f>
        <v>Музыка</v>
      </c>
      <c r="B16" s="5" t="str">
        <f>data!B83</f>
        <v/>
      </c>
      <c r="C16" s="5" t="str">
        <f>data!C83</f>
        <v> </v>
      </c>
      <c r="D16" s="5" t="str">
        <f>data!D83</f>
        <v> </v>
      </c>
      <c r="E16" s="5" t="str">
        <f>data!E83</f>
        <v> </v>
      </c>
      <c r="F16" s="5" t="str">
        <f>data!F83</f>
        <v> </v>
      </c>
      <c r="G16" s="5" t="str">
        <f>data!G83</f>
        <v> </v>
      </c>
      <c r="H16" s="5" t="str">
        <f>data!H83</f>
        <v>5</v>
      </c>
      <c r="I16" s="5" t="str">
        <f>data!I83</f>
        <v> </v>
      </c>
      <c r="J16" s="5" t="str">
        <f>data!J83</f>
        <v> </v>
      </c>
      <c r="K16" s="5" t="str">
        <f>data!K83</f>
        <v> </v>
      </c>
      <c r="L16" s="5" t="str">
        <f>data!L83</f>
        <v> </v>
      </c>
      <c r="M16" s="5" t="str">
        <f>data!M83</f>
        <v> </v>
      </c>
      <c r="N16" s="5" t="str">
        <f>data!N83</f>
        <v> </v>
      </c>
      <c r="O16" s="5" t="str">
        <f>data!O83</f>
        <v/>
      </c>
      <c r="P16" s="5" t="str">
        <f>data!P83</f>
        <v> </v>
      </c>
      <c r="Q16" s="5" t="str">
        <f>data!Q83</f>
        <v> </v>
      </c>
      <c r="R16" s="5" t="str">
        <f>data!R83</f>
        <v> </v>
      </c>
      <c r="S16" s="5" t="str">
        <f>data!S83</f>
        <v> </v>
      </c>
      <c r="T16" s="5" t="str">
        <f>data!T83</f>
        <v> </v>
      </c>
      <c r="U16" s="5" t="str">
        <f>data!U83</f>
        <v> </v>
      </c>
      <c r="V16" s="5" t="str">
        <f>data!V83</f>
        <v/>
      </c>
      <c r="W16" s="5" t="str">
        <f>data!W83</f>
        <v> </v>
      </c>
      <c r="X16" s="5" t="str">
        <f>data!X83</f>
        <v> </v>
      </c>
      <c r="Y16" s="5" t="str">
        <f>data!Y83</f>
        <v> </v>
      </c>
      <c r="Z16" s="5" t="str">
        <f>data!Z83</f>
        <v> </v>
      </c>
      <c r="AA16" s="5" t="str">
        <f>data!AA83</f>
        <v> </v>
      </c>
      <c r="AB16" s="5" t="str">
        <f>data!AB83</f>
        <v> </v>
      </c>
      <c r="AC16" s="5" t="str">
        <f>data!AC83</f>
        <v/>
      </c>
      <c r="AD16" s="5" t="str">
        <f>data!AD83</f>
        <v> </v>
      </c>
      <c r="AE16" s="5" t="str">
        <f>data!AE83</f>
        <v> </v>
      </c>
      <c r="AF16" s="5" t="str">
        <f>data!AF83</f>
        <v> </v>
      </c>
      <c r="AG16" s="5" t="str">
        <f>data!AG83</f>
        <v> </v>
      </c>
      <c r="AH16" s="5" t="str">
        <f>data!AH83</f>
        <v> </v>
      </c>
      <c r="AI16" s="5" t="str">
        <f>data!AI83</f>
        <v> </v>
      </c>
      <c r="AJ16" s="5" t="str">
        <f>data!AJ83</f>
        <v/>
      </c>
      <c r="AK16" s="5" t="str">
        <f>data!AK83</f>
        <v> </v>
      </c>
      <c r="AL16" s="5" t="str">
        <f>data!AL83</f>
        <v> </v>
      </c>
      <c r="AM16" s="5" t="str">
        <f>data!AM83</f>
        <v> </v>
      </c>
      <c r="AN16" s="5" t="str">
        <f>data!AN83</f>
        <v> </v>
      </c>
      <c r="AO16" s="5" t="str">
        <f>data!AO83</f>
        <v> </v>
      </c>
      <c r="AP16" s="5" t="str">
        <f>data!AP83</f>
        <v> </v>
      </c>
      <c r="AQ16" s="5" t="str">
        <f>data!AQ83</f>
        <v/>
      </c>
      <c r="AR16" s="5" t="str">
        <f>data!AR83</f>
        <v> </v>
      </c>
      <c r="AS16" s="5" t="str">
        <f>data!AS83</f>
        <v> </v>
      </c>
      <c r="AT16" s="5" t="str">
        <f>data!AT83</f>
        <v> </v>
      </c>
      <c r="AU16" s="5" t="str">
        <f>data!AU83</f>
        <v> </v>
      </c>
      <c r="AV16" s="5" t="str">
        <f>data!AV83</f>
        <v> </v>
      </c>
      <c r="AW16" s="5" t="str">
        <f>data!AW83</f>
        <v> </v>
      </c>
      <c r="AX16" s="5" t="str">
        <f>data!AX83</f>
        <v/>
      </c>
      <c r="AY16" s="5" t="str">
        <f>data!AY83</f>
        <v> </v>
      </c>
      <c r="AZ16" s="5" t="str">
        <f>data!AZ83</f>
        <v> </v>
      </c>
      <c r="BA16" s="5" t="str">
        <f>data!BA83</f>
        <v> </v>
      </c>
      <c r="BB16" s="5" t="str">
        <f>data!BB83</f>
        <v> </v>
      </c>
      <c r="BC16" s="5" t="str">
        <f>data!BC83</f>
        <v> </v>
      </c>
      <c r="BD16" s="5" t="str">
        <f>data!BD83</f>
        <v> </v>
      </c>
      <c r="BE16" s="5" t="str">
        <f>data!BE83</f>
        <v/>
      </c>
      <c r="BF16" s="5" t="str">
        <f>data!BF83</f>
        <v> </v>
      </c>
      <c r="BG16" s="5" t="str">
        <f>data!BG83</f>
        <v> </v>
      </c>
      <c r="BH16" s="5" t="str">
        <f>data!BH83</f>
        <v> </v>
      </c>
      <c r="BI16" s="5" t="str">
        <f>data!BI83</f>
        <v> </v>
      </c>
      <c r="BJ16" s="5" t="str">
        <f>data!BJ83</f>
        <v> </v>
      </c>
      <c r="BK16" s="5" t="str">
        <f>data!BK83</f>
        <v> </v>
      </c>
      <c r="BL16" s="5" t="str">
        <f>data!BL83</f>
        <v> </v>
      </c>
      <c r="BM16" s="5" t="str">
        <f>data!BM83</f>
        <v> </v>
      </c>
      <c r="BN16" s="5" t="str">
        <f>data!BN83</f>
        <v> </v>
      </c>
      <c r="BO16" s="5" t="str">
        <f>data!BO83</f>
        <v> </v>
      </c>
      <c r="BP16" s="5" t="str">
        <f>data!BP83</f>
        <v> </v>
      </c>
      <c r="BQ16" s="5" t="str">
        <f>data!BQ83</f>
        <v> </v>
      </c>
      <c r="BR16" s="5" t="str">
        <f>data!BR83</f>
        <v> </v>
      </c>
      <c r="BS16" s="5" t="str">
        <f>data!BS83</f>
        <v>5</v>
      </c>
      <c r="BT16" s="5" t="str">
        <f>data!BT83</f>
        <v> </v>
      </c>
      <c r="BU16" s="5" t="str">
        <f>data!BU83</f>
        <v> </v>
      </c>
      <c r="BV16" s="5" t="str">
        <f>data!BV83</f>
        <v> </v>
      </c>
      <c r="BW16" s="5" t="str">
        <f>data!BW83</f>
        <v> </v>
      </c>
      <c r="BX16" s="5" t="str">
        <f>data!BX83</f>
        <v> </v>
      </c>
      <c r="BY16" s="5" t="str">
        <f>data!BY83</f>
        <v> </v>
      </c>
      <c r="BZ16" s="5" t="str">
        <f>data!BZ83</f>
        <v/>
      </c>
      <c r="CA16" s="5" t="str">
        <f>data!CA83</f>
        <v> </v>
      </c>
      <c r="CB16" s="5" t="str">
        <f>data!CB83</f>
        <v> </v>
      </c>
      <c r="CC16" s="5" t="str">
        <f>data!CC83</f>
        <v> </v>
      </c>
      <c r="CD16" s="5" t="str">
        <f>data!CD83</f>
        <v> </v>
      </c>
      <c r="CE16" s="5" t="str">
        <f>data!CE83</f>
        <v> </v>
      </c>
      <c r="CF16" s="5" t="str">
        <f>data!CF83</f>
        <v> </v>
      </c>
      <c r="CG16" s="5" t="str">
        <f>data!CG83</f>
        <v/>
      </c>
      <c r="CH16" s="5" t="str">
        <f>data!CH83</f>
        <v> </v>
      </c>
      <c r="CI16" s="5" t="str">
        <f>data!CI83</f>
        <v> </v>
      </c>
      <c r="CJ16" s="5" t="str">
        <f>data!CJ83</f>
        <v> </v>
      </c>
      <c r="CK16" s="5" t="str">
        <f>data!CK83</f>
        <v> </v>
      </c>
      <c r="CL16" s="5" t="str">
        <f>data!CL83</f>
        <v> </v>
      </c>
      <c r="CM16" s="5" t="str">
        <f>data!CM83</f>
        <v> </v>
      </c>
      <c r="CN16" s="5" t="str">
        <f>data!CN83</f>
        <v/>
      </c>
      <c r="CO16" s="5" t="str">
        <f>data!CO83</f>
        <v> </v>
      </c>
      <c r="CP16" s="5" t="str">
        <f>data!CP83</f>
        <v> </v>
      </c>
      <c r="CQ16" s="5" t="str">
        <f>data!CQ83</f>
        <v> </v>
      </c>
      <c r="CR16" s="5" t="str">
        <f>data!CR83</f>
        <v> </v>
      </c>
      <c r="CS16" s="5" t="str">
        <f>data!CS83</f>
        <v> </v>
      </c>
      <c r="CT16" s="5" t="str">
        <f>data!CT83</f>
        <v> </v>
      </c>
      <c r="CU16" s="5" t="str">
        <f>data!CU83</f>
        <v> </v>
      </c>
      <c r="CV16" s="5" t="str">
        <f>data!CV83</f>
        <v/>
      </c>
      <c r="CW16" s="5" t="str">
        <f>data!CW83</f>
        <v> </v>
      </c>
      <c r="CX16" s="5" t="str">
        <f>data!CX83</f>
        <v> </v>
      </c>
      <c r="CY16" s="5" t="str">
        <f>data!CY83</f>
        <v> </v>
      </c>
      <c r="CZ16" s="5" t="str">
        <f>data!CZ83</f>
        <v> </v>
      </c>
      <c r="DA16" s="5" t="str">
        <f>data!DA83</f>
        <v> </v>
      </c>
      <c r="DB16" s="5" t="str">
        <f>data!DB83</f>
        <v/>
      </c>
      <c r="DC16" s="5" t="str">
        <f>data!DC83</f>
        <v> </v>
      </c>
      <c r="DD16" s="5" t="str">
        <f>data!DD83</f>
        <v> </v>
      </c>
      <c r="DE16" s="5" t="str">
        <f>data!DE83</f>
        <v> </v>
      </c>
      <c r="DF16" s="5" t="str">
        <f>data!DF83</f>
        <v> </v>
      </c>
      <c r="DG16" s="5" t="str">
        <f>data!DG83</f>
        <v> </v>
      </c>
      <c r="DH16" s="5" t="str">
        <f>data!DH83</f>
        <v> </v>
      </c>
      <c r="DI16" s="5" t="str">
        <f>data!DI83</f>
        <v/>
      </c>
      <c r="DJ16" s="5" t="str">
        <f>data!DJ83</f>
        <v> </v>
      </c>
      <c r="DK16" s="5" t="str">
        <f>data!DK83</f>
        <v> </v>
      </c>
      <c r="DL16" s="5" t="str">
        <f>data!DL83</f>
        <v> </v>
      </c>
      <c r="DM16" s="5" t="str">
        <f>data!DM83</f>
        <v> </v>
      </c>
      <c r="DN16" s="5" t="str">
        <f>data!DN83</f>
        <v> </v>
      </c>
      <c r="DO16" s="5" t="str">
        <f>data!DO83</f>
        <v> </v>
      </c>
      <c r="DP16" s="5" t="str">
        <f>data!DP83</f>
        <v> </v>
      </c>
      <c r="DQ16" s="5" t="str">
        <f>data!DQ83</f>
        <v> </v>
      </c>
      <c r="DR16" s="5" t="str">
        <f>data!DR83</f>
        <v> </v>
      </c>
      <c r="DS16" s="5" t="str">
        <f>data!DS83</f>
        <v> </v>
      </c>
      <c r="DT16" s="5" t="str">
        <f>data!DT83</f>
        <v> </v>
      </c>
      <c r="DU16" s="5" t="str">
        <f>data!DU83</f>
        <v> </v>
      </c>
      <c r="DV16" s="5" t="str">
        <f>data!DV83</f>
        <v> </v>
      </c>
      <c r="DW16" s="5" t="str">
        <f>data!DW83</f>
        <v> </v>
      </c>
      <c r="DX16" s="5" t="str">
        <f>data!DX83</f>
        <v> </v>
      </c>
      <c r="DY16" s="5" t="str">
        <f>data!DY83</f>
        <v> </v>
      </c>
      <c r="DZ16" s="5" t="str">
        <f>data!DZ83</f>
        <v> </v>
      </c>
      <c r="EA16" s="5" t="str">
        <f>data!EA83</f>
        <v> </v>
      </c>
      <c r="EB16" s="5" t="str">
        <f>data!EB83</f>
        <v> </v>
      </c>
      <c r="EC16" s="5" t="str">
        <f>data!EC83</f>
        <v> </v>
      </c>
      <c r="ED16" s="5" t="str">
        <f>data!ED83</f>
        <v/>
      </c>
      <c r="EE16" s="5" t="str">
        <f>data!EE83</f>
        <v> </v>
      </c>
      <c r="EF16" s="5" t="str">
        <f>data!EF83</f>
        <v> </v>
      </c>
      <c r="EG16" s="5" t="str">
        <f>data!EG83</f>
        <v> </v>
      </c>
      <c r="EH16" s="5" t="str">
        <f>data!EH83</f>
        <v> </v>
      </c>
      <c r="EI16" s="5" t="str">
        <f>data!EI83</f>
        <v> </v>
      </c>
      <c r="EJ16" s="5" t="str">
        <f>data!EJ83</f>
        <v> </v>
      </c>
      <c r="EK16" s="5" t="str">
        <f>data!EK83</f>
        <v/>
      </c>
      <c r="EL16" s="5" t="str">
        <f>data!EL83</f>
        <v> </v>
      </c>
      <c r="EM16" s="5" t="str">
        <f>data!EM83</f>
        <v> </v>
      </c>
      <c r="EN16" s="5" t="str">
        <f>data!EN83</f>
        <v> </v>
      </c>
      <c r="EO16" s="5" t="str">
        <f>data!EO83</f>
        <v> </v>
      </c>
      <c r="EP16" s="5" t="str">
        <f>data!EP83</f>
        <v> </v>
      </c>
      <c r="EQ16" s="5" t="str">
        <f>data!EQ83</f>
        <v> </v>
      </c>
      <c r="ER16" s="5" t="str">
        <f>data!ER83</f>
        <v/>
      </c>
      <c r="ES16" s="5" t="str">
        <f>data!ES83</f>
        <v> </v>
      </c>
      <c r="ET16" s="5" t="str">
        <f>data!ET83</f>
        <v> </v>
      </c>
      <c r="EU16" s="5" t="str">
        <f>data!EU83</f>
        <v> </v>
      </c>
      <c r="EV16" s="5" t="str">
        <f>data!EV83</f>
        <v> </v>
      </c>
      <c r="EW16" s="5" t="str">
        <f>data!EW83</f>
        <v> </v>
      </c>
      <c r="EX16" s="5" t="str">
        <f>data!EX83</f>
        <v> </v>
      </c>
      <c r="EY16" s="5" t="str">
        <f>data!EY83</f>
        <v>5</v>
      </c>
      <c r="EZ16" s="5" t="str">
        <f>data!EZ83</f>
        <v> </v>
      </c>
      <c r="FA16" s="5" t="str">
        <f>data!FA83</f>
        <v> </v>
      </c>
      <c r="FB16" s="5" t="str">
        <f>data!FB83</f>
        <v> </v>
      </c>
      <c r="FC16" s="5" t="str">
        <f>data!FC83</f>
        <v> </v>
      </c>
      <c r="FD16" s="5" t="str">
        <f>data!FD83</f>
        <v> </v>
      </c>
      <c r="FE16" s="5" t="str">
        <f>data!FE83</f>
        <v> </v>
      </c>
      <c r="FF16" s="5" t="str">
        <f>data!FF83</f>
        <v/>
      </c>
      <c r="FG16" s="5" t="str">
        <f>data!FG83</f>
        <v> </v>
      </c>
      <c r="FH16" s="5" t="str">
        <f>data!FH83</f>
        <v> </v>
      </c>
      <c r="FI16" s="5" t="str">
        <f>data!FI83</f>
        <v> </v>
      </c>
      <c r="FJ16" s="5" t="str">
        <f>data!FJ83</f>
        <v> </v>
      </c>
      <c r="FK16" s="5" t="str">
        <f>data!FK83</f>
        <v> </v>
      </c>
      <c r="FL16" s="5" t="str">
        <f>data!FL83</f>
        <v> </v>
      </c>
      <c r="FM16" s="5" t="str">
        <f>data!FM83</f>
        <v/>
      </c>
      <c r="FN16" s="5" t="str">
        <f>data!FN83</f>
        <v> </v>
      </c>
      <c r="FO16" s="5" t="str">
        <f>data!FO83</f>
        <v> </v>
      </c>
      <c r="FP16" s="5" t="str">
        <f>data!FP83</f>
        <v> </v>
      </c>
      <c r="FQ16" s="5" t="str">
        <f>data!FQ83</f>
        <v> </v>
      </c>
      <c r="FR16" s="5" t="str">
        <f>data!FR83</f>
        <v> </v>
      </c>
      <c r="FS16" s="5" t="str">
        <f>data!FS83</f>
        <v> </v>
      </c>
      <c r="FT16" s="5" t="str">
        <f>data!FT83</f>
        <v/>
      </c>
      <c r="FU16" s="5" t="str">
        <f>data!FU83</f>
        <v> </v>
      </c>
      <c r="FV16" s="5" t="str">
        <f>data!FV83</f>
        <v> </v>
      </c>
      <c r="FW16" s="5" t="str">
        <f>data!FW83</f>
        <v> </v>
      </c>
      <c r="FX16" s="5" t="str">
        <f>data!FX83</f>
        <v> </v>
      </c>
      <c r="FY16" s="5" t="str">
        <f>data!FY83</f>
        <v> </v>
      </c>
      <c r="FZ16" s="5" t="str">
        <f>data!FZ83</f>
        <v> </v>
      </c>
      <c r="GA16" s="5" t="str">
        <f>data!GA83</f>
        <v/>
      </c>
      <c r="GB16" s="5" t="str">
        <f>data!GB83</f>
        <v> </v>
      </c>
      <c r="GC16" s="5" t="str">
        <f>data!GC83</f>
        <v> </v>
      </c>
      <c r="GD16" s="5" t="str">
        <f>data!GD83</f>
        <v> </v>
      </c>
      <c r="GE16" s="5" t="str">
        <f>data!GE83</f>
        <v> </v>
      </c>
      <c r="GF16" s="5" t="str">
        <f>data!GF83</f>
        <v> </v>
      </c>
      <c r="GG16" s="5" t="str">
        <f>data!GG83</f>
        <v> </v>
      </c>
      <c r="GH16" s="5" t="str">
        <f>data!GH83</f>
        <v/>
      </c>
      <c r="GI16" s="5" t="str">
        <f>data!GI83</f>
        <v> </v>
      </c>
      <c r="GJ16" s="5" t="str">
        <f>data!GJ83</f>
        <v> </v>
      </c>
      <c r="GK16" s="5" t="str">
        <f>data!GK83</f>
        <v> </v>
      </c>
      <c r="GL16" s="5" t="str">
        <f>data!GL83</f>
        <v> </v>
      </c>
      <c r="GM16" s="5" t="str">
        <f>data!GM83</f>
        <v> </v>
      </c>
      <c r="GN16" s="5" t="str">
        <f>data!GN83</f>
        <v> </v>
      </c>
      <c r="GO16" s="5" t="str">
        <f>data!GO83</f>
        <v/>
      </c>
      <c r="GP16" s="5" t="str">
        <f>data!GP83</f>
        <v> </v>
      </c>
      <c r="GQ16" s="5" t="str">
        <f>data!GQ83</f>
        <v> </v>
      </c>
      <c r="GR16" s="5" t="str">
        <f>data!GR83</f>
        <v> </v>
      </c>
      <c r="GS16" s="5" t="str">
        <f>data!GS83</f>
        <v> </v>
      </c>
      <c r="GT16" s="5" t="str">
        <f>data!GT83</f>
        <v> </v>
      </c>
      <c r="GU16" s="5" t="str">
        <f>data!GU83</f>
        <v> </v>
      </c>
      <c r="GV16" s="5" t="str">
        <f>data!GV83</f>
        <v> </v>
      </c>
      <c r="GW16" s="5" t="str">
        <f>data!GW83</f>
        <v> </v>
      </c>
      <c r="GX16" s="5" t="str">
        <f>data!GX83</f>
        <v> </v>
      </c>
      <c r="GY16" s="5" t="str">
        <f>data!GY83</f>
        <v> </v>
      </c>
      <c r="GZ16" s="5" t="str">
        <f>data!GZ83</f>
        <v> </v>
      </c>
      <c r="HA16" s="5" t="str">
        <f>data!HA83</f>
        <v> </v>
      </c>
      <c r="HB16" s="5" t="str">
        <f>data!HB83</f>
        <v> </v>
      </c>
      <c r="HC16" s="5" t="str">
        <f>data!HC83</f>
        <v>5</v>
      </c>
      <c r="HD16" s="5" t="str">
        <f>data!HD83</f>
        <v> </v>
      </c>
      <c r="HE16" s="5" t="str">
        <f>data!HE83</f>
        <v> </v>
      </c>
      <c r="HF16" s="5" t="str">
        <f>data!HF83</f>
        <v> </v>
      </c>
      <c r="HG16" s="5" t="str">
        <f>data!HG83</f>
        <v> </v>
      </c>
      <c r="HH16" s="5" t="str">
        <f>data!HH83</f>
        <v> </v>
      </c>
      <c r="HI16" s="5" t="str">
        <f>data!HI83</f>
        <v> </v>
      </c>
      <c r="HJ16" s="5" t="str">
        <f>data!HJ83</f>
        <v/>
      </c>
      <c r="HK16" s="5" t="str">
        <f>data!HK83</f>
        <v> </v>
      </c>
      <c r="HL16" s="5" t="str">
        <f>data!HL83</f>
        <v> </v>
      </c>
      <c r="HM16" s="5" t="str">
        <f>data!HM83</f>
        <v> </v>
      </c>
      <c r="HN16" s="5" t="str">
        <f>data!HN83</f>
        <v> </v>
      </c>
      <c r="HO16" s="5" t="str">
        <f>data!HO83</f>
        <v> </v>
      </c>
      <c r="HP16" s="5" t="str">
        <f>data!HP83</f>
        <v> </v>
      </c>
      <c r="HQ16" s="5" t="str">
        <f>data!HQ83</f>
        <v/>
      </c>
      <c r="HR16" s="5" t="str">
        <f>data!HR83</f>
        <v> </v>
      </c>
      <c r="HS16" s="5" t="str">
        <f>data!HS83</f>
        <v> </v>
      </c>
      <c r="HT16" s="5" t="str">
        <f>data!HT83</f>
        <v> </v>
      </c>
      <c r="HU16" s="5" t="str">
        <f>data!HU83</f>
        <v> </v>
      </c>
      <c r="HV16" s="5" t="str">
        <f>data!HV83</f>
        <v> </v>
      </c>
      <c r="HW16" s="5" t="str">
        <f>data!HW83</f>
        <v> </v>
      </c>
      <c r="HX16" s="5" t="str">
        <f>data!HX83</f>
        <v/>
      </c>
      <c r="HY16" s="5" t="str">
        <f>data!HY83</f>
        <v> </v>
      </c>
      <c r="HZ16" s="5" t="str">
        <f>data!HZ83</f>
        <v> </v>
      </c>
      <c r="IA16" s="5" t="str">
        <f>data!IA83</f>
        <v> </v>
      </c>
      <c r="IB16" s="5" t="str">
        <f>data!IB83</f>
        <v> </v>
      </c>
      <c r="IC16" s="5" t="str">
        <f>data!IC83</f>
        <v> </v>
      </c>
      <c r="ID16" s="5" t="str">
        <f>data!ID83</f>
        <v> </v>
      </c>
      <c r="IE16" s="5" t="str">
        <f>data!IE83</f>
        <v/>
      </c>
      <c r="IF16" s="5" t="str">
        <f>data!IF83</f>
        <v> </v>
      </c>
      <c r="IG16" s="5" t="str">
        <f>data!IG83</f>
        <v> </v>
      </c>
      <c r="IH16" s="5" t="str">
        <f>data!IH83</f>
        <v> </v>
      </c>
      <c r="II16" s="5" t="str">
        <f>data!II83</f>
        <v> </v>
      </c>
      <c r="IJ16" s="5" t="str">
        <f>data!IJ83</f>
        <v> </v>
      </c>
      <c r="IK16" s="5" t="str">
        <f>data!IK83</f>
        <v> </v>
      </c>
      <c r="IL16" s="5" t="str">
        <f>data!IL83</f>
        <v/>
      </c>
      <c r="IM16" s="5" t="str">
        <f>data!IM83</f>
        <v> </v>
      </c>
      <c r="IN16" s="5" t="str">
        <f>data!IN83</f>
        <v> </v>
      </c>
      <c r="IO16" s="5" t="str">
        <f>data!IO83</f>
        <v> </v>
      </c>
      <c r="IP16" s="5" t="str">
        <f>data!IP83</f>
        <v> </v>
      </c>
      <c r="IQ16" s="5" t="str">
        <f>data!IQ83</f>
        <v> </v>
      </c>
      <c r="IR16" s="5" t="str">
        <f>data!IR83</f>
        <v> </v>
      </c>
      <c r="IS16" s="5" t="str">
        <f>data!IS83</f>
        <v/>
      </c>
      <c r="IT16" s="5" t="str">
        <f>data!IT83</f>
        <v> </v>
      </c>
      <c r="IU16" s="5" t="str">
        <f>data!IU83</f>
        <v> </v>
      </c>
      <c r="IV16" s="5" t="str">
        <f>data!IV83</f>
        <v> </v>
      </c>
      <c r="IW16" s="5" t="str">
        <f>data!IW83</f>
        <v> </v>
      </c>
      <c r="IX16" s="5" t="str">
        <f>data!IX83</f>
        <v> </v>
      </c>
      <c r="IY16" s="5" t="str">
        <f>data!IY83</f>
        <v> </v>
      </c>
      <c r="IZ16" s="5" t="str">
        <f>data!IZ83</f>
        <v/>
      </c>
      <c r="JA16" s="5" t="str">
        <f>data!JA83</f>
        <v> </v>
      </c>
      <c r="JB16" s="5" t="str">
        <f>data!JB83</f>
        <v> </v>
      </c>
      <c r="JC16" s="5" t="str">
        <f>data!JC83</f>
        <v> </v>
      </c>
      <c r="JD16" s="5" t="str">
        <f>data!JD83</f>
        <v> </v>
      </c>
      <c r="JE16" s="5" t="str">
        <f>data!JE83</f>
        <v> </v>
      </c>
    </row>
    <row r="17" ht="22.5" customHeight="1">
      <c r="A17" s="4" t="str">
        <f>data!A84</f>
        <v>Физика</v>
      </c>
      <c r="B17" s="5" t="str">
        <f>data!B84</f>
        <v> </v>
      </c>
      <c r="C17" s="5" t="str">
        <f>data!C84</f>
        <v> </v>
      </c>
      <c r="D17" s="5" t="str">
        <f>data!D84</f>
        <v> </v>
      </c>
      <c r="E17" s="5" t="str">
        <f>data!E84</f>
        <v/>
      </c>
      <c r="F17" s="5" t="str">
        <f>data!F84</f>
        <v/>
      </c>
      <c r="G17" s="5" t="str">
        <f>data!G84</f>
        <v> </v>
      </c>
      <c r="H17" s="5" t="str">
        <f>data!H84</f>
        <v> </v>
      </c>
      <c r="I17" s="5" t="str">
        <f>data!I84</f>
        <v> </v>
      </c>
      <c r="J17" s="5" t="str">
        <f>data!J84</f>
        <v> </v>
      </c>
      <c r="K17" s="5" t="str">
        <f>data!K84</f>
        <v> </v>
      </c>
      <c r="L17" s="5" t="str">
        <f>data!L84</f>
        <v/>
      </c>
      <c r="M17" s="5" t="str">
        <f>data!M84</f>
        <v>5</v>
      </c>
      <c r="N17" s="5" t="str">
        <f>data!N84</f>
        <v> </v>
      </c>
      <c r="O17" s="5" t="str">
        <f>data!O84</f>
        <v> </v>
      </c>
      <c r="P17" s="5" t="str">
        <f>data!P84</f>
        <v> </v>
      </c>
      <c r="Q17" s="5" t="str">
        <f>data!Q84</f>
        <v/>
      </c>
      <c r="R17" s="5" t="str">
        <f>data!R84</f>
        <v> </v>
      </c>
      <c r="S17" s="5" t="str">
        <f>data!S84</f>
        <v> </v>
      </c>
      <c r="T17" s="5" t="str">
        <f>data!T84</f>
        <v/>
      </c>
      <c r="U17" s="5" t="str">
        <f>data!U84</f>
        <v> </v>
      </c>
      <c r="V17" s="5" t="str">
        <f>data!V84</f>
        <v> </v>
      </c>
      <c r="W17" s="5" t="str">
        <f>data!W84</f>
        <v> </v>
      </c>
      <c r="X17" s="5" t="str">
        <f>data!X84</f>
        <v>4</v>
      </c>
      <c r="Y17" s="5" t="str">
        <f>data!Y84</f>
        <v> </v>
      </c>
      <c r="Z17" s="5" t="str">
        <f>data!Z84</f>
        <v> </v>
      </c>
      <c r="AA17" s="5" t="str">
        <f>data!AA84</f>
        <v>3</v>
      </c>
      <c r="AB17" s="5" t="str">
        <f>data!AB84</f>
        <v> </v>
      </c>
      <c r="AC17" s="5" t="str">
        <f>data!AC84</f>
        <v> </v>
      </c>
      <c r="AD17" s="5" t="str">
        <f>data!AD84</f>
        <v> </v>
      </c>
      <c r="AE17" s="5" t="str">
        <f>data!AE84</f>
        <v> </v>
      </c>
      <c r="AF17" s="5" t="str">
        <f>data!AF84</f>
        <v> </v>
      </c>
      <c r="AG17" s="5" t="str">
        <f>data!AG84</f>
        <v> </v>
      </c>
      <c r="AH17" s="5" t="str">
        <f>data!AH84</f>
        <v>н</v>
      </c>
      <c r="AI17" s="5" t="str">
        <f>data!AI84</f>
        <v> </v>
      </c>
      <c r="AJ17" s="5" t="str">
        <f>data!AJ84</f>
        <v> </v>
      </c>
      <c r="AK17" s="5" t="str">
        <f>data!AK84</f>
        <v> </v>
      </c>
      <c r="AL17" s="5" t="str">
        <f>data!AL84</f>
        <v/>
      </c>
      <c r="AM17" s="5" t="str">
        <f>data!AM84</f>
        <v> </v>
      </c>
      <c r="AN17" s="5" t="str">
        <f>data!AN84</f>
        <v> </v>
      </c>
      <c r="AO17" s="5" t="str">
        <f>data!AO84</f>
        <v>3</v>
      </c>
      <c r="AP17" s="5" t="str">
        <f>data!AP84</f>
        <v> </v>
      </c>
      <c r="AQ17" s="5" t="str">
        <f>data!AQ84</f>
        <v> </v>
      </c>
      <c r="AR17" s="5" t="str">
        <f>data!AR84</f>
        <v> </v>
      </c>
      <c r="AS17" s="5" t="str">
        <f>data!AS84</f>
        <v/>
      </c>
      <c r="AT17" s="5" t="str">
        <f>data!AT84</f>
        <v> </v>
      </c>
      <c r="AU17" s="5" t="str">
        <f>data!AU84</f>
        <v>4</v>
      </c>
      <c r="AV17" s="5" t="str">
        <f>data!AV84</f>
        <v/>
      </c>
      <c r="AW17" s="5" t="str">
        <f>data!AW84</f>
        <v> </v>
      </c>
      <c r="AX17" s="5" t="str">
        <f>data!AX84</f>
        <v> </v>
      </c>
      <c r="AY17" s="5" t="str">
        <f>data!AY84</f>
        <v> </v>
      </c>
      <c r="AZ17" s="5" t="str">
        <f>data!AZ84</f>
        <v/>
      </c>
      <c r="BA17" s="5" t="str">
        <f>data!BA84</f>
        <v> </v>
      </c>
      <c r="BB17" s="5" t="str">
        <f>data!BB84</f>
        <v> </v>
      </c>
      <c r="BC17" s="5" t="str">
        <f>data!BC84</f>
        <v> </v>
      </c>
      <c r="BD17" s="5" t="str">
        <f>data!BD84</f>
        <v> </v>
      </c>
      <c r="BE17" s="5" t="str">
        <f>data!BE84</f>
        <v> </v>
      </c>
      <c r="BF17" s="5" t="str">
        <f>data!BF84</f>
        <v> </v>
      </c>
      <c r="BG17" s="5" t="str">
        <f>data!BG84</f>
        <v>5</v>
      </c>
      <c r="BH17" s="5" t="str">
        <f>data!BH84</f>
        <v> </v>
      </c>
      <c r="BI17" s="5" t="str">
        <f>data!BI84</f>
        <v> </v>
      </c>
      <c r="BJ17" s="5" t="str">
        <f>data!BJ84</f>
        <v/>
      </c>
      <c r="BK17" s="5" t="str">
        <f>data!BK84</f>
        <v> </v>
      </c>
      <c r="BL17" s="5" t="str">
        <f>data!BL84</f>
        <v> </v>
      </c>
      <c r="BM17" s="5" t="str">
        <f>data!BM84</f>
        <v> </v>
      </c>
      <c r="BN17" s="5" t="str">
        <f>data!BN84</f>
        <v> </v>
      </c>
      <c r="BO17" s="5" t="str">
        <f>data!BO84</f>
        <v> </v>
      </c>
      <c r="BP17" s="5" t="str">
        <f>data!BP84</f>
        <v> </v>
      </c>
      <c r="BQ17" s="5" t="str">
        <f>data!BQ84</f>
        <v> </v>
      </c>
      <c r="BR17" s="5" t="str">
        <f>data!BR84</f>
        <v> </v>
      </c>
      <c r="BS17" s="5" t="str">
        <f>data!BS84</f>
        <v> </v>
      </c>
      <c r="BT17" s="5" t="str">
        <f>data!BT84</f>
        <v> </v>
      </c>
      <c r="BU17" s="5" t="str">
        <f>data!BU84</f>
        <v/>
      </c>
      <c r="BV17" s="5" t="str">
        <f>data!BV84</f>
        <v> </v>
      </c>
      <c r="BW17" s="5" t="str">
        <f>data!BW84</f>
        <v> </v>
      </c>
      <c r="BX17" s="5" t="str">
        <f>data!BX84</f>
        <v/>
      </c>
      <c r="BY17" s="5" t="str">
        <f>data!BY84</f>
        <v> </v>
      </c>
      <c r="BZ17" s="5" t="str">
        <f>data!BZ84</f>
        <v> </v>
      </c>
      <c r="CA17" s="5" t="str">
        <f>data!CA84</f>
        <v> </v>
      </c>
      <c r="CB17" s="5" t="str">
        <f>data!CB84</f>
        <v>н</v>
      </c>
      <c r="CC17" s="5" t="str">
        <f>data!CC84</f>
        <v> </v>
      </c>
      <c r="CD17" s="5" t="str">
        <f>data!CD84</f>
        <v> </v>
      </c>
      <c r="CE17" s="5" t="str">
        <f>data!CE84</f>
        <v>5</v>
      </c>
      <c r="CF17" s="5" t="str">
        <f>data!CF84</f>
        <v> </v>
      </c>
      <c r="CG17" s="5" t="str">
        <f>data!CG84</f>
        <v> </v>
      </c>
      <c r="CH17" s="5" t="str">
        <f>data!CH84</f>
        <v> </v>
      </c>
      <c r="CI17" s="5" t="str">
        <f>data!CI84</f>
        <v>3</v>
      </c>
      <c r="CJ17" s="5" t="str">
        <f>data!CJ84</f>
        <v> </v>
      </c>
      <c r="CK17" s="5" t="str">
        <f>data!CK84</f>
        <v/>
      </c>
      <c r="CL17" s="5" t="str">
        <f>data!CL84</f>
        <v/>
      </c>
      <c r="CM17" s="5" t="str">
        <f>data!CM84</f>
        <v> </v>
      </c>
      <c r="CN17" s="5" t="str">
        <f>data!CN84</f>
        <v> </v>
      </c>
      <c r="CO17" s="5" t="str">
        <f>data!CO84</f>
        <v> </v>
      </c>
      <c r="CP17" s="5" t="str">
        <f>data!CP84</f>
        <v/>
      </c>
      <c r="CQ17" s="5" t="str">
        <f>data!CQ84</f>
        <v> </v>
      </c>
      <c r="CR17" s="5" t="str">
        <f>data!CR84</f>
        <v> </v>
      </c>
      <c r="CS17" s="5" t="str">
        <f>data!CS84</f>
        <v>5</v>
      </c>
      <c r="CT17" s="5" t="str">
        <f>data!CT84</f>
        <v> </v>
      </c>
      <c r="CU17" s="5" t="str">
        <f>data!CU84</f>
        <v> </v>
      </c>
      <c r="CV17" s="5" t="str">
        <f>data!CV84</f>
        <v> </v>
      </c>
      <c r="CW17" s="5" t="str">
        <f>data!CW84</f>
        <v/>
      </c>
      <c r="CX17" s="5" t="str">
        <f>data!CX84</f>
        <v> </v>
      </c>
      <c r="CY17" s="5" t="str">
        <f>data!CY84</f>
        <v> </v>
      </c>
      <c r="CZ17" s="5" t="str">
        <f>data!CZ84</f>
        <v/>
      </c>
      <c r="DA17" s="5" t="str">
        <f>data!DA84</f>
        <v> </v>
      </c>
      <c r="DB17" s="5" t="str">
        <f>data!DB84</f>
        <v> </v>
      </c>
      <c r="DC17" s="5" t="str">
        <f>data!DC84</f>
        <v/>
      </c>
      <c r="DD17" s="5" t="str">
        <f>data!DD84</f>
        <v> </v>
      </c>
      <c r="DE17" s="5" t="str">
        <f>data!DE84</f>
        <v> </v>
      </c>
      <c r="DF17" s="5" t="str">
        <f>data!DF84</f>
        <v> </v>
      </c>
      <c r="DG17" s="5" t="str">
        <f>data!DG84</f>
        <v>4</v>
      </c>
      <c r="DH17" s="5" t="str">
        <f>data!DH84</f>
        <v> </v>
      </c>
      <c r="DI17" s="5" t="str">
        <f>data!DI84</f>
        <v> </v>
      </c>
      <c r="DJ17" s="5" t="str">
        <f>data!DJ84</f>
        <v> </v>
      </c>
      <c r="DK17" s="5" t="str">
        <f>data!DK84</f>
        <v/>
      </c>
      <c r="DL17" s="5" t="str">
        <f>data!DL84</f>
        <v> </v>
      </c>
      <c r="DM17" s="5" t="str">
        <f>data!DM84</f>
        <v> </v>
      </c>
      <c r="DN17" s="5" t="str">
        <f>data!DN84</f>
        <v> </v>
      </c>
      <c r="DO17" s="5" t="str">
        <f>data!DO84</f>
        <v> </v>
      </c>
      <c r="DP17" s="5" t="str">
        <f>data!DP84</f>
        <v> </v>
      </c>
      <c r="DQ17" s="5" t="str">
        <f>data!DQ84</f>
        <v> </v>
      </c>
      <c r="DR17" s="5" t="str">
        <f>data!DR84</f>
        <v> </v>
      </c>
      <c r="DS17" s="5" t="str">
        <f>data!DS84</f>
        <v> </v>
      </c>
      <c r="DT17" s="5" t="str">
        <f>data!DT84</f>
        <v> </v>
      </c>
      <c r="DU17" s="5" t="str">
        <f>data!DU84</f>
        <v> </v>
      </c>
      <c r="DV17" s="5" t="str">
        <f>data!DV84</f>
        <v> </v>
      </c>
      <c r="DW17" s="5" t="str">
        <f>data!DW84</f>
        <v> </v>
      </c>
      <c r="DX17" s="5" t="str">
        <f>data!DX84</f>
        <v> </v>
      </c>
      <c r="DY17" s="5" t="str">
        <f>data!DY84</f>
        <v> </v>
      </c>
      <c r="DZ17" s="5" t="str">
        <f>data!DZ84</f>
        <v> </v>
      </c>
      <c r="EA17" s="5" t="str">
        <f>data!EA84</f>
        <v> </v>
      </c>
      <c r="EB17" s="5" t="str">
        <f>data!EB84</f>
        <v> </v>
      </c>
      <c r="EC17" s="5" t="str">
        <f>data!EC84</f>
        <v> </v>
      </c>
      <c r="ED17" s="5" t="str">
        <f>data!ED84</f>
        <v> </v>
      </c>
      <c r="EE17" s="5" t="str">
        <f>data!EE84</f>
        <v> </v>
      </c>
      <c r="EF17" s="5" t="str">
        <f>data!EF84</f>
        <v/>
      </c>
      <c r="EG17" s="5" t="str">
        <f>data!EG84</f>
        <v> </v>
      </c>
      <c r="EH17" s="5" t="str">
        <f>data!EH84</f>
        <v>5</v>
      </c>
      <c r="EI17" s="5" t="str">
        <f>data!EI84</f>
        <v> </v>
      </c>
      <c r="EJ17" s="5" t="str">
        <f>data!EJ84</f>
        <v> </v>
      </c>
      <c r="EK17" s="5" t="str">
        <f>data!EK84</f>
        <v> </v>
      </c>
      <c r="EL17" s="5" t="str">
        <f>data!EL84</f>
        <v> </v>
      </c>
      <c r="EM17" s="5" t="str">
        <f>data!EM84</f>
        <v/>
      </c>
      <c r="EN17" s="5" t="str">
        <f>data!EN84</f>
        <v> </v>
      </c>
      <c r="EO17" s="5" t="str">
        <f>data!EO84</f>
        <v/>
      </c>
      <c r="EP17" s="5" t="str">
        <f>data!EP84</f>
        <v> </v>
      </c>
      <c r="EQ17" s="5" t="str">
        <f>data!EQ84</f>
        <v> </v>
      </c>
      <c r="ER17" s="5" t="str">
        <f>data!ER84</f>
        <v> </v>
      </c>
      <c r="ES17" s="5" t="str">
        <f>data!ES84</f>
        <v> </v>
      </c>
      <c r="ET17" s="5" t="str">
        <f>data!ET84</f>
        <v>5</v>
      </c>
      <c r="EU17" s="5" t="str">
        <f>data!EU84</f>
        <v> </v>
      </c>
      <c r="EV17" s="5" t="str">
        <f>data!EV84</f>
        <v>5</v>
      </c>
      <c r="EW17" s="5" t="str">
        <f>data!EW84</f>
        <v> </v>
      </c>
      <c r="EX17" s="5" t="str">
        <f>data!EX84</f>
        <v> </v>
      </c>
      <c r="EY17" s="5" t="str">
        <f>data!EY84</f>
        <v> </v>
      </c>
      <c r="EZ17" s="5" t="str">
        <f>data!EZ84</f>
        <v> </v>
      </c>
      <c r="FA17" s="5" t="str">
        <f>data!FA84</f>
        <v/>
      </c>
      <c r="FB17" s="5" t="str">
        <f>data!FB84</f>
        <v> </v>
      </c>
      <c r="FC17" s="5" t="str">
        <f>data!FC84</f>
        <v/>
      </c>
      <c r="FD17" s="5" t="str">
        <f>data!FD84</f>
        <v> </v>
      </c>
      <c r="FE17" s="5" t="str">
        <f>data!FE84</f>
        <v> </v>
      </c>
      <c r="FF17" s="5" t="str">
        <f>data!FF84</f>
        <v> </v>
      </c>
      <c r="FG17" s="5" t="str">
        <f>data!FG84</f>
        <v> </v>
      </c>
      <c r="FH17" s="5" t="str">
        <f>data!FH84</f>
        <v>4</v>
      </c>
      <c r="FI17" s="5" t="str">
        <f>data!FI84</f>
        <v> </v>
      </c>
      <c r="FJ17" s="5" t="str">
        <f>data!FJ84</f>
        <v/>
      </c>
      <c r="FK17" s="5" t="str">
        <f>data!FK84</f>
        <v> </v>
      </c>
      <c r="FL17" s="5" t="str">
        <f>data!FL84</f>
        <v> </v>
      </c>
      <c r="FM17" s="5" t="str">
        <f>data!FM84</f>
        <v> </v>
      </c>
      <c r="FN17" s="5" t="str">
        <f>data!FN84</f>
        <v> </v>
      </c>
      <c r="FO17" s="5" t="str">
        <f>data!FO84</f>
        <v/>
      </c>
      <c r="FP17" s="5" t="str">
        <f>data!FP84</f>
        <v> </v>
      </c>
      <c r="FQ17" s="5" t="str">
        <f>data!FQ84</f>
        <v/>
      </c>
      <c r="FR17" s="5" t="str">
        <f>data!FR84</f>
        <v> </v>
      </c>
      <c r="FS17" s="5" t="str">
        <f>data!FS84</f>
        <v> </v>
      </c>
      <c r="FT17" s="5" t="str">
        <f>data!FT84</f>
        <v> </v>
      </c>
      <c r="FU17" s="5" t="str">
        <f>data!FU84</f>
        <v> </v>
      </c>
      <c r="FV17" s="5" t="str">
        <f>data!FV84</f>
        <v>н</v>
      </c>
      <c r="FW17" s="5" t="str">
        <f>data!FW84</f>
        <v> </v>
      </c>
      <c r="FX17" s="5" t="str">
        <f>data!FX84</f>
        <v>4</v>
      </c>
      <c r="FY17" s="5" t="str">
        <f>data!FY84</f>
        <v> </v>
      </c>
      <c r="FZ17" s="5" t="str">
        <f>data!FZ84</f>
        <v> </v>
      </c>
      <c r="GA17" s="5" t="str">
        <f>data!GA84</f>
        <v> </v>
      </c>
      <c r="GB17" s="5" t="str">
        <f>data!GB84</f>
        <v> </v>
      </c>
      <c r="GC17" s="5" t="str">
        <f>data!GC84</f>
        <v>5</v>
      </c>
      <c r="GD17" s="5" t="str">
        <f>data!GD84</f>
        <v> </v>
      </c>
      <c r="GE17" s="5" t="str">
        <f>data!GE84</f>
        <v/>
      </c>
      <c r="GF17" s="5" t="str">
        <f>data!GF84</f>
        <v> </v>
      </c>
      <c r="GG17" s="5" t="str">
        <f>data!GG84</f>
        <v> </v>
      </c>
      <c r="GH17" s="5" t="str">
        <f>data!GH84</f>
        <v/>
      </c>
      <c r="GI17" s="5" t="str">
        <f>data!GI84</f>
        <v> </v>
      </c>
      <c r="GJ17" s="5" t="str">
        <f>data!GJ84</f>
        <v>5</v>
      </c>
      <c r="GK17" s="5" t="str">
        <f>data!GK84</f>
        <v> </v>
      </c>
      <c r="GL17" s="5" t="str">
        <f>data!GL84</f>
        <v>5</v>
      </c>
      <c r="GM17" s="5" t="str">
        <f>data!GM84</f>
        <v> </v>
      </c>
      <c r="GN17" s="5" t="str">
        <f>data!GN84</f>
        <v> </v>
      </c>
      <c r="GO17" s="5" t="str">
        <f>data!GO84</f>
        <v> </v>
      </c>
      <c r="GP17" s="5" t="str">
        <f>data!GP84</f>
        <v> </v>
      </c>
      <c r="GQ17" s="5" t="str">
        <f>data!GQ84</f>
        <v> </v>
      </c>
      <c r="GR17" s="5" t="str">
        <f>data!GR84</f>
        <v> </v>
      </c>
      <c r="GS17" s="5" t="str">
        <f>data!GS84</f>
        <v> </v>
      </c>
      <c r="GT17" s="5" t="str">
        <f>data!GT84</f>
        <v> </v>
      </c>
      <c r="GU17" s="5" t="str">
        <f>data!GU84</f>
        <v> </v>
      </c>
      <c r="GV17" s="5" t="str">
        <f>data!GV84</f>
        <v> </v>
      </c>
      <c r="GW17" s="5" t="str">
        <f>data!GW84</f>
        <v> </v>
      </c>
      <c r="GX17" s="5" t="str">
        <f>data!GX84</f>
        <v> </v>
      </c>
      <c r="GY17" s="5" t="str">
        <f>data!GY84</f>
        <v> </v>
      </c>
      <c r="GZ17" s="5" t="str">
        <f>data!GZ84</f>
        <v> </v>
      </c>
      <c r="HA17" s="5" t="str">
        <f>data!HA84</f>
        <v> </v>
      </c>
      <c r="HB17" s="5" t="str">
        <f>data!HB84</f>
        <v> </v>
      </c>
      <c r="HC17" s="5" t="str">
        <f>data!HC84</f>
        <v> </v>
      </c>
      <c r="HD17" s="5" t="str">
        <f>data!HD84</f>
        <v> </v>
      </c>
      <c r="HE17" s="5" t="str">
        <f>data!HE84</f>
        <v> </v>
      </c>
      <c r="HF17" s="5" t="str">
        <f>data!HF84</f>
        <v> </v>
      </c>
      <c r="HG17" s="5" t="str">
        <f>data!HG84</f>
        <v> </v>
      </c>
      <c r="HH17" s="5" t="str">
        <f>data!HH84</f>
        <v> </v>
      </c>
      <c r="HI17" s="5" t="str">
        <f>data!HI84</f>
        <v> </v>
      </c>
      <c r="HJ17" s="5" t="str">
        <f>data!HJ84</f>
        <v> </v>
      </c>
      <c r="HK17" s="5" t="str">
        <f>data!HK84</f>
        <v> </v>
      </c>
      <c r="HL17" s="5" t="str">
        <f>data!HL84</f>
        <v> </v>
      </c>
      <c r="HM17" s="5" t="str">
        <f>data!HM84</f>
        <v> </v>
      </c>
      <c r="HN17" s="5" t="str">
        <f>data!HN84</f>
        <v> </v>
      </c>
      <c r="HO17" s="5" t="str">
        <f>data!HO84</f>
        <v> </v>
      </c>
      <c r="HP17" s="5" t="str">
        <f>data!HP84</f>
        <v> </v>
      </c>
      <c r="HQ17" s="5" t="str">
        <f>data!HQ84</f>
        <v> </v>
      </c>
      <c r="HR17" s="5" t="str">
        <f>data!HR84</f>
        <v> </v>
      </c>
      <c r="HS17" s="5" t="str">
        <f>data!HS84</f>
        <v> </v>
      </c>
      <c r="HT17" s="5" t="str">
        <f>data!HT84</f>
        <v> </v>
      </c>
      <c r="HU17" s="5" t="str">
        <f>data!HU84</f>
        <v> </v>
      </c>
      <c r="HV17" s="5" t="str">
        <f>data!HV84</f>
        <v> </v>
      </c>
      <c r="HW17" s="5" t="str">
        <f>data!HW84</f>
        <v> </v>
      </c>
      <c r="HX17" s="5" t="str">
        <f>data!HX84</f>
        <v> </v>
      </c>
      <c r="HY17" s="5" t="str">
        <f>data!HY84</f>
        <v> </v>
      </c>
      <c r="HZ17" s="5" t="str">
        <f>data!HZ84</f>
        <v> </v>
      </c>
      <c r="IA17" s="5" t="str">
        <f>data!IA84</f>
        <v> </v>
      </c>
      <c r="IB17" s="5" t="str">
        <f>data!IB84</f>
        <v> </v>
      </c>
      <c r="IC17" s="5" t="str">
        <f>data!IC84</f>
        <v> </v>
      </c>
      <c r="ID17" s="5" t="str">
        <f>data!ID84</f>
        <v> </v>
      </c>
      <c r="IE17" s="5" t="str">
        <f>data!IE84</f>
        <v> </v>
      </c>
      <c r="IF17" s="5" t="str">
        <f>data!IF84</f>
        <v> </v>
      </c>
      <c r="IG17" s="5" t="str">
        <f>data!IG84</f>
        <v> </v>
      </c>
      <c r="IH17" s="5" t="str">
        <f>data!IH84</f>
        <v> </v>
      </c>
      <c r="II17" s="5" t="str">
        <f>data!II84</f>
        <v> </v>
      </c>
      <c r="IJ17" s="5" t="str">
        <f>data!IJ84</f>
        <v> </v>
      </c>
      <c r="IK17" s="5" t="str">
        <f>data!IK84</f>
        <v> </v>
      </c>
      <c r="IL17" s="5" t="str">
        <f>data!IL84</f>
        <v> </v>
      </c>
      <c r="IM17" s="5" t="str">
        <f>data!IM84</f>
        <v> </v>
      </c>
      <c r="IN17" s="5" t="str">
        <f>data!IN84</f>
        <v> </v>
      </c>
      <c r="IO17" s="5" t="str">
        <f>data!IO84</f>
        <v> </v>
      </c>
      <c r="IP17" s="5" t="str">
        <f>data!IP84</f>
        <v> </v>
      </c>
      <c r="IQ17" s="5" t="str">
        <f>data!IQ84</f>
        <v> </v>
      </c>
      <c r="IR17" s="5" t="str">
        <f>data!IR84</f>
        <v> </v>
      </c>
      <c r="IS17" s="5" t="str">
        <f>data!IS84</f>
        <v> </v>
      </c>
      <c r="IT17" s="5" t="str">
        <f>data!IT84</f>
        <v> </v>
      </c>
      <c r="IU17" s="5" t="str">
        <f>data!IU84</f>
        <v> </v>
      </c>
      <c r="IV17" s="5" t="str">
        <f>data!IV84</f>
        <v> </v>
      </c>
      <c r="IW17" s="5" t="str">
        <f>data!IW84</f>
        <v> </v>
      </c>
      <c r="IX17" s="5" t="str">
        <f>data!IX84</f>
        <v> </v>
      </c>
      <c r="IY17" s="5" t="str">
        <f>data!IY84</f>
        <v> </v>
      </c>
      <c r="IZ17" s="5" t="str">
        <f>data!IZ84</f>
        <v> </v>
      </c>
      <c r="JA17" s="5" t="str">
        <f>data!JA84</f>
        <v> </v>
      </c>
      <c r="JB17" s="5" t="str">
        <f>data!JB84</f>
        <v> </v>
      </c>
      <c r="JC17" s="5" t="str">
        <f>data!JC84</f>
        <v> </v>
      </c>
      <c r="JD17" s="5" t="str">
        <f>data!JD84</f>
        <v> </v>
      </c>
      <c r="JE17" s="5" t="str">
        <f>data!JE84</f>
        <v> </v>
      </c>
    </row>
    <row r="18" ht="24.0" customHeight="1">
      <c r="A18" s="4" t="str">
        <f>data!A85</f>
        <v>Посещаемость</v>
      </c>
      <c r="B18" s="5" t="str">
        <f>data!B85</f>
        <v> </v>
      </c>
      <c r="C18" s="5" t="str">
        <f>data!C85</f>
        <v> </v>
      </c>
      <c r="D18" s="5" t="str">
        <f>data!D85</f>
        <v> </v>
      </c>
      <c r="E18" s="5" t="str">
        <f>data!E85</f>
        <v> </v>
      </c>
      <c r="F18" s="5" t="str">
        <f>data!F85</f>
        <v> </v>
      </c>
      <c r="G18" s="5" t="str">
        <f>data!G85</f>
        <v> </v>
      </c>
      <c r="H18" s="5" t="str">
        <f>data!H85</f>
        <v> </v>
      </c>
      <c r="I18" s="5" t="str">
        <f>data!I85</f>
        <v> </v>
      </c>
      <c r="J18" s="5" t="str">
        <f>data!J85</f>
        <v> </v>
      </c>
      <c r="K18" s="5" t="str">
        <f>data!K85</f>
        <v> </v>
      </c>
      <c r="L18" s="5" t="str">
        <f>data!L85</f>
        <v> </v>
      </c>
      <c r="M18" s="5" t="str">
        <f>data!M85</f>
        <v> </v>
      </c>
      <c r="N18" s="5" t="str">
        <f>data!N85</f>
        <v> </v>
      </c>
      <c r="O18" s="5" t="str">
        <f>data!O85</f>
        <v> </v>
      </c>
      <c r="P18" s="5" t="str">
        <f>data!P85</f>
        <v> </v>
      </c>
      <c r="Q18" s="5" t="str">
        <f>data!Q85</f>
        <v> </v>
      </c>
      <c r="R18" s="5" t="str">
        <f>data!R85</f>
        <v> </v>
      </c>
      <c r="S18" s="5" t="str">
        <f>data!S85</f>
        <v> </v>
      </c>
      <c r="T18" s="5" t="str">
        <f>data!T85</f>
        <v> </v>
      </c>
      <c r="U18" s="5" t="str">
        <f>data!U85</f>
        <v> </v>
      </c>
      <c r="V18" s="5" t="str">
        <f>data!V85</f>
        <v> </v>
      </c>
      <c r="W18" s="5" t="str">
        <f>data!W85</f>
        <v> </v>
      </c>
      <c r="X18" s="5" t="str">
        <f>data!X85</f>
        <v> </v>
      </c>
      <c r="Y18" s="5" t="str">
        <f>data!Y85</f>
        <v> </v>
      </c>
      <c r="Z18" s="5" t="str">
        <f>data!Z85</f>
        <v> </v>
      </c>
      <c r="AA18" s="5" t="str">
        <f>data!AA85</f>
        <v> </v>
      </c>
      <c r="AB18" s="5" t="str">
        <f>data!AB85</f>
        <v> </v>
      </c>
      <c r="AC18" s="5" t="str">
        <f>data!AC85</f>
        <v> </v>
      </c>
      <c r="AD18" s="5" t="str">
        <f>data!AD85</f>
        <v> </v>
      </c>
      <c r="AE18" s="5" t="str">
        <f>data!AE85</f>
        <v> </v>
      </c>
      <c r="AF18" s="5" t="str">
        <f>data!AF85</f>
        <v> </v>
      </c>
      <c r="AG18" s="5" t="str">
        <f>data!AG85</f>
        <v> </v>
      </c>
      <c r="AH18" s="5" t="str">
        <f>data!AH85</f>
        <v> </v>
      </c>
      <c r="AI18" s="5" t="str">
        <f>data!AI85</f>
        <v> </v>
      </c>
      <c r="AJ18" s="5" t="str">
        <f>data!AJ85</f>
        <v> </v>
      </c>
      <c r="AK18" s="5" t="str">
        <f>data!AK85</f>
        <v> </v>
      </c>
      <c r="AL18" s="5" t="str">
        <f>data!AL85</f>
        <v> </v>
      </c>
      <c r="AM18" s="5" t="str">
        <f>data!AM85</f>
        <v> </v>
      </c>
      <c r="AN18" s="5" t="str">
        <f>data!AN85</f>
        <v> </v>
      </c>
      <c r="AO18" s="5" t="str">
        <f>data!AO85</f>
        <v> </v>
      </c>
      <c r="AP18" s="5" t="str">
        <f>data!AP85</f>
        <v> </v>
      </c>
      <c r="AQ18" s="5" t="str">
        <f>data!AQ85</f>
        <v> </v>
      </c>
      <c r="AR18" s="5" t="str">
        <f>data!AR85</f>
        <v> </v>
      </c>
      <c r="AS18" s="5" t="str">
        <f>data!AS85</f>
        <v> </v>
      </c>
      <c r="AT18" s="5" t="str">
        <f>data!AT85</f>
        <v> </v>
      </c>
      <c r="AU18" s="5" t="str">
        <f>data!AU85</f>
        <v> </v>
      </c>
      <c r="AV18" s="5" t="str">
        <f>data!AV85</f>
        <v> </v>
      </c>
      <c r="AW18" s="5" t="str">
        <f>data!AW85</f>
        <v> </v>
      </c>
      <c r="AX18" s="5" t="str">
        <f>data!AX85</f>
        <v> </v>
      </c>
      <c r="AY18" s="5" t="str">
        <f>data!AY85</f>
        <v> </v>
      </c>
      <c r="AZ18" s="5" t="str">
        <f>data!AZ85</f>
        <v> </v>
      </c>
      <c r="BA18" s="5" t="str">
        <f>data!BA85</f>
        <v> </v>
      </c>
      <c r="BB18" s="5" t="str">
        <f>data!BB85</f>
        <v> </v>
      </c>
      <c r="BC18" s="5" t="str">
        <f>data!BC85</f>
        <v> </v>
      </c>
      <c r="BD18" s="5" t="str">
        <f>data!BD85</f>
        <v> </v>
      </c>
      <c r="BE18" s="5" t="str">
        <f>data!BE85</f>
        <v> </v>
      </c>
      <c r="BF18" s="5" t="str">
        <f>data!BF85</f>
        <v> </v>
      </c>
      <c r="BG18" s="5" t="str">
        <f>data!BG85</f>
        <v> </v>
      </c>
      <c r="BH18" s="5" t="str">
        <f>data!BH85</f>
        <v> </v>
      </c>
      <c r="BI18" s="5" t="str">
        <f>data!BI85</f>
        <v> </v>
      </c>
      <c r="BJ18" s="5" t="str">
        <f>data!BJ85</f>
        <v> </v>
      </c>
      <c r="BK18" s="5" t="str">
        <f>data!BK85</f>
        <v> </v>
      </c>
      <c r="BL18" s="5" t="str">
        <f>data!BL85</f>
        <v> </v>
      </c>
      <c r="BM18" s="5" t="str">
        <f>data!BM85</f>
        <v> </v>
      </c>
      <c r="BN18" s="5" t="str">
        <f>data!BN85</f>
        <v> </v>
      </c>
      <c r="BO18" s="5" t="str">
        <f>data!BO85</f>
        <v> </v>
      </c>
      <c r="BP18" s="5" t="str">
        <f>data!BP85</f>
        <v> </v>
      </c>
      <c r="BQ18" s="5" t="str">
        <f>data!BQ85</f>
        <v> </v>
      </c>
      <c r="BR18" s="5" t="str">
        <f>data!BR85</f>
        <v> </v>
      </c>
      <c r="BS18" s="5" t="str">
        <f>data!BS85</f>
        <v> </v>
      </c>
      <c r="BT18" s="5" t="str">
        <f>data!BT85</f>
        <v> </v>
      </c>
      <c r="BU18" s="5" t="str">
        <f>data!BU85</f>
        <v> </v>
      </c>
      <c r="BV18" s="5" t="str">
        <f>data!BV85</f>
        <v> </v>
      </c>
      <c r="BW18" s="5" t="str">
        <f>data!BW85</f>
        <v> </v>
      </c>
      <c r="BX18" s="5" t="str">
        <f>data!BX85</f>
        <v> </v>
      </c>
      <c r="BY18" s="5" t="str">
        <f>data!BY85</f>
        <v> </v>
      </c>
      <c r="BZ18" s="5" t="str">
        <f>data!BZ85</f>
        <v> </v>
      </c>
      <c r="CA18" s="5" t="str">
        <f>data!CA85</f>
        <v> </v>
      </c>
      <c r="CB18" s="5" t="str">
        <f>data!CB85</f>
        <v> </v>
      </c>
      <c r="CC18" s="5" t="str">
        <f>data!CC85</f>
        <v> </v>
      </c>
      <c r="CD18" s="5" t="str">
        <f>data!CD85</f>
        <v> </v>
      </c>
      <c r="CE18" s="5" t="str">
        <f>data!CE85</f>
        <v> </v>
      </c>
      <c r="CF18" s="5" t="str">
        <f>data!CF85</f>
        <v> </v>
      </c>
      <c r="CG18" s="5" t="str">
        <f>data!CG85</f>
        <v> </v>
      </c>
      <c r="CH18" s="5" t="str">
        <f>data!CH85</f>
        <v> </v>
      </c>
      <c r="CI18" s="5" t="str">
        <f>data!CI85</f>
        <v> </v>
      </c>
      <c r="CJ18" s="5" t="str">
        <f>data!CJ85</f>
        <v> </v>
      </c>
      <c r="CK18" s="5" t="str">
        <f>data!CK85</f>
        <v> </v>
      </c>
      <c r="CL18" s="5" t="str">
        <f>data!CL85</f>
        <v> </v>
      </c>
      <c r="CM18" s="5" t="str">
        <f>data!CM85</f>
        <v> </v>
      </c>
      <c r="CN18" s="5" t="str">
        <f>data!CN85</f>
        <v> </v>
      </c>
      <c r="CO18" s="5" t="str">
        <f>data!CO85</f>
        <v> </v>
      </c>
      <c r="CP18" s="5" t="str">
        <f>data!CP85</f>
        <v> </v>
      </c>
      <c r="CQ18" s="5" t="str">
        <f>data!CQ85</f>
        <v> </v>
      </c>
      <c r="CR18" s="5" t="str">
        <f>data!CR85</f>
        <v> </v>
      </c>
      <c r="CS18" s="5" t="str">
        <f>data!CS85</f>
        <v> </v>
      </c>
      <c r="CT18" s="5" t="str">
        <f>data!CT85</f>
        <v> </v>
      </c>
      <c r="CU18" s="5" t="str">
        <f>data!CU85</f>
        <v> </v>
      </c>
      <c r="CV18" s="5" t="str">
        <f>data!CV85</f>
        <v> </v>
      </c>
      <c r="CW18" s="5" t="str">
        <f>data!CW85</f>
        <v> </v>
      </c>
      <c r="CX18" s="5" t="str">
        <f>data!CX85</f>
        <v> </v>
      </c>
      <c r="CY18" s="5" t="str">
        <f>data!CY85</f>
        <v> </v>
      </c>
      <c r="CZ18" s="5" t="str">
        <f>data!CZ85</f>
        <v> </v>
      </c>
      <c r="DA18" s="5" t="str">
        <f>data!DA85</f>
        <v> </v>
      </c>
      <c r="DB18" s="5" t="str">
        <f>data!DB85</f>
        <v> </v>
      </c>
      <c r="DC18" s="5" t="str">
        <f>data!DC85</f>
        <v> </v>
      </c>
      <c r="DD18" s="5" t="str">
        <f>data!DD85</f>
        <v> </v>
      </c>
      <c r="DE18" s="5" t="str">
        <f>data!DE85</f>
        <v> </v>
      </c>
      <c r="DF18" s="5" t="str">
        <f>data!DF85</f>
        <v> </v>
      </c>
      <c r="DG18" s="5" t="str">
        <f>data!DG85</f>
        <v> </v>
      </c>
      <c r="DH18" s="5" t="str">
        <f>data!DH85</f>
        <v> </v>
      </c>
      <c r="DI18" s="5" t="str">
        <f>data!DI85</f>
        <v> </v>
      </c>
      <c r="DJ18" s="5" t="str">
        <f>data!DJ85</f>
        <v> </v>
      </c>
      <c r="DK18" s="5" t="str">
        <f>data!DK85</f>
        <v> </v>
      </c>
      <c r="DL18" s="5" t="str">
        <f>data!DL85</f>
        <v> </v>
      </c>
      <c r="DM18" s="5" t="str">
        <f>data!DM85</f>
        <v> </v>
      </c>
      <c r="DN18" s="5" t="str">
        <f>data!DN85</f>
        <v> </v>
      </c>
      <c r="DO18" s="5" t="str">
        <f>data!DO85</f>
        <v> </v>
      </c>
      <c r="DP18" s="5" t="str">
        <f>data!DP85</f>
        <v> </v>
      </c>
      <c r="DQ18" s="5" t="str">
        <f>data!DQ85</f>
        <v> </v>
      </c>
      <c r="DR18" s="5" t="str">
        <f>data!DR85</f>
        <v> </v>
      </c>
      <c r="DS18" s="5" t="str">
        <f>data!DS85</f>
        <v> </v>
      </c>
      <c r="DT18" s="5" t="str">
        <f>data!DT85</f>
        <v> </v>
      </c>
      <c r="DU18" s="5" t="str">
        <f>data!DU85</f>
        <v> </v>
      </c>
      <c r="DV18" s="5" t="str">
        <f>data!DV85</f>
        <v> </v>
      </c>
      <c r="DW18" s="5" t="str">
        <f>data!DW85</f>
        <v> </v>
      </c>
      <c r="DX18" s="5" t="str">
        <f>data!DX85</f>
        <v> </v>
      </c>
      <c r="DY18" s="5" t="str">
        <f>data!DY85</f>
        <v> </v>
      </c>
      <c r="DZ18" s="5" t="str">
        <f>data!DZ85</f>
        <v> </v>
      </c>
      <c r="EA18" s="5" t="str">
        <f>data!EA85</f>
        <v> </v>
      </c>
      <c r="EB18" s="5" t="str">
        <f>data!EB85</f>
        <v> </v>
      </c>
      <c r="EC18" s="5" t="str">
        <f>data!EC85</f>
        <v> </v>
      </c>
      <c r="ED18" s="5" t="str">
        <f>data!ED85</f>
        <v> </v>
      </c>
      <c r="EE18" s="5" t="str">
        <f>data!EE85</f>
        <v> </v>
      </c>
      <c r="EF18" s="5" t="str">
        <f>data!EF85</f>
        <v> </v>
      </c>
      <c r="EG18" s="5" t="str">
        <f>data!EG85</f>
        <v> </v>
      </c>
      <c r="EH18" s="5" t="str">
        <f>data!EH85</f>
        <v> </v>
      </c>
      <c r="EI18" s="5" t="str">
        <f>data!EI85</f>
        <v> </v>
      </c>
      <c r="EJ18" s="5" t="str">
        <f>data!EJ85</f>
        <v> </v>
      </c>
      <c r="EK18" s="5" t="str">
        <f>data!EK85</f>
        <v> </v>
      </c>
      <c r="EL18" s="5" t="str">
        <f>data!EL85</f>
        <v> </v>
      </c>
      <c r="EM18" s="5" t="str">
        <f>data!EM85</f>
        <v> </v>
      </c>
      <c r="EN18" s="5" t="str">
        <f>data!EN85</f>
        <v> </v>
      </c>
      <c r="EO18" s="5" t="str">
        <f>data!EO85</f>
        <v> </v>
      </c>
      <c r="EP18" s="5" t="str">
        <f>data!EP85</f>
        <v> </v>
      </c>
      <c r="EQ18" s="5" t="str">
        <f>data!EQ85</f>
        <v> </v>
      </c>
      <c r="ER18" s="5" t="str">
        <f>data!ER85</f>
        <v> </v>
      </c>
      <c r="ES18" s="5" t="str">
        <f>data!ES85</f>
        <v> </v>
      </c>
      <c r="ET18" s="5" t="str">
        <f>data!ET85</f>
        <v> </v>
      </c>
      <c r="EU18" s="5" t="str">
        <f>data!EU85</f>
        <v> </v>
      </c>
      <c r="EV18" s="5" t="str">
        <f>data!EV85</f>
        <v> </v>
      </c>
      <c r="EW18" s="5" t="str">
        <f>data!EW85</f>
        <v> </v>
      </c>
      <c r="EX18" s="5" t="str">
        <f>data!EX85</f>
        <v> </v>
      </c>
      <c r="EY18" s="5" t="str">
        <f>data!EY85</f>
        <v> </v>
      </c>
      <c r="EZ18" s="5" t="str">
        <f>data!EZ85</f>
        <v> </v>
      </c>
      <c r="FA18" s="5" t="str">
        <f>data!FA85</f>
        <v> </v>
      </c>
      <c r="FB18" s="5" t="str">
        <f>data!FB85</f>
        <v> </v>
      </c>
      <c r="FC18" s="5" t="str">
        <f>data!FC85</f>
        <v> </v>
      </c>
      <c r="FD18" s="5" t="str">
        <f>data!FD85</f>
        <v> </v>
      </c>
      <c r="FE18" s="5" t="str">
        <f>data!FE85</f>
        <v> </v>
      </c>
      <c r="FF18" s="5" t="str">
        <f>data!FF85</f>
        <v> </v>
      </c>
      <c r="FG18" s="5" t="str">
        <f>data!FG85</f>
        <v> </v>
      </c>
      <c r="FH18" s="5" t="str">
        <f>data!FH85</f>
        <v> </v>
      </c>
      <c r="FI18" s="5" t="str">
        <f>data!FI85</f>
        <v> </v>
      </c>
      <c r="FJ18" s="5" t="str">
        <f>data!FJ85</f>
        <v> </v>
      </c>
      <c r="FK18" s="5" t="str">
        <f>data!FK85</f>
        <v> </v>
      </c>
      <c r="FL18" s="5" t="str">
        <f>data!FL85</f>
        <v> </v>
      </c>
      <c r="FM18" s="5" t="str">
        <f>data!FM85</f>
        <v> </v>
      </c>
      <c r="FN18" s="5" t="str">
        <f>data!FN85</f>
        <v> </v>
      </c>
      <c r="FO18" s="5" t="str">
        <f>data!FO85</f>
        <v> </v>
      </c>
      <c r="FP18" s="5" t="str">
        <f>data!FP85</f>
        <v> </v>
      </c>
      <c r="FQ18" s="5" t="str">
        <f>data!FQ85</f>
        <v> </v>
      </c>
      <c r="FR18" s="5" t="str">
        <f>data!FR85</f>
        <v> </v>
      </c>
      <c r="FS18" s="5" t="str">
        <f>data!FS85</f>
        <v> </v>
      </c>
      <c r="FT18" s="5" t="str">
        <f>data!FT85</f>
        <v> </v>
      </c>
      <c r="FU18" s="5" t="str">
        <f>data!FU85</f>
        <v> </v>
      </c>
      <c r="FV18" s="5" t="str">
        <f>data!FV85</f>
        <v> </v>
      </c>
      <c r="FW18" s="5" t="str">
        <f>data!FW85</f>
        <v> </v>
      </c>
      <c r="FX18" s="5" t="str">
        <f>data!FX85</f>
        <v> </v>
      </c>
      <c r="FY18" s="5" t="str">
        <f>data!FY85</f>
        <v> </v>
      </c>
      <c r="FZ18" s="5" t="str">
        <f>data!FZ85</f>
        <v> </v>
      </c>
      <c r="GA18" s="5" t="str">
        <f>data!GA85</f>
        <v> </v>
      </c>
      <c r="GB18" s="5" t="str">
        <f>data!GB85</f>
        <v> </v>
      </c>
      <c r="GC18" s="5" t="str">
        <f>data!GC85</f>
        <v> </v>
      </c>
      <c r="GD18" s="5" t="str">
        <f>data!GD85</f>
        <v> </v>
      </c>
      <c r="GE18" s="5" t="str">
        <f>data!GE85</f>
        <v> </v>
      </c>
      <c r="GF18" s="5" t="str">
        <f>data!GF85</f>
        <v> </v>
      </c>
      <c r="GG18" s="5" t="str">
        <f>data!GG85</f>
        <v> </v>
      </c>
      <c r="GH18" s="5" t="str">
        <f>data!GH85</f>
        <v> </v>
      </c>
      <c r="GI18" s="5" t="str">
        <f>data!GI85</f>
        <v> </v>
      </c>
      <c r="GJ18" s="5" t="str">
        <f>data!GJ85</f>
        <v> </v>
      </c>
      <c r="GK18" s="5" t="str">
        <f>data!GK85</f>
        <v> </v>
      </c>
      <c r="GL18" s="5" t="str">
        <f>data!GL85</f>
        <v> </v>
      </c>
      <c r="GM18" s="5" t="str">
        <f>data!GM85</f>
        <v> </v>
      </c>
      <c r="GN18" s="5" t="str">
        <f>data!GN85</f>
        <v> </v>
      </c>
      <c r="GO18" s="5" t="str">
        <f>data!GO85</f>
        <v> </v>
      </c>
      <c r="GP18" s="5" t="str">
        <f>data!GP85</f>
        <v> </v>
      </c>
      <c r="GQ18" s="5" t="str">
        <f>data!GQ85</f>
        <v> </v>
      </c>
      <c r="GR18" s="5" t="str">
        <f>data!GR85</f>
        <v> </v>
      </c>
      <c r="GS18" s="5" t="str">
        <f>data!GS85</f>
        <v> </v>
      </c>
      <c r="GT18" s="5" t="str">
        <f>data!GT85</f>
        <v> </v>
      </c>
      <c r="GU18" s="5" t="str">
        <f>data!GU85</f>
        <v> </v>
      </c>
      <c r="GV18" s="5" t="str">
        <f>data!GV85</f>
        <v> </v>
      </c>
      <c r="GW18" s="5" t="str">
        <f>data!GW85</f>
        <v> </v>
      </c>
      <c r="GX18" s="5" t="str">
        <f>data!GX85</f>
        <v> </v>
      </c>
      <c r="GY18" s="5" t="str">
        <f>data!GY85</f>
        <v> </v>
      </c>
      <c r="GZ18" s="5" t="str">
        <f>data!GZ85</f>
        <v> </v>
      </c>
      <c r="HA18" s="5" t="str">
        <f>data!HA85</f>
        <v> </v>
      </c>
      <c r="HB18" s="5" t="str">
        <f>data!HB85</f>
        <v> </v>
      </c>
      <c r="HC18" s="5" t="str">
        <f>data!HC85</f>
        <v> </v>
      </c>
      <c r="HD18" s="5" t="str">
        <f>data!HD85</f>
        <v> </v>
      </c>
      <c r="HE18" s="5" t="str">
        <f>data!HE85</f>
        <v> </v>
      </c>
      <c r="HF18" s="5" t="str">
        <f>data!HF85</f>
        <v> </v>
      </c>
      <c r="HG18" s="5" t="str">
        <f>data!HG85</f>
        <v> </v>
      </c>
      <c r="HH18" s="5" t="str">
        <f>data!HH85</f>
        <v> </v>
      </c>
      <c r="HI18" s="5" t="str">
        <f>data!HI85</f>
        <v> </v>
      </c>
      <c r="HJ18" s="5" t="str">
        <f>data!HJ85</f>
        <v> </v>
      </c>
      <c r="HK18" s="5" t="str">
        <f>data!HK85</f>
        <v> </v>
      </c>
      <c r="HL18" s="5" t="str">
        <f>data!HL85</f>
        <v> </v>
      </c>
      <c r="HM18" s="5" t="str">
        <f>data!HM85</f>
        <v> </v>
      </c>
      <c r="HN18" s="5" t="str">
        <f>data!HN85</f>
        <v> </v>
      </c>
      <c r="HO18" s="5" t="str">
        <f>data!HO85</f>
        <v> </v>
      </c>
      <c r="HP18" s="5" t="str">
        <f>data!HP85</f>
        <v> </v>
      </c>
      <c r="HQ18" s="5" t="str">
        <f>data!HQ85</f>
        <v> </v>
      </c>
      <c r="HR18" s="5" t="str">
        <f>data!HR85</f>
        <v> </v>
      </c>
      <c r="HS18" s="5" t="str">
        <f>data!HS85</f>
        <v> </v>
      </c>
      <c r="HT18" s="5" t="str">
        <f>data!HT85</f>
        <v> </v>
      </c>
      <c r="HU18" s="5" t="str">
        <f>data!HU85</f>
        <v> </v>
      </c>
      <c r="HV18" s="5" t="str">
        <f>data!HV85</f>
        <v> </v>
      </c>
      <c r="HW18" s="5" t="str">
        <f>data!HW85</f>
        <v> </v>
      </c>
      <c r="HX18" s="5" t="str">
        <f>data!HX85</f>
        <v> </v>
      </c>
      <c r="HY18" s="5" t="str">
        <f>data!HY85</f>
        <v> </v>
      </c>
      <c r="HZ18" s="5" t="str">
        <f>data!HZ85</f>
        <v> </v>
      </c>
      <c r="IA18" s="5" t="str">
        <f>data!IA85</f>
        <v> </v>
      </c>
      <c r="IB18" s="5" t="str">
        <f>data!IB85</f>
        <v> </v>
      </c>
      <c r="IC18" s="5" t="str">
        <f>data!IC85</f>
        <v> </v>
      </c>
      <c r="ID18" s="5" t="str">
        <f>data!ID85</f>
        <v> </v>
      </c>
      <c r="IE18" s="5" t="str">
        <f>data!IE85</f>
        <v> </v>
      </c>
      <c r="IF18" s="5" t="str">
        <f>data!IF85</f>
        <v> </v>
      </c>
      <c r="IG18" s="5" t="str">
        <f>data!IG85</f>
        <v> </v>
      </c>
      <c r="IH18" s="5" t="str">
        <f>data!IH85</f>
        <v> </v>
      </c>
      <c r="II18" s="5" t="str">
        <f>data!II85</f>
        <v> </v>
      </c>
      <c r="IJ18" s="5" t="str">
        <f>data!IJ85</f>
        <v> </v>
      </c>
      <c r="IK18" s="5" t="str">
        <f>data!IK85</f>
        <v> </v>
      </c>
      <c r="IL18" s="5" t="str">
        <f>data!IL85</f>
        <v> </v>
      </c>
      <c r="IM18" s="5" t="str">
        <f>data!IM85</f>
        <v> </v>
      </c>
      <c r="IN18" s="5" t="str">
        <f>data!IN85</f>
        <v> </v>
      </c>
      <c r="IO18" s="5" t="str">
        <f>data!IO85</f>
        <v> </v>
      </c>
      <c r="IP18" s="5" t="str">
        <f>data!IP85</f>
        <v> </v>
      </c>
      <c r="IQ18" s="5" t="str">
        <f>data!IQ85</f>
        <v> </v>
      </c>
      <c r="IR18" s="5" t="str">
        <f>data!IR85</f>
        <v> </v>
      </c>
      <c r="IS18" s="5" t="str">
        <f>data!IS85</f>
        <v> </v>
      </c>
      <c r="IT18" s="5" t="str">
        <f>data!IT85</f>
        <v> </v>
      </c>
      <c r="IU18" s="5" t="str">
        <f>data!IU85</f>
        <v> </v>
      </c>
      <c r="IV18" s="5" t="str">
        <f>data!IV85</f>
        <v> </v>
      </c>
      <c r="IW18" s="5" t="str">
        <f>data!IW85</f>
        <v> </v>
      </c>
      <c r="IX18" s="5" t="str">
        <f>data!IX85</f>
        <v> </v>
      </c>
      <c r="IY18" s="5" t="str">
        <f>data!IY85</f>
        <v> </v>
      </c>
      <c r="IZ18" s="5" t="str">
        <f>data!IZ85</f>
        <v> </v>
      </c>
      <c r="JA18" s="5" t="str">
        <f>data!JA85</f>
        <v> </v>
      </c>
      <c r="JB18" s="5" t="str">
        <f>data!JB85</f>
        <v> </v>
      </c>
      <c r="JC18" s="5" t="str">
        <f>data!JC85</f>
        <v> </v>
      </c>
      <c r="JD18" s="5" t="str">
        <f>data!JD85</f>
        <v> </v>
      </c>
      <c r="JE18" s="5" t="str">
        <f>data!JE85</f>
        <v> </v>
      </c>
    </row>
    <row r="19" ht="22.5" customHeight="1">
      <c r="A19" s="4" t="str">
        <f>data!A86</f>
        <v/>
      </c>
      <c r="B19" s="5" t="str">
        <f>data!B86</f>
        <v> </v>
      </c>
      <c r="C19" s="5" t="str">
        <f>data!C86</f>
        <v> </v>
      </c>
      <c r="D19" s="5" t="str">
        <f>data!D86</f>
        <v> </v>
      </c>
      <c r="E19" s="5" t="str">
        <f>data!E86</f>
        <v> </v>
      </c>
      <c r="F19" s="5" t="str">
        <f>data!F86</f>
        <v> </v>
      </c>
      <c r="G19" s="5" t="str">
        <f>data!G86</f>
        <v> </v>
      </c>
      <c r="H19" s="5" t="str">
        <f>data!H86</f>
        <v> </v>
      </c>
      <c r="I19" s="5" t="str">
        <f>data!I86</f>
        <v> </v>
      </c>
      <c r="J19" s="5" t="str">
        <f>data!J86</f>
        <v> </v>
      </c>
      <c r="K19" s="5" t="str">
        <f>data!K86</f>
        <v> </v>
      </c>
      <c r="L19" s="5" t="str">
        <f>data!L86</f>
        <v> </v>
      </c>
      <c r="M19" s="5" t="str">
        <f>data!M86</f>
        <v> </v>
      </c>
      <c r="N19" s="5" t="str">
        <f>data!N86</f>
        <v> </v>
      </c>
      <c r="O19" s="5" t="str">
        <f>data!O86</f>
        <v> </v>
      </c>
      <c r="P19" s="5" t="str">
        <f>data!P86</f>
        <v> </v>
      </c>
      <c r="Q19" s="5" t="str">
        <f>data!Q86</f>
        <v> </v>
      </c>
      <c r="R19" s="5" t="str">
        <f>data!R86</f>
        <v> </v>
      </c>
      <c r="S19" s="5" t="str">
        <f>data!S86</f>
        <v> </v>
      </c>
      <c r="T19" s="5" t="str">
        <f>data!T86</f>
        <v> </v>
      </c>
      <c r="U19" s="5" t="str">
        <f>data!U86</f>
        <v> </v>
      </c>
      <c r="V19" s="5" t="str">
        <f>data!V86</f>
        <v> </v>
      </c>
      <c r="W19" s="5" t="str">
        <f>data!W86</f>
        <v> </v>
      </c>
      <c r="X19" s="5" t="str">
        <f>data!X86</f>
        <v> </v>
      </c>
      <c r="Y19" s="5" t="str">
        <f>data!Y86</f>
        <v> </v>
      </c>
      <c r="Z19" s="5" t="str">
        <f>data!Z86</f>
        <v> </v>
      </c>
      <c r="AA19" s="5" t="str">
        <f>data!AA86</f>
        <v> </v>
      </c>
      <c r="AB19" s="5" t="str">
        <f>data!AB86</f>
        <v> </v>
      </c>
      <c r="AC19" s="5" t="str">
        <f>data!AC86</f>
        <v> </v>
      </c>
      <c r="AD19" s="5" t="str">
        <f>data!AD86</f>
        <v> </v>
      </c>
      <c r="AE19" s="5" t="str">
        <f>data!AE86</f>
        <v> </v>
      </c>
      <c r="AF19" s="5" t="str">
        <f>data!AF86</f>
        <v> </v>
      </c>
      <c r="AG19" s="5" t="str">
        <f>data!AG86</f>
        <v> </v>
      </c>
      <c r="AH19" s="5" t="str">
        <f>data!AH86</f>
        <v> </v>
      </c>
      <c r="AI19" s="5" t="str">
        <f>data!AI86</f>
        <v> </v>
      </c>
      <c r="AJ19" s="5" t="str">
        <f>data!AJ86</f>
        <v> </v>
      </c>
      <c r="AK19" s="5" t="str">
        <f>data!AK86</f>
        <v> </v>
      </c>
      <c r="AL19" s="5" t="str">
        <f>data!AL86</f>
        <v> </v>
      </c>
      <c r="AM19" s="5" t="str">
        <f>data!AM86</f>
        <v> </v>
      </c>
      <c r="AN19" s="5" t="str">
        <f>data!AN86</f>
        <v> </v>
      </c>
      <c r="AO19" s="5" t="str">
        <f>data!AO86</f>
        <v> </v>
      </c>
      <c r="AP19" s="5" t="str">
        <f>data!AP86</f>
        <v> </v>
      </c>
      <c r="AQ19" s="5" t="str">
        <f>data!AQ86</f>
        <v> </v>
      </c>
      <c r="AR19" s="5" t="str">
        <f>data!AR86</f>
        <v> </v>
      </c>
      <c r="AS19" s="5" t="str">
        <f>data!AS86</f>
        <v> </v>
      </c>
      <c r="AT19" s="5" t="str">
        <f>data!AT86</f>
        <v> </v>
      </c>
      <c r="AU19" s="5" t="str">
        <f>data!AU86</f>
        <v> </v>
      </c>
      <c r="AV19" s="5" t="str">
        <f>data!AV86</f>
        <v> </v>
      </c>
      <c r="AW19" s="5" t="str">
        <f>data!AW86</f>
        <v> </v>
      </c>
      <c r="AX19" s="5" t="str">
        <f>data!AX86</f>
        <v> </v>
      </c>
      <c r="AY19" s="5" t="str">
        <f>data!AY86</f>
        <v> </v>
      </c>
      <c r="AZ19" s="5" t="str">
        <f>data!AZ86</f>
        <v> </v>
      </c>
      <c r="BA19" s="5" t="str">
        <f>data!BA86</f>
        <v> </v>
      </c>
      <c r="BB19" s="5" t="str">
        <f>data!BB86</f>
        <v> </v>
      </c>
      <c r="BC19" s="5" t="str">
        <f>data!BC86</f>
        <v> </v>
      </c>
      <c r="BD19" s="5" t="str">
        <f>data!BD86</f>
        <v> </v>
      </c>
      <c r="BE19" s="5" t="str">
        <f>data!BE86</f>
        <v> </v>
      </c>
      <c r="BF19" s="5" t="str">
        <f>data!BF86</f>
        <v> </v>
      </c>
      <c r="BG19" s="5" t="str">
        <f>data!BG86</f>
        <v> </v>
      </c>
      <c r="BH19" s="5" t="str">
        <f>data!BH86</f>
        <v> </v>
      </c>
      <c r="BI19" s="5" t="str">
        <f>data!BI86</f>
        <v> </v>
      </c>
      <c r="BJ19" s="5" t="str">
        <f>data!BJ86</f>
        <v> </v>
      </c>
      <c r="BK19" s="5" t="str">
        <f>data!BK86</f>
        <v> </v>
      </c>
      <c r="BL19" s="5" t="str">
        <f>data!BL86</f>
        <v> </v>
      </c>
      <c r="BM19" s="5" t="str">
        <f>data!BM86</f>
        <v> </v>
      </c>
      <c r="BN19" s="5" t="str">
        <f>data!BN86</f>
        <v> </v>
      </c>
      <c r="BO19" s="5" t="str">
        <f>data!BO86</f>
        <v> </v>
      </c>
      <c r="BP19" s="5" t="str">
        <f>data!BP86</f>
        <v> </v>
      </c>
      <c r="BQ19" s="5" t="str">
        <f>data!BQ86</f>
        <v> </v>
      </c>
      <c r="BR19" s="5" t="str">
        <f>data!BR86</f>
        <v> </v>
      </c>
      <c r="BS19" s="5" t="str">
        <f>data!BS86</f>
        <v> </v>
      </c>
      <c r="BT19" s="5" t="str">
        <f>data!BT86</f>
        <v> </v>
      </c>
      <c r="BU19" s="5" t="str">
        <f>data!BU86</f>
        <v> </v>
      </c>
      <c r="BV19" s="5" t="str">
        <f>data!BV86</f>
        <v> </v>
      </c>
      <c r="BW19" s="5" t="str">
        <f>data!BW86</f>
        <v> </v>
      </c>
      <c r="BX19" s="5" t="str">
        <f>data!BX86</f>
        <v> </v>
      </c>
      <c r="BY19" s="5" t="str">
        <f>data!BY86</f>
        <v> </v>
      </c>
      <c r="BZ19" s="5" t="str">
        <f>data!BZ86</f>
        <v> </v>
      </c>
      <c r="CA19" s="5" t="str">
        <f>data!CA86</f>
        <v> </v>
      </c>
      <c r="CB19" s="5" t="str">
        <f>data!CB86</f>
        <v> </v>
      </c>
      <c r="CC19" s="5" t="str">
        <f>data!CC86</f>
        <v> </v>
      </c>
      <c r="CD19" s="5" t="str">
        <f>data!CD86</f>
        <v> </v>
      </c>
      <c r="CE19" s="5" t="str">
        <f>data!CE86</f>
        <v> </v>
      </c>
      <c r="CF19" s="5" t="str">
        <f>data!CF86</f>
        <v> </v>
      </c>
      <c r="CG19" s="5" t="str">
        <f>data!CG86</f>
        <v> </v>
      </c>
      <c r="CH19" s="5" t="str">
        <f>data!CH86</f>
        <v> </v>
      </c>
      <c r="CI19" s="5" t="str">
        <f>data!CI86</f>
        <v> </v>
      </c>
      <c r="CJ19" s="5" t="str">
        <f>data!CJ86</f>
        <v> </v>
      </c>
      <c r="CK19" s="5" t="str">
        <f>data!CK86</f>
        <v> </v>
      </c>
      <c r="CL19" s="5" t="str">
        <f>data!CL86</f>
        <v> </v>
      </c>
      <c r="CM19" s="5" t="str">
        <f>data!CM86</f>
        <v> </v>
      </c>
      <c r="CN19" s="5" t="str">
        <f>data!CN86</f>
        <v> </v>
      </c>
      <c r="CO19" s="5" t="str">
        <f>data!CO86</f>
        <v> </v>
      </c>
      <c r="CP19" s="5" t="str">
        <f>data!CP86</f>
        <v> </v>
      </c>
      <c r="CQ19" s="5" t="str">
        <f>data!CQ86</f>
        <v> </v>
      </c>
      <c r="CR19" s="5" t="str">
        <f>data!CR86</f>
        <v> </v>
      </c>
      <c r="CS19" s="5" t="str">
        <f>data!CS86</f>
        <v> </v>
      </c>
      <c r="CT19" s="5" t="str">
        <f>data!CT86</f>
        <v> </v>
      </c>
      <c r="CU19" s="5" t="str">
        <f>data!CU86</f>
        <v> </v>
      </c>
      <c r="CV19" s="5" t="str">
        <f>data!CV86</f>
        <v> </v>
      </c>
      <c r="CW19" s="5" t="str">
        <f>data!CW86</f>
        <v> </v>
      </c>
      <c r="CX19" s="5" t="str">
        <f>data!CX86</f>
        <v> </v>
      </c>
      <c r="CY19" s="5" t="str">
        <f>data!CY86</f>
        <v> </v>
      </c>
      <c r="CZ19" s="5" t="str">
        <f>data!CZ86</f>
        <v> </v>
      </c>
      <c r="DA19" s="5" t="str">
        <f>data!DA86</f>
        <v> </v>
      </c>
      <c r="DB19" s="5" t="str">
        <f>data!DB86</f>
        <v> </v>
      </c>
      <c r="DC19" s="5" t="str">
        <f>data!DC86</f>
        <v> </v>
      </c>
      <c r="DD19" s="5" t="str">
        <f>data!DD86</f>
        <v> </v>
      </c>
      <c r="DE19" s="5" t="str">
        <f>data!DE86</f>
        <v> </v>
      </c>
      <c r="DF19" s="5" t="str">
        <f>data!DF86</f>
        <v> </v>
      </c>
      <c r="DG19" s="5" t="str">
        <f>data!DG86</f>
        <v> </v>
      </c>
      <c r="DH19" s="5" t="str">
        <f>data!DH86</f>
        <v> </v>
      </c>
      <c r="DI19" s="5" t="str">
        <f>data!DI86</f>
        <v> </v>
      </c>
      <c r="DJ19" s="5" t="str">
        <f>data!DJ86</f>
        <v> </v>
      </c>
      <c r="DK19" s="5" t="str">
        <f>data!DK86</f>
        <v> </v>
      </c>
      <c r="DL19" s="5" t="str">
        <f>data!DL86</f>
        <v> </v>
      </c>
      <c r="DM19" s="5" t="str">
        <f>data!DM86</f>
        <v> </v>
      </c>
      <c r="DN19" s="5" t="str">
        <f>data!DN86</f>
        <v> </v>
      </c>
      <c r="DO19" s="5" t="str">
        <f>data!DO86</f>
        <v> </v>
      </c>
      <c r="DP19" s="5" t="str">
        <f>data!DP86</f>
        <v> </v>
      </c>
      <c r="DQ19" s="5" t="str">
        <f>data!DQ86</f>
        <v> </v>
      </c>
      <c r="DR19" s="5" t="str">
        <f>data!DR86</f>
        <v> </v>
      </c>
      <c r="DS19" s="5" t="str">
        <f>data!DS86</f>
        <v> </v>
      </c>
      <c r="DT19" s="5" t="str">
        <f>data!DT86</f>
        <v> </v>
      </c>
      <c r="DU19" s="5" t="str">
        <f>data!DU86</f>
        <v> </v>
      </c>
      <c r="DV19" s="5" t="str">
        <f>data!DV86</f>
        <v> </v>
      </c>
      <c r="DW19" s="5" t="str">
        <f>data!DW86</f>
        <v> </v>
      </c>
      <c r="DX19" s="5" t="str">
        <f>data!DX86</f>
        <v> </v>
      </c>
      <c r="DY19" s="5" t="str">
        <f>data!DY86</f>
        <v> </v>
      </c>
      <c r="DZ19" s="5" t="str">
        <f>data!DZ86</f>
        <v> </v>
      </c>
      <c r="EA19" s="5" t="str">
        <f>data!EA86</f>
        <v> </v>
      </c>
      <c r="EB19" s="5" t="str">
        <f>data!EB86</f>
        <v> </v>
      </c>
      <c r="EC19" s="5" t="str">
        <f>data!EC86</f>
        <v> </v>
      </c>
      <c r="ED19" s="5" t="str">
        <f>data!ED86</f>
        <v> </v>
      </c>
      <c r="EE19" s="5" t="str">
        <f>data!EE86</f>
        <v> </v>
      </c>
      <c r="EF19" s="5" t="str">
        <f>data!EF86</f>
        <v> </v>
      </c>
      <c r="EG19" s="5" t="str">
        <f>data!EG86</f>
        <v> </v>
      </c>
      <c r="EH19" s="5" t="str">
        <f>data!EH86</f>
        <v> </v>
      </c>
      <c r="EI19" s="5" t="str">
        <f>data!EI86</f>
        <v> </v>
      </c>
      <c r="EJ19" s="5" t="str">
        <f>data!EJ86</f>
        <v> </v>
      </c>
      <c r="EK19" s="5" t="str">
        <f>data!EK86</f>
        <v> </v>
      </c>
      <c r="EL19" s="5" t="str">
        <f>data!EL86</f>
        <v> </v>
      </c>
      <c r="EM19" s="5" t="str">
        <f>data!EM86</f>
        <v> </v>
      </c>
      <c r="EN19" s="5" t="str">
        <f>data!EN86</f>
        <v> </v>
      </c>
      <c r="EO19" s="5" t="str">
        <f>data!EO86</f>
        <v> </v>
      </c>
      <c r="EP19" s="5" t="str">
        <f>data!EP86</f>
        <v> </v>
      </c>
      <c r="EQ19" s="5" t="str">
        <f>data!EQ86</f>
        <v> </v>
      </c>
      <c r="ER19" s="5" t="str">
        <f>data!ER86</f>
        <v> </v>
      </c>
      <c r="ES19" s="5" t="str">
        <f>data!ES86</f>
        <v> </v>
      </c>
      <c r="ET19" s="5" t="str">
        <f>data!ET86</f>
        <v> </v>
      </c>
      <c r="EU19" s="5" t="str">
        <f>data!EU86</f>
        <v> </v>
      </c>
      <c r="EV19" s="5" t="str">
        <f>data!EV86</f>
        <v> </v>
      </c>
      <c r="EW19" s="5" t="str">
        <f>data!EW86</f>
        <v> </v>
      </c>
      <c r="EX19" s="5" t="str">
        <f>data!EX86</f>
        <v> </v>
      </c>
      <c r="EY19" s="5" t="str">
        <f>data!EY86</f>
        <v> </v>
      </c>
      <c r="EZ19" s="5" t="str">
        <f>data!EZ86</f>
        <v> </v>
      </c>
      <c r="FA19" s="5" t="str">
        <f>data!FA86</f>
        <v> </v>
      </c>
      <c r="FB19" s="5" t="str">
        <f>data!FB86</f>
        <v> </v>
      </c>
      <c r="FC19" s="5" t="str">
        <f>data!FC86</f>
        <v> </v>
      </c>
      <c r="FD19" s="5" t="str">
        <f>data!FD86</f>
        <v> </v>
      </c>
      <c r="FE19" s="5" t="str">
        <f>data!FE86</f>
        <v> </v>
      </c>
      <c r="FF19" s="5" t="str">
        <f>data!FF86</f>
        <v> </v>
      </c>
      <c r="FG19" s="5" t="str">
        <f>data!FG86</f>
        <v> </v>
      </c>
      <c r="FH19" s="5" t="str">
        <f>data!FH86</f>
        <v> </v>
      </c>
      <c r="FI19" s="5" t="str">
        <f>data!FI86</f>
        <v> </v>
      </c>
      <c r="FJ19" s="5" t="str">
        <f>data!FJ86</f>
        <v> </v>
      </c>
      <c r="FK19" s="5" t="str">
        <f>data!FK86</f>
        <v> </v>
      </c>
      <c r="FL19" s="5" t="str">
        <f>data!FL86</f>
        <v> </v>
      </c>
      <c r="FM19" s="5" t="str">
        <f>data!FM86</f>
        <v> </v>
      </c>
      <c r="FN19" s="5" t="str">
        <f>data!FN86</f>
        <v> </v>
      </c>
      <c r="FO19" s="5" t="str">
        <f>data!FO86</f>
        <v> </v>
      </c>
      <c r="FP19" s="5" t="str">
        <f>data!FP86</f>
        <v> </v>
      </c>
      <c r="FQ19" s="5" t="str">
        <f>data!FQ86</f>
        <v> </v>
      </c>
      <c r="FR19" s="5" t="str">
        <f>data!FR86</f>
        <v> </v>
      </c>
      <c r="FS19" s="5" t="str">
        <f>data!FS86</f>
        <v> </v>
      </c>
      <c r="FT19" s="5" t="str">
        <f>data!FT86</f>
        <v> </v>
      </c>
      <c r="FU19" s="5" t="str">
        <f>data!FU86</f>
        <v> </v>
      </c>
      <c r="FV19" s="5" t="str">
        <f>data!FV86</f>
        <v> </v>
      </c>
      <c r="FW19" s="5" t="str">
        <f>data!FW86</f>
        <v> </v>
      </c>
      <c r="FX19" s="5" t="str">
        <f>data!FX86</f>
        <v> </v>
      </c>
      <c r="FY19" s="5" t="str">
        <f>data!FY86</f>
        <v> </v>
      </c>
      <c r="FZ19" s="5" t="str">
        <f>data!FZ86</f>
        <v> </v>
      </c>
      <c r="GA19" s="5" t="str">
        <f>data!GA86</f>
        <v> </v>
      </c>
      <c r="GB19" s="5" t="str">
        <f>data!GB86</f>
        <v> </v>
      </c>
      <c r="GC19" s="5" t="str">
        <f>data!GC86</f>
        <v> </v>
      </c>
      <c r="GD19" s="5" t="str">
        <f>data!GD86</f>
        <v> </v>
      </c>
      <c r="GE19" s="5" t="str">
        <f>data!GE86</f>
        <v> </v>
      </c>
      <c r="GF19" s="5" t="str">
        <f>data!GF86</f>
        <v> </v>
      </c>
      <c r="GG19" s="5" t="str">
        <f>data!GG86</f>
        <v> </v>
      </c>
      <c r="GH19" s="5" t="str">
        <f>data!GH86</f>
        <v> </v>
      </c>
      <c r="GI19" s="5" t="str">
        <f>data!GI86</f>
        <v> </v>
      </c>
      <c r="GJ19" s="5" t="str">
        <f>data!GJ86</f>
        <v> </v>
      </c>
      <c r="GK19" s="5" t="str">
        <f>data!GK86</f>
        <v> </v>
      </c>
      <c r="GL19" s="5" t="str">
        <f>data!GL86</f>
        <v> </v>
      </c>
      <c r="GM19" s="5" t="str">
        <f>data!GM86</f>
        <v> </v>
      </c>
      <c r="GN19" s="5" t="str">
        <f>data!GN86</f>
        <v> </v>
      </c>
      <c r="GO19" s="5" t="str">
        <f>data!GO86</f>
        <v> </v>
      </c>
      <c r="GP19" s="5" t="str">
        <f>data!GP86</f>
        <v> </v>
      </c>
      <c r="GQ19" s="5" t="str">
        <f>data!GQ86</f>
        <v> </v>
      </c>
      <c r="GR19" s="5" t="str">
        <f>data!GR86</f>
        <v> </v>
      </c>
      <c r="GS19" s="5" t="str">
        <f>data!GS86</f>
        <v> </v>
      </c>
      <c r="GT19" s="5" t="str">
        <f>data!GT86</f>
        <v> </v>
      </c>
      <c r="GU19" s="5" t="str">
        <f>data!GU86</f>
        <v> </v>
      </c>
      <c r="GV19" s="5" t="str">
        <f>data!GV86</f>
        <v> </v>
      </c>
      <c r="GW19" s="5" t="str">
        <f>data!GW86</f>
        <v> </v>
      </c>
      <c r="GX19" s="5" t="str">
        <f>data!GX86</f>
        <v> </v>
      </c>
      <c r="GY19" s="5" t="str">
        <f>data!GY86</f>
        <v> </v>
      </c>
      <c r="GZ19" s="5" t="str">
        <f>data!GZ86</f>
        <v> </v>
      </c>
      <c r="HA19" s="5" t="str">
        <f>data!HA86</f>
        <v> </v>
      </c>
      <c r="HB19" s="5" t="str">
        <f>data!HB86</f>
        <v> </v>
      </c>
      <c r="HC19" s="5" t="str">
        <f>data!HC86</f>
        <v> </v>
      </c>
      <c r="HD19" s="5" t="str">
        <f>data!HD86</f>
        <v> </v>
      </c>
      <c r="HE19" s="5" t="str">
        <f>data!HE86</f>
        <v> </v>
      </c>
      <c r="HF19" s="5" t="str">
        <f>data!HF86</f>
        <v> </v>
      </c>
      <c r="HG19" s="5" t="str">
        <f>data!HG86</f>
        <v> </v>
      </c>
      <c r="HH19" s="5" t="str">
        <f>data!HH86</f>
        <v> </v>
      </c>
      <c r="HI19" s="5" t="str">
        <f>data!HI86</f>
        <v> </v>
      </c>
      <c r="HJ19" s="5" t="str">
        <f>data!HJ86</f>
        <v> </v>
      </c>
      <c r="HK19" s="5" t="str">
        <f>data!HK86</f>
        <v> </v>
      </c>
      <c r="HL19" s="5" t="str">
        <f>data!HL86</f>
        <v> </v>
      </c>
      <c r="HM19" s="5" t="str">
        <f>data!HM86</f>
        <v> </v>
      </c>
      <c r="HN19" s="5" t="str">
        <f>data!HN86</f>
        <v> </v>
      </c>
      <c r="HO19" s="5" t="str">
        <f>data!HO86</f>
        <v> </v>
      </c>
      <c r="HP19" s="5" t="str">
        <f>data!HP86</f>
        <v> </v>
      </c>
      <c r="HQ19" s="5" t="str">
        <f>data!HQ86</f>
        <v> </v>
      </c>
      <c r="HR19" s="5" t="str">
        <f>data!HR86</f>
        <v> </v>
      </c>
      <c r="HS19" s="5" t="str">
        <f>data!HS86</f>
        <v> </v>
      </c>
      <c r="HT19" s="5" t="str">
        <f>data!HT86</f>
        <v> </v>
      </c>
      <c r="HU19" s="5" t="str">
        <f>data!HU86</f>
        <v> </v>
      </c>
      <c r="HV19" s="5" t="str">
        <f>data!HV86</f>
        <v> </v>
      </c>
      <c r="HW19" s="5" t="str">
        <f>data!HW86</f>
        <v> </v>
      </c>
      <c r="HX19" s="5" t="str">
        <f>data!HX86</f>
        <v> </v>
      </c>
      <c r="HY19" s="5" t="str">
        <f>data!HY86</f>
        <v> </v>
      </c>
      <c r="HZ19" s="5" t="str">
        <f>data!HZ86</f>
        <v> </v>
      </c>
      <c r="IA19" s="5" t="str">
        <f>data!IA86</f>
        <v> </v>
      </c>
      <c r="IB19" s="5" t="str">
        <f>data!IB86</f>
        <v> </v>
      </c>
      <c r="IC19" s="5" t="str">
        <f>data!IC86</f>
        <v> </v>
      </c>
      <c r="ID19" s="5" t="str">
        <f>data!ID86</f>
        <v> </v>
      </c>
      <c r="IE19" s="5" t="str">
        <f>data!IE86</f>
        <v> </v>
      </c>
      <c r="IF19" s="5" t="str">
        <f>data!IF86</f>
        <v> </v>
      </c>
      <c r="IG19" s="5" t="str">
        <f>data!IG86</f>
        <v> </v>
      </c>
      <c r="IH19" s="5" t="str">
        <f>data!IH86</f>
        <v> </v>
      </c>
      <c r="II19" s="5" t="str">
        <f>data!II86</f>
        <v> </v>
      </c>
      <c r="IJ19" s="5" t="str">
        <f>data!IJ86</f>
        <v> </v>
      </c>
      <c r="IK19" s="5" t="str">
        <f>data!IK86</f>
        <v> </v>
      </c>
      <c r="IL19" s="5" t="str">
        <f>data!IL86</f>
        <v> </v>
      </c>
      <c r="IM19" s="5" t="str">
        <f>data!IM86</f>
        <v> </v>
      </c>
      <c r="IN19" s="5" t="str">
        <f>data!IN86</f>
        <v> </v>
      </c>
      <c r="IO19" s="5" t="str">
        <f>data!IO86</f>
        <v> </v>
      </c>
      <c r="IP19" s="5" t="str">
        <f>data!IP86</f>
        <v> </v>
      </c>
      <c r="IQ19" s="5" t="str">
        <f>data!IQ86</f>
        <v> </v>
      </c>
      <c r="IR19" s="5" t="str">
        <f>data!IR86</f>
        <v> </v>
      </c>
      <c r="IS19" s="5" t="str">
        <f>data!IS86</f>
        <v> </v>
      </c>
      <c r="IT19" s="5" t="str">
        <f>data!IT86</f>
        <v> </v>
      </c>
      <c r="IU19" s="5" t="str">
        <f>data!IU86</f>
        <v> </v>
      </c>
      <c r="IV19" s="5" t="str">
        <f>data!IV86</f>
        <v> </v>
      </c>
      <c r="IW19" s="5" t="str">
        <f>data!IW86</f>
        <v> </v>
      </c>
      <c r="IX19" s="5" t="str">
        <f>data!IX86</f>
        <v> </v>
      </c>
      <c r="IY19" s="5" t="str">
        <f>data!IY86</f>
        <v> </v>
      </c>
      <c r="IZ19" s="5" t="str">
        <f>data!IZ86</f>
        <v> </v>
      </c>
      <c r="JA19" s="5" t="str">
        <f>data!JA86</f>
        <v> </v>
      </c>
      <c r="JB19" s="5" t="str">
        <f>data!JB86</f>
        <v> </v>
      </c>
      <c r="JC19" s="5" t="str">
        <f>data!JC86</f>
        <v> </v>
      </c>
      <c r="JD19" s="5" t="str">
        <f>data!JD86</f>
        <v> </v>
      </c>
      <c r="JE19" s="5" t="str">
        <f>data!JE86</f>
        <v> </v>
      </c>
    </row>
    <row r="20" ht="22.5" customHeight="1">
      <c r="A20" s="4" t="str">
        <f>data!A87</f>
        <v/>
      </c>
      <c r="B20" s="5" t="str">
        <f>data!B87</f>
        <v> </v>
      </c>
      <c r="C20" s="5" t="str">
        <f>data!C87</f>
        <v> </v>
      </c>
      <c r="D20" s="5" t="str">
        <f>data!D87</f>
        <v> </v>
      </c>
      <c r="E20" s="5" t="str">
        <f>data!E87</f>
        <v> </v>
      </c>
      <c r="F20" s="5" t="str">
        <f>data!F87</f>
        <v> </v>
      </c>
      <c r="G20" s="5" t="str">
        <f>data!G87</f>
        <v> </v>
      </c>
      <c r="H20" s="5" t="str">
        <f>data!H87</f>
        <v> </v>
      </c>
      <c r="I20" s="5" t="str">
        <f>data!I87</f>
        <v> </v>
      </c>
      <c r="J20" s="5" t="str">
        <f>data!J87</f>
        <v> </v>
      </c>
      <c r="K20" s="5" t="str">
        <f>data!K87</f>
        <v> </v>
      </c>
      <c r="L20" s="5" t="str">
        <f>data!L87</f>
        <v> </v>
      </c>
      <c r="M20" s="5" t="str">
        <f>data!M87</f>
        <v> </v>
      </c>
      <c r="N20" s="5" t="str">
        <f>data!N87</f>
        <v> </v>
      </c>
      <c r="O20" s="5" t="str">
        <f>data!O87</f>
        <v> </v>
      </c>
      <c r="P20" s="5" t="str">
        <f>data!P87</f>
        <v> </v>
      </c>
      <c r="Q20" s="5" t="str">
        <f>data!Q87</f>
        <v> </v>
      </c>
      <c r="R20" s="5" t="str">
        <f>data!R87</f>
        <v> </v>
      </c>
      <c r="S20" s="5" t="str">
        <f>data!S87</f>
        <v> </v>
      </c>
      <c r="T20" s="5" t="str">
        <f>data!T87</f>
        <v> </v>
      </c>
      <c r="U20" s="5" t="str">
        <f>data!U87</f>
        <v> </v>
      </c>
      <c r="V20" s="5" t="str">
        <f>data!V87</f>
        <v> </v>
      </c>
      <c r="W20" s="5" t="str">
        <f>data!W87</f>
        <v> </v>
      </c>
      <c r="X20" s="5" t="str">
        <f>data!X87</f>
        <v> </v>
      </c>
      <c r="Y20" s="5" t="str">
        <f>data!Y87</f>
        <v> </v>
      </c>
      <c r="Z20" s="5" t="str">
        <f>data!Z87</f>
        <v> </v>
      </c>
      <c r="AA20" s="5" t="str">
        <f>data!AA87</f>
        <v> </v>
      </c>
      <c r="AB20" s="5" t="str">
        <f>data!AB87</f>
        <v> </v>
      </c>
      <c r="AC20" s="5" t="str">
        <f>data!AC87</f>
        <v> </v>
      </c>
      <c r="AD20" s="5" t="str">
        <f>data!AD87</f>
        <v> </v>
      </c>
      <c r="AE20" s="5" t="str">
        <f>data!AE87</f>
        <v> </v>
      </c>
      <c r="AF20" s="5" t="str">
        <f>data!AF87</f>
        <v> </v>
      </c>
      <c r="AG20" s="5" t="str">
        <f>data!AG87</f>
        <v> </v>
      </c>
      <c r="AH20" s="5" t="str">
        <f>data!AH87</f>
        <v> </v>
      </c>
      <c r="AI20" s="5" t="str">
        <f>data!AI87</f>
        <v> </v>
      </c>
      <c r="AJ20" s="5" t="str">
        <f>data!AJ87</f>
        <v> </v>
      </c>
      <c r="AK20" s="5" t="str">
        <f>data!AK87</f>
        <v> </v>
      </c>
      <c r="AL20" s="5" t="str">
        <f>data!AL87</f>
        <v> </v>
      </c>
      <c r="AM20" s="5" t="str">
        <f>data!AM87</f>
        <v> </v>
      </c>
      <c r="AN20" s="5" t="str">
        <f>data!AN87</f>
        <v> </v>
      </c>
      <c r="AO20" s="5" t="str">
        <f>data!AO87</f>
        <v> </v>
      </c>
      <c r="AP20" s="5" t="str">
        <f>data!AP87</f>
        <v> </v>
      </c>
      <c r="AQ20" s="5" t="str">
        <f>data!AQ87</f>
        <v> </v>
      </c>
      <c r="AR20" s="5" t="str">
        <f>data!AR87</f>
        <v> </v>
      </c>
      <c r="AS20" s="5" t="str">
        <f>data!AS87</f>
        <v> </v>
      </c>
      <c r="AT20" s="5" t="str">
        <f>data!AT87</f>
        <v> </v>
      </c>
      <c r="AU20" s="5" t="str">
        <f>data!AU87</f>
        <v> </v>
      </c>
      <c r="AV20" s="5" t="str">
        <f>data!AV87</f>
        <v> </v>
      </c>
      <c r="AW20" s="5" t="str">
        <f>data!AW87</f>
        <v> </v>
      </c>
      <c r="AX20" s="5" t="str">
        <f>data!AX87</f>
        <v> </v>
      </c>
      <c r="AY20" s="5" t="str">
        <f>data!AY87</f>
        <v> </v>
      </c>
      <c r="AZ20" s="5" t="str">
        <f>data!AZ87</f>
        <v> </v>
      </c>
      <c r="BA20" s="5" t="str">
        <f>data!BA87</f>
        <v> </v>
      </c>
      <c r="BB20" s="5" t="str">
        <f>data!BB87</f>
        <v> </v>
      </c>
      <c r="BC20" s="5" t="str">
        <f>data!BC87</f>
        <v> </v>
      </c>
      <c r="BD20" s="5" t="str">
        <f>data!BD87</f>
        <v> </v>
      </c>
      <c r="BE20" s="5" t="str">
        <f>data!BE87</f>
        <v> </v>
      </c>
      <c r="BF20" s="5" t="str">
        <f>data!BF87</f>
        <v> </v>
      </c>
      <c r="BG20" s="5" t="str">
        <f>data!BG87</f>
        <v> </v>
      </c>
      <c r="BH20" s="5" t="str">
        <f>data!BH87</f>
        <v> </v>
      </c>
      <c r="BI20" s="5" t="str">
        <f>data!BI87</f>
        <v> </v>
      </c>
      <c r="BJ20" s="5" t="str">
        <f>data!BJ87</f>
        <v> </v>
      </c>
      <c r="BK20" s="5" t="str">
        <f>data!BK87</f>
        <v> </v>
      </c>
      <c r="BL20" s="5" t="str">
        <f>data!BL87</f>
        <v> </v>
      </c>
      <c r="BM20" s="5" t="str">
        <f>data!BM87</f>
        <v> </v>
      </c>
      <c r="BN20" s="5" t="str">
        <f>data!BN87</f>
        <v> </v>
      </c>
      <c r="BO20" s="5" t="str">
        <f>data!BO87</f>
        <v> </v>
      </c>
      <c r="BP20" s="5" t="str">
        <f>data!BP87</f>
        <v> </v>
      </c>
      <c r="BQ20" s="5" t="str">
        <f>data!BQ87</f>
        <v> </v>
      </c>
      <c r="BR20" s="5" t="str">
        <f>data!BR87</f>
        <v> </v>
      </c>
      <c r="BS20" s="5" t="str">
        <f>data!BS87</f>
        <v> </v>
      </c>
      <c r="BT20" s="5" t="str">
        <f>data!BT87</f>
        <v> </v>
      </c>
      <c r="BU20" s="5" t="str">
        <f>data!BU87</f>
        <v> </v>
      </c>
      <c r="BV20" s="5" t="str">
        <f>data!BV87</f>
        <v> </v>
      </c>
      <c r="BW20" s="5" t="str">
        <f>data!BW87</f>
        <v> </v>
      </c>
      <c r="BX20" s="5" t="str">
        <f>data!BX87</f>
        <v> </v>
      </c>
      <c r="BY20" s="5" t="str">
        <f>data!BY87</f>
        <v> </v>
      </c>
      <c r="BZ20" s="5" t="str">
        <f>data!BZ87</f>
        <v> </v>
      </c>
      <c r="CA20" s="5" t="str">
        <f>data!CA87</f>
        <v> </v>
      </c>
      <c r="CB20" s="5" t="str">
        <f>data!CB87</f>
        <v> </v>
      </c>
      <c r="CC20" s="5" t="str">
        <f>data!CC87</f>
        <v> </v>
      </c>
      <c r="CD20" s="5" t="str">
        <f>data!CD87</f>
        <v> </v>
      </c>
      <c r="CE20" s="5" t="str">
        <f>data!CE87</f>
        <v> </v>
      </c>
      <c r="CF20" s="5" t="str">
        <f>data!CF87</f>
        <v> </v>
      </c>
      <c r="CG20" s="5" t="str">
        <f>data!CG87</f>
        <v> </v>
      </c>
      <c r="CH20" s="5" t="str">
        <f>data!CH87</f>
        <v> </v>
      </c>
      <c r="CI20" s="5" t="str">
        <f>data!CI87</f>
        <v> </v>
      </c>
      <c r="CJ20" s="5" t="str">
        <f>data!CJ87</f>
        <v> </v>
      </c>
      <c r="CK20" s="5" t="str">
        <f>data!CK87</f>
        <v> </v>
      </c>
      <c r="CL20" s="5" t="str">
        <f>data!CL87</f>
        <v> </v>
      </c>
      <c r="CM20" s="5" t="str">
        <f>data!CM87</f>
        <v> </v>
      </c>
      <c r="CN20" s="5" t="str">
        <f>data!CN87</f>
        <v> </v>
      </c>
      <c r="CO20" s="5" t="str">
        <f>data!CO87</f>
        <v> </v>
      </c>
      <c r="CP20" s="5" t="str">
        <f>data!CP87</f>
        <v> </v>
      </c>
      <c r="CQ20" s="5" t="str">
        <f>data!CQ87</f>
        <v> </v>
      </c>
      <c r="CR20" s="5" t="str">
        <f>data!CR87</f>
        <v> </v>
      </c>
      <c r="CS20" s="5" t="str">
        <f>data!CS87</f>
        <v> </v>
      </c>
      <c r="CT20" s="5" t="str">
        <f>data!CT87</f>
        <v> </v>
      </c>
      <c r="CU20" s="5" t="str">
        <f>data!CU87</f>
        <v> </v>
      </c>
      <c r="CV20" s="5" t="str">
        <f>data!CV87</f>
        <v> </v>
      </c>
      <c r="CW20" s="5" t="str">
        <f>data!CW87</f>
        <v> </v>
      </c>
      <c r="CX20" s="5" t="str">
        <f>data!CX87</f>
        <v> </v>
      </c>
      <c r="CY20" s="5" t="str">
        <f>data!CY87</f>
        <v> </v>
      </c>
      <c r="CZ20" s="5" t="str">
        <f>data!CZ87</f>
        <v> </v>
      </c>
      <c r="DA20" s="5" t="str">
        <f>data!DA87</f>
        <v> </v>
      </c>
      <c r="DB20" s="5" t="str">
        <f>data!DB87</f>
        <v> </v>
      </c>
      <c r="DC20" s="5" t="str">
        <f>data!DC87</f>
        <v> </v>
      </c>
      <c r="DD20" s="5" t="str">
        <f>data!DD87</f>
        <v> </v>
      </c>
      <c r="DE20" s="5" t="str">
        <f>data!DE87</f>
        <v> </v>
      </c>
      <c r="DF20" s="5" t="str">
        <f>data!DF87</f>
        <v> </v>
      </c>
      <c r="DG20" s="5" t="str">
        <f>data!DG87</f>
        <v> </v>
      </c>
      <c r="DH20" s="5" t="str">
        <f>data!DH87</f>
        <v> </v>
      </c>
      <c r="DI20" s="5" t="str">
        <f>data!DI87</f>
        <v> </v>
      </c>
      <c r="DJ20" s="5" t="str">
        <f>data!DJ87</f>
        <v> </v>
      </c>
      <c r="DK20" s="5" t="str">
        <f>data!DK87</f>
        <v> </v>
      </c>
      <c r="DL20" s="5" t="str">
        <f>data!DL87</f>
        <v> </v>
      </c>
      <c r="DM20" s="5" t="str">
        <f>data!DM87</f>
        <v> </v>
      </c>
      <c r="DN20" s="5" t="str">
        <f>data!DN87</f>
        <v> </v>
      </c>
      <c r="DO20" s="5" t="str">
        <f>data!DO87</f>
        <v> </v>
      </c>
      <c r="DP20" s="5" t="str">
        <f>data!DP87</f>
        <v> </v>
      </c>
      <c r="DQ20" s="5" t="str">
        <f>data!DQ87</f>
        <v> </v>
      </c>
      <c r="DR20" s="5" t="str">
        <f>data!DR87</f>
        <v> </v>
      </c>
      <c r="DS20" s="5" t="str">
        <f>data!DS87</f>
        <v> </v>
      </c>
      <c r="DT20" s="5" t="str">
        <f>data!DT87</f>
        <v> </v>
      </c>
      <c r="DU20" s="5" t="str">
        <f>data!DU87</f>
        <v> </v>
      </c>
      <c r="DV20" s="5" t="str">
        <f>data!DV87</f>
        <v> </v>
      </c>
      <c r="DW20" s="5" t="str">
        <f>data!DW87</f>
        <v> </v>
      </c>
      <c r="DX20" s="5" t="str">
        <f>data!DX87</f>
        <v> </v>
      </c>
      <c r="DY20" s="5" t="str">
        <f>data!DY87</f>
        <v> </v>
      </c>
      <c r="DZ20" s="5" t="str">
        <f>data!DZ87</f>
        <v> </v>
      </c>
      <c r="EA20" s="5" t="str">
        <f>data!EA87</f>
        <v> </v>
      </c>
      <c r="EB20" s="5" t="str">
        <f>data!EB87</f>
        <v> </v>
      </c>
      <c r="EC20" s="5" t="str">
        <f>data!EC87</f>
        <v> </v>
      </c>
      <c r="ED20" s="5" t="str">
        <f>data!ED87</f>
        <v> </v>
      </c>
      <c r="EE20" s="5" t="str">
        <f>data!EE87</f>
        <v> </v>
      </c>
      <c r="EF20" s="5" t="str">
        <f>data!EF87</f>
        <v> </v>
      </c>
      <c r="EG20" s="5" t="str">
        <f>data!EG87</f>
        <v> </v>
      </c>
      <c r="EH20" s="5" t="str">
        <f>data!EH87</f>
        <v> </v>
      </c>
      <c r="EI20" s="5" t="str">
        <f>data!EI87</f>
        <v> </v>
      </c>
      <c r="EJ20" s="5" t="str">
        <f>data!EJ87</f>
        <v> </v>
      </c>
      <c r="EK20" s="5" t="str">
        <f>data!EK87</f>
        <v> </v>
      </c>
      <c r="EL20" s="5" t="str">
        <f>data!EL87</f>
        <v> </v>
      </c>
      <c r="EM20" s="5" t="str">
        <f>data!EM87</f>
        <v> </v>
      </c>
      <c r="EN20" s="5" t="str">
        <f>data!EN87</f>
        <v> </v>
      </c>
      <c r="EO20" s="5" t="str">
        <f>data!EO87</f>
        <v> </v>
      </c>
      <c r="EP20" s="5" t="str">
        <f>data!EP87</f>
        <v> </v>
      </c>
      <c r="EQ20" s="5" t="str">
        <f>data!EQ87</f>
        <v> </v>
      </c>
      <c r="ER20" s="5" t="str">
        <f>data!ER87</f>
        <v> </v>
      </c>
      <c r="ES20" s="5" t="str">
        <f>data!ES87</f>
        <v> </v>
      </c>
      <c r="ET20" s="5" t="str">
        <f>data!ET87</f>
        <v> </v>
      </c>
      <c r="EU20" s="5" t="str">
        <f>data!EU87</f>
        <v> </v>
      </c>
      <c r="EV20" s="5" t="str">
        <f>data!EV87</f>
        <v> </v>
      </c>
      <c r="EW20" s="5" t="str">
        <f>data!EW87</f>
        <v> </v>
      </c>
      <c r="EX20" s="5" t="str">
        <f>data!EX87</f>
        <v> </v>
      </c>
      <c r="EY20" s="5" t="str">
        <f>data!EY87</f>
        <v> </v>
      </c>
      <c r="EZ20" s="5" t="str">
        <f>data!EZ87</f>
        <v> </v>
      </c>
      <c r="FA20" s="5" t="str">
        <f>data!FA87</f>
        <v> </v>
      </c>
      <c r="FB20" s="5" t="str">
        <f>data!FB87</f>
        <v> </v>
      </c>
      <c r="FC20" s="5" t="str">
        <f>data!FC87</f>
        <v> </v>
      </c>
      <c r="FD20" s="5" t="str">
        <f>data!FD87</f>
        <v> </v>
      </c>
      <c r="FE20" s="5" t="str">
        <f>data!FE87</f>
        <v> </v>
      </c>
      <c r="FF20" s="5" t="str">
        <f>data!FF87</f>
        <v> </v>
      </c>
      <c r="FG20" s="5" t="str">
        <f>data!FG87</f>
        <v> </v>
      </c>
      <c r="FH20" s="5" t="str">
        <f>data!FH87</f>
        <v> </v>
      </c>
      <c r="FI20" s="5" t="str">
        <f>data!FI87</f>
        <v> </v>
      </c>
      <c r="FJ20" s="5" t="str">
        <f>data!FJ87</f>
        <v> </v>
      </c>
      <c r="FK20" s="5" t="str">
        <f>data!FK87</f>
        <v> </v>
      </c>
      <c r="FL20" s="5" t="str">
        <f>data!FL87</f>
        <v> </v>
      </c>
      <c r="FM20" s="5" t="str">
        <f>data!FM87</f>
        <v> </v>
      </c>
      <c r="FN20" s="5" t="str">
        <f>data!FN87</f>
        <v> </v>
      </c>
      <c r="FO20" s="5" t="str">
        <f>data!FO87</f>
        <v> </v>
      </c>
      <c r="FP20" s="5" t="str">
        <f>data!FP87</f>
        <v> </v>
      </c>
      <c r="FQ20" s="5" t="str">
        <f>data!FQ87</f>
        <v> </v>
      </c>
      <c r="FR20" s="5" t="str">
        <f>data!FR87</f>
        <v> </v>
      </c>
      <c r="FS20" s="5" t="str">
        <f>data!FS87</f>
        <v> </v>
      </c>
      <c r="FT20" s="5" t="str">
        <f>data!FT87</f>
        <v> </v>
      </c>
      <c r="FU20" s="5" t="str">
        <f>data!FU87</f>
        <v> </v>
      </c>
      <c r="FV20" s="5" t="str">
        <f>data!FV87</f>
        <v> </v>
      </c>
      <c r="FW20" s="5" t="str">
        <f>data!FW87</f>
        <v> </v>
      </c>
      <c r="FX20" s="5" t="str">
        <f>data!FX87</f>
        <v> </v>
      </c>
      <c r="FY20" s="5" t="str">
        <f>data!FY87</f>
        <v> </v>
      </c>
      <c r="FZ20" s="5" t="str">
        <f>data!FZ87</f>
        <v> </v>
      </c>
      <c r="GA20" s="5" t="str">
        <f>data!GA87</f>
        <v> </v>
      </c>
      <c r="GB20" s="5" t="str">
        <f>data!GB87</f>
        <v> </v>
      </c>
      <c r="GC20" s="5" t="str">
        <f>data!GC87</f>
        <v> </v>
      </c>
      <c r="GD20" s="5" t="str">
        <f>data!GD87</f>
        <v> </v>
      </c>
      <c r="GE20" s="5" t="str">
        <f>data!GE87</f>
        <v> </v>
      </c>
      <c r="GF20" s="5" t="str">
        <f>data!GF87</f>
        <v> </v>
      </c>
      <c r="GG20" s="5" t="str">
        <f>data!GG87</f>
        <v> </v>
      </c>
      <c r="GH20" s="5" t="str">
        <f>data!GH87</f>
        <v> </v>
      </c>
      <c r="GI20" s="5" t="str">
        <f>data!GI87</f>
        <v> </v>
      </c>
      <c r="GJ20" s="5" t="str">
        <f>data!GJ87</f>
        <v> </v>
      </c>
      <c r="GK20" s="5" t="str">
        <f>data!GK87</f>
        <v> </v>
      </c>
      <c r="GL20" s="5" t="str">
        <f>data!GL87</f>
        <v> </v>
      </c>
      <c r="GM20" s="5" t="str">
        <f>data!GM87</f>
        <v> </v>
      </c>
      <c r="GN20" s="5" t="str">
        <f>data!GN87</f>
        <v> </v>
      </c>
      <c r="GO20" s="5" t="str">
        <f>data!GO87</f>
        <v> </v>
      </c>
      <c r="GP20" s="5" t="str">
        <f>data!GP87</f>
        <v> </v>
      </c>
      <c r="GQ20" s="5" t="str">
        <f>data!GQ87</f>
        <v> </v>
      </c>
      <c r="GR20" s="5" t="str">
        <f>data!GR87</f>
        <v> </v>
      </c>
      <c r="GS20" s="5" t="str">
        <f>data!GS87</f>
        <v> </v>
      </c>
      <c r="GT20" s="5" t="str">
        <f>data!GT87</f>
        <v> </v>
      </c>
      <c r="GU20" s="5" t="str">
        <f>data!GU87</f>
        <v> </v>
      </c>
      <c r="GV20" s="5" t="str">
        <f>data!GV87</f>
        <v> </v>
      </c>
      <c r="GW20" s="5" t="str">
        <f>data!GW87</f>
        <v> </v>
      </c>
      <c r="GX20" s="5" t="str">
        <f>data!GX87</f>
        <v> </v>
      </c>
      <c r="GY20" s="5" t="str">
        <f>data!GY87</f>
        <v> </v>
      </c>
      <c r="GZ20" s="5" t="str">
        <f>data!GZ87</f>
        <v> </v>
      </c>
      <c r="HA20" s="5" t="str">
        <f>data!HA87</f>
        <v> </v>
      </c>
      <c r="HB20" s="5" t="str">
        <f>data!HB87</f>
        <v> </v>
      </c>
      <c r="HC20" s="5" t="str">
        <f>data!HC87</f>
        <v> </v>
      </c>
      <c r="HD20" s="5" t="str">
        <f>data!HD87</f>
        <v> </v>
      </c>
      <c r="HE20" s="5" t="str">
        <f>data!HE87</f>
        <v> </v>
      </c>
      <c r="HF20" s="5" t="str">
        <f>data!HF87</f>
        <v> </v>
      </c>
      <c r="HG20" s="5" t="str">
        <f>data!HG87</f>
        <v> </v>
      </c>
      <c r="HH20" s="5" t="str">
        <f>data!HH87</f>
        <v> </v>
      </c>
      <c r="HI20" s="5" t="str">
        <f>data!HI87</f>
        <v> </v>
      </c>
      <c r="HJ20" s="5" t="str">
        <f>data!HJ87</f>
        <v> </v>
      </c>
      <c r="HK20" s="5" t="str">
        <f>data!HK87</f>
        <v> </v>
      </c>
      <c r="HL20" s="5" t="str">
        <f>data!HL87</f>
        <v> </v>
      </c>
      <c r="HM20" s="5" t="str">
        <f>data!HM87</f>
        <v> </v>
      </c>
      <c r="HN20" s="5" t="str">
        <f>data!HN87</f>
        <v> </v>
      </c>
      <c r="HO20" s="5" t="str">
        <f>data!HO87</f>
        <v> </v>
      </c>
      <c r="HP20" s="5" t="str">
        <f>data!HP87</f>
        <v> </v>
      </c>
      <c r="HQ20" s="5" t="str">
        <f>data!HQ87</f>
        <v> </v>
      </c>
      <c r="HR20" s="5" t="str">
        <f>data!HR87</f>
        <v> </v>
      </c>
      <c r="HS20" s="5" t="str">
        <f>data!HS87</f>
        <v> </v>
      </c>
      <c r="HT20" s="5" t="str">
        <f>data!HT87</f>
        <v> </v>
      </c>
      <c r="HU20" s="5" t="str">
        <f>data!HU87</f>
        <v> </v>
      </c>
      <c r="HV20" s="5" t="str">
        <f>data!HV87</f>
        <v> </v>
      </c>
      <c r="HW20" s="5" t="str">
        <f>data!HW87</f>
        <v> </v>
      </c>
      <c r="HX20" s="5" t="str">
        <f>data!HX87</f>
        <v> </v>
      </c>
      <c r="HY20" s="5" t="str">
        <f>data!HY87</f>
        <v> </v>
      </c>
      <c r="HZ20" s="5" t="str">
        <f>data!HZ87</f>
        <v> </v>
      </c>
      <c r="IA20" s="5" t="str">
        <f>data!IA87</f>
        <v> </v>
      </c>
      <c r="IB20" s="5" t="str">
        <f>data!IB87</f>
        <v> </v>
      </c>
      <c r="IC20" s="5" t="str">
        <f>data!IC87</f>
        <v> </v>
      </c>
      <c r="ID20" s="5" t="str">
        <f>data!ID87</f>
        <v> </v>
      </c>
      <c r="IE20" s="5" t="str">
        <f>data!IE87</f>
        <v> </v>
      </c>
      <c r="IF20" s="5" t="str">
        <f>data!IF87</f>
        <v> </v>
      </c>
      <c r="IG20" s="5" t="str">
        <f>data!IG87</f>
        <v> </v>
      </c>
      <c r="IH20" s="5" t="str">
        <f>data!IH87</f>
        <v> </v>
      </c>
      <c r="II20" s="5" t="str">
        <f>data!II87</f>
        <v> </v>
      </c>
      <c r="IJ20" s="5" t="str">
        <f>data!IJ87</f>
        <v> </v>
      </c>
      <c r="IK20" s="5" t="str">
        <f>data!IK87</f>
        <v> </v>
      </c>
      <c r="IL20" s="5" t="str">
        <f>data!IL87</f>
        <v> </v>
      </c>
      <c r="IM20" s="5" t="str">
        <f>data!IM87</f>
        <v> </v>
      </c>
      <c r="IN20" s="5" t="str">
        <f>data!IN87</f>
        <v> </v>
      </c>
      <c r="IO20" s="5" t="str">
        <f>data!IO87</f>
        <v> </v>
      </c>
      <c r="IP20" s="5" t="str">
        <f>data!IP87</f>
        <v> </v>
      </c>
      <c r="IQ20" s="5" t="str">
        <f>data!IQ87</f>
        <v> </v>
      </c>
      <c r="IR20" s="5" t="str">
        <f>data!IR87</f>
        <v> </v>
      </c>
      <c r="IS20" s="5" t="str">
        <f>data!IS87</f>
        <v> </v>
      </c>
      <c r="IT20" s="5" t="str">
        <f>data!IT87</f>
        <v> </v>
      </c>
      <c r="IU20" s="5" t="str">
        <f>data!IU87</f>
        <v> </v>
      </c>
      <c r="IV20" s="5" t="str">
        <f>data!IV87</f>
        <v> </v>
      </c>
      <c r="IW20" s="5" t="str">
        <f>data!IW87</f>
        <v> </v>
      </c>
      <c r="IX20" s="5" t="str">
        <f>data!IX87</f>
        <v> </v>
      </c>
      <c r="IY20" s="5" t="str">
        <f>data!IY87</f>
        <v> </v>
      </c>
      <c r="IZ20" s="5" t="str">
        <f>data!IZ87</f>
        <v> </v>
      </c>
      <c r="JA20" s="5" t="str">
        <f>data!JA87</f>
        <v> </v>
      </c>
      <c r="JB20" s="5" t="str">
        <f>data!JB87</f>
        <v> </v>
      </c>
      <c r="JC20" s="5" t="str">
        <f>data!JC87</f>
        <v> </v>
      </c>
      <c r="JD20" s="5" t="str">
        <f>data!JD87</f>
        <v> </v>
      </c>
      <c r="JE20" s="5" t="str">
        <f>data!JE87</f>
        <v> </v>
      </c>
    </row>
    <row r="21" ht="22.5" customHeight="1">
      <c r="A21" s="4" t="str">
        <f>data!A88</f>
        <v/>
      </c>
      <c r="B21" s="5" t="str">
        <f>data!B88</f>
        <v> </v>
      </c>
      <c r="C21" s="5" t="str">
        <f>data!C88</f>
        <v> </v>
      </c>
      <c r="D21" s="5" t="str">
        <f>data!D88</f>
        <v> </v>
      </c>
      <c r="E21" s="5" t="str">
        <f>data!E88</f>
        <v> </v>
      </c>
      <c r="F21" s="5" t="str">
        <f>data!F88</f>
        <v> </v>
      </c>
      <c r="G21" s="5" t="str">
        <f>data!G88</f>
        <v> </v>
      </c>
      <c r="H21" s="5" t="str">
        <f>data!H88</f>
        <v> </v>
      </c>
      <c r="I21" s="5" t="str">
        <f>data!I88</f>
        <v> </v>
      </c>
      <c r="J21" s="5" t="str">
        <f>data!J88</f>
        <v> </v>
      </c>
      <c r="K21" s="5" t="str">
        <f>data!K88</f>
        <v> </v>
      </c>
      <c r="L21" s="5" t="str">
        <f>data!L88</f>
        <v> </v>
      </c>
      <c r="M21" s="5" t="str">
        <f>data!M88</f>
        <v> </v>
      </c>
      <c r="N21" s="5" t="str">
        <f>data!N88</f>
        <v> </v>
      </c>
      <c r="O21" s="5" t="str">
        <f>data!O88</f>
        <v> </v>
      </c>
      <c r="P21" s="5" t="str">
        <f>data!P88</f>
        <v> </v>
      </c>
      <c r="Q21" s="5" t="str">
        <f>data!Q88</f>
        <v> </v>
      </c>
      <c r="R21" s="5" t="str">
        <f>data!R88</f>
        <v> </v>
      </c>
      <c r="S21" s="5" t="str">
        <f>data!S88</f>
        <v> </v>
      </c>
      <c r="T21" s="5" t="str">
        <f>data!T88</f>
        <v> </v>
      </c>
      <c r="U21" s="5" t="str">
        <f>data!U88</f>
        <v> </v>
      </c>
      <c r="V21" s="5" t="str">
        <f>data!V88</f>
        <v> </v>
      </c>
      <c r="W21" s="5" t="str">
        <f>data!W88</f>
        <v> </v>
      </c>
      <c r="X21" s="5" t="str">
        <f>data!X88</f>
        <v> </v>
      </c>
      <c r="Y21" s="5" t="str">
        <f>data!Y88</f>
        <v> </v>
      </c>
      <c r="Z21" s="5" t="str">
        <f>data!Z88</f>
        <v> </v>
      </c>
      <c r="AA21" s="5" t="str">
        <f>data!AA88</f>
        <v> </v>
      </c>
      <c r="AB21" s="5" t="str">
        <f>data!AB88</f>
        <v> </v>
      </c>
      <c r="AC21" s="5" t="str">
        <f>data!AC88</f>
        <v> </v>
      </c>
      <c r="AD21" s="5" t="str">
        <f>data!AD88</f>
        <v> </v>
      </c>
      <c r="AE21" s="5" t="str">
        <f>data!AE88</f>
        <v> </v>
      </c>
      <c r="AF21" s="5" t="str">
        <f>data!AF88</f>
        <v> </v>
      </c>
      <c r="AG21" s="5" t="str">
        <f>data!AG88</f>
        <v> </v>
      </c>
      <c r="AH21" s="5" t="str">
        <f>data!AH88</f>
        <v> </v>
      </c>
      <c r="AI21" s="5" t="str">
        <f>data!AI88</f>
        <v> </v>
      </c>
      <c r="AJ21" s="5" t="str">
        <f>data!AJ88</f>
        <v> </v>
      </c>
      <c r="AK21" s="5" t="str">
        <f>data!AK88</f>
        <v> </v>
      </c>
      <c r="AL21" s="5" t="str">
        <f>data!AL88</f>
        <v> </v>
      </c>
      <c r="AM21" s="5" t="str">
        <f>data!AM88</f>
        <v> </v>
      </c>
      <c r="AN21" s="5" t="str">
        <f>data!AN88</f>
        <v> </v>
      </c>
      <c r="AO21" s="5" t="str">
        <f>data!AO88</f>
        <v> </v>
      </c>
      <c r="AP21" s="5" t="str">
        <f>data!AP88</f>
        <v> </v>
      </c>
      <c r="AQ21" s="5" t="str">
        <f>data!AQ88</f>
        <v> </v>
      </c>
      <c r="AR21" s="5" t="str">
        <f>data!AR88</f>
        <v> </v>
      </c>
      <c r="AS21" s="5" t="str">
        <f>data!AS88</f>
        <v> </v>
      </c>
      <c r="AT21" s="5" t="str">
        <f>data!AT88</f>
        <v> </v>
      </c>
      <c r="AU21" s="5" t="str">
        <f>data!AU88</f>
        <v> </v>
      </c>
      <c r="AV21" s="5" t="str">
        <f>data!AV88</f>
        <v> </v>
      </c>
      <c r="AW21" s="5" t="str">
        <f>data!AW88</f>
        <v> </v>
      </c>
      <c r="AX21" s="5" t="str">
        <f>data!AX88</f>
        <v> </v>
      </c>
      <c r="AY21" s="5" t="str">
        <f>data!AY88</f>
        <v> </v>
      </c>
      <c r="AZ21" s="5" t="str">
        <f>data!AZ88</f>
        <v> </v>
      </c>
      <c r="BA21" s="5" t="str">
        <f>data!BA88</f>
        <v> </v>
      </c>
      <c r="BB21" s="5" t="str">
        <f>data!BB88</f>
        <v> </v>
      </c>
      <c r="BC21" s="5" t="str">
        <f>data!BC88</f>
        <v> </v>
      </c>
      <c r="BD21" s="5" t="str">
        <f>data!BD88</f>
        <v> </v>
      </c>
      <c r="BE21" s="5" t="str">
        <f>data!BE88</f>
        <v> </v>
      </c>
      <c r="BF21" s="5" t="str">
        <f>data!BF88</f>
        <v> </v>
      </c>
      <c r="BG21" s="5" t="str">
        <f>data!BG88</f>
        <v> </v>
      </c>
      <c r="BH21" s="5" t="str">
        <f>data!BH88</f>
        <v> </v>
      </c>
      <c r="BI21" s="5" t="str">
        <f>data!BI88</f>
        <v> </v>
      </c>
      <c r="BJ21" s="5" t="str">
        <f>data!BJ88</f>
        <v> </v>
      </c>
      <c r="BK21" s="5" t="str">
        <f>data!BK88</f>
        <v> </v>
      </c>
      <c r="BL21" s="5" t="str">
        <f>data!BL88</f>
        <v> </v>
      </c>
      <c r="BM21" s="5" t="str">
        <f>data!BM88</f>
        <v> </v>
      </c>
      <c r="BN21" s="5" t="str">
        <f>data!BN88</f>
        <v> </v>
      </c>
      <c r="BO21" s="5" t="str">
        <f>data!BO88</f>
        <v> </v>
      </c>
      <c r="BP21" s="5" t="str">
        <f>data!BP88</f>
        <v> </v>
      </c>
      <c r="BQ21" s="5" t="str">
        <f>data!BQ88</f>
        <v> </v>
      </c>
      <c r="BR21" s="5" t="str">
        <f>data!BR88</f>
        <v> </v>
      </c>
      <c r="BS21" s="5" t="str">
        <f>data!BS88</f>
        <v> </v>
      </c>
      <c r="BT21" s="5" t="str">
        <f>data!BT88</f>
        <v> </v>
      </c>
      <c r="BU21" s="5" t="str">
        <f>data!BU88</f>
        <v> </v>
      </c>
      <c r="BV21" s="5" t="str">
        <f>data!BV88</f>
        <v> </v>
      </c>
      <c r="BW21" s="5" t="str">
        <f>data!BW88</f>
        <v> </v>
      </c>
      <c r="BX21" s="5" t="str">
        <f>data!BX88</f>
        <v> </v>
      </c>
      <c r="BY21" s="5" t="str">
        <f>data!BY88</f>
        <v> </v>
      </c>
      <c r="BZ21" s="5" t="str">
        <f>data!BZ88</f>
        <v> </v>
      </c>
      <c r="CA21" s="5" t="str">
        <f>data!CA88</f>
        <v> </v>
      </c>
      <c r="CB21" s="5" t="str">
        <f>data!CB88</f>
        <v> </v>
      </c>
      <c r="CC21" s="5" t="str">
        <f>data!CC88</f>
        <v> </v>
      </c>
      <c r="CD21" s="5" t="str">
        <f>data!CD88</f>
        <v> </v>
      </c>
      <c r="CE21" s="5" t="str">
        <f>data!CE88</f>
        <v> </v>
      </c>
      <c r="CF21" s="5" t="str">
        <f>data!CF88</f>
        <v> </v>
      </c>
      <c r="CG21" s="5" t="str">
        <f>data!CG88</f>
        <v> </v>
      </c>
      <c r="CH21" s="5" t="str">
        <f>data!CH88</f>
        <v> </v>
      </c>
      <c r="CI21" s="5" t="str">
        <f>data!CI88</f>
        <v> </v>
      </c>
      <c r="CJ21" s="5" t="str">
        <f>data!CJ88</f>
        <v> </v>
      </c>
      <c r="CK21" s="5" t="str">
        <f>data!CK88</f>
        <v> </v>
      </c>
      <c r="CL21" s="5" t="str">
        <f>data!CL88</f>
        <v> </v>
      </c>
      <c r="CM21" s="5" t="str">
        <f>data!CM88</f>
        <v> </v>
      </c>
      <c r="CN21" s="5" t="str">
        <f>data!CN88</f>
        <v> </v>
      </c>
      <c r="CO21" s="5" t="str">
        <f>data!CO88</f>
        <v> </v>
      </c>
      <c r="CP21" s="5" t="str">
        <f>data!CP88</f>
        <v> </v>
      </c>
      <c r="CQ21" s="5" t="str">
        <f>data!CQ88</f>
        <v> </v>
      </c>
      <c r="CR21" s="5" t="str">
        <f>data!CR88</f>
        <v> </v>
      </c>
      <c r="CS21" s="5" t="str">
        <f>data!CS88</f>
        <v> </v>
      </c>
      <c r="CT21" s="5" t="str">
        <f>data!CT88</f>
        <v> </v>
      </c>
      <c r="CU21" s="5" t="str">
        <f>data!CU88</f>
        <v> </v>
      </c>
      <c r="CV21" s="5" t="str">
        <f>data!CV88</f>
        <v> </v>
      </c>
      <c r="CW21" s="5" t="str">
        <f>data!CW88</f>
        <v> </v>
      </c>
      <c r="CX21" s="5" t="str">
        <f>data!CX88</f>
        <v> </v>
      </c>
      <c r="CY21" s="5" t="str">
        <f>data!CY88</f>
        <v> </v>
      </c>
      <c r="CZ21" s="5" t="str">
        <f>data!CZ88</f>
        <v> </v>
      </c>
      <c r="DA21" s="5" t="str">
        <f>data!DA88</f>
        <v> </v>
      </c>
      <c r="DB21" s="5" t="str">
        <f>data!DB88</f>
        <v> </v>
      </c>
      <c r="DC21" s="5" t="str">
        <f>data!DC88</f>
        <v> </v>
      </c>
      <c r="DD21" s="5" t="str">
        <f>data!DD88</f>
        <v> </v>
      </c>
      <c r="DE21" s="5" t="str">
        <f>data!DE88</f>
        <v> </v>
      </c>
      <c r="DF21" s="5" t="str">
        <f>data!DF88</f>
        <v> </v>
      </c>
      <c r="DG21" s="5" t="str">
        <f>data!DG88</f>
        <v> </v>
      </c>
      <c r="DH21" s="5" t="str">
        <f>data!DH88</f>
        <v> </v>
      </c>
      <c r="DI21" s="5" t="str">
        <f>data!DI88</f>
        <v> </v>
      </c>
      <c r="DJ21" s="5" t="str">
        <f>data!DJ88</f>
        <v> </v>
      </c>
      <c r="DK21" s="5" t="str">
        <f>data!DK88</f>
        <v> </v>
      </c>
      <c r="DL21" s="5" t="str">
        <f>data!DL88</f>
        <v> </v>
      </c>
      <c r="DM21" s="5" t="str">
        <f>data!DM88</f>
        <v> </v>
      </c>
      <c r="DN21" s="5" t="str">
        <f>data!DN88</f>
        <v> </v>
      </c>
      <c r="DO21" s="5" t="str">
        <f>data!DO88</f>
        <v> </v>
      </c>
      <c r="DP21" s="5" t="str">
        <f>data!DP88</f>
        <v> </v>
      </c>
      <c r="DQ21" s="5" t="str">
        <f>data!DQ88</f>
        <v> </v>
      </c>
      <c r="DR21" s="5" t="str">
        <f>data!DR88</f>
        <v> </v>
      </c>
      <c r="DS21" s="5" t="str">
        <f>data!DS88</f>
        <v> </v>
      </c>
      <c r="DT21" s="5" t="str">
        <f>data!DT88</f>
        <v> </v>
      </c>
      <c r="DU21" s="5" t="str">
        <f>data!DU88</f>
        <v> </v>
      </c>
      <c r="DV21" s="5" t="str">
        <f>data!DV88</f>
        <v> </v>
      </c>
      <c r="DW21" s="5" t="str">
        <f>data!DW88</f>
        <v> </v>
      </c>
      <c r="DX21" s="5" t="str">
        <f>data!DX88</f>
        <v> </v>
      </c>
      <c r="DY21" s="5" t="str">
        <f>data!DY88</f>
        <v> </v>
      </c>
      <c r="DZ21" s="5" t="str">
        <f>data!DZ88</f>
        <v> </v>
      </c>
      <c r="EA21" s="5" t="str">
        <f>data!EA88</f>
        <v> </v>
      </c>
      <c r="EB21" s="5" t="str">
        <f>data!EB88</f>
        <v> </v>
      </c>
      <c r="EC21" s="5" t="str">
        <f>data!EC88</f>
        <v> </v>
      </c>
      <c r="ED21" s="5" t="str">
        <f>data!ED88</f>
        <v> </v>
      </c>
      <c r="EE21" s="5" t="str">
        <f>data!EE88</f>
        <v> </v>
      </c>
      <c r="EF21" s="5" t="str">
        <f>data!EF88</f>
        <v> </v>
      </c>
      <c r="EG21" s="5" t="str">
        <f>data!EG88</f>
        <v> </v>
      </c>
      <c r="EH21" s="5" t="str">
        <f>data!EH88</f>
        <v> </v>
      </c>
      <c r="EI21" s="5" t="str">
        <f>data!EI88</f>
        <v> </v>
      </c>
      <c r="EJ21" s="5" t="str">
        <f>data!EJ88</f>
        <v> </v>
      </c>
      <c r="EK21" s="5" t="str">
        <f>data!EK88</f>
        <v> </v>
      </c>
      <c r="EL21" s="5" t="str">
        <f>data!EL88</f>
        <v> </v>
      </c>
      <c r="EM21" s="5" t="str">
        <f>data!EM88</f>
        <v> </v>
      </c>
      <c r="EN21" s="5" t="str">
        <f>data!EN88</f>
        <v> </v>
      </c>
      <c r="EO21" s="5" t="str">
        <f>data!EO88</f>
        <v> </v>
      </c>
      <c r="EP21" s="5" t="str">
        <f>data!EP88</f>
        <v> </v>
      </c>
      <c r="EQ21" s="5" t="str">
        <f>data!EQ88</f>
        <v> </v>
      </c>
      <c r="ER21" s="5" t="str">
        <f>data!ER88</f>
        <v> </v>
      </c>
      <c r="ES21" s="5" t="str">
        <f>data!ES88</f>
        <v> </v>
      </c>
      <c r="ET21" s="5" t="str">
        <f>data!ET88</f>
        <v> </v>
      </c>
      <c r="EU21" s="5" t="str">
        <f>data!EU88</f>
        <v> </v>
      </c>
      <c r="EV21" s="5" t="str">
        <f>data!EV88</f>
        <v> </v>
      </c>
      <c r="EW21" s="5" t="str">
        <f>data!EW88</f>
        <v> </v>
      </c>
      <c r="EX21" s="5" t="str">
        <f>data!EX88</f>
        <v> </v>
      </c>
      <c r="EY21" s="5" t="str">
        <f>data!EY88</f>
        <v> </v>
      </c>
      <c r="EZ21" s="5" t="str">
        <f>data!EZ88</f>
        <v> </v>
      </c>
      <c r="FA21" s="5" t="str">
        <f>data!FA88</f>
        <v> </v>
      </c>
      <c r="FB21" s="5" t="str">
        <f>data!FB88</f>
        <v> </v>
      </c>
      <c r="FC21" s="5" t="str">
        <f>data!FC88</f>
        <v> </v>
      </c>
      <c r="FD21" s="5" t="str">
        <f>data!FD88</f>
        <v> </v>
      </c>
      <c r="FE21" s="5" t="str">
        <f>data!FE88</f>
        <v> </v>
      </c>
      <c r="FF21" s="5" t="str">
        <f>data!FF88</f>
        <v> </v>
      </c>
      <c r="FG21" s="5" t="str">
        <f>data!FG88</f>
        <v> </v>
      </c>
      <c r="FH21" s="5" t="str">
        <f>data!FH88</f>
        <v> </v>
      </c>
      <c r="FI21" s="5" t="str">
        <f>data!FI88</f>
        <v> </v>
      </c>
      <c r="FJ21" s="5" t="str">
        <f>data!FJ88</f>
        <v> </v>
      </c>
      <c r="FK21" s="5" t="str">
        <f>data!FK88</f>
        <v> </v>
      </c>
      <c r="FL21" s="5" t="str">
        <f>data!FL88</f>
        <v> </v>
      </c>
      <c r="FM21" s="5" t="str">
        <f>data!FM88</f>
        <v> </v>
      </c>
      <c r="FN21" s="5" t="str">
        <f>data!FN88</f>
        <v> </v>
      </c>
      <c r="FO21" s="5" t="str">
        <f>data!FO88</f>
        <v> </v>
      </c>
      <c r="FP21" s="5" t="str">
        <f>data!FP88</f>
        <v> </v>
      </c>
      <c r="FQ21" s="5" t="str">
        <f>data!FQ88</f>
        <v> </v>
      </c>
      <c r="FR21" s="5" t="str">
        <f>data!FR88</f>
        <v> </v>
      </c>
      <c r="FS21" s="5" t="str">
        <f>data!FS88</f>
        <v> </v>
      </c>
      <c r="FT21" s="5" t="str">
        <f>data!FT88</f>
        <v> </v>
      </c>
      <c r="FU21" s="5" t="str">
        <f>data!FU88</f>
        <v> </v>
      </c>
      <c r="FV21" s="5" t="str">
        <f>data!FV88</f>
        <v> </v>
      </c>
      <c r="FW21" s="5" t="str">
        <f>data!FW88</f>
        <v> </v>
      </c>
      <c r="FX21" s="5" t="str">
        <f>data!FX88</f>
        <v> </v>
      </c>
      <c r="FY21" s="5" t="str">
        <f>data!FY88</f>
        <v> </v>
      </c>
      <c r="FZ21" s="5" t="str">
        <f>data!FZ88</f>
        <v> </v>
      </c>
      <c r="GA21" s="5" t="str">
        <f>data!GA88</f>
        <v> </v>
      </c>
      <c r="GB21" s="5" t="str">
        <f>data!GB88</f>
        <v> </v>
      </c>
      <c r="GC21" s="5" t="str">
        <f>data!GC88</f>
        <v> </v>
      </c>
      <c r="GD21" s="5" t="str">
        <f>data!GD88</f>
        <v> </v>
      </c>
      <c r="GE21" s="5" t="str">
        <f>data!GE88</f>
        <v> </v>
      </c>
      <c r="GF21" s="5" t="str">
        <f>data!GF88</f>
        <v> </v>
      </c>
      <c r="GG21" s="5" t="str">
        <f>data!GG88</f>
        <v> </v>
      </c>
      <c r="GH21" s="5" t="str">
        <f>data!GH88</f>
        <v> </v>
      </c>
      <c r="GI21" s="5" t="str">
        <f>data!GI88</f>
        <v> </v>
      </c>
      <c r="GJ21" s="5" t="str">
        <f>data!GJ88</f>
        <v> </v>
      </c>
      <c r="GK21" s="5" t="str">
        <f>data!GK88</f>
        <v> </v>
      </c>
      <c r="GL21" s="5" t="str">
        <f>data!GL88</f>
        <v> </v>
      </c>
      <c r="GM21" s="5" t="str">
        <f>data!GM88</f>
        <v> </v>
      </c>
      <c r="GN21" s="5" t="str">
        <f>data!GN88</f>
        <v> </v>
      </c>
      <c r="GO21" s="5" t="str">
        <f>data!GO88</f>
        <v> </v>
      </c>
      <c r="GP21" s="5" t="str">
        <f>data!GP88</f>
        <v> </v>
      </c>
      <c r="GQ21" s="5" t="str">
        <f>data!GQ88</f>
        <v> </v>
      </c>
      <c r="GR21" s="5" t="str">
        <f>data!GR88</f>
        <v> </v>
      </c>
      <c r="GS21" s="5" t="str">
        <f>data!GS88</f>
        <v> </v>
      </c>
      <c r="GT21" s="5" t="str">
        <f>data!GT88</f>
        <v> </v>
      </c>
      <c r="GU21" s="5" t="str">
        <f>data!GU88</f>
        <v> </v>
      </c>
      <c r="GV21" s="5" t="str">
        <f>data!GV88</f>
        <v> </v>
      </c>
      <c r="GW21" s="5" t="str">
        <f>data!GW88</f>
        <v> </v>
      </c>
      <c r="GX21" s="5" t="str">
        <f>data!GX88</f>
        <v> </v>
      </c>
      <c r="GY21" s="5" t="str">
        <f>data!GY88</f>
        <v> </v>
      </c>
      <c r="GZ21" s="5" t="str">
        <f>data!GZ88</f>
        <v> </v>
      </c>
      <c r="HA21" s="5" t="str">
        <f>data!HA88</f>
        <v> </v>
      </c>
      <c r="HB21" s="5" t="str">
        <f>data!HB88</f>
        <v> </v>
      </c>
      <c r="HC21" s="5" t="str">
        <f>data!HC88</f>
        <v> </v>
      </c>
      <c r="HD21" s="5" t="str">
        <f>data!HD88</f>
        <v> </v>
      </c>
      <c r="HE21" s="5" t="str">
        <f>data!HE88</f>
        <v> </v>
      </c>
      <c r="HF21" s="5" t="str">
        <f>data!HF88</f>
        <v> </v>
      </c>
      <c r="HG21" s="5" t="str">
        <f>data!HG88</f>
        <v> </v>
      </c>
      <c r="HH21" s="5" t="str">
        <f>data!HH88</f>
        <v> </v>
      </c>
      <c r="HI21" s="5" t="str">
        <f>data!HI88</f>
        <v> </v>
      </c>
      <c r="HJ21" s="5" t="str">
        <f>data!HJ88</f>
        <v> </v>
      </c>
      <c r="HK21" s="5" t="str">
        <f>data!HK88</f>
        <v> </v>
      </c>
      <c r="HL21" s="5" t="str">
        <f>data!HL88</f>
        <v> </v>
      </c>
      <c r="HM21" s="5" t="str">
        <f>data!HM88</f>
        <v> </v>
      </c>
      <c r="HN21" s="5" t="str">
        <f>data!HN88</f>
        <v> </v>
      </c>
      <c r="HO21" s="5" t="str">
        <f>data!HO88</f>
        <v> </v>
      </c>
      <c r="HP21" s="5" t="str">
        <f>data!HP88</f>
        <v> </v>
      </c>
      <c r="HQ21" s="5" t="str">
        <f>data!HQ88</f>
        <v> </v>
      </c>
      <c r="HR21" s="5" t="str">
        <f>data!HR88</f>
        <v> </v>
      </c>
      <c r="HS21" s="5" t="str">
        <f>data!HS88</f>
        <v> </v>
      </c>
      <c r="HT21" s="5" t="str">
        <f>data!HT88</f>
        <v> </v>
      </c>
      <c r="HU21" s="5" t="str">
        <f>data!HU88</f>
        <v> </v>
      </c>
      <c r="HV21" s="5" t="str">
        <f>data!HV88</f>
        <v> </v>
      </c>
      <c r="HW21" s="5" t="str">
        <f>data!HW88</f>
        <v> </v>
      </c>
      <c r="HX21" s="5" t="str">
        <f>data!HX88</f>
        <v> </v>
      </c>
      <c r="HY21" s="5" t="str">
        <f>data!HY88</f>
        <v> </v>
      </c>
      <c r="HZ21" s="5" t="str">
        <f>data!HZ88</f>
        <v> </v>
      </c>
      <c r="IA21" s="5" t="str">
        <f>data!IA88</f>
        <v> </v>
      </c>
      <c r="IB21" s="5" t="str">
        <f>data!IB88</f>
        <v> </v>
      </c>
      <c r="IC21" s="5" t="str">
        <f>data!IC88</f>
        <v> </v>
      </c>
      <c r="ID21" s="5" t="str">
        <f>data!ID88</f>
        <v> </v>
      </c>
      <c r="IE21" s="5" t="str">
        <f>data!IE88</f>
        <v> </v>
      </c>
      <c r="IF21" s="5" t="str">
        <f>data!IF88</f>
        <v> </v>
      </c>
      <c r="IG21" s="5" t="str">
        <f>data!IG88</f>
        <v> </v>
      </c>
      <c r="IH21" s="5" t="str">
        <f>data!IH88</f>
        <v> </v>
      </c>
      <c r="II21" s="5" t="str">
        <f>data!II88</f>
        <v> </v>
      </c>
      <c r="IJ21" s="5" t="str">
        <f>data!IJ88</f>
        <v> </v>
      </c>
      <c r="IK21" s="5" t="str">
        <f>data!IK88</f>
        <v> </v>
      </c>
      <c r="IL21" s="5" t="str">
        <f>data!IL88</f>
        <v> </v>
      </c>
      <c r="IM21" s="5" t="str">
        <f>data!IM88</f>
        <v> </v>
      </c>
      <c r="IN21" s="5" t="str">
        <f>data!IN88</f>
        <v> </v>
      </c>
      <c r="IO21" s="5" t="str">
        <f>data!IO88</f>
        <v> </v>
      </c>
      <c r="IP21" s="5" t="str">
        <f>data!IP88</f>
        <v> </v>
      </c>
      <c r="IQ21" s="5" t="str">
        <f>data!IQ88</f>
        <v> </v>
      </c>
      <c r="IR21" s="5" t="str">
        <f>data!IR88</f>
        <v> </v>
      </c>
      <c r="IS21" s="5" t="str">
        <f>data!IS88</f>
        <v> </v>
      </c>
      <c r="IT21" s="5" t="str">
        <f>data!IT88</f>
        <v> </v>
      </c>
      <c r="IU21" s="5" t="str">
        <f>data!IU88</f>
        <v> </v>
      </c>
      <c r="IV21" s="5" t="str">
        <f>data!IV88</f>
        <v> </v>
      </c>
      <c r="IW21" s="5" t="str">
        <f>data!IW88</f>
        <v> </v>
      </c>
      <c r="IX21" s="5" t="str">
        <f>data!IX88</f>
        <v> </v>
      </c>
      <c r="IY21" s="5" t="str">
        <f>data!IY88</f>
        <v> </v>
      </c>
      <c r="IZ21" s="5" t="str">
        <f>data!IZ88</f>
        <v> </v>
      </c>
      <c r="JA21" s="5" t="str">
        <f>data!JA88</f>
        <v> </v>
      </c>
      <c r="JB21" s="5" t="str">
        <f>data!JB88</f>
        <v> </v>
      </c>
      <c r="JC21" s="5" t="str">
        <f>data!JC88</f>
        <v> </v>
      </c>
      <c r="JD21" s="5" t="str">
        <f>data!JD88</f>
        <v> </v>
      </c>
      <c r="JE21" s="5" t="str">
        <f>data!JE88</f>
        <v> </v>
      </c>
    </row>
    <row r="22">
      <c r="A22" s="25"/>
    </row>
    <row r="23">
      <c r="A23" s="25"/>
    </row>
    <row r="24">
      <c r="A24" s="25"/>
    </row>
    <row r="25">
      <c r="A25" s="25"/>
    </row>
    <row r="26">
      <c r="A26" s="25"/>
    </row>
    <row r="27">
      <c r="A27" s="25"/>
    </row>
    <row r="28">
      <c r="A28" s="25"/>
    </row>
    <row r="29">
      <c r="A29" s="25"/>
    </row>
    <row r="30">
      <c r="A30" s="25"/>
    </row>
    <row r="31">
      <c r="A31" s="25"/>
    </row>
    <row r="32">
      <c r="A32" s="25"/>
    </row>
    <row r="33">
      <c r="A33" s="25"/>
    </row>
    <row r="34">
      <c r="A34" s="25"/>
    </row>
    <row r="35">
      <c r="A35" s="25"/>
    </row>
    <row r="36">
      <c r="A36" s="25"/>
    </row>
    <row r="37">
      <c r="A37" s="25"/>
    </row>
    <row r="38">
      <c r="A38" s="25"/>
    </row>
    <row r="39">
      <c r="A39" s="25"/>
    </row>
    <row r="40">
      <c r="A40" s="25"/>
    </row>
    <row r="41">
      <c r="A41" s="25"/>
    </row>
    <row r="42">
      <c r="A42" s="25"/>
    </row>
    <row r="43">
      <c r="A43" s="25"/>
    </row>
    <row r="44">
      <c r="A44" s="25"/>
    </row>
    <row r="45">
      <c r="A45" s="25"/>
    </row>
    <row r="46">
      <c r="A46" s="25"/>
    </row>
    <row r="47">
      <c r="A47" s="25"/>
    </row>
    <row r="48">
      <c r="A48" s="25"/>
    </row>
    <row r="49">
      <c r="A49" s="25"/>
    </row>
    <row r="50">
      <c r="A50" s="25"/>
    </row>
    <row r="51">
      <c r="A51" s="25"/>
    </row>
    <row r="52">
      <c r="A52" s="25"/>
    </row>
    <row r="53">
      <c r="A53" s="25"/>
    </row>
    <row r="54">
      <c r="A54" s="25"/>
    </row>
    <row r="55">
      <c r="A55" s="25"/>
    </row>
    <row r="56">
      <c r="A56" s="25"/>
    </row>
    <row r="57">
      <c r="A57" s="25"/>
    </row>
    <row r="58">
      <c r="A58" s="25"/>
    </row>
    <row r="59">
      <c r="A59" s="25"/>
    </row>
    <row r="60">
      <c r="A60" s="25"/>
    </row>
    <row r="61">
      <c r="A61" s="25"/>
    </row>
    <row r="62">
      <c r="A62" s="25"/>
    </row>
    <row r="63">
      <c r="A63" s="25"/>
    </row>
    <row r="64">
      <c r="A64" s="25"/>
    </row>
    <row r="65">
      <c r="A65" s="25"/>
    </row>
    <row r="66">
      <c r="A66" s="25"/>
    </row>
    <row r="67">
      <c r="A67" s="25"/>
    </row>
    <row r="68">
      <c r="A68" s="25"/>
    </row>
    <row r="69">
      <c r="A69" s="25"/>
    </row>
    <row r="70">
      <c r="A70" s="25"/>
    </row>
    <row r="71">
      <c r="A71" s="25"/>
    </row>
    <row r="72">
      <c r="A72" s="25"/>
    </row>
    <row r="73">
      <c r="A73" s="25"/>
    </row>
    <row r="74">
      <c r="A74" s="25"/>
    </row>
    <row r="75">
      <c r="A75" s="25"/>
    </row>
    <row r="76">
      <c r="A76" s="25"/>
    </row>
    <row r="77">
      <c r="A77" s="25"/>
    </row>
    <row r="78">
      <c r="A78" s="25"/>
    </row>
    <row r="79">
      <c r="A79" s="25"/>
    </row>
    <row r="80">
      <c r="A80" s="25"/>
    </row>
    <row r="81">
      <c r="A81" s="25"/>
    </row>
    <row r="82">
      <c r="A82" s="25"/>
    </row>
    <row r="83">
      <c r="A83" s="25"/>
    </row>
    <row r="84">
      <c r="A84" s="25"/>
    </row>
    <row r="85">
      <c r="A85" s="25"/>
    </row>
    <row r="86">
      <c r="A86" s="25"/>
    </row>
    <row r="87">
      <c r="A87" s="25"/>
    </row>
    <row r="88">
      <c r="A88" s="25"/>
    </row>
    <row r="89">
      <c r="A89" s="25"/>
    </row>
    <row r="90">
      <c r="A90" s="25"/>
    </row>
    <row r="91">
      <c r="A91" s="25"/>
    </row>
    <row r="92">
      <c r="A92" s="25"/>
    </row>
    <row r="93">
      <c r="A93" s="25"/>
    </row>
    <row r="94">
      <c r="A94" s="25"/>
    </row>
    <row r="95">
      <c r="A95" s="25"/>
    </row>
    <row r="96">
      <c r="A96" s="25"/>
    </row>
    <row r="97">
      <c r="A97" s="25"/>
    </row>
    <row r="98">
      <c r="A98" s="25"/>
    </row>
    <row r="99">
      <c r="A99" s="25"/>
    </row>
    <row r="100">
      <c r="A100" s="25"/>
    </row>
    <row r="101">
      <c r="A101" s="25"/>
    </row>
    <row r="102">
      <c r="A102" s="25"/>
    </row>
    <row r="103">
      <c r="A103" s="25"/>
    </row>
    <row r="104">
      <c r="A104" s="25"/>
    </row>
    <row r="105">
      <c r="A105" s="25"/>
    </row>
    <row r="106">
      <c r="A106" s="25"/>
    </row>
    <row r="107">
      <c r="A107" s="25"/>
    </row>
    <row r="108">
      <c r="A108" s="25"/>
    </row>
    <row r="109">
      <c r="A109" s="25"/>
    </row>
    <row r="110">
      <c r="A110" s="25"/>
    </row>
    <row r="111">
      <c r="A111" s="25"/>
    </row>
    <row r="112">
      <c r="A112" s="25"/>
    </row>
    <row r="113">
      <c r="A113" s="25"/>
    </row>
    <row r="114">
      <c r="A114" s="25"/>
    </row>
    <row r="115">
      <c r="A115" s="25"/>
    </row>
    <row r="116">
      <c r="A116" s="25"/>
    </row>
    <row r="117">
      <c r="A117" s="25"/>
    </row>
    <row r="118">
      <c r="A118" s="25"/>
    </row>
    <row r="119">
      <c r="A119" s="25"/>
    </row>
    <row r="120">
      <c r="A120" s="25"/>
    </row>
    <row r="121">
      <c r="A121" s="25"/>
    </row>
    <row r="122">
      <c r="A122" s="25"/>
    </row>
    <row r="123">
      <c r="A123" s="25"/>
    </row>
    <row r="124">
      <c r="A124" s="25"/>
    </row>
    <row r="125">
      <c r="A125" s="25"/>
    </row>
    <row r="126">
      <c r="A126" s="25"/>
    </row>
    <row r="127">
      <c r="A127" s="25"/>
    </row>
    <row r="128">
      <c r="A128" s="25"/>
    </row>
    <row r="129">
      <c r="A129" s="25"/>
    </row>
    <row r="130">
      <c r="A130" s="25"/>
    </row>
    <row r="131">
      <c r="A131" s="25"/>
    </row>
    <row r="132">
      <c r="A132" s="25"/>
    </row>
    <row r="133">
      <c r="A133" s="25"/>
    </row>
    <row r="134">
      <c r="A134" s="25"/>
    </row>
    <row r="135">
      <c r="A135" s="25"/>
    </row>
    <row r="136">
      <c r="A136" s="25"/>
    </row>
    <row r="137">
      <c r="A137" s="25"/>
    </row>
    <row r="138">
      <c r="A138" s="25"/>
    </row>
    <row r="139">
      <c r="A139" s="25"/>
    </row>
    <row r="140">
      <c r="A140" s="25"/>
    </row>
    <row r="141">
      <c r="A141" s="25"/>
    </row>
    <row r="142">
      <c r="A142" s="25"/>
    </row>
    <row r="143">
      <c r="A143" s="25"/>
    </row>
    <row r="144">
      <c r="A144" s="25"/>
    </row>
    <row r="145">
      <c r="A145" s="25"/>
    </row>
    <row r="146">
      <c r="A146" s="25"/>
    </row>
    <row r="147">
      <c r="A147" s="25"/>
    </row>
    <row r="148">
      <c r="A148" s="25"/>
    </row>
    <row r="149">
      <c r="A149" s="25"/>
    </row>
    <row r="150">
      <c r="A150" s="25"/>
    </row>
    <row r="151">
      <c r="A151" s="25"/>
    </row>
    <row r="152">
      <c r="A152" s="25"/>
    </row>
    <row r="153">
      <c r="A153" s="25"/>
    </row>
    <row r="154">
      <c r="A154" s="25"/>
    </row>
    <row r="155">
      <c r="A155" s="25"/>
    </row>
    <row r="156">
      <c r="A156" s="25"/>
    </row>
    <row r="157">
      <c r="A157" s="25"/>
    </row>
    <row r="158">
      <c r="A158" s="25"/>
    </row>
    <row r="159">
      <c r="A159" s="25"/>
    </row>
    <row r="160">
      <c r="A160" s="25"/>
    </row>
    <row r="161">
      <c r="A161" s="25"/>
    </row>
    <row r="162">
      <c r="A162" s="25"/>
    </row>
    <row r="163">
      <c r="A163" s="25"/>
    </row>
    <row r="164">
      <c r="A164" s="25"/>
    </row>
    <row r="165">
      <c r="A165" s="25"/>
    </row>
    <row r="166">
      <c r="A166" s="25"/>
    </row>
    <row r="167">
      <c r="A167" s="25"/>
    </row>
    <row r="168">
      <c r="A168" s="25"/>
    </row>
    <row r="169">
      <c r="A169" s="25"/>
    </row>
    <row r="170">
      <c r="A170" s="25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5"/>
    </row>
    <row r="272">
      <c r="A272" s="25"/>
    </row>
    <row r="273">
      <c r="A273" s="25"/>
    </row>
    <row r="274">
      <c r="A274" s="25"/>
    </row>
    <row r="275">
      <c r="A275" s="25"/>
    </row>
    <row r="276">
      <c r="A276" s="25"/>
    </row>
    <row r="277">
      <c r="A277" s="25"/>
    </row>
    <row r="278">
      <c r="A278" s="25"/>
    </row>
    <row r="279">
      <c r="A279" s="25"/>
    </row>
    <row r="280">
      <c r="A280" s="25"/>
    </row>
    <row r="281">
      <c r="A281" s="25"/>
    </row>
    <row r="282">
      <c r="A282" s="25"/>
    </row>
    <row r="283">
      <c r="A283" s="25"/>
    </row>
    <row r="284">
      <c r="A284" s="25"/>
    </row>
    <row r="285">
      <c r="A285" s="25"/>
    </row>
    <row r="286">
      <c r="A286" s="25"/>
    </row>
    <row r="287">
      <c r="A287" s="25"/>
    </row>
    <row r="288">
      <c r="A288" s="25"/>
    </row>
    <row r="289">
      <c r="A289" s="25"/>
    </row>
    <row r="290">
      <c r="A290" s="25"/>
    </row>
    <row r="291">
      <c r="A291" s="25"/>
    </row>
    <row r="292">
      <c r="A292" s="25"/>
    </row>
    <row r="293">
      <c r="A293" s="25"/>
    </row>
    <row r="294">
      <c r="A294" s="25"/>
    </row>
    <row r="295">
      <c r="A295" s="25"/>
    </row>
    <row r="296">
      <c r="A296" s="25"/>
    </row>
    <row r="297">
      <c r="A297" s="25"/>
    </row>
    <row r="298">
      <c r="A298" s="25"/>
    </row>
    <row r="299">
      <c r="A299" s="25"/>
    </row>
    <row r="300">
      <c r="A300" s="25"/>
    </row>
    <row r="301">
      <c r="A301" s="25"/>
    </row>
    <row r="302">
      <c r="A302" s="25"/>
    </row>
    <row r="303">
      <c r="A303" s="25"/>
    </row>
    <row r="304">
      <c r="A304" s="25"/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A990" s="25"/>
    </row>
    <row r="991">
      <c r="A991" s="25"/>
    </row>
    <row r="992">
      <c r="A992" s="25"/>
    </row>
    <row r="993">
      <c r="A993" s="25"/>
    </row>
    <row r="994">
      <c r="A994" s="25"/>
    </row>
    <row r="995">
      <c r="A995" s="25"/>
    </row>
    <row r="996">
      <c r="A996" s="25"/>
    </row>
    <row r="997">
      <c r="A997" s="25"/>
    </row>
    <row r="998">
      <c r="A998" s="25"/>
    </row>
    <row r="999">
      <c r="A999" s="25"/>
    </row>
    <row r="1000">
      <c r="A1000" s="25"/>
    </row>
    <row r="1001">
      <c r="A1001" s="25"/>
    </row>
  </sheetData>
  <conditionalFormatting sqref="B3:JE30">
    <cfRule type="containsText" dxfId="5" priority="1" operator="containsText" text="5">
      <formula>NOT(ISERROR(SEARCH(("5"),(B3))))</formula>
    </cfRule>
  </conditionalFormatting>
  <conditionalFormatting sqref="B3:JE30">
    <cfRule type="containsText" dxfId="6" priority="2" operator="containsText" text="4">
      <formula>NOT(ISERROR(SEARCH(("4"),(B3))))</formula>
    </cfRule>
  </conditionalFormatting>
  <conditionalFormatting sqref="B3:JE30">
    <cfRule type="containsText" dxfId="8" priority="3" operator="containsText" text="3">
      <formula>NOT(ISERROR(SEARCH(("3"),(B3))))</formula>
    </cfRule>
  </conditionalFormatting>
  <conditionalFormatting sqref="B3:JE30">
    <cfRule type="containsText" dxfId="10" priority="4" operator="containsText" text="2">
      <formula>NOT(ISERROR(SEARCH(("2"),(B3))))</formula>
    </cfRule>
  </conditionalFormatting>
  <conditionalFormatting sqref="B3:JE30">
    <cfRule type="containsText" dxfId="11" priority="5" operator="containsText" text="н">
      <formula>NOT(ISERROR(SEARCH(("н"),(B3))))</formula>
    </cfRule>
  </conditionalFormatting>
  <dataValidations>
    <dataValidation allowBlank="1" showDropDown="1" sqref="A2:JE2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63"/>
    <col customWidth="1" min="2" max="5" width="14.13"/>
  </cols>
  <sheetData>
    <row r="1" ht="22.5" customHeight="1">
      <c r="A1" s="26" t="s">
        <v>270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</row>
    <row r="2" ht="22.5" customHeight="1">
      <c r="A2" s="4" t="str">
        <f>data!A70</f>
        <v>Русский язык</v>
      </c>
      <c r="B2" s="27">
        <f>IFERROR(HLOOKUP(B$1,data!$B$2:$JE$3,2,0),"")</f>
        <v>4</v>
      </c>
      <c r="C2" s="27">
        <f>IFERROR(IF(ISNUMBER(HLOOKUP("1 полугодие",data!$B$2:$JE$3,2,0)),HLOOKUP("1 полугодие",data!$B$2:$JE$3,2,0),HLOOKUP(C$1,data!$B$2:$JE$3,2,0)),"")</f>
        <v>4</v>
      </c>
      <c r="D2" s="27">
        <f>IFERROR(HLOOKUP(D$1,data!$B$2:$JE$3,2,0),"")</f>
        <v>4</v>
      </c>
      <c r="E2" s="27" t="str">
        <f>IFERROR(IF(ISNUMBER(HLOOKUP("2 полугодие",data!$B$2:$JE$3,2,0)),HLOOKUP("2 полугодие",data!$B$2:$JE$3,2,0),HLOOKUP(E$1,data!$B$2:$JE$3,2,0)),"")</f>
        <v/>
      </c>
      <c r="F2" s="27" t="str">
        <f>IFERROR(HLOOKUP(F$1,data!$B$2:$JE$3,2,0),"")</f>
        <v/>
      </c>
    </row>
    <row r="3" ht="22.5" customHeight="1">
      <c r="A3" s="4" t="str">
        <f>data!A71</f>
        <v>Литература</v>
      </c>
      <c r="B3" s="27">
        <f>IFERROR(HLOOKUP(B$1,data!$B$5:$JE$6,2,0),"")</f>
        <v>5</v>
      </c>
      <c r="C3" s="27">
        <f>IFERROR(IF(ISNUMBER(HLOOKUP("1 полугодие",data!$B$5:$JE$6,2,0)),HLOOKUP("1 полугодие",data!$B$5:$JE$6,2,0),HLOOKUP(C$1,data!$B$5:$JE$6,2,0)),"")</f>
        <v>4</v>
      </c>
      <c r="D3" s="27">
        <f>IFERROR(HLOOKUP(D$1,data!$B$5:$JE$6,2,0),"")</f>
        <v>4</v>
      </c>
      <c r="E3" s="27" t="str">
        <f>IFERROR(IF(ISNUMBER(HLOOKUP("2 полугодие",data!$B$5:$JE$6,2,0)),HLOOKUP("2 полугодие",data!$B$5:$JE$6,2,0),HLOOKUP(E$1,data!$B$5:$JE$6,2,0)),"")</f>
        <v/>
      </c>
      <c r="F3" s="27" t="str">
        <f>IFERROR(HLOOKUP(F$1,data!$B$5:$JE$6,2,0),"")</f>
        <v/>
      </c>
    </row>
    <row r="4" ht="22.5" customHeight="1">
      <c r="A4" s="4" t="str">
        <f>data!A72</f>
        <v>Узбекский язык</v>
      </c>
      <c r="B4" s="27">
        <f>IFERROR(HLOOKUP(B$1,data!$B$8:$JE$9,2,0),"")</f>
        <v>3</v>
      </c>
      <c r="C4" s="27">
        <f>IFERROR(IF(ISNUMBER(HLOOKUP("1 полугодие",data!$B$8:$JE$9,2,0)),HLOOKUP("1 полугодие",data!$B$8:$JE$9,2,0),HLOOKUP(C$1,data!$B$8:$JE$9,2,0)),"")</f>
        <v>4</v>
      </c>
      <c r="D4" s="27">
        <f>IFERROR(HLOOKUP(D$1,data!$B$8:$JE$9,2,0),"")</f>
        <v>3</v>
      </c>
      <c r="E4" s="27" t="str">
        <f>IFERROR(IF(ISNUMBER(HLOOKUP("2 полугодие",data!$B$8:$JE$9,2,0)),HLOOKUP("2 полугодие",data!$B$8:$JE$9,2,0),HLOOKUP(E$1,data!$B$8:$JE$9,2,0)),"")</f>
        <v/>
      </c>
      <c r="F4" s="27" t="str">
        <f>IFERROR(HLOOKUP(F$1,data!$B$8:$JE$9,2,0),"")</f>
        <v/>
      </c>
    </row>
    <row r="5" ht="22.5" customHeight="1">
      <c r="A5" s="4" t="str">
        <f>data!A73</f>
        <v>Английский язык</v>
      </c>
      <c r="B5" s="27">
        <f>IFERROR(HLOOKUP(B$1,data!$B$11:$JE$12,2,0),"")</f>
        <v>4</v>
      </c>
      <c r="C5" s="27">
        <f>IFERROR(IF(ISNUMBER(HLOOKUP("1 полугодие",data!$B$11:$JE$12,2,0)),HLOOKUP("1 полугодие",data!$B$11:$JE$12,2,0),HLOOKUP(C$1,data!$B$11:$JE$12,2,0)),"")</f>
        <v>4</v>
      </c>
      <c r="D5" s="27">
        <f>IFERROR(HLOOKUP(D$1,data!$B$11:$JE$12,2,0),"")</f>
        <v>4</v>
      </c>
      <c r="E5" s="27" t="str">
        <f>IFERROR(IF(ISNUMBER(HLOOKUP("2 полугодие",data!$B$11:$JE$12,2,0)),HLOOKUP("2 полугодие",data!$B$11:$JE$12,2,0),HLOOKUP(E$1,data!$B$11:$JE$12,2,0)),"")</f>
        <v/>
      </c>
      <c r="F5" s="27" t="str">
        <f>IFERROR(HLOOKUP(F$1,data!$B$11:$JE$12,2,0),"")</f>
        <v/>
      </c>
    </row>
    <row r="6" ht="22.5" customHeight="1">
      <c r="A6" s="4" t="str">
        <f>data!A74</f>
        <v>История</v>
      </c>
      <c r="B6" s="27">
        <f>IFERROR(HLOOKUP(B$1,data!$B$14:$JE$15,2,0),"")</f>
        <v>4</v>
      </c>
      <c r="C6" s="27">
        <f>IFERROR(IF(ISNUMBER(HLOOKUP("1 полугодие",data!$B$14:$JE$15,2,0)),HLOOKUP("1 полугодие",data!$B$14:$JE$15,2,0),HLOOKUP(C$1,data!$B$14:$JE$15,2,0)),"")</f>
        <v>5</v>
      </c>
      <c r="D6" s="27">
        <f>IFERROR(HLOOKUP(D$1,data!$B$14:$JE$15,2,0),"")</f>
        <v>4</v>
      </c>
      <c r="E6" s="27" t="str">
        <f>IFERROR(IF(ISNUMBER(HLOOKUP("2 полугодие",data!$B$14:$JE$15,2,0)),HLOOKUP("2 полугодие",data!$B$14:$JE$15,2,0),HLOOKUP(E$1,data!$B$14:$JE$15,2,0)),"")</f>
        <v/>
      </c>
      <c r="F6" s="27" t="str">
        <f>IFERROR(HLOOKUP(F$1,data!$B$14:$JE$15,2,0),"")</f>
        <v/>
      </c>
    </row>
    <row r="7" ht="22.5" customHeight="1">
      <c r="A7" s="4" t="str">
        <f>data!A75</f>
        <v>Воспитание</v>
      </c>
      <c r="B7" s="27" t="str">
        <f>IFERROR(HLOOKUP(B$1,data!$B$17:$JE$18,2,0),"")</f>
        <v/>
      </c>
      <c r="C7" s="27">
        <f>IFERROR(IF(ISNUMBER(HLOOKUP("1 полугодие",data!$B$17:$JE$18,2,0)),HLOOKUP("1 полугодие",data!$B$17:$JE$18,2,0),HLOOKUP(C$1,data!$B$17:$JE$18,2,0)),"")</f>
        <v>5</v>
      </c>
      <c r="D7" s="27" t="str">
        <f>IFERROR(HLOOKUP(D$1,data!$B$17:$JE$18,2,0),"")</f>
        <v/>
      </c>
      <c r="E7" s="27">
        <f>IFERROR(IF(ISNUMBER(HLOOKUP("2 полугодие",data!$B$17:$JE$18,2,0)),HLOOKUP("2 полугодие",data!$B$17:$JE$18,2,0),HLOOKUP(E$1,data!$B$17:$JE$18,2,0)),"")</f>
        <v>4</v>
      </c>
      <c r="F7" s="27" t="str">
        <f>IFERROR(HLOOKUP(F$1,data!$B$17:$JE$18,2,0),"")</f>
        <v/>
      </c>
    </row>
    <row r="8" ht="22.5" customHeight="1">
      <c r="A8" s="4" t="str">
        <f>data!A76</f>
        <v>Физкультура</v>
      </c>
      <c r="B8" s="27">
        <f>IFERROR(HLOOKUP(B$1,data!$B$20:$JE$21,2,0),"")</f>
        <v>4</v>
      </c>
      <c r="C8" s="27">
        <f>IFERROR(IF(ISNUMBER(HLOOKUP("1 полугодие",data!$B$20:$JE$21,2,0)),HLOOKUP("1 полугодие",data!$B$20:$JE$21,2,0),HLOOKUP(C$1,data!$B$20:$JE$21,2,0)),"")</f>
        <v>4</v>
      </c>
      <c r="D8" s="27">
        <f>IFERROR(HLOOKUP(D$1,data!$B$20:$JE$21,2,0),"")</f>
        <v>5</v>
      </c>
      <c r="E8" s="27" t="str">
        <f>IFERROR(IF(ISNUMBER(HLOOKUP("2 полугодие",data!$B$20:$JE$21,2,0)),HLOOKUP("2 полугодие",data!$B$20:$JE$21,2,0),HLOOKUP(E$1,data!$B$20:$JE$21,2,0)),"")</f>
        <v/>
      </c>
      <c r="F8" s="27" t="str">
        <f>IFERROR(HLOOKUP(F$1,data!$B$20:$JE$21,2,0),"")</f>
        <v/>
      </c>
    </row>
    <row r="9" ht="22.5" customHeight="1">
      <c r="A9" s="4" t="str">
        <f>data!A77</f>
        <v>Математика</v>
      </c>
      <c r="B9" s="27">
        <f>IFERROR(HLOOKUP(B$1,data!$B$23:$JE$24,2,0),"")</f>
        <v>5</v>
      </c>
      <c r="C9" s="27">
        <f>IFERROR(IF(ISNUMBER(HLOOKUP("1 полугодие",data!$B$23:$JE$24,2,0)),HLOOKUP("1 полугодие",data!$B$23:$JE$24,2,0),HLOOKUP(C$1,data!$B$23:$JE$24,2,0)),"")</f>
        <v>4</v>
      </c>
      <c r="D9" s="27">
        <f>IFERROR(HLOOKUP(D$1,data!$B$23:$JE$24,2,0),"")</f>
        <v>4</v>
      </c>
      <c r="E9" s="27" t="str">
        <f>IFERROR(IF(ISNUMBER(HLOOKUP("2 полугодие",data!$B$23:$JE$24,2,0)),HLOOKUP("2 полугодие",data!$B$23:$JE$24,2,0),HLOOKUP(E$1,data!$B$23:$JE$24,2,0)),"")</f>
        <v/>
      </c>
      <c r="F9" s="27" t="str">
        <f>IFERROR(HLOOKUP(F$1,data!$B$23:$JE$24,2,0),"")</f>
        <v/>
      </c>
    </row>
    <row r="10" ht="22.5" customHeight="1">
      <c r="A10" s="4" t="str">
        <f>data!A78</f>
        <v>Ботаника</v>
      </c>
      <c r="B10" s="27" t="str">
        <f>IFERROR(HLOOKUP(B$1,data!$B$26:$JE$27,2,0),"")</f>
        <v/>
      </c>
      <c r="C10" s="27">
        <f>IFERROR(IF(ISNUMBER(HLOOKUP("1 полугодие",data!$B$26:$JE$27,2,0)),HLOOKUP("1 полугодие",data!$B$26:$JE$27,2,0),HLOOKUP(C$1,data!$B$26:$JE$27,2,0)),"")</f>
        <v>5</v>
      </c>
      <c r="D10" s="27" t="str">
        <f>IFERROR(HLOOKUP(D$1,data!$B$26:$JE$27,2,0),"")</f>
        <v/>
      </c>
      <c r="E10" s="27">
        <f>IFERROR(IF(ISNUMBER(HLOOKUP("2 полугодие",data!$B$26:$JE$27,2,0)),HLOOKUP("2 полугодие",data!$B$26:$JE$27,2,0),HLOOKUP(E$1,data!$B$26:$JE$27,2,0)),"")</f>
        <v>4</v>
      </c>
      <c r="F10" s="27" t="str">
        <f>IFERROR(HLOOKUP(F$1,data!$B$26:$JE$27,2,0),"")</f>
        <v/>
      </c>
    </row>
    <row r="11" ht="22.5" customHeight="1">
      <c r="A11" s="4" t="str">
        <f>data!A79</f>
        <v>География</v>
      </c>
      <c r="B11" s="27" t="str">
        <f>IFERROR(HLOOKUP(B$1,data!$B$29:$JE$30,2,0),"")</f>
        <v/>
      </c>
      <c r="C11" s="27">
        <f>IFERROR(IF(ISNUMBER(HLOOKUP("1 полугодие",data!$B$29:$JE$30,2,0)),HLOOKUP("1 полугодие",data!$B$29:$JE$30,2,0),HLOOKUP(C$1,data!$B$29:$JE$30,2,0)),"")</f>
        <v>5</v>
      </c>
      <c r="D11" s="27" t="str">
        <f>IFERROR(HLOOKUP(D$1,data!$B$29:$JE$30,2,0),"")</f>
        <v/>
      </c>
      <c r="E11" s="27" t="str">
        <f>IFERROR(IF(ISNUMBER(HLOOKUP("2 полугодие",data!$B$29:$JE$30,2,0)),HLOOKUP("2 полугодие",data!$B$29:$JE$30,2,0),HLOOKUP(E$1,data!$B$29:$JE$30,2,0)),"")</f>
        <v/>
      </c>
      <c r="F11" s="27" t="str">
        <f>IFERROR(HLOOKUP(F$1,data!$B$29:$JE$30,2,0),"")</f>
        <v/>
      </c>
    </row>
    <row r="12" ht="22.5" customHeight="1">
      <c r="A12" s="4" t="str">
        <f>data!A80</f>
        <v>ИЗО</v>
      </c>
      <c r="B12" s="27" t="str">
        <f>IFERROR(HLOOKUP(B$1,data!$B$32:$JE$33,2,0),"")</f>
        <v/>
      </c>
      <c r="C12" s="27">
        <f>IFERROR(IF(ISNUMBER(HLOOKUP("1 полугодие",data!$B$32:$JE$33,2,0)),HLOOKUP("1 полугодие",data!$B$32:$JE$33,2,0),HLOOKUP(C$1,data!$B$32:$JE$33,2,0)),"")</f>
        <v>5</v>
      </c>
      <c r="D12" s="27" t="str">
        <f>IFERROR(HLOOKUP(D$1,data!$B$32:$JE$33,2,0),"")</f>
        <v/>
      </c>
      <c r="E12" s="27" t="str">
        <f>IFERROR(IF(ISNUMBER(HLOOKUP("2 полугодие",data!$B$32:$JE$33,2,0)),HLOOKUP("2 полугодие",data!$B$32:$JE$33,2,0),HLOOKUP(E$1,data!$B$32:$JE$33,2,0)),"")</f>
        <v/>
      </c>
      <c r="F12" s="27" t="str">
        <f>IFERROR(HLOOKUP(F$1,data!$B$32:$JE$33,2,0),"")</f>
        <v/>
      </c>
    </row>
    <row r="13" ht="22.5" customHeight="1">
      <c r="A13" s="4" t="str">
        <f>data!A81</f>
        <v>Технология</v>
      </c>
      <c r="B13" s="27" t="str">
        <f>IFERROR(HLOOKUP(B$1,data!$B$35:$JE$36,2,0),"")</f>
        <v/>
      </c>
      <c r="C13" s="27">
        <f>IFERROR(IF(ISNUMBER(HLOOKUP("1 полугодие",data!$B$35:$JE$36,2,0)),HLOOKUP("1 полугодие",data!$B$35:$JE$36,2,0),HLOOKUP(C$1,data!$B$35:$JE$36,2,0)),"")</f>
        <v>5</v>
      </c>
      <c r="D13" s="27" t="str">
        <f>IFERROR(HLOOKUP(D$1,data!$B$35:$JE$36,2,0),"")</f>
        <v/>
      </c>
      <c r="E13" s="27" t="str">
        <f>IFERROR(IF(ISNUMBER(HLOOKUP("2 полугодие",data!$B$35:$JE$36,2,0)),HLOOKUP("2 полугодие",data!$B$35:$JE$36,2,0),HLOOKUP(E$1,data!$B$35:$JE$36,2,0)),"")</f>
        <v/>
      </c>
      <c r="F13" s="27" t="str">
        <f>IFERROR(HLOOKUP(F$1,data!$B$35:$JE$36,2,0),"")</f>
        <v/>
      </c>
    </row>
    <row r="14" ht="22.5" customHeight="1">
      <c r="A14" s="4" t="str">
        <f>data!A82</f>
        <v>Информатика</v>
      </c>
      <c r="B14" s="27" t="str">
        <f>IFERROR(HLOOKUP(B$1,data!$B$38:$JE$39,2,0),"")</f>
        <v/>
      </c>
      <c r="C14" s="27">
        <f>IFERROR(IF(ISNUMBER(HLOOKUP("1 полугодие",data!$B$38:$JE$39,2,0)),HLOOKUP("1 полугодие",data!$B$38:$JE$39,2,0),HLOOKUP(C$1,data!$B$38:$JE$39,2,0)),"")</f>
        <v>5</v>
      </c>
      <c r="D14" s="27" t="str">
        <f>IFERROR(HLOOKUP(D$1,data!$B$38:$JE$39,2,0),"")</f>
        <v/>
      </c>
      <c r="E14" s="27">
        <f>IFERROR(IF(ISNUMBER(HLOOKUP("2 полугодие",data!$B$38:$JE$39,2,0)),HLOOKUP("2 полугодие",data!$B$38:$JE$39,2,0),HLOOKUP(E$1,data!$B$38:$JE$39,2,0)),"")</f>
        <v>4</v>
      </c>
      <c r="F14" s="27">
        <f>IFERROR(HLOOKUP(F$1,data!$B$38:$JE$39,2,0),"")</f>
        <v>4.5</v>
      </c>
    </row>
    <row r="15" ht="22.5" customHeight="1">
      <c r="A15" s="4" t="str">
        <f>data!A83</f>
        <v>Музыка</v>
      </c>
      <c r="B15" s="27" t="str">
        <f>IFERROR(HLOOKUP(B$1,data!$B$41:$JE$42,2,0),"")</f>
        <v/>
      </c>
      <c r="C15" s="27">
        <f>IFERROR(IF(ISNUMBER(HLOOKUP("1 полугодие",data!$B$41:$JE$42,2,0)),HLOOKUP("1 полугодие",data!$B$41:$JE$42,2,0),HLOOKUP(C$1,data!$B$41:$JE$42,2,0)),"")</f>
        <v>5</v>
      </c>
      <c r="D15" s="27" t="str">
        <f>IFERROR(HLOOKUP(D$1,data!$B$41:$JE$42,2,0),"")</f>
        <v/>
      </c>
      <c r="E15" s="27">
        <f>IFERROR(IF(ISNUMBER(HLOOKUP("2 полугодие",data!$B$41:$JE$42,2,0)),HLOOKUP("2 полугодие",data!$B$41:$JE$42,2,0),HLOOKUP(E$1,data!$B$41:$JE$42,2,0)),"")</f>
        <v>5</v>
      </c>
      <c r="F15" s="27" t="str">
        <f>IFERROR(HLOOKUP(F$1,data!$B$41:$JE$42,2,0),"")</f>
        <v/>
      </c>
    </row>
    <row r="16" ht="22.5" customHeight="1">
      <c r="A16" s="4" t="str">
        <f>data!A84</f>
        <v>Физика</v>
      </c>
      <c r="B16" s="27">
        <f>IFERROR(HLOOKUP(B$1,data!$B$44:$JE$45,2,0),"")</f>
        <v>4</v>
      </c>
      <c r="C16" s="27">
        <f>IFERROR(IF(ISNUMBER(HLOOKUP("1 полугодие",data!$B$44:$JE$45,2,0)),HLOOKUP("1 полугодие",data!$B$44:$JE$45,2,0),HLOOKUP(C$1,data!$B$44:$JE$45,2,0)),"")</f>
        <v>4</v>
      </c>
      <c r="D16" s="27">
        <f>IFERROR(HLOOKUP(D$1,data!$B$44:$JE$45,2,0),"")</f>
        <v>5</v>
      </c>
      <c r="E16" s="27" t="str">
        <f>IFERROR(IF(ISNUMBER(HLOOKUP("2 полугодие",data!$B$44:$JE$45,2,0)),HLOOKUP("2 полугодие",data!$B$44:$JE$45,2,0),HLOOKUP(E$1,data!$B$44:$JE$45,2,0)),"")</f>
        <v/>
      </c>
      <c r="F16" s="27" t="str">
        <f>IFERROR(HLOOKUP(F$1,data!$B$44:$JE$45,2,0),"")</f>
        <v/>
      </c>
    </row>
    <row r="17" ht="22.5" customHeight="1">
      <c r="A17" s="4" t="str">
        <f>data!A85</f>
        <v>Посещаемость</v>
      </c>
      <c r="B17" s="27" t="str">
        <f>IFERROR(HLOOKUP(B$1,data!$B$47:$JE$48,2,0),"")</f>
        <v/>
      </c>
      <c r="C17" s="27" t="str">
        <f>IFERROR(IF(ISNUMBER(HLOOKUP("1 полугодие",data!$B$47:$JE$48,2,0)),HLOOKUP("1 полугодие",data!$B$47:$JE$48,2,0),HLOOKUP(C$1,data!$B$47:$JE$48,2,0)),"")</f>
        <v/>
      </c>
      <c r="D17" s="27" t="str">
        <f>IFERROR(HLOOKUP(D$1,data!$B$47:$JE$48,2,0),"")</f>
        <v/>
      </c>
      <c r="E17" s="27" t="str">
        <f>IFERROR(IF(ISNUMBER(HLOOKUP("2 полугодие",data!$B$47:$JE$48,2,0)),HLOOKUP("2 полугодие",data!$B$47:$JE$48,2,0),HLOOKUP(E$1,data!$B$47:$JE$48,2,0)),"")</f>
        <v/>
      </c>
      <c r="F17" s="27" t="str">
        <f>IFERROR(HLOOKUP(F$1,data!$B$47:$JE$48,2,0)," ")</f>
        <v> </v>
      </c>
    </row>
    <row r="18" ht="22.5" customHeight="1">
      <c r="A18" s="4" t="str">
        <f>data!A86</f>
        <v/>
      </c>
      <c r="B18" s="27" t="str">
        <f>IFERROR(HLOOKUP(B$1,data!$B$50:$JE$51,2,0),"")</f>
        <v/>
      </c>
      <c r="C18" s="27" t="str">
        <f>IFERROR(IF(ISNUMBER(HLOOKUP("1 полугодие",data!$B$50:$JE$51,2,0)),HLOOKUP("1 полугодие",data!$B$50:$JE$51,2,0),HLOOKUP(C$1,data!$B$50:$JE$51,2,0)),"")</f>
        <v/>
      </c>
      <c r="D18" s="27" t="str">
        <f>IFERROR(HLOOKUP(D$1,data!$B$50:$JE$51,2,0),"")</f>
        <v/>
      </c>
      <c r="E18" s="27" t="str">
        <f>IFERROR(IF(ISNUMBER(HLOOKUP("2 полугодие",data!$B$50:$JE$51,2,0)),HLOOKUP("2 полугодие",data!$B$50:$JE$51,2,0),HLOOKUP(E$1,data!$B$50:$JE$51,2,0)),"")</f>
        <v/>
      </c>
      <c r="F18" s="27" t="str">
        <f>IFERROR(HLOOKUP(F$1,data!$B$50:$JE$51,2,0)," ")</f>
        <v> </v>
      </c>
    </row>
    <row r="19" ht="22.5" customHeight="1">
      <c r="A19" s="4" t="str">
        <f>data!A87</f>
        <v/>
      </c>
      <c r="B19" s="27" t="str">
        <f>IFERROR(HLOOKUP(B$1,data!$B$53:$JE$54,2,0),"")</f>
        <v/>
      </c>
      <c r="C19" s="27" t="str">
        <f>IFERROR(IF(ISNUMBER(HLOOKUP("1 полугодие",data!$B$53:$JE$54,2,0)),HLOOKUP("1 полугодие",data!$B$53:$JE$54,2,0),HLOOKUP(C$1,data!$B$53:$JE$54,2,0)),"")</f>
        <v/>
      </c>
      <c r="D19" s="27" t="str">
        <f>IFERROR(HLOOKUP(D$1,data!$B$53:$JE$54,2,0),"")</f>
        <v/>
      </c>
      <c r="E19" s="27" t="str">
        <f>IFERROR(IF(ISNUMBER(HLOOKUP("2 полугодие",data!$B$53:$JE$54,2,0)),HLOOKUP("2 полугодие",data!$B$53:$JE$54,2,0),HLOOKUP(E$1,data!$B$53:$JE$54,2,0)),"")</f>
        <v/>
      </c>
      <c r="F19" s="27" t="str">
        <f>IFERROR(HLOOKUP(F$1,data!$B$53:$JE$54,2,0)," ")</f>
        <v> </v>
      </c>
    </row>
    <row r="20" ht="22.5" customHeight="1">
      <c r="A20" s="4" t="str">
        <f>data!A88</f>
        <v/>
      </c>
      <c r="B20" s="27" t="str">
        <f>IFERROR(HLOOKUP(B$1,data!$B$56:$JE$57,2,0),"")</f>
        <v/>
      </c>
      <c r="C20" s="27" t="str">
        <f>IFERROR(IF(ISNUMBER(HLOOKUP("1 полугодие",data!$B$56:$JE$57,2,0)),HLOOKUP("1 полугодие",data!$B$56:$JE$57,2,0),HLOOKUP(C$1,data!$B$56:$JE$57,2,0)),"")</f>
        <v/>
      </c>
      <c r="D20" s="27" t="str">
        <f>IFERROR(HLOOKUP(D$1,data!$B$56:$JE$57,2,0),"")</f>
        <v/>
      </c>
      <c r="E20" s="27" t="str">
        <f>IFERROR(IF(ISNUMBER(HLOOKUP("2 полугодие",data!$B$56:$JE$57,2,0)),HLOOKUP("2 полугодие",data!$B$56:$JE$57,2,0),HLOOKUP(E$1,data!$B$56:$JE$57,2,0)),"")</f>
        <v/>
      </c>
      <c r="F20" s="27" t="str">
        <f>IFERROR(HLOOKUP(F$1,data!$B$56:$JE$57,2,0),"")</f>
        <v/>
      </c>
    </row>
  </sheetData>
  <dataValidations>
    <dataValidation allowBlank="1" showDropDown="1" sqref="A2:A20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8.13"/>
    <col customWidth="1" min="2" max="2" width="9.38"/>
    <col customWidth="1" min="3" max="3" width="10.25"/>
    <col customWidth="1" min="4" max="4" width="9.5"/>
    <col customWidth="1" min="5" max="5" width="5.63"/>
    <col customWidth="1" min="6" max="7" width="9.5"/>
    <col customWidth="1" min="8" max="10" width="5.63"/>
    <col customWidth="1" min="11" max="12" width="10.38"/>
    <col customWidth="1" min="13" max="64" width="5.63"/>
    <col customWidth="1" min="65" max="65" width="9.25"/>
    <col customWidth="1" min="66" max="121" width="6.0"/>
    <col customWidth="1" min="122" max="122" width="10.25"/>
    <col customWidth="1" min="123" max="132" width="6.0"/>
    <col customWidth="1" min="133" max="133" width="9.38"/>
    <col customWidth="1" min="134" max="192" width="6.0"/>
    <col customWidth="1" min="193" max="193" width="9.25"/>
    <col customWidth="1" min="194" max="256" width="6.0"/>
    <col customWidth="1" min="257" max="257" width="10.25"/>
    <col customWidth="1" min="258" max="258" width="6.0"/>
    <col customWidth="1" min="259" max="259" width="7.0"/>
    <col customWidth="1" min="260" max="265" width="6.0"/>
  </cols>
  <sheetData>
    <row r="1">
      <c r="A1" s="28" t="str">
        <f>'Сегодня'!B1</f>
        <v>Зулькайнаров Умарбек</v>
      </c>
      <c r="B1" s="29">
        <v>2.0</v>
      </c>
      <c r="C1" s="29">
        <v>3.0</v>
      </c>
      <c r="D1" s="29">
        <v>4.0</v>
      </c>
      <c r="E1" s="29">
        <v>5.0</v>
      </c>
      <c r="F1" s="29">
        <v>6.0</v>
      </c>
      <c r="G1" s="29">
        <v>7.0</v>
      </c>
      <c r="H1" s="29">
        <v>8.0</v>
      </c>
      <c r="I1" s="29">
        <v>9.0</v>
      </c>
      <c r="J1" s="29">
        <v>10.0</v>
      </c>
      <c r="K1" s="29">
        <v>11.0</v>
      </c>
      <c r="L1" s="29">
        <v>12.0</v>
      </c>
      <c r="M1" s="29">
        <v>13.0</v>
      </c>
      <c r="N1" s="29">
        <v>14.0</v>
      </c>
      <c r="O1" s="29">
        <v>15.0</v>
      </c>
      <c r="P1" s="29">
        <v>16.0</v>
      </c>
      <c r="Q1" s="29">
        <v>17.0</v>
      </c>
      <c r="R1" s="29">
        <v>18.0</v>
      </c>
      <c r="S1" s="29">
        <v>19.0</v>
      </c>
      <c r="T1" s="29">
        <v>20.0</v>
      </c>
      <c r="U1" s="29">
        <v>21.0</v>
      </c>
      <c r="V1" s="29">
        <v>22.0</v>
      </c>
      <c r="W1" s="29">
        <v>23.0</v>
      </c>
      <c r="X1" s="29">
        <v>24.0</v>
      </c>
      <c r="Y1" s="29">
        <v>25.0</v>
      </c>
      <c r="Z1" s="29">
        <v>26.0</v>
      </c>
      <c r="AA1" s="29">
        <v>27.0</v>
      </c>
      <c r="AB1" s="29">
        <v>28.0</v>
      </c>
      <c r="AC1" s="29">
        <v>29.0</v>
      </c>
      <c r="AD1" s="29">
        <v>30.0</v>
      </c>
      <c r="AE1" s="29">
        <v>31.0</v>
      </c>
      <c r="AF1" s="29">
        <v>32.0</v>
      </c>
      <c r="AG1" s="29">
        <v>33.0</v>
      </c>
      <c r="AH1" s="29">
        <v>34.0</v>
      </c>
      <c r="AI1" s="29">
        <v>35.0</v>
      </c>
      <c r="AJ1" s="29">
        <v>36.0</v>
      </c>
      <c r="AK1" s="29">
        <v>37.0</v>
      </c>
      <c r="AL1" s="29">
        <v>38.0</v>
      </c>
      <c r="AM1" s="29">
        <v>39.0</v>
      </c>
      <c r="AN1" s="29">
        <v>40.0</v>
      </c>
      <c r="AO1" s="29">
        <v>41.0</v>
      </c>
      <c r="AP1" s="29">
        <v>42.0</v>
      </c>
      <c r="AQ1" s="29">
        <v>43.0</v>
      </c>
      <c r="AR1" s="29">
        <v>44.0</v>
      </c>
      <c r="AS1" s="29">
        <v>45.0</v>
      </c>
      <c r="AT1" s="29">
        <v>46.0</v>
      </c>
      <c r="AU1" s="29">
        <v>47.0</v>
      </c>
      <c r="AV1" s="29">
        <v>48.0</v>
      </c>
      <c r="AW1" s="29">
        <v>49.0</v>
      </c>
      <c r="AX1" s="29">
        <v>50.0</v>
      </c>
      <c r="AY1" s="29">
        <v>51.0</v>
      </c>
      <c r="AZ1" s="29">
        <v>52.0</v>
      </c>
      <c r="BA1" s="29">
        <v>53.0</v>
      </c>
      <c r="BB1" s="29">
        <v>54.0</v>
      </c>
      <c r="BC1" s="29">
        <v>55.0</v>
      </c>
      <c r="BD1" s="29">
        <v>56.0</v>
      </c>
      <c r="BE1" s="29">
        <v>57.0</v>
      </c>
      <c r="BF1" s="29">
        <v>58.0</v>
      </c>
      <c r="BG1" s="29">
        <v>59.0</v>
      </c>
      <c r="BH1" s="29">
        <v>60.0</v>
      </c>
      <c r="BI1" s="29">
        <v>61.0</v>
      </c>
      <c r="BJ1" s="29">
        <v>62.0</v>
      </c>
      <c r="BK1" s="29">
        <v>63.0</v>
      </c>
      <c r="BL1" s="29">
        <v>64.0</v>
      </c>
      <c r="BM1" s="29">
        <v>65.0</v>
      </c>
      <c r="BN1" s="29">
        <v>66.0</v>
      </c>
      <c r="BO1" s="29">
        <v>67.0</v>
      </c>
      <c r="BP1" s="29">
        <v>68.0</v>
      </c>
      <c r="BQ1" s="29">
        <v>69.0</v>
      </c>
      <c r="BR1" s="29">
        <v>70.0</v>
      </c>
      <c r="BS1" s="29">
        <v>71.0</v>
      </c>
      <c r="BT1" s="29">
        <v>72.0</v>
      </c>
      <c r="BU1" s="29">
        <v>73.0</v>
      </c>
      <c r="BV1" s="29">
        <v>74.0</v>
      </c>
      <c r="BW1" s="29">
        <v>75.0</v>
      </c>
      <c r="BX1" s="29">
        <v>76.0</v>
      </c>
      <c r="BY1" s="29">
        <v>77.0</v>
      </c>
      <c r="BZ1" s="29">
        <v>78.0</v>
      </c>
      <c r="CA1" s="29">
        <v>79.0</v>
      </c>
      <c r="CB1" s="29">
        <v>80.0</v>
      </c>
      <c r="CC1" s="29">
        <v>81.0</v>
      </c>
      <c r="CD1" s="29">
        <v>82.0</v>
      </c>
      <c r="CE1" s="29">
        <v>83.0</v>
      </c>
      <c r="CF1" s="29">
        <v>84.0</v>
      </c>
      <c r="CG1" s="29">
        <v>85.0</v>
      </c>
      <c r="CH1" s="29">
        <v>86.0</v>
      </c>
      <c r="CI1" s="29">
        <v>87.0</v>
      </c>
      <c r="CJ1" s="29">
        <v>88.0</v>
      </c>
      <c r="CK1" s="29">
        <v>89.0</v>
      </c>
      <c r="CL1" s="29">
        <v>90.0</v>
      </c>
      <c r="CM1" s="29">
        <v>91.0</v>
      </c>
      <c r="CN1" s="29">
        <v>92.0</v>
      </c>
      <c r="CO1" s="29">
        <v>93.0</v>
      </c>
      <c r="CP1" s="29">
        <v>94.0</v>
      </c>
      <c r="CQ1" s="29">
        <v>95.0</v>
      </c>
      <c r="CR1" s="29">
        <v>96.0</v>
      </c>
      <c r="CS1" s="29">
        <v>97.0</v>
      </c>
      <c r="CT1" s="29">
        <v>98.0</v>
      </c>
      <c r="CU1" s="29">
        <v>99.0</v>
      </c>
      <c r="CV1" s="29">
        <v>100.0</v>
      </c>
      <c r="CW1" s="29">
        <v>101.0</v>
      </c>
      <c r="CX1" s="29">
        <v>102.0</v>
      </c>
      <c r="CY1" s="29">
        <v>103.0</v>
      </c>
      <c r="CZ1" s="29">
        <v>104.0</v>
      </c>
      <c r="DA1" s="29">
        <v>105.0</v>
      </c>
      <c r="DB1" s="29">
        <v>106.0</v>
      </c>
      <c r="DC1" s="29">
        <v>107.0</v>
      </c>
      <c r="DD1" s="29">
        <v>108.0</v>
      </c>
      <c r="DE1" s="29">
        <v>109.0</v>
      </c>
      <c r="DF1" s="29">
        <v>110.0</v>
      </c>
      <c r="DG1" s="29">
        <v>111.0</v>
      </c>
      <c r="DH1" s="29">
        <v>112.0</v>
      </c>
      <c r="DI1" s="29">
        <v>113.0</v>
      </c>
      <c r="DJ1" s="29">
        <v>114.0</v>
      </c>
      <c r="DK1" s="29">
        <v>115.0</v>
      </c>
      <c r="DL1" s="29">
        <v>116.0</v>
      </c>
      <c r="DM1" s="29">
        <v>117.0</v>
      </c>
      <c r="DN1" s="29">
        <v>118.0</v>
      </c>
      <c r="DO1" s="29">
        <v>119.0</v>
      </c>
      <c r="DP1" s="29">
        <v>120.0</v>
      </c>
      <c r="DQ1" s="29">
        <v>121.0</v>
      </c>
      <c r="DR1" s="29">
        <v>122.0</v>
      </c>
      <c r="DS1" s="29">
        <v>123.0</v>
      </c>
      <c r="DT1" s="29">
        <v>124.0</v>
      </c>
      <c r="DU1" s="29">
        <v>125.0</v>
      </c>
      <c r="DV1" s="29">
        <v>126.0</v>
      </c>
      <c r="DW1" s="29">
        <v>127.0</v>
      </c>
      <c r="DX1" s="29">
        <v>128.0</v>
      </c>
      <c r="DY1" s="29">
        <v>129.0</v>
      </c>
      <c r="DZ1" s="29">
        <v>130.0</v>
      </c>
      <c r="EA1" s="29">
        <v>131.0</v>
      </c>
      <c r="EB1" s="29">
        <v>132.0</v>
      </c>
      <c r="EC1" s="29">
        <v>133.0</v>
      </c>
      <c r="ED1" s="29">
        <v>134.0</v>
      </c>
      <c r="EE1" s="29">
        <v>135.0</v>
      </c>
      <c r="EF1" s="29">
        <v>136.0</v>
      </c>
      <c r="EG1" s="29">
        <v>137.0</v>
      </c>
      <c r="EH1" s="29">
        <v>138.0</v>
      </c>
      <c r="EI1" s="29">
        <v>139.0</v>
      </c>
      <c r="EJ1" s="29">
        <v>140.0</v>
      </c>
      <c r="EK1" s="29">
        <v>141.0</v>
      </c>
      <c r="EL1" s="29">
        <v>142.0</v>
      </c>
      <c r="EM1" s="29">
        <v>143.0</v>
      </c>
      <c r="EN1" s="29">
        <v>144.0</v>
      </c>
      <c r="EO1" s="29">
        <v>145.0</v>
      </c>
      <c r="EP1" s="29">
        <v>146.0</v>
      </c>
      <c r="EQ1" s="29">
        <v>147.0</v>
      </c>
      <c r="ER1" s="29">
        <v>148.0</v>
      </c>
      <c r="ES1" s="29">
        <v>149.0</v>
      </c>
      <c r="ET1" s="29">
        <v>150.0</v>
      </c>
      <c r="EU1" s="29">
        <v>151.0</v>
      </c>
      <c r="EV1" s="29">
        <v>152.0</v>
      </c>
      <c r="EW1" s="29">
        <v>153.0</v>
      </c>
      <c r="EX1" s="29">
        <v>154.0</v>
      </c>
      <c r="EY1" s="29">
        <v>155.0</v>
      </c>
      <c r="EZ1" s="29">
        <v>156.0</v>
      </c>
      <c r="FA1" s="29">
        <v>157.0</v>
      </c>
      <c r="FB1" s="29">
        <v>158.0</v>
      </c>
      <c r="FC1" s="29">
        <v>159.0</v>
      </c>
      <c r="FD1" s="29">
        <v>160.0</v>
      </c>
      <c r="FE1" s="29">
        <v>161.0</v>
      </c>
      <c r="FF1" s="29">
        <v>162.0</v>
      </c>
      <c r="FG1" s="29">
        <v>163.0</v>
      </c>
      <c r="FH1" s="29">
        <v>164.0</v>
      </c>
      <c r="FI1" s="29">
        <v>165.0</v>
      </c>
      <c r="FJ1" s="29">
        <v>166.0</v>
      </c>
      <c r="FK1" s="29">
        <v>167.0</v>
      </c>
      <c r="FL1" s="29">
        <v>168.0</v>
      </c>
      <c r="FM1" s="29">
        <v>169.0</v>
      </c>
      <c r="FN1" s="29">
        <v>170.0</v>
      </c>
      <c r="FO1" s="29">
        <v>171.0</v>
      </c>
      <c r="FP1" s="29">
        <v>172.0</v>
      </c>
      <c r="FQ1" s="29">
        <v>173.0</v>
      </c>
      <c r="FR1" s="29">
        <v>174.0</v>
      </c>
      <c r="FS1" s="29">
        <v>175.0</v>
      </c>
      <c r="FT1" s="29">
        <v>176.0</v>
      </c>
      <c r="FU1" s="29">
        <v>177.0</v>
      </c>
      <c r="FV1" s="29">
        <v>178.0</v>
      </c>
      <c r="FW1" s="29">
        <v>179.0</v>
      </c>
      <c r="FX1" s="29">
        <v>180.0</v>
      </c>
      <c r="FY1" s="29">
        <v>181.0</v>
      </c>
      <c r="FZ1" s="29">
        <v>182.0</v>
      </c>
      <c r="GA1" s="29">
        <v>183.0</v>
      </c>
      <c r="GB1" s="29">
        <v>184.0</v>
      </c>
      <c r="GC1" s="29">
        <v>185.0</v>
      </c>
      <c r="GD1" s="29">
        <v>186.0</v>
      </c>
      <c r="GE1" s="29">
        <v>187.0</v>
      </c>
      <c r="GF1" s="29">
        <v>188.0</v>
      </c>
      <c r="GG1" s="29">
        <v>189.0</v>
      </c>
      <c r="GH1" s="29">
        <v>190.0</v>
      </c>
      <c r="GI1" s="29">
        <v>191.0</v>
      </c>
      <c r="GJ1" s="29">
        <v>192.0</v>
      </c>
      <c r="GK1" s="29">
        <v>193.0</v>
      </c>
      <c r="GL1" s="29">
        <v>194.0</v>
      </c>
      <c r="GM1" s="29">
        <v>195.0</v>
      </c>
      <c r="GN1" s="29">
        <v>196.0</v>
      </c>
      <c r="GO1" s="29">
        <v>197.0</v>
      </c>
      <c r="GP1" s="29">
        <v>198.0</v>
      </c>
      <c r="GQ1" s="29">
        <v>199.0</v>
      </c>
      <c r="GR1" s="29">
        <v>200.0</v>
      </c>
      <c r="GS1" s="29">
        <v>201.0</v>
      </c>
      <c r="GT1" s="29">
        <v>202.0</v>
      </c>
      <c r="GU1" s="29">
        <v>203.0</v>
      </c>
      <c r="GV1" s="29">
        <v>204.0</v>
      </c>
      <c r="GW1" s="29">
        <v>205.0</v>
      </c>
      <c r="GX1" s="29">
        <v>206.0</v>
      </c>
      <c r="GY1" s="29">
        <v>207.0</v>
      </c>
      <c r="GZ1" s="29">
        <v>208.0</v>
      </c>
      <c r="HA1" s="29">
        <v>209.0</v>
      </c>
      <c r="HB1" s="29">
        <v>210.0</v>
      </c>
      <c r="HC1" s="29">
        <v>211.0</v>
      </c>
      <c r="HD1" s="29">
        <v>212.0</v>
      </c>
      <c r="HE1" s="29">
        <v>213.0</v>
      </c>
      <c r="HF1" s="29">
        <v>214.0</v>
      </c>
      <c r="HG1" s="29">
        <v>215.0</v>
      </c>
      <c r="HH1" s="29">
        <v>216.0</v>
      </c>
      <c r="HI1" s="29">
        <v>217.0</v>
      </c>
      <c r="HJ1" s="29">
        <v>218.0</v>
      </c>
      <c r="HK1" s="29">
        <v>219.0</v>
      </c>
      <c r="HL1" s="29">
        <v>220.0</v>
      </c>
      <c r="HM1" s="29">
        <v>221.0</v>
      </c>
      <c r="HN1" s="29">
        <v>222.0</v>
      </c>
      <c r="HO1" s="29">
        <v>223.0</v>
      </c>
      <c r="HP1" s="29">
        <v>224.0</v>
      </c>
      <c r="HQ1" s="29">
        <v>225.0</v>
      </c>
      <c r="HR1" s="29">
        <v>226.0</v>
      </c>
      <c r="HS1" s="29">
        <v>227.0</v>
      </c>
      <c r="HT1" s="29">
        <v>228.0</v>
      </c>
      <c r="HU1" s="29">
        <v>229.0</v>
      </c>
      <c r="HV1" s="29">
        <v>230.0</v>
      </c>
      <c r="HW1" s="29">
        <v>231.0</v>
      </c>
      <c r="HX1" s="29">
        <v>232.0</v>
      </c>
      <c r="HY1" s="29">
        <v>233.0</v>
      </c>
      <c r="HZ1" s="29">
        <v>234.0</v>
      </c>
      <c r="IA1" s="29">
        <v>235.0</v>
      </c>
      <c r="IB1" s="29">
        <v>236.0</v>
      </c>
      <c r="IC1" s="29">
        <v>237.0</v>
      </c>
      <c r="ID1" s="29">
        <v>238.0</v>
      </c>
      <c r="IE1" s="29">
        <v>239.0</v>
      </c>
      <c r="IF1" s="29">
        <v>240.0</v>
      </c>
      <c r="IG1" s="29">
        <v>241.0</v>
      </c>
      <c r="IH1" s="29">
        <v>242.0</v>
      </c>
      <c r="II1" s="29">
        <v>243.0</v>
      </c>
      <c r="IJ1" s="29">
        <v>244.0</v>
      </c>
      <c r="IK1" s="29">
        <v>245.0</v>
      </c>
      <c r="IL1" s="29">
        <v>246.0</v>
      </c>
      <c r="IM1" s="29">
        <v>247.0</v>
      </c>
      <c r="IN1" s="29">
        <v>248.0</v>
      </c>
      <c r="IO1" s="29">
        <v>249.0</v>
      </c>
      <c r="IP1" s="29">
        <v>250.0</v>
      </c>
      <c r="IQ1" s="29">
        <v>251.0</v>
      </c>
      <c r="IR1" s="29">
        <v>252.0</v>
      </c>
      <c r="IS1" s="29">
        <v>253.0</v>
      </c>
      <c r="IT1" s="29">
        <v>254.0</v>
      </c>
      <c r="IU1" s="29">
        <v>255.0</v>
      </c>
      <c r="IV1" s="29">
        <v>256.0</v>
      </c>
      <c r="IW1" s="29">
        <v>257.0</v>
      </c>
      <c r="IX1" s="29">
        <v>258.0</v>
      </c>
      <c r="IY1" s="29">
        <v>259.0</v>
      </c>
      <c r="IZ1" s="29">
        <v>260.0</v>
      </c>
      <c r="JA1" s="29">
        <v>261.0</v>
      </c>
      <c r="JB1" s="29"/>
      <c r="JC1" s="29"/>
      <c r="JD1" s="29"/>
      <c r="JE1" s="29"/>
    </row>
    <row r="2">
      <c r="A2" s="30" t="s">
        <v>276</v>
      </c>
      <c r="B2" s="31">
        <f>IFERROR(__xludf.DUMMYFUNCTION("IMPORTRANGE($A$2, CONCATENATE($A3,""!C4:JB4""))"),45902.0)</f>
        <v>45902</v>
      </c>
      <c r="C2" s="32">
        <f>IFERROR(__xludf.DUMMYFUNCTION("""COMPUTED_VALUE"""),45904.0)</f>
        <v>45904</v>
      </c>
      <c r="D2" s="32">
        <f>IFERROR(__xludf.DUMMYFUNCTION("""COMPUTED_VALUE"""),45909.0)</f>
        <v>45909</v>
      </c>
      <c r="E2" s="32">
        <f>IFERROR(__xludf.DUMMYFUNCTION("""COMPUTED_VALUE"""),45911.0)</f>
        <v>45911</v>
      </c>
      <c r="F2" s="32"/>
      <c r="G2" s="32"/>
      <c r="H2" s="32"/>
      <c r="I2" s="32">
        <f>IFERROR(__xludf.DUMMYFUNCTION("""COMPUTED_VALUE"""),45551.0)</f>
        <v>45551</v>
      </c>
      <c r="J2" s="32">
        <f>IFERROR(__xludf.DUMMYFUNCTION("""COMPUTED_VALUE"""),45923.0)</f>
        <v>45923</v>
      </c>
      <c r="K2" s="32">
        <f>IFERROR(__xludf.DUMMYFUNCTION("""COMPUTED_VALUE"""),45960.0)</f>
        <v>45960</v>
      </c>
      <c r="L2" s="32" t="str">
        <f>IFERROR(__xludf.DUMMYFUNCTION("""COMPUTED_VALUE"""),"02.20.2025")</f>
        <v>02.20.2025</v>
      </c>
      <c r="M2" s="32"/>
      <c r="N2" s="32"/>
      <c r="O2" s="32"/>
      <c r="P2" s="32">
        <f>IFERROR(__xludf.DUMMYFUNCTION("""COMPUTED_VALUE"""),45937.0)</f>
        <v>45937</v>
      </c>
      <c r="Q2" s="32">
        <f>IFERROR(__xludf.DUMMYFUNCTION("""COMPUTED_VALUE"""),45939.0)</f>
        <v>45939</v>
      </c>
      <c r="R2" s="32">
        <f>IFERROR(__xludf.DUMMYFUNCTION("""COMPUTED_VALUE"""),45975.0)</f>
        <v>45975</v>
      </c>
      <c r="S2" s="32">
        <f>IFERROR(__xludf.DUMMYFUNCTION("""COMPUTED_VALUE"""),45951.0)</f>
        <v>45951</v>
      </c>
      <c r="T2" s="32"/>
      <c r="U2" s="32"/>
      <c r="V2" s="32"/>
      <c r="W2" s="32">
        <f>IFERROR(__xludf.DUMMYFUNCTION("""COMPUTED_VALUE"""),45953.0)</f>
        <v>45953</v>
      </c>
      <c r="X2" s="32">
        <f>IFERROR(__xludf.DUMMYFUNCTION("""COMPUTED_VALUE"""),45958.0)</f>
        <v>45958</v>
      </c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 t="str">
        <f>IFERROR(__xludf.DUMMYFUNCTION("""COMPUTED_VALUE"""),"1 четверть")</f>
        <v>1 четверть</v>
      </c>
      <c r="BN2" s="32">
        <f>IFERROR(__xludf.DUMMYFUNCTION("""COMPUTED_VALUE"""),45972.0)</f>
        <v>45972</v>
      </c>
      <c r="BO2" s="32">
        <f>IFERROR(__xludf.DUMMYFUNCTION("""COMPUTED_VALUE"""),45979.0)</f>
        <v>45979</v>
      </c>
      <c r="BP2" s="32">
        <f>IFERROR(__xludf.DUMMYFUNCTION("""COMPUTED_VALUE"""),45981.0)</f>
        <v>45981</v>
      </c>
      <c r="BQ2" s="32">
        <f>IFERROR(__xludf.DUMMYFUNCTION("""COMPUTED_VALUE"""),45986.0)</f>
        <v>45986</v>
      </c>
      <c r="BR2" s="32"/>
      <c r="BS2" s="32"/>
      <c r="BT2" s="32"/>
      <c r="BU2" s="32">
        <f>IFERROR(__xludf.DUMMYFUNCTION("""COMPUTED_VALUE"""),45993.0)</f>
        <v>45993</v>
      </c>
      <c r="BV2" s="32">
        <f>IFERROR(__xludf.DUMMYFUNCTION("""COMPUTED_VALUE"""),45995.0)</f>
        <v>45995</v>
      </c>
      <c r="BW2" s="32">
        <f>IFERROR(__xludf.DUMMYFUNCTION("""COMPUTED_VALUE"""),46000.0)</f>
        <v>46000</v>
      </c>
      <c r="BX2" s="32">
        <f>IFERROR(__xludf.DUMMYFUNCTION("""COMPUTED_VALUE"""),46007.0)</f>
        <v>46007</v>
      </c>
      <c r="BY2" s="32"/>
      <c r="BZ2" s="32"/>
      <c r="CA2" s="32"/>
      <c r="CB2" s="32">
        <f>IFERROR(__xludf.DUMMYFUNCTION("""COMPUTED_VALUE"""),46009.0)</f>
        <v>46009</v>
      </c>
      <c r="CC2" s="32">
        <f>IFERROR(__xludf.DUMMYFUNCTION("""COMPUTED_VALUE"""),46014.0)</f>
        <v>46014</v>
      </c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 t="str">
        <f>IFERROR(__xludf.DUMMYFUNCTION("""COMPUTED_VALUE"""),"2 четверть")</f>
        <v>2 четверть</v>
      </c>
      <c r="DS2" s="32">
        <f>IFERROR(__xludf.DUMMYFUNCTION("""COMPUTED_VALUE"""),46035.0)</f>
        <v>46035</v>
      </c>
      <c r="DT2" s="32">
        <f>IFERROR(__xludf.DUMMYFUNCTION("""COMPUTED_VALUE"""),46037.0)</f>
        <v>46037</v>
      </c>
      <c r="DU2" s="32">
        <f>IFERROR(__xludf.DUMMYFUNCTION("""COMPUTED_VALUE"""),46044.0)</f>
        <v>46044</v>
      </c>
      <c r="DV2" s="32">
        <f>IFERROR(__xludf.DUMMYFUNCTION("""COMPUTED_VALUE"""),46049.0)</f>
        <v>46049</v>
      </c>
      <c r="DW2" s="32"/>
      <c r="DX2" s="32"/>
      <c r="DY2" s="32"/>
      <c r="DZ2" s="32" t="str">
        <f>IFERROR(__xludf.DUMMYFUNCTION("""COMPUTED_VALUE"""),"в/д")</f>
        <v>в/д</v>
      </c>
      <c r="EA2" s="32">
        <f>IFERROR(__xludf.DUMMYFUNCTION("""COMPUTED_VALUE"""),46056.0)</f>
        <v>46056</v>
      </c>
      <c r="EB2" s="32">
        <f>IFERROR(__xludf.DUMMYFUNCTION("""COMPUTED_VALUE"""),46058.0)</f>
        <v>46058</v>
      </c>
      <c r="EC2" s="32">
        <f>IFERROR(__xludf.DUMMYFUNCTION("""COMPUTED_VALUE"""),46063.0)</f>
        <v>46063</v>
      </c>
      <c r="ED2" s="32"/>
      <c r="EE2" s="32"/>
      <c r="EF2" s="32"/>
      <c r="EG2" s="32">
        <f>IFERROR(__xludf.DUMMYFUNCTION("""COMPUTED_VALUE"""),46065.0)</f>
        <v>46065</v>
      </c>
      <c r="EH2" s="32">
        <f>IFERROR(__xludf.DUMMYFUNCTION("""COMPUTED_VALUE"""),46070.0)</f>
        <v>46070</v>
      </c>
      <c r="EI2" s="32">
        <f>IFERROR(__xludf.DUMMYFUNCTION("""COMPUTED_VALUE"""),46077.0)</f>
        <v>46077</v>
      </c>
      <c r="EJ2" s="32">
        <f>IFERROR(__xludf.DUMMYFUNCTION("""COMPUTED_VALUE"""),46079.0)</f>
        <v>46079</v>
      </c>
      <c r="EK2" s="32"/>
      <c r="EL2" s="32"/>
      <c r="EM2" s="32"/>
      <c r="EN2" s="32">
        <f>IFERROR(__xludf.DUMMYFUNCTION("""COMPUTED_VALUE"""),46084.0)</f>
        <v>46084</v>
      </c>
      <c r="EO2" s="32">
        <f>IFERROR(__xludf.DUMMYFUNCTION("""COMPUTED_VALUE"""),46086.0)</f>
        <v>46086</v>
      </c>
      <c r="EP2" s="32">
        <f>IFERROR(__xludf.DUMMYFUNCTION("""COMPUTED_VALUE"""),46091.0)</f>
        <v>46091</v>
      </c>
      <c r="EQ2" s="32">
        <f>IFERROR(__xludf.DUMMYFUNCTION("""COMPUTED_VALUE"""),46093.0)</f>
        <v>46093</v>
      </c>
      <c r="ER2" s="32"/>
      <c r="ES2" s="32"/>
      <c r="ET2" s="32"/>
      <c r="EU2" s="32">
        <f>IFERROR(__xludf.DUMMYFUNCTION("""COMPUTED_VALUE"""),46098.0)</f>
        <v>46098</v>
      </c>
      <c r="EV2" s="32">
        <f>IFERROR(__xludf.DUMMYFUNCTION("""COMPUTED_VALUE"""),46100.0)</f>
        <v>46100</v>
      </c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 t="str">
        <f>IFERROR(__xludf.DUMMYFUNCTION("""COMPUTED_VALUE"""),"3 четверть")</f>
        <v>3 четверть</v>
      </c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 t="str">
        <f>IFERROR(__xludf.DUMMYFUNCTION("""COMPUTED_VALUE"""),"4 четверть")</f>
        <v>4 четверть</v>
      </c>
      <c r="IT2" s="32" t="str">
        <f>IFERROR(__xludf.DUMMYFUNCTION("""COMPUTED_VALUE"""),"год")</f>
        <v>год</v>
      </c>
      <c r="IU2" s="32" t="str">
        <f>IFERROR(__xludf.DUMMYFUNCTION("""COMPUTED_VALUE"""),"рейтинг")</f>
        <v>рейтинг</v>
      </c>
      <c r="IV2" s="32"/>
      <c r="IW2" s="32"/>
      <c r="IX2" s="32" t="str">
        <f>IFERROR(__xludf.DUMMYFUNCTION("""COMPUTED_VALUE"""),"Дата")</f>
        <v>Дата</v>
      </c>
      <c r="IY2" s="32" t="str">
        <f>IFERROR(__xludf.DUMMYFUNCTION("""COMPUTED_VALUE"""),"Тема урока")</f>
        <v>Тема урока</v>
      </c>
      <c r="IZ2" s="32" t="str">
        <f>IFERROR(__xludf.DUMMYFUNCTION("""COMPUTED_VALUE"""),"Домашнее задание")</f>
        <v>Домашнее задание</v>
      </c>
      <c r="JA2" s="32" t="str">
        <f>IFERROR(__xludf.DUMMYFUNCTION("""COMPUTED_VALUE"""),"Дата")</f>
        <v>Дата</v>
      </c>
      <c r="JB2" s="32"/>
      <c r="JC2" s="32"/>
      <c r="JD2" s="32"/>
      <c r="JE2" s="32"/>
    </row>
    <row r="3">
      <c r="A3" s="33" t="s">
        <v>277</v>
      </c>
      <c r="B3" s="34" t="str">
        <f>IFERROR(__xludf.DUMMYFUNCTION("VLOOKUP($A$1,IMPORTRANGE($A$2, CONCATENATE($A3,""!$B$5:$JB$48"")),B$1,0)"),"")</f>
        <v/>
      </c>
      <c r="C3" s="34">
        <f>IFERROR(__xludf.DUMMYFUNCTION("VLOOKUP($A$1,IMPORTRANGE($A$2, CONCATENATE($A3,""!$B$5:$JB$48"")),C$1,0)"),5.0)</f>
        <v>5</v>
      </c>
      <c r="D3" s="34" t="str">
        <f>IFERROR(__xludf.DUMMYFUNCTION("VLOOKUP($A$1,IMPORTRANGE($A$2, CONCATENATE($A3,""!$B$5:$JB$48"")),D$1,0)"),"")</f>
        <v/>
      </c>
      <c r="E3" s="34" t="str">
        <f>IFERROR(__xludf.DUMMYFUNCTION("VLOOKUP($A$1,IMPORTRANGE($A$2, CONCATENATE($A3,""!$B$5:$JB$48"")),E$1,0)"),"")</f>
        <v/>
      </c>
      <c r="F3" s="34" t="str">
        <f>IFERROR(__xludf.DUMMYFUNCTION("VLOOKUP($A$1,IMPORTRANGE($A$2, CONCATENATE($A3,""!$B$5:$JB$48"")),F$1,0)"),"")</f>
        <v/>
      </c>
      <c r="G3" s="34" t="str">
        <f>IFERROR(__xludf.DUMMYFUNCTION("VLOOKUP($A$1,IMPORTRANGE($A$2, CONCATENATE($A3,""!$B$5:$JB$48"")),G$1,0)"),"")</f>
        <v/>
      </c>
      <c r="H3" s="34" t="str">
        <f>IFERROR(__xludf.DUMMYFUNCTION("VLOOKUP($A$1,IMPORTRANGE($A$2, CONCATENATE($A3,""!$B$5:$JB$48"")),H$1,0)"),"")</f>
        <v/>
      </c>
      <c r="I3" s="34">
        <f>IFERROR(__xludf.DUMMYFUNCTION("VLOOKUP($A$1,IMPORTRANGE($A$2, CONCATENATE($A3,""!$B$5:$JB$48"")),I$1,0)"),4.0)</f>
        <v>4</v>
      </c>
      <c r="J3" s="34">
        <f>IFERROR(__xludf.DUMMYFUNCTION("VLOOKUP($A$1,IMPORTRANGE($A$2, CONCATENATE($A3,""!$B$5:$JB$48"")),J$1,0)"),3.0)</f>
        <v>3</v>
      </c>
      <c r="K3" s="34" t="str">
        <f>IFERROR(__xludf.DUMMYFUNCTION("VLOOKUP($A$1,IMPORTRANGE($A$2, CONCATENATE($A3,""!$B$5:$JB$48"")),K$1,0)"),"")</f>
        <v/>
      </c>
      <c r="L3" s="34" t="str">
        <f>IFERROR(__xludf.DUMMYFUNCTION("VLOOKUP($A$1,IMPORTRANGE($A$2, CONCATENATE($A3,""!$B$5:$JB$48"")),L$1,0)"),"")</f>
        <v/>
      </c>
      <c r="M3" s="35" t="str">
        <f>IFERROR(__xludf.DUMMYFUNCTION("VLOOKUP($A$1,IMPORTRANGE($A$2, CONCATENATE($A3,""!$B$5:$JB$48"")),M$1,0)"),"")</f>
        <v/>
      </c>
      <c r="N3" s="35" t="str">
        <f>IFERROR(__xludf.DUMMYFUNCTION("VLOOKUP($A$1,IMPORTRANGE($A$2, CONCATENATE($A3,""!$B$5:$JB$48"")),N$1,0)"),"")</f>
        <v/>
      </c>
      <c r="O3" s="35" t="str">
        <f>IFERROR(__xludf.DUMMYFUNCTION("VLOOKUP($A$1,IMPORTRANGE($A$2, CONCATENATE($A3,""!$B$5:$JB$48"")),O$1,0)"),"")</f>
        <v/>
      </c>
      <c r="P3" s="35" t="str">
        <f>IFERROR(__xludf.DUMMYFUNCTION("VLOOKUP($A$1,IMPORTRANGE($A$2, CONCATENATE($A3,""!$B$5:$JB$48"")),P$1,0)"),"")</f>
        <v/>
      </c>
      <c r="Q3" s="35" t="str">
        <f>IFERROR(__xludf.DUMMYFUNCTION("VLOOKUP($A$1,IMPORTRANGE($A$2, CONCATENATE($A3,""!$B$5:$JB$48"")),Q$1,0)"),"")</f>
        <v/>
      </c>
      <c r="R3" s="35">
        <f>IFERROR(__xludf.DUMMYFUNCTION("VLOOKUP($A$1,IMPORTRANGE($A$2, CONCATENATE($A3,""!$B$5:$JB$48"")),R$1,0)"),5.0)</f>
        <v>5</v>
      </c>
      <c r="S3" s="35">
        <f>IFERROR(__xludf.DUMMYFUNCTION("VLOOKUP($A$1,IMPORTRANGE($A$2, CONCATENATE($A3,""!$B$5:$JB$48"")),S$1,0)"),2.0)</f>
        <v>2</v>
      </c>
      <c r="T3" s="35" t="str">
        <f>IFERROR(__xludf.DUMMYFUNCTION("VLOOKUP($A$1,IMPORTRANGE($A$2, CONCATENATE($A3,""!$B$5:$JB$48"")),T$1,0)"),"")</f>
        <v/>
      </c>
      <c r="U3" s="35" t="str">
        <f>IFERROR(__xludf.DUMMYFUNCTION("VLOOKUP($A$1,IMPORTRANGE($A$2, CONCATENATE($A3,""!$B$5:$JB$48"")),U$1,0)"),"")</f>
        <v/>
      </c>
      <c r="V3" s="35" t="str">
        <f>IFERROR(__xludf.DUMMYFUNCTION("VLOOKUP($A$1,IMPORTRANGE($A$2, CONCATENATE($A3,""!$B$5:$JB$48"")),V$1,0)"),"")</f>
        <v/>
      </c>
      <c r="W3" s="35" t="str">
        <f>IFERROR(__xludf.DUMMYFUNCTION("VLOOKUP($A$1,IMPORTRANGE($A$2, CONCATENATE($A3,""!$B$5:$JB$48"")),W$1,0)"),"")</f>
        <v/>
      </c>
      <c r="X3" s="35">
        <f>IFERROR(__xludf.DUMMYFUNCTION("VLOOKUP($A$1,IMPORTRANGE($A$2, CONCATENATE($A3,""!$B$5:$JB$48"")),X$1,0)"),5.0)</f>
        <v>5</v>
      </c>
      <c r="Y3" s="35" t="str">
        <f>IFERROR(__xludf.DUMMYFUNCTION("VLOOKUP($A$1,IMPORTRANGE($A$2, CONCATENATE($A3,""!$B$5:$JB$48"")),Y$1,0)"),"")</f>
        <v/>
      </c>
      <c r="Z3" s="35" t="str">
        <f>IFERROR(__xludf.DUMMYFUNCTION("VLOOKUP($A$1,IMPORTRANGE($A$2, CONCATENATE($A3,""!$B$5:$JB$48"")),Z$1,0)"),"")</f>
        <v/>
      </c>
      <c r="AA3" s="35" t="str">
        <f>IFERROR(__xludf.DUMMYFUNCTION("VLOOKUP($A$1,IMPORTRANGE($A$2, CONCATENATE($A3,""!$B$5:$JB$48"")),AA$1,0)"),"")</f>
        <v/>
      </c>
      <c r="AB3" s="35" t="str">
        <f>IFERROR(__xludf.DUMMYFUNCTION("VLOOKUP($A$1,IMPORTRANGE($A$2, CONCATENATE($A3,""!$B$5:$JB$48"")),AB$1,0)"),"")</f>
        <v/>
      </c>
      <c r="AC3" s="35" t="str">
        <f>IFERROR(__xludf.DUMMYFUNCTION("VLOOKUP($A$1,IMPORTRANGE($A$2, CONCATENATE($A3,""!$B$5:$JB$48"")),AC$1,0)"),"")</f>
        <v/>
      </c>
      <c r="AD3" s="35" t="str">
        <f>IFERROR(__xludf.DUMMYFUNCTION("VLOOKUP($A$1,IMPORTRANGE($A$2, CONCATENATE($A3,""!$B$5:$JB$48"")),AD$1,0)"),"")</f>
        <v/>
      </c>
      <c r="AE3" s="35" t="str">
        <f>IFERROR(__xludf.DUMMYFUNCTION("VLOOKUP($A$1,IMPORTRANGE($A$2, CONCATENATE($A3,""!$B$5:$JB$48"")),AE$1,0)"),"")</f>
        <v/>
      </c>
      <c r="AF3" s="35" t="str">
        <f>IFERROR(__xludf.DUMMYFUNCTION("VLOOKUP($A$1,IMPORTRANGE($A$2, CONCATENATE($A3,""!$B$5:$JB$48"")),AF$1,0)"),"")</f>
        <v/>
      </c>
      <c r="AG3" s="35" t="str">
        <f>IFERROR(__xludf.DUMMYFUNCTION("VLOOKUP($A$1,IMPORTRANGE($A$2, CONCATENATE($A3,""!$B$5:$JB$48"")),AG$1,0)"),"")</f>
        <v/>
      </c>
      <c r="AH3" s="35" t="str">
        <f>IFERROR(__xludf.DUMMYFUNCTION("VLOOKUP($A$1,IMPORTRANGE($A$2, CONCATENATE($A3,""!$B$5:$JB$48"")),AH$1,0)"),"")</f>
        <v/>
      </c>
      <c r="AI3" s="35" t="str">
        <f>IFERROR(__xludf.DUMMYFUNCTION("VLOOKUP($A$1,IMPORTRANGE($A$2, CONCATENATE($A3,""!$B$5:$JB$48"")),AI$1,0)"),"")</f>
        <v/>
      </c>
      <c r="AJ3" s="35" t="str">
        <f>IFERROR(__xludf.DUMMYFUNCTION("VLOOKUP($A$1,IMPORTRANGE($A$2, CONCATENATE($A3,""!$B$5:$JB$48"")),AJ$1,0)"),"")</f>
        <v/>
      </c>
      <c r="AK3" s="35" t="str">
        <f>IFERROR(__xludf.DUMMYFUNCTION("VLOOKUP($A$1,IMPORTRANGE($A$2, CONCATENATE($A3,""!$B$5:$JB$48"")),AK$1,0)"),"")</f>
        <v/>
      </c>
      <c r="AL3" s="35" t="str">
        <f>IFERROR(__xludf.DUMMYFUNCTION("VLOOKUP($A$1,IMPORTRANGE($A$2, CONCATENATE($A3,""!$B$5:$JB$48"")),AL$1,0)"),"")</f>
        <v/>
      </c>
      <c r="AM3" s="35" t="str">
        <f>IFERROR(__xludf.DUMMYFUNCTION("VLOOKUP($A$1,IMPORTRANGE($A$2, CONCATENATE($A3,""!$B$5:$JB$48"")),AM$1,0)"),"")</f>
        <v/>
      </c>
      <c r="AN3" s="35" t="str">
        <f>IFERROR(__xludf.DUMMYFUNCTION("VLOOKUP($A$1,IMPORTRANGE($A$2, CONCATENATE($A3,""!$B$5:$JB$48"")),AN$1,0)"),"")</f>
        <v/>
      </c>
      <c r="AO3" s="35" t="str">
        <f>IFERROR(__xludf.DUMMYFUNCTION("VLOOKUP($A$1,IMPORTRANGE($A$2, CONCATENATE($A3,""!$B$5:$JB$48"")),AO$1,0)"),"")</f>
        <v/>
      </c>
      <c r="AP3" s="35" t="str">
        <f>IFERROR(__xludf.DUMMYFUNCTION("VLOOKUP($A$1,IMPORTRANGE($A$2, CONCATENATE($A3,""!$B$5:$JB$48"")),AP$1,0)"),"")</f>
        <v/>
      </c>
      <c r="AQ3" s="35" t="str">
        <f>IFERROR(__xludf.DUMMYFUNCTION("VLOOKUP($A$1,IMPORTRANGE($A$2, CONCATENATE($A3,""!$B$5:$JB$48"")),AQ$1,0)"),"")</f>
        <v/>
      </c>
      <c r="AR3" s="35" t="str">
        <f>IFERROR(__xludf.DUMMYFUNCTION("VLOOKUP($A$1,IMPORTRANGE($A$2, CONCATENATE($A3,""!$B$5:$JB$48"")),AR$1,0)"),"")</f>
        <v/>
      </c>
      <c r="AS3" s="35" t="str">
        <f>IFERROR(__xludf.DUMMYFUNCTION("VLOOKUP($A$1,IMPORTRANGE($A$2, CONCATENATE($A3,""!$B$5:$JB$48"")),AS$1,0)"),"")</f>
        <v/>
      </c>
      <c r="AT3" s="35" t="str">
        <f>IFERROR(__xludf.DUMMYFUNCTION("VLOOKUP($A$1,IMPORTRANGE($A$2, CONCATENATE($A3,""!$B$5:$JB$48"")),AT$1,0)"),"")</f>
        <v/>
      </c>
      <c r="AU3" s="35" t="str">
        <f>IFERROR(__xludf.DUMMYFUNCTION("VLOOKUP($A$1,IMPORTRANGE($A$2, CONCATENATE($A3,""!$B$5:$JB$48"")),AU$1,0)"),"")</f>
        <v/>
      </c>
      <c r="AV3" s="35" t="str">
        <f>IFERROR(__xludf.DUMMYFUNCTION("VLOOKUP($A$1,IMPORTRANGE($A$2, CONCATENATE($A3,""!$B$5:$JB$48"")),AV$1,0)"),"")</f>
        <v/>
      </c>
      <c r="AW3" s="35" t="str">
        <f>IFERROR(__xludf.DUMMYFUNCTION("VLOOKUP($A$1,IMPORTRANGE($A$2, CONCATENATE($A3,""!$B$5:$JB$48"")),AW$1,0)"),"")</f>
        <v/>
      </c>
      <c r="AX3" s="35" t="str">
        <f>IFERROR(__xludf.DUMMYFUNCTION("VLOOKUP($A$1,IMPORTRANGE($A$2, CONCATENATE($A3,""!$B$5:$JB$48"")),AX$1,0)"),"")</f>
        <v/>
      </c>
      <c r="AY3" s="35" t="str">
        <f>IFERROR(__xludf.DUMMYFUNCTION("VLOOKUP($A$1,IMPORTRANGE($A$2, CONCATENATE($A3,""!$B$5:$JB$48"")),AY$1,0)"),"")</f>
        <v/>
      </c>
      <c r="AZ3" s="35" t="str">
        <f>IFERROR(__xludf.DUMMYFUNCTION("VLOOKUP($A$1,IMPORTRANGE($A$2, CONCATENATE($A3,""!$B$5:$JB$48"")),AZ$1,0)"),"")</f>
        <v/>
      </c>
      <c r="BA3" s="35" t="str">
        <f>IFERROR(__xludf.DUMMYFUNCTION("VLOOKUP($A$1,IMPORTRANGE($A$2, CONCATENATE($A3,""!$B$5:$JB$48"")),BA$1,0)"),"")</f>
        <v/>
      </c>
      <c r="BB3" s="35" t="str">
        <f>IFERROR(__xludf.DUMMYFUNCTION("VLOOKUP($A$1,IMPORTRANGE($A$2, CONCATENATE($A3,""!$B$5:$JB$48"")),BB$1,0)"),"")</f>
        <v/>
      </c>
      <c r="BC3" s="35" t="str">
        <f>IFERROR(__xludf.DUMMYFUNCTION("VLOOKUP($A$1,IMPORTRANGE($A$2, CONCATENATE($A3,""!$B$5:$JB$48"")),BC$1,0)"),"")</f>
        <v/>
      </c>
      <c r="BD3" s="35" t="str">
        <f>IFERROR(__xludf.DUMMYFUNCTION("VLOOKUP($A$1,IMPORTRANGE($A$2, CONCATENATE($A3,""!$B$5:$JB$48"")),BD$1,0)"),"")</f>
        <v/>
      </c>
      <c r="BE3" s="35" t="str">
        <f>IFERROR(__xludf.DUMMYFUNCTION("VLOOKUP($A$1,IMPORTRANGE($A$2, CONCATENATE($A3,""!$B$5:$JB$48"")),BE$1,0)"),"")</f>
        <v/>
      </c>
      <c r="BF3" s="35" t="str">
        <f>IFERROR(__xludf.DUMMYFUNCTION("VLOOKUP($A$1,IMPORTRANGE($A$2, CONCATENATE($A3,""!$B$5:$JB$48"")),BF$1,0)"),"")</f>
        <v/>
      </c>
      <c r="BG3" s="35" t="str">
        <f>IFERROR(__xludf.DUMMYFUNCTION("VLOOKUP($A$1,IMPORTRANGE($A$2, CONCATENATE($A3,""!$B$5:$JB$48"")),BG$1,0)"),"")</f>
        <v/>
      </c>
      <c r="BH3" s="35" t="str">
        <f>IFERROR(__xludf.DUMMYFUNCTION("VLOOKUP($A$1,IMPORTRANGE($A$2, CONCATENATE($A3,""!$B$5:$JB$48"")),BH$1,0)"),"")</f>
        <v/>
      </c>
      <c r="BI3" s="35" t="str">
        <f>IFERROR(__xludf.DUMMYFUNCTION("VLOOKUP($A$1,IMPORTRANGE($A$2, CONCATENATE($A3,""!$B$5:$JB$48"")),BI$1,0)"),"")</f>
        <v/>
      </c>
      <c r="BJ3" s="35" t="str">
        <f>IFERROR(__xludf.DUMMYFUNCTION("VLOOKUP($A$1,IMPORTRANGE($A$2, CONCATENATE($A3,""!$B$5:$JB$48"")),BJ$1,0)"),"")</f>
        <v/>
      </c>
      <c r="BK3" s="35" t="str">
        <f>IFERROR(__xludf.DUMMYFUNCTION("VLOOKUP($A$1,IMPORTRANGE($A$2, CONCATENATE($A3,""!$B$5:$JB$48"")),BK$1,0)"),"")</f>
        <v/>
      </c>
      <c r="BL3" s="35" t="str">
        <f>IFERROR(__xludf.DUMMYFUNCTION("VLOOKUP($A$1,IMPORTRANGE($A$2, CONCATENATE($A3,""!$B$5:$JB$48"")),BL$1,0)"),"")</f>
        <v/>
      </c>
      <c r="BM3" s="35">
        <f>IFERROR(__xludf.DUMMYFUNCTION("VLOOKUP($A$1,IMPORTRANGE($A$2, CONCATENATE($A3,""!$B$5:$JB$48"")),BM$1,0)"),4.0)</f>
        <v>4</v>
      </c>
      <c r="BN3" s="35" t="str">
        <f>IFERROR(__xludf.DUMMYFUNCTION("VLOOKUP($A$1,IMPORTRANGE($A$2, CONCATENATE($A3,""!$B$5:$JB$48"")),BN$1,0)"),"")</f>
        <v/>
      </c>
      <c r="BO3" s="35" t="str">
        <f>IFERROR(__xludf.DUMMYFUNCTION("VLOOKUP($A$1,IMPORTRANGE($A$2, CONCATENATE($A3,""!$B$5:$JB$48"")),BO$1,0)"),"")</f>
        <v/>
      </c>
      <c r="BP3" s="35" t="str">
        <f>IFERROR(__xludf.DUMMYFUNCTION("VLOOKUP($A$1,IMPORTRANGE($A$2, CONCATENATE($A3,""!$B$5:$JB$48"")),BP$1,0)"),"")</f>
        <v/>
      </c>
      <c r="BQ3" s="35">
        <f>IFERROR(__xludf.DUMMYFUNCTION("VLOOKUP($A$1,IMPORTRANGE($A$2, CONCATENATE($A3,""!$B$5:$JB$48"")),BQ$1,0)"),4.0)</f>
        <v>4</v>
      </c>
      <c r="BR3" s="35" t="str">
        <f>IFERROR(__xludf.DUMMYFUNCTION("VLOOKUP($A$1,IMPORTRANGE($A$2, CONCATENATE($A3,""!$B$5:$JB$48"")),BR$1,0)"),"")</f>
        <v/>
      </c>
      <c r="BS3" s="35" t="str">
        <f>IFERROR(__xludf.DUMMYFUNCTION("VLOOKUP($A$1,IMPORTRANGE($A$2, CONCATENATE($A3,""!$B$5:$JB$48"")),BS$1,0)"),"")</f>
        <v/>
      </c>
      <c r="BT3" s="35" t="str">
        <f>IFERROR(__xludf.DUMMYFUNCTION("VLOOKUP($A$1,IMPORTRANGE($A$2, CONCATENATE($A3,""!$B$5:$JB$48"")),BT$1,0)"),"")</f>
        <v/>
      </c>
      <c r="BU3" s="35" t="str">
        <f>IFERROR(__xludf.DUMMYFUNCTION("VLOOKUP($A$1,IMPORTRANGE($A$2, CONCATENATE($A3,""!$B$5:$JB$48"")),BU$1,0)"),"")</f>
        <v/>
      </c>
      <c r="BV3" s="35">
        <f>IFERROR(__xludf.DUMMYFUNCTION("VLOOKUP($A$1,IMPORTRANGE($A$2, CONCATENATE($A3,""!$B$5:$JB$48"")),BV$1,0)"),3.0)</f>
        <v>3</v>
      </c>
      <c r="BW3" s="35">
        <f>IFERROR(__xludf.DUMMYFUNCTION("VLOOKUP($A$1,IMPORTRANGE($A$2, CONCATENATE($A3,""!$B$5:$JB$48"")),BW$1,0)"),5.0)</f>
        <v>5</v>
      </c>
      <c r="BX3" s="35" t="str">
        <f>IFERROR(__xludf.DUMMYFUNCTION("VLOOKUP($A$1,IMPORTRANGE($A$2, CONCATENATE($A3,""!$B$5:$JB$48"")),BX$1,0)"),"")</f>
        <v/>
      </c>
      <c r="BY3" s="35" t="str">
        <f>IFERROR(__xludf.DUMMYFUNCTION("VLOOKUP($A$1,IMPORTRANGE($A$2, CONCATENATE($A3,""!$B$5:$JB$48"")),BY$1,0)"),"")</f>
        <v/>
      </c>
      <c r="BZ3" s="35" t="str">
        <f>IFERROR(__xludf.DUMMYFUNCTION("VLOOKUP($A$1,IMPORTRANGE($A$2, CONCATENATE($A3,""!$B$5:$JB$48"")),BZ$1,0)"),"")</f>
        <v/>
      </c>
      <c r="CA3" s="35" t="str">
        <f>IFERROR(__xludf.DUMMYFUNCTION("VLOOKUP($A$1,IMPORTRANGE($A$2, CONCATENATE($A3,""!$B$5:$JB$48"")),CA$1,0)"),"")</f>
        <v/>
      </c>
      <c r="CB3" s="35">
        <f>IFERROR(__xludf.DUMMYFUNCTION("VLOOKUP($A$1,IMPORTRANGE($A$2, CONCATENATE($A3,""!$B$5:$JB$48"")),CB$1,0)"),5.0)</f>
        <v>5</v>
      </c>
      <c r="CC3" s="35" t="str">
        <f>IFERROR(__xludf.DUMMYFUNCTION("VLOOKUP($A$1,IMPORTRANGE($A$2, CONCATENATE($A3,""!$B$5:$JB$48"")),CC$1,0)"),"")</f>
        <v/>
      </c>
      <c r="CD3" s="35" t="str">
        <f>IFERROR(__xludf.DUMMYFUNCTION("VLOOKUP($A$1,IMPORTRANGE($A$2, CONCATENATE($A3,""!$B$5:$JB$48"")),CD$1,0)"),"")</f>
        <v/>
      </c>
      <c r="CE3" s="35" t="str">
        <f>IFERROR(__xludf.DUMMYFUNCTION("VLOOKUP($A$1,IMPORTRANGE($A$2, CONCATENATE($A3,""!$B$5:$JB$48"")),CE$1,0)"),"")</f>
        <v/>
      </c>
      <c r="CF3" s="35" t="str">
        <f>IFERROR(__xludf.DUMMYFUNCTION("VLOOKUP($A$1,IMPORTRANGE($A$2, CONCATENATE($A3,""!$B$5:$JB$48"")),CF$1,0)"),"")</f>
        <v/>
      </c>
      <c r="CG3" s="35" t="str">
        <f>IFERROR(__xludf.DUMMYFUNCTION("VLOOKUP($A$1,IMPORTRANGE($A$2, CONCATENATE($A3,""!$B$5:$JB$48"")),CG$1,0)"),"")</f>
        <v/>
      </c>
      <c r="CH3" s="35" t="str">
        <f>IFERROR(__xludf.DUMMYFUNCTION("VLOOKUP($A$1,IMPORTRANGE($A$2, CONCATENATE($A3,""!$B$5:$JB$48"")),CH$1,0)"),"")</f>
        <v/>
      </c>
      <c r="CI3" s="35" t="str">
        <f>IFERROR(__xludf.DUMMYFUNCTION("VLOOKUP($A$1,IMPORTRANGE($A$2, CONCATENATE($A3,""!$B$5:$JB$48"")),CI$1,0)"),"")</f>
        <v/>
      </c>
      <c r="CJ3" s="35" t="str">
        <f>IFERROR(__xludf.DUMMYFUNCTION("VLOOKUP($A$1,IMPORTRANGE($A$2, CONCATENATE($A3,""!$B$5:$JB$48"")),CJ$1,0)"),"")</f>
        <v/>
      </c>
      <c r="CK3" s="35" t="str">
        <f>IFERROR(__xludf.DUMMYFUNCTION("VLOOKUP($A$1,IMPORTRANGE($A$2, CONCATENATE($A3,""!$B$5:$JB$48"")),CK$1,0)"),"")</f>
        <v/>
      </c>
      <c r="CL3" s="35" t="str">
        <f>IFERROR(__xludf.DUMMYFUNCTION("VLOOKUP($A$1,IMPORTRANGE($A$2, CONCATENATE($A3,""!$B$5:$JB$48"")),CL$1,0)"),"")</f>
        <v/>
      </c>
      <c r="CM3" s="35" t="str">
        <f>IFERROR(__xludf.DUMMYFUNCTION("VLOOKUP($A$1,IMPORTRANGE($A$2, CONCATENATE($A3,""!$B$5:$JB$48"")),CM$1,0)"),"")</f>
        <v/>
      </c>
      <c r="CN3" s="35" t="str">
        <f>IFERROR(__xludf.DUMMYFUNCTION("VLOOKUP($A$1,IMPORTRANGE($A$2, CONCATENATE($A3,""!$B$5:$JB$48"")),CN$1,0)"),"")</f>
        <v/>
      </c>
      <c r="CO3" s="35" t="str">
        <f>IFERROR(__xludf.DUMMYFUNCTION("VLOOKUP($A$1,IMPORTRANGE($A$2, CONCATENATE($A3,""!$B$5:$JB$48"")),CO$1,0)"),"")</f>
        <v/>
      </c>
      <c r="CP3" s="35" t="str">
        <f>IFERROR(__xludf.DUMMYFUNCTION("VLOOKUP($A$1,IMPORTRANGE($A$2, CONCATENATE($A3,""!$B$5:$JB$48"")),CP$1,0)"),"")</f>
        <v/>
      </c>
      <c r="CQ3" s="35" t="str">
        <f>IFERROR(__xludf.DUMMYFUNCTION("VLOOKUP($A$1,IMPORTRANGE($A$2, CONCATENATE($A3,""!$B$5:$JB$48"")),CQ$1,0)"),"")</f>
        <v/>
      </c>
      <c r="CR3" s="35" t="str">
        <f>IFERROR(__xludf.DUMMYFUNCTION("VLOOKUP($A$1,IMPORTRANGE($A$2, CONCATENATE($A3,""!$B$5:$JB$48"")),CR$1,0)"),"")</f>
        <v/>
      </c>
      <c r="CS3" s="35" t="str">
        <f>IFERROR(__xludf.DUMMYFUNCTION("VLOOKUP($A$1,IMPORTRANGE($A$2, CONCATENATE($A3,""!$B$5:$JB$48"")),CS$1,0)"),"")</f>
        <v/>
      </c>
      <c r="CT3" s="35" t="str">
        <f>IFERROR(__xludf.DUMMYFUNCTION("VLOOKUP($A$1,IMPORTRANGE($A$2, CONCATENATE($A3,""!$B$5:$JB$48"")),CT$1,0)"),"")</f>
        <v/>
      </c>
      <c r="CU3" s="35" t="str">
        <f>IFERROR(__xludf.DUMMYFUNCTION("VLOOKUP($A$1,IMPORTRANGE($A$2, CONCATENATE($A3,""!$B$5:$JB$48"")),CU$1,0)"),"")</f>
        <v/>
      </c>
      <c r="CV3" s="35" t="str">
        <f>IFERROR(__xludf.DUMMYFUNCTION("VLOOKUP($A$1,IMPORTRANGE($A$2, CONCATENATE($A3,""!$B$5:$JB$48"")),CV$1,0)"),"")</f>
        <v/>
      </c>
      <c r="CW3" s="35" t="str">
        <f>IFERROR(__xludf.DUMMYFUNCTION("VLOOKUP($A$1,IMPORTRANGE($A$2, CONCATENATE($A3,""!$B$5:$JB$48"")),CW$1,0)"),"")</f>
        <v/>
      </c>
      <c r="CX3" s="35" t="str">
        <f>IFERROR(__xludf.DUMMYFUNCTION("VLOOKUP($A$1,IMPORTRANGE($A$2, CONCATENATE($A3,""!$B$5:$JB$48"")),CX$1,0)"),"")</f>
        <v/>
      </c>
      <c r="CY3" s="35" t="str">
        <f>IFERROR(__xludf.DUMMYFUNCTION("VLOOKUP($A$1,IMPORTRANGE($A$2, CONCATENATE($A3,""!$B$5:$JB$48"")),CY$1,0)"),"")</f>
        <v/>
      </c>
      <c r="CZ3" s="35" t="str">
        <f>IFERROR(__xludf.DUMMYFUNCTION("VLOOKUP($A$1,IMPORTRANGE($A$2, CONCATENATE($A3,""!$B$5:$JB$48"")),CZ$1,0)"),"")</f>
        <v/>
      </c>
      <c r="DA3" s="35" t="str">
        <f>IFERROR(__xludf.DUMMYFUNCTION("VLOOKUP($A$1,IMPORTRANGE($A$2, CONCATENATE($A3,""!$B$5:$JB$48"")),DA$1,0)"),"")</f>
        <v/>
      </c>
      <c r="DB3" s="35" t="str">
        <f>IFERROR(__xludf.DUMMYFUNCTION("VLOOKUP($A$1,IMPORTRANGE($A$2, CONCATENATE($A3,""!$B$5:$JB$48"")),DB$1,0)"),"")</f>
        <v/>
      </c>
      <c r="DC3" s="35" t="str">
        <f>IFERROR(__xludf.DUMMYFUNCTION("VLOOKUP($A$1,IMPORTRANGE($A$2, CONCATENATE($A3,""!$B$5:$JB$48"")),DC$1,0)"),"")</f>
        <v/>
      </c>
      <c r="DD3" s="35" t="str">
        <f>IFERROR(__xludf.DUMMYFUNCTION("VLOOKUP($A$1,IMPORTRANGE($A$2, CONCATENATE($A3,""!$B$5:$JB$48"")),DD$1,0)"),"")</f>
        <v/>
      </c>
      <c r="DE3" s="35" t="str">
        <f>IFERROR(__xludf.DUMMYFUNCTION("VLOOKUP($A$1,IMPORTRANGE($A$2, CONCATENATE($A3,""!$B$5:$JB$48"")),DE$1,0)"),"")</f>
        <v/>
      </c>
      <c r="DF3" s="35" t="str">
        <f>IFERROR(__xludf.DUMMYFUNCTION("VLOOKUP($A$1,IMPORTRANGE($A$2, CONCATENATE($A3,""!$B$5:$JB$48"")),DF$1,0)"),"")</f>
        <v/>
      </c>
      <c r="DG3" s="35" t="str">
        <f>IFERROR(__xludf.DUMMYFUNCTION("VLOOKUP($A$1,IMPORTRANGE($A$2, CONCATENATE($A3,""!$B$5:$JB$48"")),DG$1,0)"),"")</f>
        <v/>
      </c>
      <c r="DH3" s="35" t="str">
        <f>IFERROR(__xludf.DUMMYFUNCTION("VLOOKUP($A$1,IMPORTRANGE($A$2, CONCATENATE($A3,""!$B$5:$JB$48"")),DH$1,0)"),"")</f>
        <v/>
      </c>
      <c r="DI3" s="35" t="str">
        <f>IFERROR(__xludf.DUMMYFUNCTION("VLOOKUP($A$1,IMPORTRANGE($A$2, CONCATENATE($A3,""!$B$5:$JB$48"")),DI$1,0)"),"")</f>
        <v/>
      </c>
      <c r="DJ3" s="35" t="str">
        <f>IFERROR(__xludf.DUMMYFUNCTION("VLOOKUP($A$1,IMPORTRANGE($A$2, CONCATENATE($A3,""!$B$5:$JB$48"")),DJ$1,0)"),"")</f>
        <v/>
      </c>
      <c r="DK3" s="35" t="str">
        <f>IFERROR(__xludf.DUMMYFUNCTION("VLOOKUP($A$1,IMPORTRANGE($A$2, CONCATENATE($A3,""!$B$5:$JB$48"")),DK$1,0)"),"")</f>
        <v/>
      </c>
      <c r="DL3" s="35" t="str">
        <f>IFERROR(__xludf.DUMMYFUNCTION("VLOOKUP($A$1,IMPORTRANGE($A$2, CONCATENATE($A3,""!$B$5:$JB$48"")),DL$1,0)"),"")</f>
        <v/>
      </c>
      <c r="DM3" s="35" t="str">
        <f>IFERROR(__xludf.DUMMYFUNCTION("VLOOKUP($A$1,IMPORTRANGE($A$2, CONCATENATE($A3,""!$B$5:$JB$48"")),DM$1,0)"),"")</f>
        <v/>
      </c>
      <c r="DN3" s="35" t="str">
        <f>IFERROR(__xludf.DUMMYFUNCTION("VLOOKUP($A$1,IMPORTRANGE($A$2, CONCATENATE($A3,""!$B$5:$JB$48"")),DN$1,0)"),"")</f>
        <v/>
      </c>
      <c r="DO3" s="35" t="str">
        <f>IFERROR(__xludf.DUMMYFUNCTION("VLOOKUP($A$1,IMPORTRANGE($A$2, CONCATENATE($A3,""!$B$5:$JB$48"")),DO$1,0)"),"")</f>
        <v/>
      </c>
      <c r="DP3" s="35" t="str">
        <f>IFERROR(__xludf.DUMMYFUNCTION("VLOOKUP($A$1,IMPORTRANGE($A$2, CONCATENATE($A3,""!$B$5:$JB$48"")),DP$1,0)"),"")</f>
        <v/>
      </c>
      <c r="DQ3" s="35" t="str">
        <f>IFERROR(__xludf.DUMMYFUNCTION("VLOOKUP($A$1,IMPORTRANGE($A$2, CONCATENATE($A3,""!$B$5:$JB$48"")),DQ$1,0)"),"")</f>
        <v/>
      </c>
      <c r="DR3" s="35">
        <f>IFERROR(__xludf.DUMMYFUNCTION("VLOOKUP($A$1,IMPORTRANGE($A$2, CONCATENATE($A3,""!$B$5:$JB$48"")),DR$1,0)"),4.0)</f>
        <v>4</v>
      </c>
      <c r="DS3" s="35" t="str">
        <f>IFERROR(__xludf.DUMMYFUNCTION("VLOOKUP($A$1,IMPORTRANGE($A$2, CONCATENATE($A3,""!$B$5:$JB$48"")),DS$1,0)"),"")</f>
        <v/>
      </c>
      <c r="DT3" s="35">
        <f>IFERROR(__xludf.DUMMYFUNCTION("VLOOKUP($A$1,IMPORTRANGE($A$2, CONCATENATE($A3,""!$B$5:$JB$48"")),DT$1,0)"),5.0)</f>
        <v>5</v>
      </c>
      <c r="DU3" s="35" t="str">
        <f>IFERROR(__xludf.DUMMYFUNCTION("VLOOKUP($A$1,IMPORTRANGE($A$2, CONCATENATE($A3,""!$B$5:$JB$48"")),DU$1,0)"),"")</f>
        <v/>
      </c>
      <c r="DV3" s="35" t="str">
        <f>IFERROR(__xludf.DUMMYFUNCTION("VLOOKUP($A$1,IMPORTRANGE($A$2, CONCATENATE($A3,""!$B$5:$JB$48"")),DV$1,0)"),"")</f>
        <v/>
      </c>
      <c r="DW3" s="35" t="str">
        <f>IFERROR(__xludf.DUMMYFUNCTION("VLOOKUP($A$1,IMPORTRANGE($A$2, CONCATENATE($A3,""!$B$5:$JB$48"")),DW$1,0)"),"")</f>
        <v/>
      </c>
      <c r="DX3" s="35" t="str">
        <f>IFERROR(__xludf.DUMMYFUNCTION("VLOOKUP($A$1,IMPORTRANGE($A$2, CONCATENATE($A3,""!$B$5:$JB$48"")),DX$1,0)"),"")</f>
        <v/>
      </c>
      <c r="DY3" s="35" t="str">
        <f>IFERROR(__xludf.DUMMYFUNCTION("VLOOKUP($A$1,IMPORTRANGE($A$2, CONCATENATE($A3,""!$B$5:$JB$48"")),DY$1,0)"),"")</f>
        <v/>
      </c>
      <c r="DZ3" s="35">
        <f>IFERROR(__xludf.DUMMYFUNCTION("VLOOKUP($A$1,IMPORTRANGE($A$2, CONCATENATE($A3,""!$B$5:$JB$48"")),DZ$1,0)"),4.0)</f>
        <v>4</v>
      </c>
      <c r="EA3" s="35" t="str">
        <f>IFERROR(__xludf.DUMMYFUNCTION("VLOOKUP($A$1,IMPORTRANGE($A$2, CONCATENATE($A3,""!$B$5:$JB$48"")),EA$1,0)"),"")</f>
        <v/>
      </c>
      <c r="EB3" s="35">
        <f>IFERROR(__xludf.DUMMYFUNCTION("VLOOKUP($A$1,IMPORTRANGE($A$2, CONCATENATE($A3,""!$B$5:$JB$48"")),EB$1,0)"),3.0)</f>
        <v>3</v>
      </c>
      <c r="EC3" s="35" t="str">
        <f>IFERROR(__xludf.DUMMYFUNCTION("VLOOKUP($A$1,IMPORTRANGE($A$2, CONCATENATE($A3,""!$B$5:$JB$48"")),EC$1,0)"),"")</f>
        <v/>
      </c>
      <c r="ED3" s="35" t="str">
        <f>IFERROR(__xludf.DUMMYFUNCTION("VLOOKUP($A$1,IMPORTRANGE($A$2, CONCATENATE($A3,""!$B$5:$JB$48"")),ED$1,0)"),"")</f>
        <v/>
      </c>
      <c r="EE3" s="35" t="str">
        <f>IFERROR(__xludf.DUMMYFUNCTION("VLOOKUP($A$1,IMPORTRANGE($A$2, CONCATENATE($A3,""!$B$5:$JB$48"")),EE$1,0)"),"")</f>
        <v/>
      </c>
      <c r="EF3" s="35" t="str">
        <f>IFERROR(__xludf.DUMMYFUNCTION("VLOOKUP($A$1,IMPORTRANGE($A$2, CONCATENATE($A3,""!$B$5:$JB$48"")),EF$1,0)"),"")</f>
        <v/>
      </c>
      <c r="EG3" s="35">
        <f>IFERROR(__xludf.DUMMYFUNCTION("VLOOKUP($A$1,IMPORTRANGE($A$2, CONCATENATE($A3,""!$B$5:$JB$48"")),EG$1,0)"),4.0)</f>
        <v>4</v>
      </c>
      <c r="EH3" s="35" t="str">
        <f>IFERROR(__xludf.DUMMYFUNCTION("VLOOKUP($A$1,IMPORTRANGE($A$2, CONCATENATE($A3,""!$B$5:$JB$48"")),EH$1,0)"),"")</f>
        <v/>
      </c>
      <c r="EI3" s="35">
        <f>IFERROR(__xludf.DUMMYFUNCTION("VLOOKUP($A$1,IMPORTRANGE($A$2, CONCATENATE($A3,""!$B$5:$JB$48"")),EI$1,0)"),5.0)</f>
        <v>5</v>
      </c>
      <c r="EJ3" s="35" t="str">
        <f>IFERROR(__xludf.DUMMYFUNCTION("VLOOKUP($A$1,IMPORTRANGE($A$2, CONCATENATE($A3,""!$B$5:$JB$48"")),EJ$1,0)"),"")</f>
        <v/>
      </c>
      <c r="EK3" s="35" t="str">
        <f>IFERROR(__xludf.DUMMYFUNCTION("VLOOKUP($A$1,IMPORTRANGE($A$2, CONCATENATE($A3,""!$B$5:$JB$48"")),EK$1,0)"),"")</f>
        <v/>
      </c>
      <c r="EL3" s="35" t="str">
        <f>IFERROR(__xludf.DUMMYFUNCTION("VLOOKUP($A$1,IMPORTRANGE($A$2, CONCATENATE($A3,""!$B$5:$JB$48"")),EL$1,0)"),"")</f>
        <v/>
      </c>
      <c r="EM3" s="35" t="str">
        <f>IFERROR(__xludf.DUMMYFUNCTION("VLOOKUP($A$1,IMPORTRANGE($A$2, CONCATENATE($A3,""!$B$5:$JB$48"")),EM$1,0)"),"")</f>
        <v/>
      </c>
      <c r="EN3" s="35">
        <f>IFERROR(__xludf.DUMMYFUNCTION("VLOOKUP($A$1,IMPORTRANGE($A$2, CONCATENATE($A3,""!$B$5:$JB$48"")),EN$1,0)"),5.0)</f>
        <v>5</v>
      </c>
      <c r="EO3" s="35">
        <f>IFERROR(__xludf.DUMMYFUNCTION("VLOOKUP($A$1,IMPORTRANGE($A$2, CONCATENATE($A3,""!$B$5:$JB$48"")),EO$1,0)"),4.0)</f>
        <v>4</v>
      </c>
      <c r="EP3" s="35" t="str">
        <f>IFERROR(__xludf.DUMMYFUNCTION("VLOOKUP($A$1,IMPORTRANGE($A$2, CONCATENATE($A3,""!$B$5:$JB$48"")),EP$1,0)"),"")</f>
        <v/>
      </c>
      <c r="EQ3" s="35" t="str">
        <f>IFERROR(__xludf.DUMMYFUNCTION("VLOOKUP($A$1,IMPORTRANGE($A$2, CONCATENATE($A3,""!$B$5:$JB$48"")),EQ$1,0)"),"")</f>
        <v/>
      </c>
      <c r="ER3" s="35" t="str">
        <f>IFERROR(__xludf.DUMMYFUNCTION("VLOOKUP($A$1,IMPORTRANGE($A$2, CONCATENATE($A3,""!$B$5:$JB$48"")),ER$1,0)"),"")</f>
        <v/>
      </c>
      <c r="ES3" s="35" t="str">
        <f>IFERROR(__xludf.DUMMYFUNCTION("VLOOKUP($A$1,IMPORTRANGE($A$2, CONCATENATE($A3,""!$B$5:$JB$48"")),ES$1,0)"),"")</f>
        <v/>
      </c>
      <c r="ET3" s="35" t="str">
        <f>IFERROR(__xludf.DUMMYFUNCTION("VLOOKUP($A$1,IMPORTRANGE($A$2, CONCATENATE($A3,""!$B$5:$JB$48"")),ET$1,0)"),"")</f>
        <v/>
      </c>
      <c r="EU3" s="35" t="str">
        <f>IFERROR(__xludf.DUMMYFUNCTION("VLOOKUP($A$1,IMPORTRANGE($A$2, CONCATENATE($A3,""!$B$5:$JB$48"")),EU$1,0)"),"")</f>
        <v/>
      </c>
      <c r="EV3" s="35" t="str">
        <f>IFERROR(__xludf.DUMMYFUNCTION("VLOOKUP($A$1,IMPORTRANGE($A$2, CONCATENATE($A3,""!$B$5:$JB$48"")),EV$1,0)"),"")</f>
        <v/>
      </c>
      <c r="EW3" s="35" t="str">
        <f>IFERROR(__xludf.DUMMYFUNCTION("VLOOKUP($A$1,IMPORTRANGE($A$2, CONCATENATE($A3,""!$B$5:$JB$48"")),EW$1,0)"),"")</f>
        <v/>
      </c>
      <c r="EX3" s="35" t="str">
        <f>IFERROR(__xludf.DUMMYFUNCTION("VLOOKUP($A$1,IMPORTRANGE($A$2, CONCATENATE($A3,""!$B$5:$JB$48"")),EX$1,0)"),"")</f>
        <v/>
      </c>
      <c r="EY3" s="35" t="str">
        <f>IFERROR(__xludf.DUMMYFUNCTION("VLOOKUP($A$1,IMPORTRANGE($A$2, CONCATENATE($A3,""!$B$5:$JB$48"")),EY$1,0)"),"")</f>
        <v/>
      </c>
      <c r="EZ3" s="35" t="str">
        <f>IFERROR(__xludf.DUMMYFUNCTION("VLOOKUP($A$1,IMPORTRANGE($A$2, CONCATENATE($A3,""!$B$5:$JB$48"")),EZ$1,0)"),"")</f>
        <v/>
      </c>
      <c r="FA3" s="35" t="str">
        <f>IFERROR(__xludf.DUMMYFUNCTION("VLOOKUP($A$1,IMPORTRANGE($A$2, CONCATENATE($A3,""!$B$5:$JB$48"")),FA$1,0)"),"")</f>
        <v/>
      </c>
      <c r="FB3" s="35" t="str">
        <f>IFERROR(__xludf.DUMMYFUNCTION("VLOOKUP($A$1,IMPORTRANGE($A$2, CONCATENATE($A3,""!$B$5:$JB$48"")),FB$1,0)"),"")</f>
        <v/>
      </c>
      <c r="FC3" s="35" t="str">
        <f>IFERROR(__xludf.DUMMYFUNCTION("VLOOKUP($A$1,IMPORTRANGE($A$2, CONCATENATE($A3,""!$B$5:$JB$48"")),FC$1,0)"),"")</f>
        <v/>
      </c>
      <c r="FD3" s="35" t="str">
        <f>IFERROR(__xludf.DUMMYFUNCTION("VLOOKUP($A$1,IMPORTRANGE($A$2, CONCATENATE($A3,""!$B$5:$JB$48"")),FD$1,0)"),"")</f>
        <v/>
      </c>
      <c r="FE3" s="35" t="str">
        <f>IFERROR(__xludf.DUMMYFUNCTION("VLOOKUP($A$1,IMPORTRANGE($A$2, CONCATENATE($A3,""!$B$5:$JB$48"")),FE$1,0)"),"")</f>
        <v/>
      </c>
      <c r="FF3" s="35" t="str">
        <f>IFERROR(__xludf.DUMMYFUNCTION("VLOOKUP($A$1,IMPORTRANGE($A$2, CONCATENATE($A3,""!$B$5:$JB$48"")),FF$1,0)"),"")</f>
        <v/>
      </c>
      <c r="FG3" s="35" t="str">
        <f>IFERROR(__xludf.DUMMYFUNCTION("VLOOKUP($A$1,IMPORTRANGE($A$2, CONCATENATE($A3,""!$B$5:$JB$48"")),FG$1,0)"),"")</f>
        <v/>
      </c>
      <c r="FH3" s="35" t="str">
        <f>IFERROR(__xludf.DUMMYFUNCTION("VLOOKUP($A$1,IMPORTRANGE($A$2, CONCATENATE($A3,""!$B$5:$JB$48"")),FH$1,0)"),"")</f>
        <v/>
      </c>
      <c r="FI3" s="35" t="str">
        <f>IFERROR(__xludf.DUMMYFUNCTION("VLOOKUP($A$1,IMPORTRANGE($A$2, CONCATENATE($A3,""!$B$5:$JB$48"")),FI$1,0)"),"")</f>
        <v/>
      </c>
      <c r="FJ3" s="35" t="str">
        <f>IFERROR(__xludf.DUMMYFUNCTION("VLOOKUP($A$1,IMPORTRANGE($A$2, CONCATENATE($A3,""!$B$5:$JB$48"")),FJ$1,0)"),"")</f>
        <v/>
      </c>
      <c r="FK3" s="35" t="str">
        <f>IFERROR(__xludf.DUMMYFUNCTION("VLOOKUP($A$1,IMPORTRANGE($A$2, CONCATENATE($A3,""!$B$5:$JB$48"")),FK$1,0)"),"")</f>
        <v/>
      </c>
      <c r="FL3" s="35" t="str">
        <f>IFERROR(__xludf.DUMMYFUNCTION("VLOOKUP($A$1,IMPORTRANGE($A$2, CONCATENATE($A3,""!$B$5:$JB$48"")),FL$1,0)"),"")</f>
        <v/>
      </c>
      <c r="FM3" s="35" t="str">
        <f>IFERROR(__xludf.DUMMYFUNCTION("VLOOKUP($A$1,IMPORTRANGE($A$2, CONCATENATE($A3,""!$B$5:$JB$48"")),FM$1,0)"),"")</f>
        <v/>
      </c>
      <c r="FN3" s="35" t="str">
        <f>IFERROR(__xludf.DUMMYFUNCTION("VLOOKUP($A$1,IMPORTRANGE($A$2, CONCATENATE($A3,""!$B$5:$JB$48"")),FN$1,0)"),"")</f>
        <v/>
      </c>
      <c r="FO3" s="35" t="str">
        <f>IFERROR(__xludf.DUMMYFUNCTION("VLOOKUP($A$1,IMPORTRANGE($A$2, CONCATENATE($A3,""!$B$5:$JB$48"")),FO$1,0)"),"")</f>
        <v/>
      </c>
      <c r="FP3" s="35" t="str">
        <f>IFERROR(__xludf.DUMMYFUNCTION("VLOOKUP($A$1,IMPORTRANGE($A$2, CONCATENATE($A3,""!$B$5:$JB$48"")),FP$1,0)"),"")</f>
        <v/>
      </c>
      <c r="FQ3" s="35" t="str">
        <f>IFERROR(__xludf.DUMMYFUNCTION("VLOOKUP($A$1,IMPORTRANGE($A$2, CONCATENATE($A3,""!$B$5:$JB$48"")),FQ$1,0)"),"")</f>
        <v/>
      </c>
      <c r="FR3" s="35" t="str">
        <f>IFERROR(__xludf.DUMMYFUNCTION("VLOOKUP($A$1,IMPORTRANGE($A$2, CONCATENATE($A3,""!$B$5:$JB$48"")),FR$1,0)"),"")</f>
        <v/>
      </c>
      <c r="FS3" s="35" t="str">
        <f>IFERROR(__xludf.DUMMYFUNCTION("VLOOKUP($A$1,IMPORTRANGE($A$2, CONCATENATE($A3,""!$B$5:$JB$48"")),FS$1,0)"),"")</f>
        <v/>
      </c>
      <c r="FT3" s="35" t="str">
        <f>IFERROR(__xludf.DUMMYFUNCTION("VLOOKUP($A$1,IMPORTRANGE($A$2, CONCATENATE($A3,""!$B$5:$JB$48"")),FT$1,0)"),"")</f>
        <v/>
      </c>
      <c r="FU3" s="35" t="str">
        <f>IFERROR(__xludf.DUMMYFUNCTION("VLOOKUP($A$1,IMPORTRANGE($A$2, CONCATENATE($A3,""!$B$5:$JB$48"")),FU$1,0)"),"")</f>
        <v/>
      </c>
      <c r="FV3" s="35" t="str">
        <f>IFERROR(__xludf.DUMMYFUNCTION("VLOOKUP($A$1,IMPORTRANGE($A$2, CONCATENATE($A3,""!$B$5:$JB$48"")),FV$1,0)"),"")</f>
        <v/>
      </c>
      <c r="FW3" s="35" t="str">
        <f>IFERROR(__xludf.DUMMYFUNCTION("VLOOKUP($A$1,IMPORTRANGE($A$2, CONCATENATE($A3,""!$B$5:$JB$48"")),FW$1,0)"),"")</f>
        <v/>
      </c>
      <c r="FX3" s="35" t="str">
        <f>IFERROR(__xludf.DUMMYFUNCTION("VLOOKUP($A$1,IMPORTRANGE($A$2, CONCATENATE($A3,""!$B$5:$JB$48"")),FX$1,0)"),"")</f>
        <v/>
      </c>
      <c r="FY3" s="35" t="str">
        <f>IFERROR(__xludf.DUMMYFUNCTION("VLOOKUP($A$1,IMPORTRANGE($A$2, CONCATENATE($A3,""!$B$5:$JB$48"")),FY$1,0)"),"")</f>
        <v/>
      </c>
      <c r="FZ3" s="35" t="str">
        <f>IFERROR(__xludf.DUMMYFUNCTION("VLOOKUP($A$1,IMPORTRANGE($A$2, CONCATENATE($A3,""!$B$5:$JB$48"")),FZ$1,0)"),"")</f>
        <v/>
      </c>
      <c r="GA3" s="35" t="str">
        <f>IFERROR(__xludf.DUMMYFUNCTION("VLOOKUP($A$1,IMPORTRANGE($A$2, CONCATENATE($A3,""!$B$5:$JB$48"")),GA$1,0)"),"")</f>
        <v/>
      </c>
      <c r="GB3" s="35" t="str">
        <f>IFERROR(__xludf.DUMMYFUNCTION("VLOOKUP($A$1,IMPORTRANGE($A$2, CONCATENATE($A3,""!$B$5:$JB$48"")),GB$1,0)"),"")</f>
        <v/>
      </c>
      <c r="GC3" s="35" t="str">
        <f>IFERROR(__xludf.DUMMYFUNCTION("VLOOKUP($A$1,IMPORTRANGE($A$2, CONCATENATE($A3,""!$B$5:$JB$48"")),GC$1,0)"),"")</f>
        <v/>
      </c>
      <c r="GD3" s="35" t="str">
        <f>IFERROR(__xludf.DUMMYFUNCTION("VLOOKUP($A$1,IMPORTRANGE($A$2, CONCATENATE($A3,""!$B$5:$JB$48"")),GD$1,0)"),"")</f>
        <v/>
      </c>
      <c r="GE3" s="35" t="str">
        <f>IFERROR(__xludf.DUMMYFUNCTION("VLOOKUP($A$1,IMPORTRANGE($A$2, CONCATENATE($A3,""!$B$5:$JB$48"")),GE$1,0)"),"")</f>
        <v/>
      </c>
      <c r="GF3" s="35" t="str">
        <f>IFERROR(__xludf.DUMMYFUNCTION("VLOOKUP($A$1,IMPORTRANGE($A$2, CONCATENATE($A3,""!$B$5:$JB$48"")),GF$1,0)"),"")</f>
        <v/>
      </c>
      <c r="GG3" s="35" t="str">
        <f>IFERROR(__xludf.DUMMYFUNCTION("VLOOKUP($A$1,IMPORTRANGE($A$2, CONCATENATE($A3,""!$B$5:$JB$48"")),GG$1,0)"),"")</f>
        <v/>
      </c>
      <c r="GH3" s="35" t="str">
        <f>IFERROR(__xludf.DUMMYFUNCTION("VLOOKUP($A$1,IMPORTRANGE($A$2, CONCATENATE($A3,""!$B$5:$JB$48"")),GH$1,0)"),"")</f>
        <v/>
      </c>
      <c r="GI3" s="35" t="str">
        <f>IFERROR(__xludf.DUMMYFUNCTION("VLOOKUP($A$1,IMPORTRANGE($A$2, CONCATENATE($A3,""!$B$5:$JB$48"")),GI$1,0)"),"")</f>
        <v/>
      </c>
      <c r="GJ3" s="35" t="str">
        <f>IFERROR(__xludf.DUMMYFUNCTION("VLOOKUP($A$1,IMPORTRANGE($A$2, CONCATENATE($A3,""!$B$5:$JB$48"")),GJ$1,0)"),"")</f>
        <v/>
      </c>
      <c r="GK3" s="35">
        <f>IFERROR(__xludf.DUMMYFUNCTION("VLOOKUP($A$1,IMPORTRANGE($A$2, CONCATENATE($A3,""!$B$5:$JB$48"")),GK$1,0)"),4.0)</f>
        <v>4</v>
      </c>
      <c r="GL3" s="35" t="str">
        <f>IFERROR(__xludf.DUMMYFUNCTION("VLOOKUP($A$1,IMPORTRANGE($A$2, CONCATENATE($A3,""!$B$5:$JB$48"")),GL$1,0)"),"")</f>
        <v/>
      </c>
      <c r="GM3" s="35" t="str">
        <f>IFERROR(__xludf.DUMMYFUNCTION("VLOOKUP($A$1,IMPORTRANGE($A$2, CONCATENATE($A3,""!$B$5:$JB$48"")),GM$1,0)"),"")</f>
        <v/>
      </c>
      <c r="GN3" s="35" t="str">
        <f>IFERROR(__xludf.DUMMYFUNCTION("VLOOKUP($A$1,IMPORTRANGE($A$2, CONCATENATE($A3,""!$B$5:$JB$48"")),GN$1,0)"),"")</f>
        <v/>
      </c>
      <c r="GO3" s="35" t="str">
        <f>IFERROR(__xludf.DUMMYFUNCTION("VLOOKUP($A$1,IMPORTRANGE($A$2, CONCATENATE($A3,""!$B$5:$JB$48"")),GO$1,0)"),"")</f>
        <v/>
      </c>
      <c r="GP3" s="35" t="str">
        <f>IFERROR(__xludf.DUMMYFUNCTION("VLOOKUP($A$1,IMPORTRANGE($A$2, CONCATENATE($A3,""!$B$5:$JB$48"")),GP$1,0)"),"")</f>
        <v/>
      </c>
      <c r="GQ3" s="35" t="str">
        <f>IFERROR(__xludf.DUMMYFUNCTION("VLOOKUP($A$1,IMPORTRANGE($A$2, CONCATENATE($A3,""!$B$5:$JB$48"")),GQ$1,0)"),"")</f>
        <v/>
      </c>
      <c r="GR3" s="35" t="str">
        <f>IFERROR(__xludf.DUMMYFUNCTION("VLOOKUP($A$1,IMPORTRANGE($A$2, CONCATENATE($A3,""!$B$5:$JB$48"")),GR$1,0)"),"")</f>
        <v/>
      </c>
      <c r="GS3" s="35" t="str">
        <f>IFERROR(__xludf.DUMMYFUNCTION("VLOOKUP($A$1,IMPORTRANGE($A$2, CONCATENATE($A3,""!$B$5:$JB$48"")),GS$1,0)"),"")</f>
        <v/>
      </c>
      <c r="GT3" s="35" t="str">
        <f>IFERROR(__xludf.DUMMYFUNCTION("VLOOKUP($A$1,IMPORTRANGE($A$2, CONCATENATE($A3,""!$B$5:$JB$48"")),GT$1,0)"),"")</f>
        <v/>
      </c>
      <c r="GU3" s="35" t="str">
        <f>IFERROR(__xludf.DUMMYFUNCTION("VLOOKUP($A$1,IMPORTRANGE($A$2, CONCATENATE($A3,""!$B$5:$JB$48"")),GU$1,0)"),"")</f>
        <v/>
      </c>
      <c r="GV3" s="35" t="str">
        <f>IFERROR(__xludf.DUMMYFUNCTION("VLOOKUP($A$1,IMPORTRANGE($A$2, CONCATENATE($A3,""!$B$5:$JB$48"")),GV$1,0)"),"")</f>
        <v/>
      </c>
      <c r="GW3" s="35" t="str">
        <f>IFERROR(__xludf.DUMMYFUNCTION("VLOOKUP($A$1,IMPORTRANGE($A$2, CONCATENATE($A3,""!$B$5:$JB$48"")),GW$1,0)"),"")</f>
        <v/>
      </c>
      <c r="GX3" s="35" t="str">
        <f>IFERROR(__xludf.DUMMYFUNCTION("VLOOKUP($A$1,IMPORTRANGE($A$2, CONCATENATE($A3,""!$B$5:$JB$48"")),GX$1,0)"),"")</f>
        <v/>
      </c>
      <c r="GY3" s="35" t="str">
        <f>IFERROR(__xludf.DUMMYFUNCTION("VLOOKUP($A$1,IMPORTRANGE($A$2, CONCATENATE($A3,""!$B$5:$JB$48"")),GY$1,0)"),"")</f>
        <v/>
      </c>
      <c r="GZ3" s="35" t="str">
        <f>IFERROR(__xludf.DUMMYFUNCTION("VLOOKUP($A$1,IMPORTRANGE($A$2, CONCATENATE($A3,""!$B$5:$JB$48"")),GZ$1,0)"),"")</f>
        <v/>
      </c>
      <c r="HA3" s="35" t="str">
        <f>IFERROR(__xludf.DUMMYFUNCTION("VLOOKUP($A$1,IMPORTRANGE($A$2, CONCATENATE($A3,""!$B$5:$JB$48"")),HA$1,0)"),"")</f>
        <v/>
      </c>
      <c r="HB3" s="35" t="str">
        <f>IFERROR(__xludf.DUMMYFUNCTION("VLOOKUP($A$1,IMPORTRANGE($A$2, CONCATENATE($A3,""!$B$5:$JB$48"")),HB$1,0)"),"")</f>
        <v/>
      </c>
      <c r="HC3" s="35" t="str">
        <f>IFERROR(__xludf.DUMMYFUNCTION("VLOOKUP($A$1,IMPORTRANGE($A$2, CONCATENATE($A3,""!$B$5:$JB$48"")),HC$1,0)"),"")</f>
        <v/>
      </c>
      <c r="HD3" s="35" t="str">
        <f>IFERROR(__xludf.DUMMYFUNCTION("VLOOKUP($A$1,IMPORTRANGE($A$2, CONCATENATE($A3,""!$B$5:$JB$48"")),HD$1,0)"),"")</f>
        <v/>
      </c>
      <c r="HE3" s="35" t="str">
        <f>IFERROR(__xludf.DUMMYFUNCTION("VLOOKUP($A$1,IMPORTRANGE($A$2, CONCATENATE($A3,""!$B$5:$JB$48"")),HE$1,0)"),"")</f>
        <v/>
      </c>
      <c r="HF3" s="35" t="str">
        <f>IFERROR(__xludf.DUMMYFUNCTION("VLOOKUP($A$1,IMPORTRANGE($A$2, CONCATENATE($A3,""!$B$5:$JB$48"")),HF$1,0)"),"")</f>
        <v/>
      </c>
      <c r="HG3" s="35" t="str">
        <f>IFERROR(__xludf.DUMMYFUNCTION("VLOOKUP($A$1,IMPORTRANGE($A$2, CONCATENATE($A3,""!$B$5:$JB$48"")),HG$1,0)"),"")</f>
        <v/>
      </c>
      <c r="HH3" s="35" t="str">
        <f>IFERROR(__xludf.DUMMYFUNCTION("VLOOKUP($A$1,IMPORTRANGE($A$2, CONCATENATE($A3,""!$B$5:$JB$48"")),HH$1,0)"),"")</f>
        <v/>
      </c>
      <c r="HI3" s="35" t="str">
        <f>IFERROR(__xludf.DUMMYFUNCTION("VLOOKUP($A$1,IMPORTRANGE($A$2, CONCATENATE($A3,""!$B$5:$JB$48"")),HI$1,0)"),"")</f>
        <v/>
      </c>
      <c r="HJ3" s="35" t="str">
        <f>IFERROR(__xludf.DUMMYFUNCTION("VLOOKUP($A$1,IMPORTRANGE($A$2, CONCATENATE($A3,""!$B$5:$JB$48"")),HJ$1,0)"),"")</f>
        <v/>
      </c>
      <c r="HK3" s="35" t="str">
        <f>IFERROR(__xludf.DUMMYFUNCTION("VLOOKUP($A$1,IMPORTRANGE($A$2, CONCATENATE($A3,""!$B$5:$JB$48"")),HK$1,0)"),"")</f>
        <v/>
      </c>
      <c r="HL3" s="35" t="str">
        <f>IFERROR(__xludf.DUMMYFUNCTION("VLOOKUP($A$1,IMPORTRANGE($A$2, CONCATENATE($A3,""!$B$5:$JB$48"")),HL$1,0)"),"")</f>
        <v/>
      </c>
      <c r="HM3" s="35" t="str">
        <f>IFERROR(__xludf.DUMMYFUNCTION("VLOOKUP($A$1,IMPORTRANGE($A$2, CONCATENATE($A3,""!$B$5:$JB$48"")),HM$1,0)"),"")</f>
        <v/>
      </c>
      <c r="HN3" s="35" t="str">
        <f>IFERROR(__xludf.DUMMYFUNCTION("VLOOKUP($A$1,IMPORTRANGE($A$2, CONCATENATE($A3,""!$B$5:$JB$48"")),HN$1,0)"),"")</f>
        <v/>
      </c>
      <c r="HO3" s="35" t="str">
        <f>IFERROR(__xludf.DUMMYFUNCTION("VLOOKUP($A$1,IMPORTRANGE($A$2, CONCATENATE($A3,""!$B$5:$JB$48"")),HO$1,0)"),"")</f>
        <v/>
      </c>
      <c r="HP3" s="35" t="str">
        <f>IFERROR(__xludf.DUMMYFUNCTION("VLOOKUP($A$1,IMPORTRANGE($A$2, CONCATENATE($A3,""!$B$5:$JB$48"")),HP$1,0)"),"")</f>
        <v/>
      </c>
      <c r="HQ3" s="35" t="str">
        <f>IFERROR(__xludf.DUMMYFUNCTION("VLOOKUP($A$1,IMPORTRANGE($A$2, CONCATENATE($A3,""!$B$5:$JB$48"")),HQ$1,0)"),"")</f>
        <v/>
      </c>
      <c r="HR3" s="35" t="str">
        <f>IFERROR(__xludf.DUMMYFUNCTION("VLOOKUP($A$1,IMPORTRANGE($A$2, CONCATENATE($A3,""!$B$5:$JB$48"")),HR$1,0)"),"")</f>
        <v/>
      </c>
      <c r="HS3" s="35" t="str">
        <f>IFERROR(__xludf.DUMMYFUNCTION("VLOOKUP($A$1,IMPORTRANGE($A$2, CONCATENATE($A3,""!$B$5:$JB$48"")),HS$1,0)"),"")</f>
        <v/>
      </c>
      <c r="HT3" s="35" t="str">
        <f>IFERROR(__xludf.DUMMYFUNCTION("VLOOKUP($A$1,IMPORTRANGE($A$2, CONCATENATE($A3,""!$B$5:$JB$48"")),HT$1,0)"),"")</f>
        <v/>
      </c>
      <c r="HU3" s="35" t="str">
        <f>IFERROR(__xludf.DUMMYFUNCTION("VLOOKUP($A$1,IMPORTRANGE($A$2, CONCATENATE($A3,""!$B$5:$JB$48"")),HU$1,0)"),"")</f>
        <v/>
      </c>
      <c r="HV3" s="35" t="str">
        <f>IFERROR(__xludf.DUMMYFUNCTION("VLOOKUP($A$1,IMPORTRANGE($A$2, CONCATENATE($A3,""!$B$5:$JB$48"")),HV$1,0)"),"")</f>
        <v/>
      </c>
      <c r="HW3" s="35" t="str">
        <f>IFERROR(__xludf.DUMMYFUNCTION("VLOOKUP($A$1,IMPORTRANGE($A$2, CONCATENATE($A3,""!$B$5:$JB$48"")),HW$1,0)"),"")</f>
        <v/>
      </c>
      <c r="HX3" s="35" t="str">
        <f>IFERROR(__xludf.DUMMYFUNCTION("VLOOKUP($A$1,IMPORTRANGE($A$2, CONCATENATE($A3,""!$B$5:$JB$48"")),HX$1,0)"),"")</f>
        <v/>
      </c>
      <c r="HY3" s="35" t="str">
        <f>IFERROR(__xludf.DUMMYFUNCTION("VLOOKUP($A$1,IMPORTRANGE($A$2, CONCATENATE($A3,""!$B$5:$JB$48"")),HY$1,0)"),"")</f>
        <v/>
      </c>
      <c r="HZ3" s="35" t="str">
        <f>IFERROR(__xludf.DUMMYFUNCTION("VLOOKUP($A$1,IMPORTRANGE($A$2, CONCATENATE($A3,""!$B$5:$JB$48"")),HZ$1,0)"),"")</f>
        <v/>
      </c>
      <c r="IA3" s="35" t="str">
        <f>IFERROR(__xludf.DUMMYFUNCTION("VLOOKUP($A$1,IMPORTRANGE($A$2, CONCATENATE($A3,""!$B$5:$JB$48"")),IA$1,0)"),"")</f>
        <v/>
      </c>
      <c r="IB3" s="35" t="str">
        <f>IFERROR(__xludf.DUMMYFUNCTION("VLOOKUP($A$1,IMPORTRANGE($A$2, CONCATENATE($A3,""!$B$5:$JB$48"")),IB$1,0)"),"")</f>
        <v/>
      </c>
      <c r="IC3" s="35" t="str">
        <f>IFERROR(__xludf.DUMMYFUNCTION("VLOOKUP($A$1,IMPORTRANGE($A$2, CONCATENATE($A3,""!$B$5:$JB$48"")),IC$1,0)"),"")</f>
        <v/>
      </c>
      <c r="ID3" s="35" t="str">
        <f>IFERROR(__xludf.DUMMYFUNCTION("VLOOKUP($A$1,IMPORTRANGE($A$2, CONCATENATE($A3,""!$B$5:$JB$48"")),ID$1,0)"),"")</f>
        <v/>
      </c>
      <c r="IE3" s="35" t="str">
        <f>IFERROR(__xludf.DUMMYFUNCTION("VLOOKUP($A$1,IMPORTRANGE($A$2, CONCATENATE($A3,""!$B$5:$JB$48"")),IE$1,0)"),"")</f>
        <v/>
      </c>
      <c r="IF3" s="35" t="str">
        <f>IFERROR(__xludf.DUMMYFUNCTION("VLOOKUP($A$1,IMPORTRANGE($A$2, CONCATENATE($A3,""!$B$5:$JB$48"")),IF$1,0)"),"")</f>
        <v/>
      </c>
      <c r="IG3" s="35" t="str">
        <f>IFERROR(__xludf.DUMMYFUNCTION("VLOOKUP($A$1,IMPORTRANGE($A$2, CONCATENATE($A3,""!$B$5:$JB$48"")),IG$1,0)"),"")</f>
        <v/>
      </c>
      <c r="IH3" s="35" t="str">
        <f>IFERROR(__xludf.DUMMYFUNCTION("VLOOKUP($A$1,IMPORTRANGE($A$2, CONCATENATE($A3,""!$B$5:$JB$48"")),IH$1,0)"),"")</f>
        <v/>
      </c>
      <c r="II3" s="35" t="str">
        <f>IFERROR(__xludf.DUMMYFUNCTION("VLOOKUP($A$1,IMPORTRANGE($A$2, CONCATENATE($A3,""!$B$5:$JB$48"")),II$1,0)"),"")</f>
        <v/>
      </c>
      <c r="IJ3" s="35" t="str">
        <f>IFERROR(__xludf.DUMMYFUNCTION("VLOOKUP($A$1,IMPORTRANGE($A$2, CONCATENATE($A3,""!$B$5:$JB$48"")),IJ$1,0)"),"")</f>
        <v/>
      </c>
      <c r="IK3" s="35" t="str">
        <f>IFERROR(__xludf.DUMMYFUNCTION("VLOOKUP($A$1,IMPORTRANGE($A$2, CONCATENATE($A3,""!$B$5:$JB$48"")),IK$1,0)"),"")</f>
        <v/>
      </c>
      <c r="IL3" s="35" t="str">
        <f>IFERROR(__xludf.DUMMYFUNCTION("VLOOKUP($A$1,IMPORTRANGE($A$2, CONCATENATE($A3,""!$B$5:$JB$48"")),IL$1,0)"),"")</f>
        <v/>
      </c>
      <c r="IM3" s="35" t="str">
        <f>IFERROR(__xludf.DUMMYFUNCTION("VLOOKUP($A$1,IMPORTRANGE($A$2, CONCATENATE($A3,""!$B$5:$JB$48"")),IM$1,0)"),"")</f>
        <v/>
      </c>
      <c r="IN3" s="35" t="str">
        <f>IFERROR(__xludf.DUMMYFUNCTION("VLOOKUP($A$1,IMPORTRANGE($A$2, CONCATENATE($A3,""!$B$5:$JB$48"")),IN$1,0)"),"")</f>
        <v/>
      </c>
      <c r="IO3" s="35" t="str">
        <f>IFERROR(__xludf.DUMMYFUNCTION("VLOOKUP($A$1,IMPORTRANGE($A$2, CONCATENATE($A3,""!$B$5:$JB$48"")),IO$1,0)"),"")</f>
        <v/>
      </c>
      <c r="IP3" s="35" t="str">
        <f>IFERROR(__xludf.DUMMYFUNCTION("VLOOKUP($A$1,IMPORTRANGE($A$2, CONCATENATE($A3,""!$B$5:$JB$48"")),IP$1,0)"),"")</f>
        <v/>
      </c>
      <c r="IQ3" s="35" t="str">
        <f>IFERROR(__xludf.DUMMYFUNCTION("VLOOKUP($A$1,IMPORTRANGE($A$2, CONCATENATE($A3,""!$B$5:$JB$48"")),IQ$1,0)"),"")</f>
        <v/>
      </c>
      <c r="IR3" s="35" t="str">
        <f>IFERROR(__xludf.DUMMYFUNCTION("VLOOKUP($A$1,IMPORTRANGE($A$2, CONCATENATE($A3,""!$B$5:$JB$48"")),IR$1,0)"),"")</f>
        <v/>
      </c>
      <c r="IS3" s="35" t="str">
        <f>IFERROR(__xludf.DUMMYFUNCTION("VLOOKUP($A$1,IMPORTRANGE($A$2, CONCATENATE($A3,""!$B$5:$JB$48"")),IS$1,0)"),"")</f>
        <v/>
      </c>
      <c r="IT3" s="35" t="str">
        <f>IFERROR(__xludf.DUMMYFUNCTION("VLOOKUP($A$1,IMPORTRANGE($A$2, CONCATENATE($A3,""!$B$5:$JB$48"")),IT$1,0)"),"")</f>
        <v/>
      </c>
      <c r="IU3" s="35" t="str">
        <f>IFERROR(__xludf.DUMMYFUNCTION("VLOOKUP($A$1,IMPORTRANGE($A$2, CONCATENATE($A3,""!$B$5:$JB$48"")),IU$1,0)"),"")</f>
        <v/>
      </c>
      <c r="IV3" s="35" t="str">
        <f>IFERROR(__xludf.DUMMYFUNCTION("VLOOKUP($A$1,IMPORTRANGE($A$2, CONCATENATE($A3,""!$B$5:$JB$48"")),IV$1,0)"),"")</f>
        <v/>
      </c>
      <c r="IW3" s="35" t="str">
        <f>IFERROR(__xludf.DUMMYFUNCTION("VLOOKUP($A$1,IMPORTRANGE($A$2, CONCATENATE($A3,""!$B$5:$JB$48"")),IW$1,0)"),"")</f>
        <v/>
      </c>
      <c r="IX3" s="35">
        <f>IFERROR(__xludf.DUMMYFUNCTION("VLOOKUP($A$1,IMPORTRANGE($A$2, CONCATENATE($A3,""!$B$5:$JB$48"")),IX$1,0)"),45909.0)</f>
        <v>45909</v>
      </c>
      <c r="IY3" s="35" t="str">
        <f>IFERROR(__xludf.DUMMYFUNCTION("VLOOKUP($A$1,IMPORTRANGE($A$2, CONCATENATE($A3,""!$B$5:$JB$48"")),IY$1,0)"),"Омонимы. Паронимы")</f>
        <v>Омонимы. Паронимы</v>
      </c>
      <c r="IZ3" s="35" t="str">
        <f>IFERROR(__xludf.DUMMYFUNCTION("VLOOKUP($A$1,IMPORTRANGE($A$2, CONCATENATE($A3,""!$B$5:$JB$48"")),IZ$1,0)"),"задание 3")</f>
        <v>задание 3</v>
      </c>
      <c r="JA3" s="35">
        <f>IFERROR(__xludf.DUMMYFUNCTION("VLOOKUP($A$1,IMPORTRANGE($A$2, CONCATENATE($A3,""!$B$5:$JB$48"")),JA$1,0)"),45981.0)</f>
        <v>45981</v>
      </c>
      <c r="JB3" s="35"/>
      <c r="JC3" s="35"/>
      <c r="JD3" s="35"/>
      <c r="JE3" s="35"/>
    </row>
    <row r="4">
      <c r="A4" s="36"/>
      <c r="B4" s="29"/>
      <c r="C4" s="37"/>
      <c r="D4" s="38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  <c r="IQ4" s="37"/>
      <c r="IR4" s="37"/>
      <c r="IS4" s="37"/>
      <c r="IT4" s="37"/>
      <c r="IU4" s="37"/>
      <c r="IV4" s="37"/>
      <c r="IW4" s="37"/>
      <c r="IX4" s="37"/>
      <c r="IY4" s="37"/>
      <c r="IZ4" s="37"/>
      <c r="JA4" s="37"/>
      <c r="JB4" s="37"/>
      <c r="JC4" s="37"/>
      <c r="JD4" s="37"/>
      <c r="JE4" s="37"/>
    </row>
    <row r="5">
      <c r="A5" s="39"/>
      <c r="B5" s="32">
        <f>IFERROR(__xludf.DUMMYFUNCTION("IMPORTRANGE($A$2, CONCATENATE($A6,""!C4:JB4""))"),45902.0)</f>
        <v>45902</v>
      </c>
      <c r="C5" s="32">
        <f>IFERROR(__xludf.DUMMYFUNCTION("""COMPUTED_VALUE"""),45904.0)</f>
        <v>45904</v>
      </c>
      <c r="D5" s="32"/>
      <c r="E5" s="32"/>
      <c r="F5" s="32"/>
      <c r="G5" s="32"/>
      <c r="H5" s="32"/>
      <c r="I5" s="32">
        <f>IFERROR(__xludf.DUMMYFUNCTION("""COMPUTED_VALUE"""),45909.0)</f>
        <v>45909</v>
      </c>
      <c r="J5" s="32">
        <f>IFERROR(__xludf.DUMMYFUNCTION("""COMPUTED_VALUE"""),45912.0)</f>
        <v>45912</v>
      </c>
      <c r="K5" s="32"/>
      <c r="L5" s="32"/>
      <c r="M5" s="32"/>
      <c r="N5" s="32"/>
      <c r="O5" s="32"/>
      <c r="P5" s="32">
        <f>IFERROR(__xludf.DUMMYFUNCTION("""COMPUTED_VALUE"""),45916.0)</f>
        <v>45916</v>
      </c>
      <c r="Q5" s="32">
        <f>IFERROR(__xludf.DUMMYFUNCTION("""COMPUTED_VALUE"""),45918.0)</f>
        <v>45918</v>
      </c>
      <c r="R5" s="32"/>
      <c r="S5" s="32"/>
      <c r="T5" s="32"/>
      <c r="U5" s="32"/>
      <c r="V5" s="32"/>
      <c r="W5" s="32">
        <f>IFERROR(__xludf.DUMMYFUNCTION("""COMPUTED_VALUE"""),45925.0)</f>
        <v>45925</v>
      </c>
      <c r="X5" s="32">
        <f>IFERROR(__xludf.DUMMYFUNCTION("""COMPUTED_VALUE"""),45930.0)</f>
        <v>45930</v>
      </c>
      <c r="Y5" s="32"/>
      <c r="Z5" s="32"/>
      <c r="AA5" s="32"/>
      <c r="AB5" s="32"/>
      <c r="AC5" s="32"/>
      <c r="AD5" s="32">
        <f>IFERROR(__xludf.DUMMYFUNCTION("""COMPUTED_VALUE"""),45932.0)</f>
        <v>45932</v>
      </c>
      <c r="AE5" s="32">
        <f>IFERROR(__xludf.DUMMYFUNCTION("""COMPUTED_VALUE"""),45937.0)</f>
        <v>45937</v>
      </c>
      <c r="AF5" s="32"/>
      <c r="AG5" s="32"/>
      <c r="AH5" s="32"/>
      <c r="AI5" s="32"/>
      <c r="AJ5" s="32"/>
      <c r="AK5" s="32">
        <f>IFERROR(__xludf.DUMMYFUNCTION("""COMPUTED_VALUE"""),45939.0)</f>
        <v>45939</v>
      </c>
      <c r="AL5" s="32">
        <f>IFERROR(__xludf.DUMMYFUNCTION("""COMPUTED_VALUE"""),45944.0)</f>
        <v>45944</v>
      </c>
      <c r="AM5" s="32"/>
      <c r="AN5" s="32"/>
      <c r="AO5" s="32"/>
      <c r="AP5" s="32"/>
      <c r="AQ5" s="32"/>
      <c r="AR5" s="32">
        <f>IFERROR(__xludf.DUMMYFUNCTION("""COMPUTED_VALUE"""),45946.0)</f>
        <v>45946</v>
      </c>
      <c r="AS5" s="32">
        <f>IFERROR(__xludf.DUMMYFUNCTION("""COMPUTED_VALUE"""),45951.0)</f>
        <v>45951</v>
      </c>
      <c r="AT5" s="32"/>
      <c r="AU5" s="32"/>
      <c r="AV5" s="32"/>
      <c r="AW5" s="32"/>
      <c r="AX5" s="32">
        <f>IFERROR(__xludf.DUMMYFUNCTION("""COMPUTED_VALUE"""),45953.0)</f>
        <v>45953</v>
      </c>
      <c r="AY5" s="32">
        <f>IFERROR(__xludf.DUMMYFUNCTION("""COMPUTED_VALUE"""),45954.0)</f>
        <v>45954</v>
      </c>
      <c r="AZ5" s="32"/>
      <c r="BA5" s="32"/>
      <c r="BB5" s="32"/>
      <c r="BC5" s="32"/>
      <c r="BD5" s="32"/>
      <c r="BE5" s="32"/>
      <c r="BF5" s="32">
        <f>IFERROR(__xludf.DUMMYFUNCTION("""COMPUTED_VALUE"""),45960.0)</f>
        <v>45960</v>
      </c>
      <c r="BG5" s="32">
        <f>IFERROR(__xludf.DUMMYFUNCTION("""COMPUTED_VALUE"""),45961.0)</f>
        <v>45961</v>
      </c>
      <c r="BH5" s="32"/>
      <c r="BI5" s="32"/>
      <c r="BJ5" s="32"/>
      <c r="BK5" s="32"/>
      <c r="BL5" s="32"/>
      <c r="BM5" s="32" t="str">
        <f>IFERROR(__xludf.DUMMYFUNCTION("""COMPUTED_VALUE"""),"1 четверть")</f>
        <v>1 четверть</v>
      </c>
      <c r="BN5" s="32">
        <f>IFERROR(__xludf.DUMMYFUNCTION("""COMPUTED_VALUE"""),45972.0)</f>
        <v>45972</v>
      </c>
      <c r="BO5" s="32">
        <f>IFERROR(__xludf.DUMMYFUNCTION("""COMPUTED_VALUE"""),45974.0)</f>
        <v>45974</v>
      </c>
      <c r="BP5" s="32"/>
      <c r="BQ5" s="32"/>
      <c r="BR5" s="32"/>
      <c r="BS5" s="32"/>
      <c r="BT5" s="32"/>
      <c r="BU5" s="32">
        <f>IFERROR(__xludf.DUMMYFUNCTION("""COMPUTED_VALUE"""),45979.0)</f>
        <v>45979</v>
      </c>
      <c r="BV5" s="32">
        <f>IFERROR(__xludf.DUMMYFUNCTION("""COMPUTED_VALUE"""),45981.0)</f>
        <v>45981</v>
      </c>
      <c r="BW5" s="32"/>
      <c r="BX5" s="32"/>
      <c r="BY5" s="32"/>
      <c r="BZ5" s="32"/>
      <c r="CA5" s="32"/>
      <c r="CB5" s="32">
        <f>IFERROR(__xludf.DUMMYFUNCTION("""COMPUTED_VALUE"""),45986.0)</f>
        <v>45986</v>
      </c>
      <c r="CC5" s="32">
        <f>IFERROR(__xludf.DUMMYFUNCTION("""COMPUTED_VALUE"""),45988.0)</f>
        <v>45988</v>
      </c>
      <c r="CD5" s="32"/>
      <c r="CE5" s="32"/>
      <c r="CF5" s="32"/>
      <c r="CG5" s="32"/>
      <c r="CH5" s="32"/>
      <c r="CI5" s="32" t="str">
        <f>IFERROR(__xludf.DUMMYFUNCTION("""COMPUTED_VALUE"""),"2.12.2025К/Р")</f>
        <v>2.12.2025К/Р</v>
      </c>
      <c r="CJ5" s="32">
        <f>IFERROR(__xludf.DUMMYFUNCTION("""COMPUTED_VALUE"""),45995.0)</f>
        <v>45995</v>
      </c>
      <c r="CK5" s="32"/>
      <c r="CL5" s="32"/>
      <c r="CM5" s="32"/>
      <c r="CN5" s="32"/>
      <c r="CO5" s="32"/>
      <c r="CP5" s="32">
        <f>IFERROR(__xludf.DUMMYFUNCTION("""COMPUTED_VALUE"""),46000.0)</f>
        <v>46000</v>
      </c>
      <c r="CQ5" s="32">
        <f>IFERROR(__xludf.DUMMYFUNCTION("""COMPUTED_VALUE"""),46002.0)</f>
        <v>46002</v>
      </c>
      <c r="CR5" s="32"/>
      <c r="CS5" s="32"/>
      <c r="CT5" s="32"/>
      <c r="CU5" s="32"/>
      <c r="CV5" s="32"/>
      <c r="CW5" s="32">
        <f>IFERROR(__xludf.DUMMYFUNCTION("""COMPUTED_VALUE"""),46007.0)</f>
        <v>46007</v>
      </c>
      <c r="CX5" s="32">
        <f>IFERROR(__xludf.DUMMYFUNCTION("""COMPUTED_VALUE"""),46009.0)</f>
        <v>46009</v>
      </c>
      <c r="CY5" s="32"/>
      <c r="CZ5" s="32"/>
      <c r="DA5" s="32"/>
      <c r="DB5" s="32"/>
      <c r="DC5" s="32"/>
      <c r="DD5" s="32">
        <f>IFERROR(__xludf.DUMMYFUNCTION("""COMPUTED_VALUE"""),46014.0)</f>
        <v>46014</v>
      </c>
      <c r="DE5" s="32">
        <f>IFERROR(__xludf.DUMMYFUNCTION("""COMPUTED_VALUE"""),46016.0)</f>
        <v>46016</v>
      </c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 t="str">
        <f>IFERROR(__xludf.DUMMYFUNCTION("""COMPUTED_VALUE"""),"2 четверть")</f>
        <v>2 четверть</v>
      </c>
      <c r="DS5" s="32">
        <f>IFERROR(__xludf.DUMMYFUNCTION("""COMPUTED_VALUE"""),46035.0)</f>
        <v>46035</v>
      </c>
      <c r="DT5" s="32">
        <f>IFERROR(__xludf.DUMMYFUNCTION("""COMPUTED_VALUE"""),46037.0)</f>
        <v>46037</v>
      </c>
      <c r="DU5" s="32"/>
      <c r="DV5" s="32"/>
      <c r="DW5" s="32"/>
      <c r="DX5" s="32"/>
      <c r="DY5" s="32"/>
      <c r="DZ5" s="32">
        <f>IFERROR(__xludf.DUMMYFUNCTION("""COMPUTED_VALUE"""),46042.0)</f>
        <v>46042</v>
      </c>
      <c r="EA5" s="32">
        <f>IFERROR(__xludf.DUMMYFUNCTION("""COMPUTED_VALUE"""),46044.0)</f>
        <v>46044</v>
      </c>
      <c r="EB5" s="32"/>
      <c r="EC5" s="32"/>
      <c r="ED5" s="32"/>
      <c r="EE5" s="32"/>
      <c r="EF5" s="32"/>
      <c r="EG5" s="32">
        <f>IFERROR(__xludf.DUMMYFUNCTION("""COMPUTED_VALUE"""),46049.0)</f>
        <v>46049</v>
      </c>
      <c r="EH5" s="32">
        <f>IFERROR(__xludf.DUMMYFUNCTION("""COMPUTED_VALUE"""),46051.0)</f>
        <v>46051</v>
      </c>
      <c r="EI5" s="32"/>
      <c r="EJ5" s="32"/>
      <c r="EK5" s="32"/>
      <c r="EL5" s="32"/>
      <c r="EM5" s="32"/>
      <c r="EN5" s="32">
        <f>IFERROR(__xludf.DUMMYFUNCTION("""COMPUTED_VALUE"""),46056.0)</f>
        <v>46056</v>
      </c>
      <c r="EO5" s="32">
        <f>IFERROR(__xludf.DUMMYFUNCTION("""COMPUTED_VALUE"""),46058.0)</f>
        <v>46058</v>
      </c>
      <c r="EP5" s="32"/>
      <c r="EQ5" s="32"/>
      <c r="ER5" s="32"/>
      <c r="ES5" s="32"/>
      <c r="ET5" s="32"/>
      <c r="EU5" s="32">
        <f>IFERROR(__xludf.DUMMYFUNCTION("""COMPUTED_VALUE"""),46063.0)</f>
        <v>46063</v>
      </c>
      <c r="EV5" s="32">
        <f>IFERROR(__xludf.DUMMYFUNCTION("""COMPUTED_VALUE"""),46065.0)</f>
        <v>46065</v>
      </c>
      <c r="EW5" s="32"/>
      <c r="EX5" s="32"/>
      <c r="EY5" s="32"/>
      <c r="EZ5" s="32"/>
      <c r="FA5" s="32"/>
      <c r="FB5" s="32">
        <f>IFERROR(__xludf.DUMMYFUNCTION("""COMPUTED_VALUE"""),46070.0)</f>
        <v>46070</v>
      </c>
      <c r="FC5" s="32">
        <f>IFERROR(__xludf.DUMMYFUNCTION("""COMPUTED_VALUE"""),46072.0)</f>
        <v>46072</v>
      </c>
      <c r="FD5" s="32"/>
      <c r="FE5" s="32"/>
      <c r="FF5" s="32"/>
      <c r="FG5" s="32"/>
      <c r="FH5" s="32"/>
      <c r="FI5" s="32">
        <f>IFERROR(__xludf.DUMMYFUNCTION("""COMPUTED_VALUE"""),46077.0)</f>
        <v>46077</v>
      </c>
      <c r="FJ5" s="32">
        <f>IFERROR(__xludf.DUMMYFUNCTION("""COMPUTED_VALUE"""),46079.0)</f>
        <v>46079</v>
      </c>
      <c r="FK5" s="32"/>
      <c r="FL5" s="32"/>
      <c r="FM5" s="32"/>
      <c r="FN5" s="32"/>
      <c r="FO5" s="32"/>
      <c r="FP5" s="32">
        <f>IFERROR(__xludf.DUMMYFUNCTION("""COMPUTED_VALUE"""),46084.0)</f>
        <v>46084</v>
      </c>
      <c r="FQ5" s="32">
        <f>IFERROR(__xludf.DUMMYFUNCTION("""COMPUTED_VALUE"""),46086.0)</f>
        <v>46086</v>
      </c>
      <c r="FR5" s="32"/>
      <c r="FS5" s="32"/>
      <c r="FT5" s="32"/>
      <c r="FU5" s="32"/>
      <c r="FV5" s="32"/>
      <c r="FW5" s="32">
        <f>IFERROR(__xludf.DUMMYFUNCTION("""COMPUTED_VALUE"""),46091.0)</f>
        <v>46091</v>
      </c>
      <c r="FX5" s="32">
        <f>IFERROR(__xludf.DUMMYFUNCTION("""COMPUTED_VALUE"""),46093.0)</f>
        <v>46093</v>
      </c>
      <c r="FY5" s="32"/>
      <c r="FZ5" s="32"/>
      <c r="GA5" s="32"/>
      <c r="GB5" s="32"/>
      <c r="GC5" s="32"/>
      <c r="GD5" s="32"/>
      <c r="GE5" s="32"/>
      <c r="GF5" s="32" t="str">
        <f>IFERROR(__xludf.DUMMYFUNCTION("""COMPUTED_VALUE"""),"3 четверть")</f>
        <v>3 четверть</v>
      </c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 t="str">
        <f>IFERROR(__xludf.DUMMYFUNCTION("""COMPUTED_VALUE"""),"4 четверть")</f>
        <v>4 четверть</v>
      </c>
      <c r="IS5" s="32" t="str">
        <f>IFERROR(__xludf.DUMMYFUNCTION("""COMPUTED_VALUE"""),"год")</f>
        <v>год</v>
      </c>
      <c r="IT5" s="32" t="str">
        <f>IFERROR(__xludf.DUMMYFUNCTION("""COMPUTED_VALUE"""),"рейтинг")</f>
        <v>рейтинг</v>
      </c>
      <c r="IU5" s="32"/>
      <c r="IV5" s="32"/>
      <c r="IW5" s="32" t="str">
        <f>IFERROR(__xludf.DUMMYFUNCTION("""COMPUTED_VALUE"""),"Дата")</f>
        <v>Дата</v>
      </c>
      <c r="IX5" s="32" t="str">
        <f>IFERROR(__xludf.DUMMYFUNCTION("""COMPUTED_VALUE"""),"Тема урока")</f>
        <v>Тема урока</v>
      </c>
      <c r="IY5" s="32" t="str">
        <f>IFERROR(__xludf.DUMMYFUNCTION("""COMPUTED_VALUE"""),"Домашнее задание")</f>
        <v>Домашнее задание</v>
      </c>
      <c r="IZ5" s="32" t="str">
        <f>IFERROR(__xludf.DUMMYFUNCTION("""COMPUTED_VALUE"""),"Дата")</f>
        <v>Дата</v>
      </c>
      <c r="JA5" s="32" t="str">
        <f>IFERROR(__xludf.DUMMYFUNCTION("""COMPUTED_VALUE"""),"Тема урока")</f>
        <v>Тема урока</v>
      </c>
      <c r="JB5" s="32"/>
      <c r="JC5" s="32"/>
      <c r="JD5" s="32"/>
      <c r="JE5" s="32"/>
    </row>
    <row r="6">
      <c r="A6" s="40" t="s">
        <v>278</v>
      </c>
      <c r="B6" s="35" t="str">
        <f>IFERROR(__xludf.DUMMYFUNCTION("VLOOKUP($A$1,IMPORTRANGE($A$2, CONCATENATE($A6,""!$B$5:$JB$48"")),B$1,0)"),"")</f>
        <v/>
      </c>
      <c r="C6" s="35">
        <f>IFERROR(__xludf.DUMMYFUNCTION("VLOOKUP($A$1,IMPORTRANGE($A$2, CONCATENATE($A6,""!$B$5:$JB$48"")),C$1,0)"),5.0)</f>
        <v>5</v>
      </c>
      <c r="D6" s="35" t="str">
        <f>IFERROR(__xludf.DUMMYFUNCTION("VLOOKUP($A$1,IMPORTRANGE($A$2, CONCATENATE($A6,""!$B$5:$JB$48"")),D$1,0)"),"")</f>
        <v/>
      </c>
      <c r="E6" s="35" t="str">
        <f>IFERROR(__xludf.DUMMYFUNCTION("VLOOKUP($A$1,IMPORTRANGE($A$2, CONCATENATE($A6,""!$B$5:$JB$48"")),E$1,0)"),"")</f>
        <v/>
      </c>
      <c r="F6" s="35" t="str">
        <f>IFERROR(__xludf.DUMMYFUNCTION("VLOOKUP($A$1,IMPORTRANGE($A$2, CONCATENATE($A6,""!$B$5:$JB$48"")),F$1,0)"),"")</f>
        <v/>
      </c>
      <c r="G6" s="35" t="str">
        <f>IFERROR(__xludf.DUMMYFUNCTION("VLOOKUP($A$1,IMPORTRANGE($A$2, CONCATENATE($A6,""!$B$5:$JB$48"")),G$1,0)"),"")</f>
        <v/>
      </c>
      <c r="H6" s="35" t="str">
        <f>IFERROR(__xludf.DUMMYFUNCTION("VLOOKUP($A$1,IMPORTRANGE($A$2, CONCATENATE($A6,""!$B$5:$JB$48"")),H$1,0)"),"")</f>
        <v/>
      </c>
      <c r="I6" s="35" t="str">
        <f>IFERROR(__xludf.DUMMYFUNCTION("VLOOKUP($A$1,IMPORTRANGE($A$2, CONCATENATE($A6,""!$B$5:$JB$48"")),I$1,0)"),"см")</f>
        <v>см</v>
      </c>
      <c r="J6" s="35">
        <f>IFERROR(__xludf.DUMMYFUNCTION("VLOOKUP($A$1,IMPORTRANGE($A$2, CONCATENATE($A6,""!$B$5:$JB$48"")),J$1,0)"),5.0)</f>
        <v>5</v>
      </c>
      <c r="K6" s="35" t="str">
        <f>IFERROR(__xludf.DUMMYFUNCTION("VLOOKUP($A$1,IMPORTRANGE($A$2, CONCATENATE($A6,""!$B$5:$JB$48"")),K$1,0)"),"")</f>
        <v/>
      </c>
      <c r="L6" s="35" t="str">
        <f>IFERROR(__xludf.DUMMYFUNCTION("VLOOKUP($A$1,IMPORTRANGE($A$2, CONCATENATE($A6,""!$B$5:$JB$48"")),L$1,0)"),"")</f>
        <v/>
      </c>
      <c r="M6" s="35" t="str">
        <f>IFERROR(__xludf.DUMMYFUNCTION("VLOOKUP($A$1,IMPORTRANGE($A$2, CONCATENATE($A6,""!$B$5:$JB$48"")),M$1,0)"),"")</f>
        <v/>
      </c>
      <c r="N6" s="35" t="str">
        <f>IFERROR(__xludf.DUMMYFUNCTION("VLOOKUP($A$1,IMPORTRANGE($A$2, CONCATENATE($A6,""!$B$5:$JB$48"")),N$1,0)"),"")</f>
        <v/>
      </c>
      <c r="O6" s="35" t="str">
        <f>IFERROR(__xludf.DUMMYFUNCTION("VLOOKUP($A$1,IMPORTRANGE($A$2, CONCATENATE($A6,""!$B$5:$JB$48"")),O$1,0)"),"")</f>
        <v/>
      </c>
      <c r="P6" s="35" t="str">
        <f>IFERROR(__xludf.DUMMYFUNCTION("VLOOKUP($A$1,IMPORTRANGE($A$2, CONCATENATE($A6,""!$B$5:$JB$48"")),P$1,0)"),"")</f>
        <v/>
      </c>
      <c r="Q6" s="35" t="str">
        <f>IFERROR(__xludf.DUMMYFUNCTION("VLOOKUP($A$1,IMPORTRANGE($A$2, CONCATENATE($A6,""!$B$5:$JB$48"")),Q$1,0)"),"")</f>
        <v/>
      </c>
      <c r="R6" s="35" t="str">
        <f>IFERROR(__xludf.DUMMYFUNCTION("VLOOKUP($A$1,IMPORTRANGE($A$2, CONCATENATE($A6,""!$B$5:$JB$48"")),R$1,0)"),"")</f>
        <v/>
      </c>
      <c r="S6" s="35" t="str">
        <f>IFERROR(__xludf.DUMMYFUNCTION("VLOOKUP($A$1,IMPORTRANGE($A$2, CONCATENATE($A6,""!$B$5:$JB$48"")),S$1,0)"),"")</f>
        <v/>
      </c>
      <c r="T6" s="35" t="str">
        <f>IFERROR(__xludf.DUMMYFUNCTION("VLOOKUP($A$1,IMPORTRANGE($A$2, CONCATENATE($A6,""!$B$5:$JB$48"")),T$1,0)"),"")</f>
        <v/>
      </c>
      <c r="U6" s="35" t="str">
        <f>IFERROR(__xludf.DUMMYFUNCTION("VLOOKUP($A$1,IMPORTRANGE($A$2, CONCATENATE($A6,""!$B$5:$JB$48"")),U$1,0)"),"")</f>
        <v/>
      </c>
      <c r="V6" s="35" t="str">
        <f>IFERROR(__xludf.DUMMYFUNCTION("VLOOKUP($A$1,IMPORTRANGE($A$2, CONCATENATE($A6,""!$B$5:$JB$48"")),V$1,0)"),"")</f>
        <v/>
      </c>
      <c r="W6" s="35" t="str">
        <f>IFERROR(__xludf.DUMMYFUNCTION("VLOOKUP($A$1,IMPORTRANGE($A$2, CONCATENATE($A6,""!$B$5:$JB$48"")),W$1,0)"),"")</f>
        <v/>
      </c>
      <c r="X6" s="35">
        <f>IFERROR(__xludf.DUMMYFUNCTION("VLOOKUP($A$1,IMPORTRANGE($A$2, CONCATENATE($A6,""!$B$5:$JB$48"")),X$1,0)"),4.0)</f>
        <v>4</v>
      </c>
      <c r="Y6" s="35" t="str">
        <f>IFERROR(__xludf.DUMMYFUNCTION("VLOOKUP($A$1,IMPORTRANGE($A$2, CONCATENATE($A6,""!$B$5:$JB$48"")),Y$1,0)"),"")</f>
        <v/>
      </c>
      <c r="Z6" s="35" t="str">
        <f>IFERROR(__xludf.DUMMYFUNCTION("VLOOKUP($A$1,IMPORTRANGE($A$2, CONCATENATE($A6,""!$B$5:$JB$48"")),Z$1,0)"),"")</f>
        <v/>
      </c>
      <c r="AA6" s="35" t="str">
        <f>IFERROR(__xludf.DUMMYFUNCTION("VLOOKUP($A$1,IMPORTRANGE($A$2, CONCATENATE($A6,""!$B$5:$JB$48"")),AA$1,0)"),"")</f>
        <v/>
      </c>
      <c r="AB6" s="35" t="str">
        <f>IFERROR(__xludf.DUMMYFUNCTION("VLOOKUP($A$1,IMPORTRANGE($A$2, CONCATENATE($A6,""!$B$5:$JB$48"")),AB$1,0)"),"")</f>
        <v/>
      </c>
      <c r="AC6" s="35" t="str">
        <f>IFERROR(__xludf.DUMMYFUNCTION("VLOOKUP($A$1,IMPORTRANGE($A$2, CONCATENATE($A6,""!$B$5:$JB$48"")),AC$1,0)"),"")</f>
        <v/>
      </c>
      <c r="AD6" s="35" t="str">
        <f>IFERROR(__xludf.DUMMYFUNCTION("VLOOKUP($A$1,IMPORTRANGE($A$2, CONCATENATE($A6,""!$B$5:$JB$48"")),AD$1,0)"),"см")</f>
        <v>см</v>
      </c>
      <c r="AE6" s="35" t="str">
        <f>IFERROR(__xludf.DUMMYFUNCTION("VLOOKUP($A$1,IMPORTRANGE($A$2, CONCATENATE($A6,""!$B$5:$JB$48"")),AE$1,0)"),"")</f>
        <v/>
      </c>
      <c r="AF6" s="35" t="str">
        <f>IFERROR(__xludf.DUMMYFUNCTION("VLOOKUP($A$1,IMPORTRANGE($A$2, CONCATENATE($A6,""!$B$5:$JB$48"")),AF$1,0)"),"")</f>
        <v/>
      </c>
      <c r="AG6" s="35" t="str">
        <f>IFERROR(__xludf.DUMMYFUNCTION("VLOOKUP($A$1,IMPORTRANGE($A$2, CONCATENATE($A6,""!$B$5:$JB$48"")),AG$1,0)"),"")</f>
        <v/>
      </c>
      <c r="AH6" s="35" t="str">
        <f>IFERROR(__xludf.DUMMYFUNCTION("VLOOKUP($A$1,IMPORTRANGE($A$2, CONCATENATE($A6,""!$B$5:$JB$48"")),AH$1,0)"),"")</f>
        <v/>
      </c>
      <c r="AI6" s="35" t="str">
        <f>IFERROR(__xludf.DUMMYFUNCTION("VLOOKUP($A$1,IMPORTRANGE($A$2, CONCATENATE($A6,""!$B$5:$JB$48"")),AI$1,0)"),"")</f>
        <v/>
      </c>
      <c r="AJ6" s="35" t="str">
        <f>IFERROR(__xludf.DUMMYFUNCTION("VLOOKUP($A$1,IMPORTRANGE($A$2, CONCATENATE($A6,""!$B$5:$JB$48"")),AJ$1,0)"),"")</f>
        <v/>
      </c>
      <c r="AK6" s="35" t="str">
        <f>IFERROR(__xludf.DUMMYFUNCTION("VLOOKUP($A$1,IMPORTRANGE($A$2, CONCATENATE($A6,""!$B$5:$JB$48"")),AK$1,0)"),"")</f>
        <v/>
      </c>
      <c r="AL6" s="35">
        <f>IFERROR(__xludf.DUMMYFUNCTION("VLOOKUP($A$1,IMPORTRANGE($A$2, CONCATENATE($A6,""!$B$5:$JB$48"")),AL$1,0)"),5.0)</f>
        <v>5</v>
      </c>
      <c r="AM6" s="35" t="str">
        <f>IFERROR(__xludf.DUMMYFUNCTION("VLOOKUP($A$1,IMPORTRANGE($A$2, CONCATENATE($A6,""!$B$5:$JB$48"")),AM$1,0)"),"")</f>
        <v/>
      </c>
      <c r="AN6" s="35" t="str">
        <f>IFERROR(__xludf.DUMMYFUNCTION("VLOOKUP($A$1,IMPORTRANGE($A$2, CONCATENATE($A6,""!$B$5:$JB$48"")),AN$1,0)"),"")</f>
        <v/>
      </c>
      <c r="AO6" s="35" t="str">
        <f>IFERROR(__xludf.DUMMYFUNCTION("VLOOKUP($A$1,IMPORTRANGE($A$2, CONCATENATE($A6,""!$B$5:$JB$48"")),AO$1,0)"),"")</f>
        <v/>
      </c>
      <c r="AP6" s="35" t="str">
        <f>IFERROR(__xludf.DUMMYFUNCTION("VLOOKUP($A$1,IMPORTRANGE($A$2, CONCATENATE($A6,""!$B$5:$JB$48"")),AP$1,0)"),"")</f>
        <v/>
      </c>
      <c r="AQ6" s="35" t="str">
        <f>IFERROR(__xludf.DUMMYFUNCTION("VLOOKUP($A$1,IMPORTRANGE($A$2, CONCATENATE($A6,""!$B$5:$JB$48"")),AQ$1,0)"),"")</f>
        <v/>
      </c>
      <c r="AR6" s="35">
        <f>IFERROR(__xludf.DUMMYFUNCTION("VLOOKUP($A$1,IMPORTRANGE($A$2, CONCATENATE($A6,""!$B$5:$JB$48"")),AR$1,0)"),5.0)</f>
        <v>5</v>
      </c>
      <c r="AS6" s="35" t="str">
        <f>IFERROR(__xludf.DUMMYFUNCTION("VLOOKUP($A$1,IMPORTRANGE($A$2, CONCATENATE($A6,""!$B$5:$JB$48"")),AS$1,0)"),"")</f>
        <v/>
      </c>
      <c r="AT6" s="35" t="str">
        <f>IFERROR(__xludf.DUMMYFUNCTION("VLOOKUP($A$1,IMPORTRANGE($A$2, CONCATENATE($A6,""!$B$5:$JB$48"")),AT$1,0)"),"")</f>
        <v/>
      </c>
      <c r="AU6" s="35" t="str">
        <f>IFERROR(__xludf.DUMMYFUNCTION("VLOOKUP($A$1,IMPORTRANGE($A$2, CONCATENATE($A6,""!$B$5:$JB$48"")),AU$1,0)"),"")</f>
        <v/>
      </c>
      <c r="AV6" s="35" t="str">
        <f>IFERROR(__xludf.DUMMYFUNCTION("VLOOKUP($A$1,IMPORTRANGE($A$2, CONCATENATE($A6,""!$B$5:$JB$48"")),AV$1,0)"),"")</f>
        <v/>
      </c>
      <c r="AW6" s="35" t="str">
        <f>IFERROR(__xludf.DUMMYFUNCTION("VLOOKUP($A$1,IMPORTRANGE($A$2, CONCATENATE($A6,""!$B$5:$JB$48"")),AW$1,0)"),"")</f>
        <v/>
      </c>
      <c r="AX6" s="35" t="str">
        <f>IFERROR(__xludf.DUMMYFUNCTION("VLOOKUP($A$1,IMPORTRANGE($A$2, CONCATENATE($A6,""!$B$5:$JB$48"")),AX$1,0)"),"")</f>
        <v/>
      </c>
      <c r="AY6" s="35">
        <f>IFERROR(__xludf.DUMMYFUNCTION("VLOOKUP($A$1,IMPORTRANGE($A$2, CONCATENATE($A6,""!$B$5:$JB$48"")),AY$1,0)"),5.0)</f>
        <v>5</v>
      </c>
      <c r="AZ6" s="35" t="str">
        <f>IFERROR(__xludf.DUMMYFUNCTION("VLOOKUP($A$1,IMPORTRANGE($A$2, CONCATENATE($A6,""!$B$5:$JB$48"")),AZ$1,0)"),"")</f>
        <v/>
      </c>
      <c r="BA6" s="35" t="str">
        <f>IFERROR(__xludf.DUMMYFUNCTION("VLOOKUP($A$1,IMPORTRANGE($A$2, CONCATENATE($A6,""!$B$5:$JB$48"")),BA$1,0)"),"")</f>
        <v/>
      </c>
      <c r="BB6" s="35" t="str">
        <f>IFERROR(__xludf.DUMMYFUNCTION("VLOOKUP($A$1,IMPORTRANGE($A$2, CONCATENATE($A6,""!$B$5:$JB$48"")),BB$1,0)"),"")</f>
        <v/>
      </c>
      <c r="BC6" s="35" t="str">
        <f>IFERROR(__xludf.DUMMYFUNCTION("VLOOKUP($A$1,IMPORTRANGE($A$2, CONCATENATE($A6,""!$B$5:$JB$48"")),BC$1,0)"),"")</f>
        <v/>
      </c>
      <c r="BD6" s="35" t="str">
        <f>IFERROR(__xludf.DUMMYFUNCTION("VLOOKUP($A$1,IMPORTRANGE($A$2, CONCATENATE($A6,""!$B$5:$JB$48"")),BD$1,0)"),"")</f>
        <v/>
      </c>
      <c r="BE6" s="35" t="str">
        <f>IFERROR(__xludf.DUMMYFUNCTION("VLOOKUP($A$1,IMPORTRANGE($A$2, CONCATENATE($A6,""!$B$5:$JB$48"")),BE$1,0)"),"")</f>
        <v/>
      </c>
      <c r="BF6" s="35">
        <f>IFERROR(__xludf.DUMMYFUNCTION("VLOOKUP($A$1,IMPORTRANGE($A$2, CONCATENATE($A6,""!$B$5:$JB$48"")),BF$1,0)"),4.0)</f>
        <v>4</v>
      </c>
      <c r="BG6" s="35">
        <f>IFERROR(__xludf.DUMMYFUNCTION("VLOOKUP($A$1,IMPORTRANGE($A$2, CONCATENATE($A6,""!$B$5:$JB$48"")),BG$1,0)"),4.0)</f>
        <v>4</v>
      </c>
      <c r="BH6" s="35" t="str">
        <f>IFERROR(__xludf.DUMMYFUNCTION("VLOOKUP($A$1,IMPORTRANGE($A$2, CONCATENATE($A6,""!$B$5:$JB$48"")),BH$1,0)"),"")</f>
        <v/>
      </c>
      <c r="BI6" s="35" t="str">
        <f>IFERROR(__xludf.DUMMYFUNCTION("VLOOKUP($A$1,IMPORTRANGE($A$2, CONCATENATE($A6,""!$B$5:$JB$48"")),BI$1,0)"),"")</f>
        <v/>
      </c>
      <c r="BJ6" s="35" t="str">
        <f>IFERROR(__xludf.DUMMYFUNCTION("VLOOKUP($A$1,IMPORTRANGE($A$2, CONCATENATE($A6,""!$B$5:$JB$48"")),BJ$1,0)"),"")</f>
        <v/>
      </c>
      <c r="BK6" s="35" t="str">
        <f>IFERROR(__xludf.DUMMYFUNCTION("VLOOKUP($A$1,IMPORTRANGE($A$2, CONCATENATE($A6,""!$B$5:$JB$48"")),BK$1,0)"),"")</f>
        <v/>
      </c>
      <c r="BL6" s="35" t="str">
        <f>IFERROR(__xludf.DUMMYFUNCTION("VLOOKUP($A$1,IMPORTRANGE($A$2, CONCATENATE($A6,""!$B$5:$JB$48"")),BL$1,0)"),"")</f>
        <v/>
      </c>
      <c r="BM6" s="35">
        <f>IFERROR(__xludf.DUMMYFUNCTION("VLOOKUP($A$1,IMPORTRANGE($A$2, CONCATENATE($A6,""!$B$5:$JB$48"")),BM$1,0)"),5.0)</f>
        <v>5</v>
      </c>
      <c r="BN6" s="35">
        <f>IFERROR(__xludf.DUMMYFUNCTION("VLOOKUP($A$1,IMPORTRANGE($A$2, CONCATENATE($A6,""!$B$5:$JB$48"")),BN$1,0)"),4.0)</f>
        <v>4</v>
      </c>
      <c r="BO6" s="35">
        <f>IFERROR(__xludf.DUMMYFUNCTION("VLOOKUP($A$1,IMPORTRANGE($A$2, CONCATENATE($A6,""!$B$5:$JB$48"")),BO$1,0)"),5.0)</f>
        <v>5</v>
      </c>
      <c r="BP6" s="35" t="str">
        <f>IFERROR(__xludf.DUMMYFUNCTION("VLOOKUP($A$1,IMPORTRANGE($A$2, CONCATENATE($A6,""!$B$5:$JB$48"")),BP$1,0)"),"")</f>
        <v/>
      </c>
      <c r="BQ6" s="35" t="str">
        <f>IFERROR(__xludf.DUMMYFUNCTION("VLOOKUP($A$1,IMPORTRANGE($A$2, CONCATENATE($A6,""!$B$5:$JB$48"")),BQ$1,0)"),"")</f>
        <v/>
      </c>
      <c r="BR6" s="35" t="str">
        <f>IFERROR(__xludf.DUMMYFUNCTION("VLOOKUP($A$1,IMPORTRANGE($A$2, CONCATENATE($A6,""!$B$5:$JB$48"")),BR$1,0)"),"")</f>
        <v/>
      </c>
      <c r="BS6" s="35" t="str">
        <f>IFERROR(__xludf.DUMMYFUNCTION("VLOOKUP($A$1,IMPORTRANGE($A$2, CONCATENATE($A6,""!$B$5:$JB$48"")),BS$1,0)"),"")</f>
        <v/>
      </c>
      <c r="BT6" s="35" t="str">
        <f>IFERROR(__xludf.DUMMYFUNCTION("VLOOKUP($A$1,IMPORTRANGE($A$2, CONCATENATE($A6,""!$B$5:$JB$48"")),BT$1,0)"),"")</f>
        <v/>
      </c>
      <c r="BU6" s="35" t="str">
        <f>IFERROR(__xludf.DUMMYFUNCTION("VLOOKUP($A$1,IMPORTRANGE($A$2, CONCATENATE($A6,""!$B$5:$JB$48"")),BU$1,0)"),"н")</f>
        <v>н</v>
      </c>
      <c r="BV6" s="35">
        <f>IFERROR(__xludf.DUMMYFUNCTION("VLOOKUP($A$1,IMPORTRANGE($A$2, CONCATENATE($A6,""!$B$5:$JB$48"")),BV$1,0)"),2.0)</f>
        <v>2</v>
      </c>
      <c r="BW6" s="35" t="str">
        <f>IFERROR(__xludf.DUMMYFUNCTION("VLOOKUP($A$1,IMPORTRANGE($A$2, CONCATENATE($A6,""!$B$5:$JB$48"")),BW$1,0)"),"")</f>
        <v/>
      </c>
      <c r="BX6" s="35" t="str">
        <f>IFERROR(__xludf.DUMMYFUNCTION("VLOOKUP($A$1,IMPORTRANGE($A$2, CONCATENATE($A6,""!$B$5:$JB$48"")),BX$1,0)"),"")</f>
        <v/>
      </c>
      <c r="BY6" s="35" t="str">
        <f>IFERROR(__xludf.DUMMYFUNCTION("VLOOKUP($A$1,IMPORTRANGE($A$2, CONCATENATE($A6,""!$B$5:$JB$48"")),BY$1,0)"),"")</f>
        <v/>
      </c>
      <c r="BZ6" s="35" t="str">
        <f>IFERROR(__xludf.DUMMYFUNCTION("VLOOKUP($A$1,IMPORTRANGE($A$2, CONCATENATE($A6,""!$B$5:$JB$48"")),BZ$1,0)"),"")</f>
        <v/>
      </c>
      <c r="CA6" s="35" t="str">
        <f>IFERROR(__xludf.DUMMYFUNCTION("VLOOKUP($A$1,IMPORTRANGE($A$2, CONCATENATE($A6,""!$B$5:$JB$48"")),CA$1,0)"),"")</f>
        <v/>
      </c>
      <c r="CB6" s="35" t="str">
        <f>IFERROR(__xludf.DUMMYFUNCTION("VLOOKUP($A$1,IMPORTRANGE($A$2, CONCATENATE($A6,""!$B$5:$JB$48"")),CB$1,0)"),"")</f>
        <v/>
      </c>
      <c r="CC6" s="35">
        <f>IFERROR(__xludf.DUMMYFUNCTION("VLOOKUP($A$1,IMPORTRANGE($A$2, CONCATENATE($A6,""!$B$5:$JB$48"")),CC$1,0)"),2.0)</f>
        <v>2</v>
      </c>
      <c r="CD6" s="35" t="str">
        <f>IFERROR(__xludf.DUMMYFUNCTION("VLOOKUP($A$1,IMPORTRANGE($A$2, CONCATENATE($A6,""!$B$5:$JB$48"")),CD$1,0)"),"")</f>
        <v/>
      </c>
      <c r="CE6" s="35" t="str">
        <f>IFERROR(__xludf.DUMMYFUNCTION("VLOOKUP($A$1,IMPORTRANGE($A$2, CONCATENATE($A6,""!$B$5:$JB$48"")),CE$1,0)"),"")</f>
        <v/>
      </c>
      <c r="CF6" s="35" t="str">
        <f>IFERROR(__xludf.DUMMYFUNCTION("VLOOKUP($A$1,IMPORTRANGE($A$2, CONCATENATE($A6,""!$B$5:$JB$48"")),CF$1,0)"),"")</f>
        <v/>
      </c>
      <c r="CG6" s="35" t="str">
        <f>IFERROR(__xludf.DUMMYFUNCTION("VLOOKUP($A$1,IMPORTRANGE($A$2, CONCATENATE($A6,""!$B$5:$JB$48"")),CG$1,0)"),"")</f>
        <v/>
      </c>
      <c r="CH6" s="35" t="str">
        <f>IFERROR(__xludf.DUMMYFUNCTION("VLOOKUP($A$1,IMPORTRANGE($A$2, CONCATENATE($A6,""!$B$5:$JB$48"")),CH$1,0)"),"")</f>
        <v/>
      </c>
      <c r="CI6" s="35">
        <f>IFERROR(__xludf.DUMMYFUNCTION("VLOOKUP($A$1,IMPORTRANGE($A$2, CONCATENATE($A6,""!$B$5:$JB$48"")),CI$1,0)"),3.0)</f>
        <v>3</v>
      </c>
      <c r="CJ6" s="35" t="str">
        <f>IFERROR(__xludf.DUMMYFUNCTION("VLOOKUP($A$1,IMPORTRANGE($A$2, CONCATENATE($A6,""!$B$5:$JB$48"")),CJ$1,0)"),"")</f>
        <v/>
      </c>
      <c r="CK6" s="35" t="str">
        <f>IFERROR(__xludf.DUMMYFUNCTION("VLOOKUP($A$1,IMPORTRANGE($A$2, CONCATENATE($A6,""!$B$5:$JB$48"")),CK$1,0)"),"")</f>
        <v/>
      </c>
      <c r="CL6" s="35" t="str">
        <f>IFERROR(__xludf.DUMMYFUNCTION("VLOOKUP($A$1,IMPORTRANGE($A$2, CONCATENATE($A6,""!$B$5:$JB$48"")),CL$1,0)"),"")</f>
        <v/>
      </c>
      <c r="CM6" s="35" t="str">
        <f>IFERROR(__xludf.DUMMYFUNCTION("VLOOKUP($A$1,IMPORTRANGE($A$2, CONCATENATE($A6,""!$B$5:$JB$48"")),CM$1,0)"),"")</f>
        <v/>
      </c>
      <c r="CN6" s="35" t="str">
        <f>IFERROR(__xludf.DUMMYFUNCTION("VLOOKUP($A$1,IMPORTRANGE($A$2, CONCATENATE($A6,""!$B$5:$JB$48"")),CN$1,0)"),"")</f>
        <v/>
      </c>
      <c r="CO6" s="35" t="str">
        <f>IFERROR(__xludf.DUMMYFUNCTION("VLOOKUP($A$1,IMPORTRANGE($A$2, CONCATENATE($A6,""!$B$5:$JB$48"")),CO$1,0)"),"")</f>
        <v/>
      </c>
      <c r="CP6" s="35" t="str">
        <f>IFERROR(__xludf.DUMMYFUNCTION("VLOOKUP($A$1,IMPORTRANGE($A$2, CONCATENATE($A6,""!$B$5:$JB$48"")),CP$1,0)"),"")</f>
        <v/>
      </c>
      <c r="CQ6" s="35" t="str">
        <f>IFERROR(__xludf.DUMMYFUNCTION("VLOOKUP($A$1,IMPORTRANGE($A$2, CONCATENATE($A6,""!$B$5:$JB$48"")),CQ$1,0)"),"")</f>
        <v/>
      </c>
      <c r="CR6" s="35" t="str">
        <f>IFERROR(__xludf.DUMMYFUNCTION("VLOOKUP($A$1,IMPORTRANGE($A$2, CONCATENATE($A6,""!$B$5:$JB$48"")),CR$1,0)"),"")</f>
        <v/>
      </c>
      <c r="CS6" s="35" t="str">
        <f>IFERROR(__xludf.DUMMYFUNCTION("VLOOKUP($A$1,IMPORTRANGE($A$2, CONCATENATE($A6,""!$B$5:$JB$48"")),CS$1,0)"),"")</f>
        <v/>
      </c>
      <c r="CT6" s="35" t="str">
        <f>IFERROR(__xludf.DUMMYFUNCTION("VLOOKUP($A$1,IMPORTRANGE($A$2, CONCATENATE($A6,""!$B$5:$JB$48"")),CT$1,0)"),"")</f>
        <v/>
      </c>
      <c r="CU6" s="35" t="str">
        <f>IFERROR(__xludf.DUMMYFUNCTION("VLOOKUP($A$1,IMPORTRANGE($A$2, CONCATENATE($A6,""!$B$5:$JB$48"")),CU$1,0)"),"")</f>
        <v/>
      </c>
      <c r="CV6" s="35" t="str">
        <f>IFERROR(__xludf.DUMMYFUNCTION("VLOOKUP($A$1,IMPORTRANGE($A$2, CONCATENATE($A6,""!$B$5:$JB$48"")),CV$1,0)"),"")</f>
        <v/>
      </c>
      <c r="CW6" s="35">
        <f>IFERROR(__xludf.DUMMYFUNCTION("VLOOKUP($A$1,IMPORTRANGE($A$2, CONCATENATE($A6,""!$B$5:$JB$48"")),CW$1,0)"),5.0)</f>
        <v>5</v>
      </c>
      <c r="CX6" s="35">
        <f>IFERROR(__xludf.DUMMYFUNCTION("VLOOKUP($A$1,IMPORTRANGE($A$2, CONCATENATE($A6,""!$B$5:$JB$48"")),CX$1,0)"),4.0)</f>
        <v>4</v>
      </c>
      <c r="CY6" s="35" t="str">
        <f>IFERROR(__xludf.DUMMYFUNCTION("VLOOKUP($A$1,IMPORTRANGE($A$2, CONCATENATE($A6,""!$B$5:$JB$48"")),CY$1,0)"),"")</f>
        <v/>
      </c>
      <c r="CZ6" s="35" t="str">
        <f>IFERROR(__xludf.DUMMYFUNCTION("VLOOKUP($A$1,IMPORTRANGE($A$2, CONCATENATE($A6,""!$B$5:$JB$48"")),CZ$1,0)"),"")</f>
        <v/>
      </c>
      <c r="DA6" s="35" t="str">
        <f>IFERROR(__xludf.DUMMYFUNCTION("VLOOKUP($A$1,IMPORTRANGE($A$2, CONCATENATE($A6,""!$B$5:$JB$48"")),DA$1,0)"),"")</f>
        <v/>
      </c>
      <c r="DB6" s="35" t="str">
        <f>IFERROR(__xludf.DUMMYFUNCTION("VLOOKUP($A$1,IMPORTRANGE($A$2, CONCATENATE($A6,""!$B$5:$JB$48"")),DB$1,0)"),"")</f>
        <v/>
      </c>
      <c r="DC6" s="35" t="str">
        <f>IFERROR(__xludf.DUMMYFUNCTION("VLOOKUP($A$1,IMPORTRANGE($A$2, CONCATENATE($A6,""!$B$5:$JB$48"")),DC$1,0)"),"")</f>
        <v/>
      </c>
      <c r="DD6" s="35">
        <f>IFERROR(__xludf.DUMMYFUNCTION("VLOOKUP($A$1,IMPORTRANGE($A$2, CONCATENATE($A6,""!$B$5:$JB$48"")),DD$1,0)"),3.0)</f>
        <v>3</v>
      </c>
      <c r="DE6" s="35">
        <f>IFERROR(__xludf.DUMMYFUNCTION("VLOOKUP($A$1,IMPORTRANGE($A$2, CONCATENATE($A6,""!$B$5:$JB$48"")),DE$1,0)"),5.0)</f>
        <v>5</v>
      </c>
      <c r="DF6" s="35" t="str">
        <f>IFERROR(__xludf.DUMMYFUNCTION("VLOOKUP($A$1,IMPORTRANGE($A$2, CONCATENATE($A6,""!$B$5:$JB$48"")),DF$1,0)"),"")</f>
        <v/>
      </c>
      <c r="DG6" s="35" t="str">
        <f>IFERROR(__xludf.DUMMYFUNCTION("VLOOKUP($A$1,IMPORTRANGE($A$2, CONCATENATE($A6,""!$B$5:$JB$48"")),DG$1,0)"),"")</f>
        <v/>
      </c>
      <c r="DH6" s="35" t="str">
        <f>IFERROR(__xludf.DUMMYFUNCTION("VLOOKUP($A$1,IMPORTRANGE($A$2, CONCATENATE($A6,""!$B$5:$JB$48"")),DH$1,0)"),"")</f>
        <v/>
      </c>
      <c r="DI6" s="35" t="str">
        <f>IFERROR(__xludf.DUMMYFUNCTION("VLOOKUP($A$1,IMPORTRANGE($A$2, CONCATENATE($A6,""!$B$5:$JB$48"")),DI$1,0)"),"")</f>
        <v/>
      </c>
      <c r="DJ6" s="35" t="str">
        <f>IFERROR(__xludf.DUMMYFUNCTION("VLOOKUP($A$1,IMPORTRANGE($A$2, CONCATENATE($A6,""!$B$5:$JB$48"")),DJ$1,0)"),"")</f>
        <v/>
      </c>
      <c r="DK6" s="35" t="str">
        <f>IFERROR(__xludf.DUMMYFUNCTION("VLOOKUP($A$1,IMPORTRANGE($A$2, CONCATENATE($A6,""!$B$5:$JB$48"")),DK$1,0)"),"")</f>
        <v/>
      </c>
      <c r="DL6" s="35" t="str">
        <f>IFERROR(__xludf.DUMMYFUNCTION("VLOOKUP($A$1,IMPORTRANGE($A$2, CONCATENATE($A6,""!$B$5:$JB$48"")),DL$1,0)"),"")</f>
        <v/>
      </c>
      <c r="DM6" s="35" t="str">
        <f>IFERROR(__xludf.DUMMYFUNCTION("VLOOKUP($A$1,IMPORTRANGE($A$2, CONCATENATE($A6,""!$B$5:$JB$48"")),DM$1,0)"),"")</f>
        <v/>
      </c>
      <c r="DN6" s="35" t="str">
        <f>IFERROR(__xludf.DUMMYFUNCTION("VLOOKUP($A$1,IMPORTRANGE($A$2, CONCATENATE($A6,""!$B$5:$JB$48"")),DN$1,0)"),"")</f>
        <v/>
      </c>
      <c r="DO6" s="35" t="str">
        <f>IFERROR(__xludf.DUMMYFUNCTION("VLOOKUP($A$1,IMPORTRANGE($A$2, CONCATENATE($A6,""!$B$5:$JB$48"")),DO$1,0)"),"")</f>
        <v/>
      </c>
      <c r="DP6" s="35" t="str">
        <f>IFERROR(__xludf.DUMMYFUNCTION("VLOOKUP($A$1,IMPORTRANGE($A$2, CONCATENATE($A6,""!$B$5:$JB$48"")),DP$1,0)"),"")</f>
        <v/>
      </c>
      <c r="DQ6" s="35" t="str">
        <f>IFERROR(__xludf.DUMMYFUNCTION("VLOOKUP($A$1,IMPORTRANGE($A$2, CONCATENATE($A6,""!$B$5:$JB$48"")),DQ$1,0)"),"")</f>
        <v/>
      </c>
      <c r="DR6" s="35">
        <f>IFERROR(__xludf.DUMMYFUNCTION("VLOOKUP($A$1,IMPORTRANGE($A$2, CONCATENATE($A6,""!$B$5:$JB$48"")),DR$1,0)"),4.0)</f>
        <v>4</v>
      </c>
      <c r="DS6" s="35" t="str">
        <f>IFERROR(__xludf.DUMMYFUNCTION("VLOOKUP($A$1,IMPORTRANGE($A$2, CONCATENATE($A6,""!$B$5:$JB$48"")),DS$1,0)"),"")</f>
        <v/>
      </c>
      <c r="DT6" s="35" t="str">
        <f>IFERROR(__xludf.DUMMYFUNCTION("VLOOKUP($A$1,IMPORTRANGE($A$2, CONCATENATE($A6,""!$B$5:$JB$48"")),DT$1,0)"),"")</f>
        <v/>
      </c>
      <c r="DU6" s="35" t="str">
        <f>IFERROR(__xludf.DUMMYFUNCTION("VLOOKUP($A$1,IMPORTRANGE($A$2, CONCATENATE($A6,""!$B$5:$JB$48"")),DU$1,0)"),"")</f>
        <v/>
      </c>
      <c r="DV6" s="35" t="str">
        <f>IFERROR(__xludf.DUMMYFUNCTION("VLOOKUP($A$1,IMPORTRANGE($A$2, CONCATENATE($A6,""!$B$5:$JB$48"")),DV$1,0)"),"")</f>
        <v/>
      </c>
      <c r="DW6" s="35" t="str">
        <f>IFERROR(__xludf.DUMMYFUNCTION("VLOOKUP($A$1,IMPORTRANGE($A$2, CONCATENATE($A6,""!$B$5:$JB$48"")),DW$1,0)"),"")</f>
        <v/>
      </c>
      <c r="DX6" s="35" t="str">
        <f>IFERROR(__xludf.DUMMYFUNCTION("VLOOKUP($A$1,IMPORTRANGE($A$2, CONCATENATE($A6,""!$B$5:$JB$48"")),DX$1,0)"),"")</f>
        <v/>
      </c>
      <c r="DY6" s="35" t="str">
        <f>IFERROR(__xludf.DUMMYFUNCTION("VLOOKUP($A$1,IMPORTRANGE($A$2, CONCATENATE($A6,""!$B$5:$JB$48"")),DY$1,0)"),"")</f>
        <v/>
      </c>
      <c r="DZ6" s="35" t="str">
        <f>IFERROR(__xludf.DUMMYFUNCTION("VLOOKUP($A$1,IMPORTRANGE($A$2, CONCATENATE($A6,""!$B$5:$JB$48"")),DZ$1,0)"),"")</f>
        <v/>
      </c>
      <c r="EA6" s="35">
        <f>IFERROR(__xludf.DUMMYFUNCTION("VLOOKUP($A$1,IMPORTRANGE($A$2, CONCATENATE($A6,""!$B$5:$JB$48"")),EA$1,0)"),2.0)</f>
        <v>2</v>
      </c>
      <c r="EB6" s="35" t="str">
        <f>IFERROR(__xludf.DUMMYFUNCTION("VLOOKUP($A$1,IMPORTRANGE($A$2, CONCATENATE($A6,""!$B$5:$JB$48"")),EB$1,0)"),"")</f>
        <v/>
      </c>
      <c r="EC6" s="35" t="str">
        <f>IFERROR(__xludf.DUMMYFUNCTION("VLOOKUP($A$1,IMPORTRANGE($A$2, CONCATENATE($A6,""!$B$5:$JB$48"")),EC$1,0)"),"")</f>
        <v/>
      </c>
      <c r="ED6" s="35" t="str">
        <f>IFERROR(__xludf.DUMMYFUNCTION("VLOOKUP($A$1,IMPORTRANGE($A$2, CONCATENATE($A6,""!$B$5:$JB$48"")),ED$1,0)"),"")</f>
        <v/>
      </c>
      <c r="EE6" s="35" t="str">
        <f>IFERROR(__xludf.DUMMYFUNCTION("VLOOKUP($A$1,IMPORTRANGE($A$2, CONCATENATE($A6,""!$B$5:$JB$48"")),EE$1,0)"),"")</f>
        <v/>
      </c>
      <c r="EF6" s="35" t="str">
        <f>IFERROR(__xludf.DUMMYFUNCTION("VLOOKUP($A$1,IMPORTRANGE($A$2, CONCATENATE($A6,""!$B$5:$JB$48"")),EF$1,0)"),"")</f>
        <v/>
      </c>
      <c r="EG6" s="35" t="str">
        <f>IFERROR(__xludf.DUMMYFUNCTION("VLOOKUP($A$1,IMPORTRANGE($A$2, CONCATENATE($A6,""!$B$5:$JB$48"")),EG$1,0)"),"")</f>
        <v/>
      </c>
      <c r="EH6" s="35">
        <f>IFERROR(__xludf.DUMMYFUNCTION("VLOOKUP($A$1,IMPORTRANGE($A$2, CONCATENATE($A6,""!$B$5:$JB$48"")),EH$1,0)"),2.0)</f>
        <v>2</v>
      </c>
      <c r="EI6" s="35" t="str">
        <f>IFERROR(__xludf.DUMMYFUNCTION("VLOOKUP($A$1,IMPORTRANGE($A$2, CONCATENATE($A6,""!$B$5:$JB$48"")),EI$1,0)"),"")</f>
        <v/>
      </c>
      <c r="EJ6" s="35" t="str">
        <f>IFERROR(__xludf.DUMMYFUNCTION("VLOOKUP($A$1,IMPORTRANGE($A$2, CONCATENATE($A6,""!$B$5:$JB$48"")),EJ$1,0)"),"")</f>
        <v/>
      </c>
      <c r="EK6" s="35" t="str">
        <f>IFERROR(__xludf.DUMMYFUNCTION("VLOOKUP($A$1,IMPORTRANGE($A$2, CONCATENATE($A6,""!$B$5:$JB$48"")),EK$1,0)"),"")</f>
        <v/>
      </c>
      <c r="EL6" s="35" t="str">
        <f>IFERROR(__xludf.DUMMYFUNCTION("VLOOKUP($A$1,IMPORTRANGE($A$2, CONCATENATE($A6,""!$B$5:$JB$48"")),EL$1,0)"),"")</f>
        <v/>
      </c>
      <c r="EM6" s="35" t="str">
        <f>IFERROR(__xludf.DUMMYFUNCTION("VLOOKUP($A$1,IMPORTRANGE($A$2, CONCATENATE($A6,""!$B$5:$JB$48"")),EM$1,0)"),"")</f>
        <v/>
      </c>
      <c r="EN6" s="35">
        <f>IFERROR(__xludf.DUMMYFUNCTION("VLOOKUP($A$1,IMPORTRANGE($A$2, CONCATENATE($A6,""!$B$5:$JB$48"")),EN$1,0)"),5.0)</f>
        <v>5</v>
      </c>
      <c r="EO6" s="35">
        <f>IFERROR(__xludf.DUMMYFUNCTION("VLOOKUP($A$1,IMPORTRANGE($A$2, CONCATENATE($A6,""!$B$5:$JB$48"")),EO$1,0)"),5.0)</f>
        <v>5</v>
      </c>
      <c r="EP6" s="35" t="str">
        <f>IFERROR(__xludf.DUMMYFUNCTION("VLOOKUP($A$1,IMPORTRANGE($A$2, CONCATENATE($A6,""!$B$5:$JB$48"")),EP$1,0)"),"")</f>
        <v/>
      </c>
      <c r="EQ6" s="35" t="str">
        <f>IFERROR(__xludf.DUMMYFUNCTION("VLOOKUP($A$1,IMPORTRANGE($A$2, CONCATENATE($A6,""!$B$5:$JB$48"")),EQ$1,0)"),"")</f>
        <v/>
      </c>
      <c r="ER6" s="35" t="str">
        <f>IFERROR(__xludf.DUMMYFUNCTION("VLOOKUP($A$1,IMPORTRANGE($A$2, CONCATENATE($A6,""!$B$5:$JB$48"")),ER$1,0)"),"")</f>
        <v/>
      </c>
      <c r="ES6" s="35" t="str">
        <f>IFERROR(__xludf.DUMMYFUNCTION("VLOOKUP($A$1,IMPORTRANGE($A$2, CONCATENATE($A6,""!$B$5:$JB$48"")),ES$1,0)"),"")</f>
        <v/>
      </c>
      <c r="ET6" s="35" t="str">
        <f>IFERROR(__xludf.DUMMYFUNCTION("VLOOKUP($A$1,IMPORTRANGE($A$2, CONCATENATE($A6,""!$B$5:$JB$48"")),ET$1,0)"),"")</f>
        <v/>
      </c>
      <c r="EU6" s="35">
        <f>IFERROR(__xludf.DUMMYFUNCTION("VLOOKUP($A$1,IMPORTRANGE($A$2, CONCATENATE($A6,""!$B$5:$JB$48"")),EU$1,0)"),5.0)</f>
        <v>5</v>
      </c>
      <c r="EV6" s="35">
        <f>IFERROR(__xludf.DUMMYFUNCTION("VLOOKUP($A$1,IMPORTRANGE($A$2, CONCATENATE($A6,""!$B$5:$JB$48"")),EV$1,0)"),5.0)</f>
        <v>5</v>
      </c>
      <c r="EW6" s="35" t="str">
        <f>IFERROR(__xludf.DUMMYFUNCTION("VLOOKUP($A$1,IMPORTRANGE($A$2, CONCATENATE($A6,""!$B$5:$JB$48"")),EW$1,0)"),"")</f>
        <v/>
      </c>
      <c r="EX6" s="35" t="str">
        <f>IFERROR(__xludf.DUMMYFUNCTION("VLOOKUP($A$1,IMPORTRANGE($A$2, CONCATENATE($A6,""!$B$5:$JB$48"")),EX$1,0)"),"")</f>
        <v/>
      </c>
      <c r="EY6" s="35" t="str">
        <f>IFERROR(__xludf.DUMMYFUNCTION("VLOOKUP($A$1,IMPORTRANGE($A$2, CONCATENATE($A6,""!$B$5:$JB$48"")),EY$1,0)"),"")</f>
        <v/>
      </c>
      <c r="EZ6" s="35" t="str">
        <f>IFERROR(__xludf.DUMMYFUNCTION("VLOOKUP($A$1,IMPORTRANGE($A$2, CONCATENATE($A6,""!$B$5:$JB$48"")),EZ$1,0)"),"")</f>
        <v/>
      </c>
      <c r="FA6" s="35" t="str">
        <f>IFERROR(__xludf.DUMMYFUNCTION("VLOOKUP($A$1,IMPORTRANGE($A$2, CONCATENATE($A6,""!$B$5:$JB$48"")),FA$1,0)"),"")</f>
        <v/>
      </c>
      <c r="FB6" s="35">
        <f>IFERROR(__xludf.DUMMYFUNCTION("VLOOKUP($A$1,IMPORTRANGE($A$2, CONCATENATE($A6,""!$B$5:$JB$48"")),FB$1,0)"),5.0)</f>
        <v>5</v>
      </c>
      <c r="FC6" s="35" t="str">
        <f>IFERROR(__xludf.DUMMYFUNCTION("VLOOKUP($A$1,IMPORTRANGE($A$2, CONCATENATE($A6,""!$B$5:$JB$48"")),FC$1,0)"),"")</f>
        <v/>
      </c>
      <c r="FD6" s="35" t="str">
        <f>IFERROR(__xludf.DUMMYFUNCTION("VLOOKUP($A$1,IMPORTRANGE($A$2, CONCATENATE($A6,""!$B$5:$JB$48"")),FD$1,0)"),"")</f>
        <v/>
      </c>
      <c r="FE6" s="35" t="str">
        <f>IFERROR(__xludf.DUMMYFUNCTION("VLOOKUP($A$1,IMPORTRANGE($A$2, CONCATENATE($A6,""!$B$5:$JB$48"")),FE$1,0)"),"")</f>
        <v/>
      </c>
      <c r="FF6" s="35" t="str">
        <f>IFERROR(__xludf.DUMMYFUNCTION("VLOOKUP($A$1,IMPORTRANGE($A$2, CONCATENATE($A6,""!$B$5:$JB$48"")),FF$1,0)"),"")</f>
        <v/>
      </c>
      <c r="FG6" s="35" t="str">
        <f>IFERROR(__xludf.DUMMYFUNCTION("VLOOKUP($A$1,IMPORTRANGE($A$2, CONCATENATE($A6,""!$B$5:$JB$48"")),FG$1,0)"),"")</f>
        <v/>
      </c>
      <c r="FH6" s="35" t="str">
        <f>IFERROR(__xludf.DUMMYFUNCTION("VLOOKUP($A$1,IMPORTRANGE($A$2, CONCATENATE($A6,""!$B$5:$JB$48"")),FH$1,0)"),"")</f>
        <v/>
      </c>
      <c r="FI6" s="35">
        <f>IFERROR(__xludf.DUMMYFUNCTION("VLOOKUP($A$1,IMPORTRANGE($A$2, CONCATENATE($A6,""!$B$5:$JB$48"")),FI$1,0)"),5.0)</f>
        <v>5</v>
      </c>
      <c r="FJ6" s="35" t="str">
        <f>IFERROR(__xludf.DUMMYFUNCTION("VLOOKUP($A$1,IMPORTRANGE($A$2, CONCATENATE($A6,""!$B$5:$JB$48"")),FJ$1,0)"),"")</f>
        <v/>
      </c>
      <c r="FK6" s="35" t="str">
        <f>IFERROR(__xludf.DUMMYFUNCTION("VLOOKUP($A$1,IMPORTRANGE($A$2, CONCATENATE($A6,""!$B$5:$JB$48"")),FK$1,0)"),"")</f>
        <v/>
      </c>
      <c r="FL6" s="35" t="str">
        <f>IFERROR(__xludf.DUMMYFUNCTION("VLOOKUP($A$1,IMPORTRANGE($A$2, CONCATENATE($A6,""!$B$5:$JB$48"")),FL$1,0)"),"")</f>
        <v/>
      </c>
      <c r="FM6" s="35" t="str">
        <f>IFERROR(__xludf.DUMMYFUNCTION("VLOOKUP($A$1,IMPORTRANGE($A$2, CONCATENATE($A6,""!$B$5:$JB$48"")),FM$1,0)"),"")</f>
        <v/>
      </c>
      <c r="FN6" s="35" t="str">
        <f>IFERROR(__xludf.DUMMYFUNCTION("VLOOKUP($A$1,IMPORTRANGE($A$2, CONCATENATE($A6,""!$B$5:$JB$48"")),FN$1,0)"),"")</f>
        <v/>
      </c>
      <c r="FO6" s="35" t="str">
        <f>IFERROR(__xludf.DUMMYFUNCTION("VLOOKUP($A$1,IMPORTRANGE($A$2, CONCATENATE($A6,""!$B$5:$JB$48"")),FO$1,0)"),"")</f>
        <v/>
      </c>
      <c r="FP6" s="35" t="str">
        <f>IFERROR(__xludf.DUMMYFUNCTION("VLOOKUP($A$1,IMPORTRANGE($A$2, CONCATENATE($A6,""!$B$5:$JB$48"")),FP$1,0)"),"")</f>
        <v/>
      </c>
      <c r="FQ6" s="35" t="str">
        <f>IFERROR(__xludf.DUMMYFUNCTION("VLOOKUP($A$1,IMPORTRANGE($A$2, CONCATENATE($A6,""!$B$5:$JB$48"")),FQ$1,0)"),"")</f>
        <v/>
      </c>
      <c r="FR6" s="35" t="str">
        <f>IFERROR(__xludf.DUMMYFUNCTION("VLOOKUP($A$1,IMPORTRANGE($A$2, CONCATENATE($A6,""!$B$5:$JB$48"")),FR$1,0)"),"")</f>
        <v/>
      </c>
      <c r="FS6" s="35" t="str">
        <f>IFERROR(__xludf.DUMMYFUNCTION("VLOOKUP($A$1,IMPORTRANGE($A$2, CONCATENATE($A6,""!$B$5:$JB$48"")),FS$1,0)"),"")</f>
        <v/>
      </c>
      <c r="FT6" s="35" t="str">
        <f>IFERROR(__xludf.DUMMYFUNCTION("VLOOKUP($A$1,IMPORTRANGE($A$2, CONCATENATE($A6,""!$B$5:$JB$48"")),FT$1,0)"),"")</f>
        <v/>
      </c>
      <c r="FU6" s="35" t="str">
        <f>IFERROR(__xludf.DUMMYFUNCTION("VLOOKUP($A$1,IMPORTRANGE($A$2, CONCATENATE($A6,""!$B$5:$JB$48"")),FU$1,0)"),"")</f>
        <v/>
      </c>
      <c r="FV6" s="35" t="str">
        <f>IFERROR(__xludf.DUMMYFUNCTION("VLOOKUP($A$1,IMPORTRANGE($A$2, CONCATENATE($A6,""!$B$5:$JB$48"")),FV$1,0)"),"")</f>
        <v/>
      </c>
      <c r="FW6" s="35" t="str">
        <f>IFERROR(__xludf.DUMMYFUNCTION("VLOOKUP($A$1,IMPORTRANGE($A$2, CONCATENATE($A6,""!$B$5:$JB$48"")),FW$1,0)"),"")</f>
        <v/>
      </c>
      <c r="FX6" s="35">
        <f>IFERROR(__xludf.DUMMYFUNCTION("VLOOKUP($A$1,IMPORTRANGE($A$2, CONCATENATE($A6,""!$B$5:$JB$48"")),FX$1,0)"),4.0)</f>
        <v>4</v>
      </c>
      <c r="FY6" s="35" t="str">
        <f>IFERROR(__xludf.DUMMYFUNCTION("VLOOKUP($A$1,IMPORTRANGE($A$2, CONCATENATE($A6,""!$B$5:$JB$48"")),FY$1,0)"),"")</f>
        <v/>
      </c>
      <c r="FZ6" s="35" t="str">
        <f>IFERROR(__xludf.DUMMYFUNCTION("VLOOKUP($A$1,IMPORTRANGE($A$2, CONCATENATE($A6,""!$B$5:$JB$48"")),FZ$1,0)"),"")</f>
        <v/>
      </c>
      <c r="GA6" s="35" t="str">
        <f>IFERROR(__xludf.DUMMYFUNCTION("VLOOKUP($A$1,IMPORTRANGE($A$2, CONCATENATE($A6,""!$B$5:$JB$48"")),GA$1,0)"),"")</f>
        <v/>
      </c>
      <c r="GB6" s="35" t="str">
        <f>IFERROR(__xludf.DUMMYFUNCTION("VLOOKUP($A$1,IMPORTRANGE($A$2, CONCATENATE($A6,""!$B$5:$JB$48"")),GB$1,0)"),"")</f>
        <v/>
      </c>
      <c r="GC6" s="35" t="str">
        <f>IFERROR(__xludf.DUMMYFUNCTION("VLOOKUP($A$1,IMPORTRANGE($A$2, CONCATENATE($A6,""!$B$5:$JB$48"")),GC$1,0)"),"")</f>
        <v/>
      </c>
      <c r="GD6" s="35" t="str">
        <f>IFERROR(__xludf.DUMMYFUNCTION("VLOOKUP($A$1,IMPORTRANGE($A$2, CONCATENATE($A6,""!$B$5:$JB$48"")),GD$1,0)"),"")</f>
        <v/>
      </c>
      <c r="GE6" s="35" t="str">
        <f>IFERROR(__xludf.DUMMYFUNCTION("VLOOKUP($A$1,IMPORTRANGE($A$2, CONCATENATE($A6,""!$B$5:$JB$48"")),GE$1,0)"),"")</f>
        <v/>
      </c>
      <c r="GF6" s="35">
        <f>IFERROR(__xludf.DUMMYFUNCTION("VLOOKUP($A$1,IMPORTRANGE($A$2, CONCATENATE($A6,""!$B$5:$JB$48"")),GF$1,0)"),4.0)</f>
        <v>4</v>
      </c>
      <c r="GG6" s="35" t="str">
        <f>IFERROR(__xludf.DUMMYFUNCTION("VLOOKUP($A$1,IMPORTRANGE($A$2, CONCATENATE($A6,""!$B$5:$JB$48"")),GG$1,0)"),"")</f>
        <v/>
      </c>
      <c r="GH6" s="35" t="str">
        <f>IFERROR(__xludf.DUMMYFUNCTION("VLOOKUP($A$1,IMPORTRANGE($A$2, CONCATENATE($A6,""!$B$5:$JB$48"")),GH$1,0)"),"")</f>
        <v/>
      </c>
      <c r="GI6" s="35" t="str">
        <f>IFERROR(__xludf.DUMMYFUNCTION("VLOOKUP($A$1,IMPORTRANGE($A$2, CONCATENATE($A6,""!$B$5:$JB$48"")),GI$1,0)"),"")</f>
        <v/>
      </c>
      <c r="GJ6" s="35" t="str">
        <f>IFERROR(__xludf.DUMMYFUNCTION("VLOOKUP($A$1,IMPORTRANGE($A$2, CONCATENATE($A6,""!$B$5:$JB$48"")),GJ$1,0)"),"")</f>
        <v/>
      </c>
      <c r="GK6" s="35" t="str">
        <f>IFERROR(__xludf.DUMMYFUNCTION("VLOOKUP($A$1,IMPORTRANGE($A$2, CONCATENATE($A6,""!$B$5:$JB$48"")),GK$1,0)"),"")</f>
        <v/>
      </c>
      <c r="GL6" s="35" t="str">
        <f>IFERROR(__xludf.DUMMYFUNCTION("VLOOKUP($A$1,IMPORTRANGE($A$2, CONCATENATE($A6,""!$B$5:$JB$48"")),GL$1,0)"),"")</f>
        <v/>
      </c>
      <c r="GM6" s="35" t="str">
        <f>IFERROR(__xludf.DUMMYFUNCTION("VLOOKUP($A$1,IMPORTRANGE($A$2, CONCATENATE($A6,""!$B$5:$JB$48"")),GM$1,0)"),"")</f>
        <v/>
      </c>
      <c r="GN6" s="35" t="str">
        <f>IFERROR(__xludf.DUMMYFUNCTION("VLOOKUP($A$1,IMPORTRANGE($A$2, CONCATENATE($A6,""!$B$5:$JB$48"")),GN$1,0)"),"")</f>
        <v/>
      </c>
      <c r="GO6" s="35" t="str">
        <f>IFERROR(__xludf.DUMMYFUNCTION("VLOOKUP($A$1,IMPORTRANGE($A$2, CONCATENATE($A6,""!$B$5:$JB$48"")),GO$1,0)"),"")</f>
        <v/>
      </c>
      <c r="GP6" s="35" t="str">
        <f>IFERROR(__xludf.DUMMYFUNCTION("VLOOKUP($A$1,IMPORTRANGE($A$2, CONCATENATE($A6,""!$B$5:$JB$48"")),GP$1,0)"),"")</f>
        <v/>
      </c>
      <c r="GQ6" s="35" t="str">
        <f>IFERROR(__xludf.DUMMYFUNCTION("VLOOKUP($A$1,IMPORTRANGE($A$2, CONCATENATE($A6,""!$B$5:$JB$48"")),GQ$1,0)"),"")</f>
        <v/>
      </c>
      <c r="GR6" s="35" t="str">
        <f>IFERROR(__xludf.DUMMYFUNCTION("VLOOKUP($A$1,IMPORTRANGE($A$2, CONCATENATE($A6,""!$B$5:$JB$48"")),GR$1,0)"),"")</f>
        <v/>
      </c>
      <c r="GS6" s="35" t="str">
        <f>IFERROR(__xludf.DUMMYFUNCTION("VLOOKUP($A$1,IMPORTRANGE($A$2, CONCATENATE($A6,""!$B$5:$JB$48"")),GS$1,0)"),"")</f>
        <v/>
      </c>
      <c r="GT6" s="35" t="str">
        <f>IFERROR(__xludf.DUMMYFUNCTION("VLOOKUP($A$1,IMPORTRANGE($A$2, CONCATENATE($A6,""!$B$5:$JB$48"")),GT$1,0)"),"")</f>
        <v/>
      </c>
      <c r="GU6" s="35" t="str">
        <f>IFERROR(__xludf.DUMMYFUNCTION("VLOOKUP($A$1,IMPORTRANGE($A$2, CONCATENATE($A6,""!$B$5:$JB$48"")),GU$1,0)"),"")</f>
        <v/>
      </c>
      <c r="GV6" s="35" t="str">
        <f>IFERROR(__xludf.DUMMYFUNCTION("VLOOKUP($A$1,IMPORTRANGE($A$2, CONCATENATE($A6,""!$B$5:$JB$48"")),GV$1,0)"),"")</f>
        <v/>
      </c>
      <c r="GW6" s="35" t="str">
        <f>IFERROR(__xludf.DUMMYFUNCTION("VLOOKUP($A$1,IMPORTRANGE($A$2, CONCATENATE($A6,""!$B$5:$JB$48"")),GW$1,0)"),"")</f>
        <v/>
      </c>
      <c r="GX6" s="35" t="str">
        <f>IFERROR(__xludf.DUMMYFUNCTION("VLOOKUP($A$1,IMPORTRANGE($A$2, CONCATENATE($A6,""!$B$5:$JB$48"")),GX$1,0)"),"")</f>
        <v/>
      </c>
      <c r="GY6" s="35" t="str">
        <f>IFERROR(__xludf.DUMMYFUNCTION("VLOOKUP($A$1,IMPORTRANGE($A$2, CONCATENATE($A6,""!$B$5:$JB$48"")),GY$1,0)"),"")</f>
        <v/>
      </c>
      <c r="GZ6" s="35" t="str">
        <f>IFERROR(__xludf.DUMMYFUNCTION("VLOOKUP($A$1,IMPORTRANGE($A$2, CONCATENATE($A6,""!$B$5:$JB$48"")),GZ$1,0)"),"")</f>
        <v/>
      </c>
      <c r="HA6" s="35" t="str">
        <f>IFERROR(__xludf.DUMMYFUNCTION("VLOOKUP($A$1,IMPORTRANGE($A$2, CONCATENATE($A6,""!$B$5:$JB$48"")),HA$1,0)"),"")</f>
        <v/>
      </c>
      <c r="HB6" s="35" t="str">
        <f>IFERROR(__xludf.DUMMYFUNCTION("VLOOKUP($A$1,IMPORTRANGE($A$2, CONCATENATE($A6,""!$B$5:$JB$48"")),HB$1,0)"),"")</f>
        <v/>
      </c>
      <c r="HC6" s="35" t="str">
        <f>IFERROR(__xludf.DUMMYFUNCTION("VLOOKUP($A$1,IMPORTRANGE($A$2, CONCATENATE($A6,""!$B$5:$JB$48"")),HC$1,0)"),"")</f>
        <v/>
      </c>
      <c r="HD6" s="35" t="str">
        <f>IFERROR(__xludf.DUMMYFUNCTION("VLOOKUP($A$1,IMPORTRANGE($A$2, CONCATENATE($A6,""!$B$5:$JB$48"")),HD$1,0)"),"")</f>
        <v/>
      </c>
      <c r="HE6" s="35" t="str">
        <f>IFERROR(__xludf.DUMMYFUNCTION("VLOOKUP($A$1,IMPORTRANGE($A$2, CONCATENATE($A6,""!$B$5:$JB$48"")),HE$1,0)"),"")</f>
        <v/>
      </c>
      <c r="HF6" s="35" t="str">
        <f>IFERROR(__xludf.DUMMYFUNCTION("VLOOKUP($A$1,IMPORTRANGE($A$2, CONCATENATE($A6,""!$B$5:$JB$48"")),HF$1,0)"),"")</f>
        <v/>
      </c>
      <c r="HG6" s="35" t="str">
        <f>IFERROR(__xludf.DUMMYFUNCTION("VLOOKUP($A$1,IMPORTRANGE($A$2, CONCATENATE($A6,""!$B$5:$JB$48"")),HG$1,0)"),"")</f>
        <v/>
      </c>
      <c r="HH6" s="35" t="str">
        <f>IFERROR(__xludf.DUMMYFUNCTION("VLOOKUP($A$1,IMPORTRANGE($A$2, CONCATENATE($A6,""!$B$5:$JB$48"")),HH$1,0)"),"")</f>
        <v/>
      </c>
      <c r="HI6" s="35" t="str">
        <f>IFERROR(__xludf.DUMMYFUNCTION("VLOOKUP($A$1,IMPORTRANGE($A$2, CONCATENATE($A6,""!$B$5:$JB$48"")),HI$1,0)"),"")</f>
        <v/>
      </c>
      <c r="HJ6" s="35" t="str">
        <f>IFERROR(__xludf.DUMMYFUNCTION("VLOOKUP($A$1,IMPORTRANGE($A$2, CONCATENATE($A6,""!$B$5:$JB$48"")),HJ$1,0)"),"")</f>
        <v/>
      </c>
      <c r="HK6" s="35" t="str">
        <f>IFERROR(__xludf.DUMMYFUNCTION("VLOOKUP($A$1,IMPORTRANGE($A$2, CONCATENATE($A6,""!$B$5:$JB$48"")),HK$1,0)"),"")</f>
        <v/>
      </c>
      <c r="HL6" s="35" t="str">
        <f>IFERROR(__xludf.DUMMYFUNCTION("VLOOKUP($A$1,IMPORTRANGE($A$2, CONCATENATE($A6,""!$B$5:$JB$48"")),HL$1,0)"),"")</f>
        <v/>
      </c>
      <c r="HM6" s="35" t="str">
        <f>IFERROR(__xludf.DUMMYFUNCTION("VLOOKUP($A$1,IMPORTRANGE($A$2, CONCATENATE($A6,""!$B$5:$JB$48"")),HM$1,0)"),"")</f>
        <v/>
      </c>
      <c r="HN6" s="35" t="str">
        <f>IFERROR(__xludf.DUMMYFUNCTION("VLOOKUP($A$1,IMPORTRANGE($A$2, CONCATENATE($A6,""!$B$5:$JB$48"")),HN$1,0)"),"")</f>
        <v/>
      </c>
      <c r="HO6" s="35" t="str">
        <f>IFERROR(__xludf.DUMMYFUNCTION("VLOOKUP($A$1,IMPORTRANGE($A$2, CONCATENATE($A6,""!$B$5:$JB$48"")),HO$1,0)"),"")</f>
        <v/>
      </c>
      <c r="HP6" s="35" t="str">
        <f>IFERROR(__xludf.DUMMYFUNCTION("VLOOKUP($A$1,IMPORTRANGE($A$2, CONCATENATE($A6,""!$B$5:$JB$48"")),HP$1,0)"),"")</f>
        <v/>
      </c>
      <c r="HQ6" s="35" t="str">
        <f>IFERROR(__xludf.DUMMYFUNCTION("VLOOKUP($A$1,IMPORTRANGE($A$2, CONCATENATE($A6,""!$B$5:$JB$48"")),HQ$1,0)"),"")</f>
        <v/>
      </c>
      <c r="HR6" s="35" t="str">
        <f>IFERROR(__xludf.DUMMYFUNCTION("VLOOKUP($A$1,IMPORTRANGE($A$2, CONCATENATE($A6,""!$B$5:$JB$48"")),HR$1,0)"),"")</f>
        <v/>
      </c>
      <c r="HS6" s="35" t="str">
        <f>IFERROR(__xludf.DUMMYFUNCTION("VLOOKUP($A$1,IMPORTRANGE($A$2, CONCATENATE($A6,""!$B$5:$JB$48"")),HS$1,0)"),"")</f>
        <v/>
      </c>
      <c r="HT6" s="35" t="str">
        <f>IFERROR(__xludf.DUMMYFUNCTION("VLOOKUP($A$1,IMPORTRANGE($A$2, CONCATENATE($A6,""!$B$5:$JB$48"")),HT$1,0)"),"")</f>
        <v/>
      </c>
      <c r="HU6" s="35" t="str">
        <f>IFERROR(__xludf.DUMMYFUNCTION("VLOOKUP($A$1,IMPORTRANGE($A$2, CONCATENATE($A6,""!$B$5:$JB$48"")),HU$1,0)"),"")</f>
        <v/>
      </c>
      <c r="HV6" s="35" t="str">
        <f>IFERROR(__xludf.DUMMYFUNCTION("VLOOKUP($A$1,IMPORTRANGE($A$2, CONCATENATE($A6,""!$B$5:$JB$48"")),HV$1,0)"),"")</f>
        <v/>
      </c>
      <c r="HW6" s="35" t="str">
        <f>IFERROR(__xludf.DUMMYFUNCTION("VLOOKUP($A$1,IMPORTRANGE($A$2, CONCATENATE($A6,""!$B$5:$JB$48"")),HW$1,0)"),"")</f>
        <v/>
      </c>
      <c r="HX6" s="35" t="str">
        <f>IFERROR(__xludf.DUMMYFUNCTION("VLOOKUP($A$1,IMPORTRANGE($A$2, CONCATENATE($A6,""!$B$5:$JB$48"")),HX$1,0)"),"")</f>
        <v/>
      </c>
      <c r="HY6" s="35" t="str">
        <f>IFERROR(__xludf.DUMMYFUNCTION("VLOOKUP($A$1,IMPORTRANGE($A$2, CONCATENATE($A6,""!$B$5:$JB$48"")),HY$1,0)"),"")</f>
        <v/>
      </c>
      <c r="HZ6" s="35" t="str">
        <f>IFERROR(__xludf.DUMMYFUNCTION("VLOOKUP($A$1,IMPORTRANGE($A$2, CONCATENATE($A6,""!$B$5:$JB$48"")),HZ$1,0)"),"")</f>
        <v/>
      </c>
      <c r="IA6" s="35" t="str">
        <f>IFERROR(__xludf.DUMMYFUNCTION("VLOOKUP($A$1,IMPORTRANGE($A$2, CONCATENATE($A6,""!$B$5:$JB$48"")),IA$1,0)"),"")</f>
        <v/>
      </c>
      <c r="IB6" s="35" t="str">
        <f>IFERROR(__xludf.DUMMYFUNCTION("VLOOKUP($A$1,IMPORTRANGE($A$2, CONCATENATE($A6,""!$B$5:$JB$48"")),IB$1,0)"),"")</f>
        <v/>
      </c>
      <c r="IC6" s="35" t="str">
        <f>IFERROR(__xludf.DUMMYFUNCTION("VLOOKUP($A$1,IMPORTRANGE($A$2, CONCATENATE($A6,""!$B$5:$JB$48"")),IC$1,0)"),"")</f>
        <v/>
      </c>
      <c r="ID6" s="35" t="str">
        <f>IFERROR(__xludf.DUMMYFUNCTION("VLOOKUP($A$1,IMPORTRANGE($A$2, CONCATENATE($A6,""!$B$5:$JB$48"")),ID$1,0)"),"")</f>
        <v/>
      </c>
      <c r="IE6" s="35" t="str">
        <f>IFERROR(__xludf.DUMMYFUNCTION("VLOOKUP($A$1,IMPORTRANGE($A$2, CONCATENATE($A6,""!$B$5:$JB$48"")),IE$1,0)"),"")</f>
        <v/>
      </c>
      <c r="IF6" s="35" t="str">
        <f>IFERROR(__xludf.DUMMYFUNCTION("VLOOKUP($A$1,IMPORTRANGE($A$2, CONCATENATE($A6,""!$B$5:$JB$48"")),IF$1,0)"),"")</f>
        <v/>
      </c>
      <c r="IG6" s="35" t="str">
        <f>IFERROR(__xludf.DUMMYFUNCTION("VLOOKUP($A$1,IMPORTRANGE($A$2, CONCATENATE($A6,""!$B$5:$JB$48"")),IG$1,0)"),"")</f>
        <v/>
      </c>
      <c r="IH6" s="35" t="str">
        <f>IFERROR(__xludf.DUMMYFUNCTION("VLOOKUP($A$1,IMPORTRANGE($A$2, CONCATENATE($A6,""!$B$5:$JB$48"")),IH$1,0)"),"")</f>
        <v/>
      </c>
      <c r="II6" s="35" t="str">
        <f>IFERROR(__xludf.DUMMYFUNCTION("VLOOKUP($A$1,IMPORTRANGE($A$2, CONCATENATE($A6,""!$B$5:$JB$48"")),II$1,0)"),"")</f>
        <v/>
      </c>
      <c r="IJ6" s="35" t="str">
        <f>IFERROR(__xludf.DUMMYFUNCTION("VLOOKUP($A$1,IMPORTRANGE($A$2, CONCATENATE($A6,""!$B$5:$JB$48"")),IJ$1,0)"),"")</f>
        <v/>
      </c>
      <c r="IK6" s="35" t="str">
        <f>IFERROR(__xludf.DUMMYFUNCTION("VLOOKUP($A$1,IMPORTRANGE($A$2, CONCATENATE($A6,""!$B$5:$JB$48"")),IK$1,0)"),"")</f>
        <v/>
      </c>
      <c r="IL6" s="35" t="str">
        <f>IFERROR(__xludf.DUMMYFUNCTION("VLOOKUP($A$1,IMPORTRANGE($A$2, CONCATENATE($A6,""!$B$5:$JB$48"")),IL$1,0)"),"")</f>
        <v/>
      </c>
      <c r="IM6" s="35" t="str">
        <f>IFERROR(__xludf.DUMMYFUNCTION("VLOOKUP($A$1,IMPORTRANGE($A$2, CONCATENATE($A6,""!$B$5:$JB$48"")),IM$1,0)"),"")</f>
        <v/>
      </c>
      <c r="IN6" s="35" t="str">
        <f>IFERROR(__xludf.DUMMYFUNCTION("VLOOKUP($A$1,IMPORTRANGE($A$2, CONCATENATE($A6,""!$B$5:$JB$48"")),IN$1,0)"),"")</f>
        <v/>
      </c>
      <c r="IO6" s="35" t="str">
        <f>IFERROR(__xludf.DUMMYFUNCTION("VLOOKUP($A$1,IMPORTRANGE($A$2, CONCATENATE($A6,""!$B$5:$JB$48"")),IO$1,0)"),"")</f>
        <v/>
      </c>
      <c r="IP6" s="35" t="str">
        <f>IFERROR(__xludf.DUMMYFUNCTION("VLOOKUP($A$1,IMPORTRANGE($A$2, CONCATENATE($A6,""!$B$5:$JB$48"")),IP$1,0)"),"")</f>
        <v/>
      </c>
      <c r="IQ6" s="35" t="str">
        <f>IFERROR(__xludf.DUMMYFUNCTION("VLOOKUP($A$1,IMPORTRANGE($A$2, CONCATENATE($A6,""!$B$5:$JB$48"")),IQ$1,0)"),"")</f>
        <v/>
      </c>
      <c r="IR6" s="35" t="str">
        <f>IFERROR(__xludf.DUMMYFUNCTION("VLOOKUP($A$1,IMPORTRANGE($A$2, CONCATENATE($A6,""!$B$5:$JB$48"")),IR$1,0)"),"")</f>
        <v/>
      </c>
      <c r="IS6" s="35" t="str">
        <f>IFERROR(__xludf.DUMMYFUNCTION("VLOOKUP($A$1,IMPORTRANGE($A$2, CONCATENATE($A6,""!$B$5:$JB$48"")),IS$1,0)"),"")</f>
        <v/>
      </c>
      <c r="IT6" s="35" t="str">
        <f>IFERROR(__xludf.DUMMYFUNCTION("VLOOKUP($A$1,IMPORTRANGE($A$2, CONCATENATE($A6,""!$B$5:$JB$48"")),IT$1,0)"),"")</f>
        <v/>
      </c>
      <c r="IU6" s="35" t="str">
        <f>IFERROR(__xludf.DUMMYFUNCTION("VLOOKUP($A$1,IMPORTRANGE($A$2, CONCATENATE($A6,""!$B$5:$JB$48"")),IU$1,0)"),"")</f>
        <v/>
      </c>
      <c r="IV6" s="35" t="str">
        <f>IFERROR(__xludf.DUMMYFUNCTION("VLOOKUP($A$1,IMPORTRANGE($A$2, CONCATENATE($A6,""!$B$5:$JB$48"")),IV$1,0)"),"")</f>
        <v/>
      </c>
      <c r="IW6" s="35">
        <f>IFERROR(__xludf.DUMMYFUNCTION("VLOOKUP($A$1,IMPORTRANGE($A$2, CONCATENATE($A6,""!$B$5:$JB$48"")),IW$1,0)"),45909.0)</f>
        <v>45909</v>
      </c>
      <c r="IX6" s="35" t="str">
        <f>IFERROR(__xludf.DUMMYFUNCTION("VLOOKUP($A$1,IMPORTRANGE($A$2, CONCATENATE($A6,""!$B$5:$JB$48"")),IX$1,0)"),"Абдулла Каххар. «Сказки о былом».")</f>
        <v>Абдулла Каххар. «Сказки о былом».</v>
      </c>
      <c r="IY6" s="35" t="str">
        <f>IFERROR(__xludf.DUMMYFUNCTION("VLOOKUP($A$1,IMPORTRANGE($A$2, CONCATENATE($A6,""!$B$5:$JB$48"")),IY$1,0)"),"Кластер ""традиции""")</f>
        <v>Кластер "традиции"</v>
      </c>
      <c r="IZ6" s="35">
        <f>IFERROR(__xludf.DUMMYFUNCTION("VLOOKUP($A$1,IMPORTRANGE($A$2, CONCATENATE($A6,""!$B$5:$JB$48"")),IZ$1,0)"),45979.0)</f>
        <v>45979</v>
      </c>
      <c r="JA6" s="35" t="str">
        <f>IFERROR(__xludf.DUMMYFUNCTION("VLOOKUP($A$1,IMPORTRANGE($A$2, CONCATENATE($A6,""!$B$5:$JB$48"")),JA$1,0)"),"Народные песни. Общее понятие.")</f>
        <v>Народные песни. Общее понятие.</v>
      </c>
      <c r="JB6" s="35"/>
      <c r="JC6" s="35"/>
      <c r="JD6" s="35"/>
      <c r="JE6" s="35"/>
    </row>
    <row r="7">
      <c r="A7" s="41"/>
      <c r="B7" s="29"/>
      <c r="C7" s="37"/>
      <c r="D7" s="38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</row>
    <row r="8">
      <c r="A8" s="39"/>
      <c r="B8" s="32">
        <f>IFERROR(__xludf.DUMMYFUNCTION("IMPORTRANGE($A$2, CONCATENATE($A9,""!C4:JB4""))"),45901.0)</f>
        <v>45901</v>
      </c>
      <c r="C8" s="32">
        <f>IFERROR(__xludf.DUMMYFUNCTION("""COMPUTED_VALUE"""),45904.0)</f>
        <v>45904</v>
      </c>
      <c r="D8" s="32">
        <f>IFERROR(__xludf.DUMMYFUNCTION("""COMPUTED_VALUE"""),45906.0)</f>
        <v>45906</v>
      </c>
      <c r="E8" s="32"/>
      <c r="F8" s="32"/>
      <c r="G8" s="32"/>
      <c r="H8" s="32"/>
      <c r="I8" s="32">
        <f>IFERROR(__xludf.DUMMYFUNCTION("""COMPUTED_VALUE"""),45911.0)</f>
        <v>45911</v>
      </c>
      <c r="J8" s="32">
        <f>IFERROR(__xludf.DUMMYFUNCTION("""COMPUTED_VALUE"""),45912.0)</f>
        <v>45912</v>
      </c>
      <c r="K8" s="32">
        <f>IFERROR(__xludf.DUMMYFUNCTION("""COMPUTED_VALUE"""),45913.0)</f>
        <v>45913</v>
      </c>
      <c r="L8" s="32"/>
      <c r="M8" s="32"/>
      <c r="N8" s="32"/>
      <c r="O8" s="32"/>
      <c r="P8" s="32">
        <f>IFERROR(__xludf.DUMMYFUNCTION("""COMPUTED_VALUE"""),45918.0)</f>
        <v>45918</v>
      </c>
      <c r="Q8" s="32">
        <f>IFERROR(__xludf.DUMMYFUNCTION("""COMPUTED_VALUE"""),45919.0)</f>
        <v>45919</v>
      </c>
      <c r="R8" s="32">
        <f>IFERROR(__xludf.DUMMYFUNCTION("""COMPUTED_VALUE"""),45920.0)</f>
        <v>45920</v>
      </c>
      <c r="S8" s="32"/>
      <c r="T8" s="32"/>
      <c r="U8" s="32"/>
      <c r="V8" s="32"/>
      <c r="W8" s="32">
        <f>IFERROR(__xludf.DUMMYFUNCTION("""COMPUTED_VALUE"""),45925.0)</f>
        <v>45925</v>
      </c>
      <c r="X8" s="32">
        <f>IFERROR(__xludf.DUMMYFUNCTION("""COMPUTED_VALUE"""),45926.0)</f>
        <v>45926</v>
      </c>
      <c r="Y8" s="32">
        <f>IFERROR(__xludf.DUMMYFUNCTION("""COMPUTED_VALUE"""),45927.0)</f>
        <v>45927</v>
      </c>
      <c r="Z8" s="32"/>
      <c r="AA8" s="32"/>
      <c r="AB8" s="32"/>
      <c r="AC8" s="32"/>
      <c r="AD8" s="32">
        <f>IFERROR(__xludf.DUMMYFUNCTION("""COMPUTED_VALUE"""),45932.0)</f>
        <v>45932</v>
      </c>
      <c r="AE8" s="32">
        <f>IFERROR(__xludf.DUMMYFUNCTION("""COMPUTED_VALUE"""),45933.0)</f>
        <v>45933</v>
      </c>
      <c r="AF8" s="32">
        <f>IFERROR(__xludf.DUMMYFUNCTION("""COMPUTED_VALUE"""),45934.0)</f>
        <v>45934</v>
      </c>
      <c r="AG8" s="32"/>
      <c r="AH8" s="32"/>
      <c r="AI8" s="32"/>
      <c r="AJ8" s="32"/>
      <c r="AK8" s="32">
        <f>IFERROR(__xludf.DUMMYFUNCTION("""COMPUTED_VALUE"""),45939.0)</f>
        <v>45939</v>
      </c>
      <c r="AL8" s="32">
        <f>IFERROR(__xludf.DUMMYFUNCTION("""COMPUTED_VALUE"""),45940.0)</f>
        <v>45940</v>
      </c>
      <c r="AM8" s="32">
        <f>IFERROR(__xludf.DUMMYFUNCTION("""COMPUTED_VALUE"""),45941.0)</f>
        <v>45941</v>
      </c>
      <c r="AN8" s="32">
        <f>IFERROR(__xludf.DUMMYFUNCTION("""COMPUTED_VALUE"""),45946.0)</f>
        <v>45946</v>
      </c>
      <c r="AO8" s="32">
        <f>IFERROR(__xludf.DUMMYFUNCTION("""COMPUTED_VALUE"""),45947.0)</f>
        <v>45947</v>
      </c>
      <c r="AP8" s="32">
        <f>IFERROR(__xludf.DUMMYFUNCTION("""COMPUTED_VALUE"""),45948.0)</f>
        <v>45948</v>
      </c>
      <c r="AQ8" s="32">
        <f>IFERROR(__xludf.DUMMYFUNCTION("""COMPUTED_VALUE"""),45953.0)</f>
        <v>45953</v>
      </c>
      <c r="AR8" s="32">
        <f>IFERROR(__xludf.DUMMYFUNCTION("""COMPUTED_VALUE"""),45954.0)</f>
        <v>45954</v>
      </c>
      <c r="AS8" s="32">
        <f>IFERROR(__xludf.DUMMYFUNCTION("""COMPUTED_VALUE"""),45955.0)</f>
        <v>45955</v>
      </c>
      <c r="AT8" s="32">
        <f>IFERROR(__xludf.DUMMYFUNCTION("""COMPUTED_VALUE"""),45960.0)</f>
        <v>45960</v>
      </c>
      <c r="AU8" s="32"/>
      <c r="AV8" s="32"/>
      <c r="AW8" s="32">
        <f>IFERROR(__xludf.DUMMYFUNCTION("""COMPUTED_VALUE"""),45961.0)</f>
        <v>45961</v>
      </c>
      <c r="AX8" s="32"/>
      <c r="AY8" s="32"/>
      <c r="AZ8" s="32"/>
      <c r="BA8" s="32"/>
      <c r="BB8" s="32" t="str">
        <f>IFERROR(__xludf.DUMMYFUNCTION("""COMPUTED_VALUE"""),"1 четверть")</f>
        <v>1 четверть</v>
      </c>
      <c r="BC8" s="32">
        <f>IFERROR(__xludf.DUMMYFUNCTION("""COMPUTED_VALUE"""),45974.0)</f>
        <v>45974</v>
      </c>
      <c r="BD8" s="32">
        <f>IFERROR(__xludf.DUMMYFUNCTION("""COMPUTED_VALUE"""),45975.0)</f>
        <v>45975</v>
      </c>
      <c r="BE8" s="32">
        <f>IFERROR(__xludf.DUMMYFUNCTION("""COMPUTED_VALUE"""),45976.0)</f>
        <v>45976</v>
      </c>
      <c r="BF8" s="32"/>
      <c r="BG8" s="32"/>
      <c r="BH8" s="32"/>
      <c r="BI8" s="32"/>
      <c r="BJ8" s="32">
        <f>IFERROR(__xludf.DUMMYFUNCTION("""COMPUTED_VALUE"""),45981.0)</f>
        <v>45981</v>
      </c>
      <c r="BK8" s="32">
        <f>IFERROR(__xludf.DUMMYFUNCTION("""COMPUTED_VALUE"""),45982.0)</f>
        <v>45982</v>
      </c>
      <c r="BL8" s="32">
        <f>IFERROR(__xludf.DUMMYFUNCTION("""COMPUTED_VALUE"""),45983.0)</f>
        <v>45983</v>
      </c>
      <c r="BM8" s="32"/>
      <c r="BN8" s="32"/>
      <c r="BO8" s="32"/>
      <c r="BP8" s="32"/>
      <c r="BQ8" s="32">
        <f>IFERROR(__xludf.DUMMYFUNCTION("""COMPUTED_VALUE"""),45988.0)</f>
        <v>45988</v>
      </c>
      <c r="BR8" s="32">
        <f>IFERROR(__xludf.DUMMYFUNCTION("""COMPUTED_VALUE"""),45989.0)</f>
        <v>45989</v>
      </c>
      <c r="BS8" s="32">
        <f>IFERROR(__xludf.DUMMYFUNCTION("""COMPUTED_VALUE"""),45990.0)</f>
        <v>45990</v>
      </c>
      <c r="BT8" s="32"/>
      <c r="BU8" s="32"/>
      <c r="BV8" s="32"/>
      <c r="BW8" s="32"/>
      <c r="BX8" s="32">
        <f>IFERROR(__xludf.DUMMYFUNCTION("""COMPUTED_VALUE"""),45995.0)</f>
        <v>45995</v>
      </c>
      <c r="BY8" s="32">
        <f>IFERROR(__xludf.DUMMYFUNCTION("""COMPUTED_VALUE"""),45996.0)</f>
        <v>45996</v>
      </c>
      <c r="BZ8" s="32">
        <f>IFERROR(__xludf.DUMMYFUNCTION("""COMPUTED_VALUE"""),45997.0)</f>
        <v>45997</v>
      </c>
      <c r="CA8" s="32"/>
      <c r="CB8" s="32"/>
      <c r="CC8" s="32"/>
      <c r="CD8" s="32"/>
      <c r="CE8" s="32">
        <f>IFERROR(__xludf.DUMMYFUNCTION("""COMPUTED_VALUE"""),46002.0)</f>
        <v>46002</v>
      </c>
      <c r="CF8" s="32">
        <f>IFERROR(__xludf.DUMMYFUNCTION("""COMPUTED_VALUE"""),46003.0)</f>
        <v>46003</v>
      </c>
      <c r="CG8" s="32">
        <f>IFERROR(__xludf.DUMMYFUNCTION("""COMPUTED_VALUE"""),46004.0)</f>
        <v>46004</v>
      </c>
      <c r="CH8" s="32">
        <f>IFERROR(__xludf.DUMMYFUNCTION("""COMPUTED_VALUE"""),46009.0)</f>
        <v>46009</v>
      </c>
      <c r="CI8" s="32">
        <f>IFERROR(__xludf.DUMMYFUNCTION("""COMPUTED_VALUE"""),46010.0)</f>
        <v>46010</v>
      </c>
      <c r="CJ8" s="32"/>
      <c r="CK8" s="32"/>
      <c r="CL8" s="32">
        <f>IFERROR(__xludf.DUMMYFUNCTION("""COMPUTED_VALUE"""),46011.0)</f>
        <v>46011</v>
      </c>
      <c r="CM8" s="32">
        <f>IFERROR(__xludf.DUMMYFUNCTION("""COMPUTED_VALUE"""),46016.0)</f>
        <v>46016</v>
      </c>
      <c r="CN8" s="32"/>
      <c r="CO8" s="32"/>
      <c r="CP8" s="32"/>
      <c r="CQ8" s="32"/>
      <c r="CR8" s="32"/>
      <c r="CS8" s="32" t="str">
        <f>IFERROR(__xludf.DUMMYFUNCTION("""COMPUTED_VALUE"""),"2 четверть")</f>
        <v>2 четверть</v>
      </c>
      <c r="CT8" s="32">
        <f>IFERROR(__xludf.DUMMYFUNCTION("""COMPUTED_VALUE"""),46037.0)</f>
        <v>46037</v>
      </c>
      <c r="CU8" s="32">
        <f>IFERROR(__xludf.DUMMYFUNCTION("""COMPUTED_VALUE"""),46038.0)</f>
        <v>46038</v>
      </c>
      <c r="CV8" s="32">
        <f>IFERROR(__xludf.DUMMYFUNCTION("""COMPUTED_VALUE"""),46039.0)</f>
        <v>46039</v>
      </c>
      <c r="CW8" s="32"/>
      <c r="CX8" s="32"/>
      <c r="CY8" s="32"/>
      <c r="CZ8" s="32"/>
      <c r="DA8" s="32">
        <f>IFERROR(__xludf.DUMMYFUNCTION("""COMPUTED_VALUE"""),46044.0)</f>
        <v>46044</v>
      </c>
      <c r="DB8" s="32">
        <f>IFERROR(__xludf.DUMMYFUNCTION("""COMPUTED_VALUE"""),46045.0)</f>
        <v>46045</v>
      </c>
      <c r="DC8" s="32">
        <f>IFERROR(__xludf.DUMMYFUNCTION("""COMPUTED_VALUE"""),46046.0)</f>
        <v>46046</v>
      </c>
      <c r="DD8" s="32"/>
      <c r="DE8" s="32"/>
      <c r="DF8" s="32"/>
      <c r="DG8" s="32"/>
      <c r="DH8" s="32">
        <f>IFERROR(__xludf.DUMMYFUNCTION("""COMPUTED_VALUE"""),46050.0)</f>
        <v>46050</v>
      </c>
      <c r="DI8" s="32">
        <f>IFERROR(__xludf.DUMMYFUNCTION("""COMPUTED_VALUE"""),46051.0)</f>
        <v>46051</v>
      </c>
      <c r="DJ8" s="32">
        <f>IFERROR(__xludf.DUMMYFUNCTION("""COMPUTED_VALUE"""),46052.0)</f>
        <v>46052</v>
      </c>
      <c r="DK8" s="32">
        <f>IFERROR(__xludf.DUMMYFUNCTION("""COMPUTED_VALUE"""),46053.0)</f>
        <v>46053</v>
      </c>
      <c r="DL8" s="32">
        <f>IFERROR(__xludf.DUMMYFUNCTION("""COMPUTED_VALUE"""),46058.0)</f>
        <v>46058</v>
      </c>
      <c r="DM8" s="32">
        <f>IFERROR(__xludf.DUMMYFUNCTION("""COMPUTED_VALUE"""),46059.0)</f>
        <v>46059</v>
      </c>
      <c r="DN8" s="32">
        <f>IFERROR(__xludf.DUMMYFUNCTION("""COMPUTED_VALUE"""),46060.0)</f>
        <v>46060</v>
      </c>
      <c r="DO8" s="32">
        <f>IFERROR(__xludf.DUMMYFUNCTION("""COMPUTED_VALUE"""),46065.0)</f>
        <v>46065</v>
      </c>
      <c r="DP8" s="32">
        <f>IFERROR(__xludf.DUMMYFUNCTION("""COMPUTED_VALUE"""),46066.0)</f>
        <v>46066</v>
      </c>
      <c r="DQ8" s="32">
        <f>IFERROR(__xludf.DUMMYFUNCTION("""COMPUTED_VALUE"""),46067.0)</f>
        <v>46067</v>
      </c>
      <c r="DR8" s="32">
        <f>IFERROR(__xludf.DUMMYFUNCTION("""COMPUTED_VALUE"""),46072.0)</f>
        <v>46072</v>
      </c>
      <c r="DS8" s="32">
        <f>IFERROR(__xludf.DUMMYFUNCTION("""COMPUTED_VALUE"""),46073.0)</f>
        <v>46073</v>
      </c>
      <c r="DT8" s="32">
        <f>IFERROR(__xludf.DUMMYFUNCTION("""COMPUTED_VALUE"""),46074.0)</f>
        <v>46074</v>
      </c>
      <c r="DU8" s="32">
        <f>IFERROR(__xludf.DUMMYFUNCTION("""COMPUTED_VALUE"""),46079.0)</f>
        <v>46079</v>
      </c>
      <c r="DV8" s="32">
        <f>IFERROR(__xludf.DUMMYFUNCTION("""COMPUTED_VALUE"""),46080.0)</f>
        <v>46080</v>
      </c>
      <c r="DW8" s="32">
        <f>IFERROR(__xludf.DUMMYFUNCTION("""COMPUTED_VALUE"""),46081.0)</f>
        <v>46081</v>
      </c>
      <c r="DX8" s="32">
        <f>IFERROR(__xludf.DUMMYFUNCTION("""COMPUTED_VALUE"""),46086.0)</f>
        <v>46086</v>
      </c>
      <c r="DY8" s="32">
        <f>IFERROR(__xludf.DUMMYFUNCTION("""COMPUTED_VALUE"""),46087.0)</f>
        <v>46087</v>
      </c>
      <c r="DZ8" s="32">
        <f>IFERROR(__xludf.DUMMYFUNCTION("""COMPUTED_VALUE"""),46088.0)</f>
        <v>46088</v>
      </c>
      <c r="EA8" s="32">
        <f>IFERROR(__xludf.DUMMYFUNCTION("""COMPUTED_VALUE"""),46093.0)</f>
        <v>46093</v>
      </c>
      <c r="EB8" s="32">
        <f>IFERROR(__xludf.DUMMYFUNCTION("""COMPUTED_VALUE"""),46094.0)</f>
        <v>46094</v>
      </c>
      <c r="EC8" s="32">
        <f>IFERROR(__xludf.DUMMYFUNCTION("""COMPUTED_VALUE"""),46095.0)</f>
        <v>46095</v>
      </c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 t="str">
        <f>IFERROR(__xludf.DUMMYFUNCTION("""COMPUTED_VALUE"""),"3 четверть")</f>
        <v>3 четверть</v>
      </c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 t="str">
        <f>IFERROR(__xludf.DUMMYFUNCTION("""COMPUTED_VALUE"""),"4 четверть")</f>
        <v>4 четверть</v>
      </c>
      <c r="HZ8" s="32" t="str">
        <f>IFERROR(__xludf.DUMMYFUNCTION("""COMPUTED_VALUE"""),"год")</f>
        <v>год</v>
      </c>
      <c r="IA8" s="32" t="str">
        <f>IFERROR(__xludf.DUMMYFUNCTION("""COMPUTED_VALUE"""),"рейтинг")</f>
        <v>рейтинг</v>
      </c>
      <c r="IB8" s="32"/>
      <c r="IC8" s="32"/>
      <c r="ID8" s="32" t="str">
        <f>IFERROR(__xludf.DUMMYFUNCTION("""COMPUTED_VALUE"""),"Дата")</f>
        <v>Дата</v>
      </c>
      <c r="IE8" s="32" t="str">
        <f>IFERROR(__xludf.DUMMYFUNCTION("""COMPUTED_VALUE"""),"Тема урока")</f>
        <v>Тема урока</v>
      </c>
      <c r="IF8" s="32" t="str">
        <f>IFERROR(__xludf.DUMMYFUNCTION("""COMPUTED_VALUE"""),"Домашнее задание")</f>
        <v>Домашнее задание</v>
      </c>
      <c r="IG8" s="32" t="str">
        <f>IFERROR(__xludf.DUMMYFUNCTION("""COMPUTED_VALUE"""),"Дата")</f>
        <v>Дата</v>
      </c>
      <c r="IH8" s="32" t="str">
        <f>IFERROR(__xludf.DUMMYFUNCTION("""COMPUTED_VALUE"""),"Тема урока")</f>
        <v>Тема урока</v>
      </c>
      <c r="II8" s="32" t="str">
        <f>IFERROR(__xludf.DUMMYFUNCTION("""COMPUTED_VALUE"""),"Домашнее задание")</f>
        <v>Домашнее задание</v>
      </c>
      <c r="IJ8" s="32" t="str">
        <f>IFERROR(__xludf.DUMMYFUNCTION("""COMPUTED_VALUE"""),"Дата")</f>
        <v>Дата</v>
      </c>
      <c r="IK8" s="32" t="str">
        <f>IFERROR(__xludf.DUMMYFUNCTION("""COMPUTED_VALUE"""),"Тема урока")</f>
        <v>Тема урока</v>
      </c>
      <c r="IL8" s="32" t="str">
        <f>IFERROR(__xludf.DUMMYFUNCTION("""COMPUTED_VALUE"""),"Домашнее задание")</f>
        <v>Домашнее задание</v>
      </c>
      <c r="IM8" s="32" t="str">
        <f>IFERROR(__xludf.DUMMYFUNCTION("""COMPUTED_VALUE"""),"Дата")</f>
        <v>Дата</v>
      </c>
      <c r="IN8" s="32" t="str">
        <f>IFERROR(__xludf.DUMMYFUNCTION("""COMPUTED_VALUE"""),"Тема урока")</f>
        <v>Тема урока</v>
      </c>
      <c r="IO8" s="32" t="str">
        <f>IFERROR(__xludf.DUMMYFUNCTION("""COMPUTED_VALUE"""),"Домашнее задание")</f>
        <v>Домашнее задание</v>
      </c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</row>
    <row r="9">
      <c r="A9" s="42" t="s">
        <v>279</v>
      </c>
      <c r="B9" s="35" t="str">
        <f>IFERROR(__xludf.DUMMYFUNCTION("VLOOKUP($A$1,IMPORTRANGE($A$2, CONCATENATE($A9,""!$B$5:$JB$48"")),B$1,0)"),"")</f>
        <v/>
      </c>
      <c r="C9" s="35" t="str">
        <f>IFERROR(__xludf.DUMMYFUNCTION("VLOOKUP($A$1,IMPORTRANGE($A$2, CONCATENATE($A9,""!$B$5:$JB$48"")),C$1,0)"),"")</f>
        <v/>
      </c>
      <c r="D9" s="35" t="str">
        <f>IFERROR(__xludf.DUMMYFUNCTION("VLOOKUP($A$1,IMPORTRANGE($A$2, CONCATENATE($A9,""!$B$5:$JB$48"")),D$1,0)"),"")</f>
        <v/>
      </c>
      <c r="E9" s="35" t="str">
        <f>IFERROR(__xludf.DUMMYFUNCTION("VLOOKUP($A$1,IMPORTRANGE($A$2, CONCATENATE($A9,""!$B$5:$JB$48"")),E$1,0)"),"")</f>
        <v/>
      </c>
      <c r="F9" s="35" t="str">
        <f>IFERROR(__xludf.DUMMYFUNCTION("VLOOKUP($A$1,IMPORTRANGE($A$2, CONCATENATE($A9,""!$B$5:$JB$48"")),F$1,0)"),"")</f>
        <v/>
      </c>
      <c r="G9" s="35" t="str">
        <f>IFERROR(__xludf.DUMMYFUNCTION("VLOOKUP($A$1,IMPORTRANGE($A$2, CONCATENATE($A9,""!$B$5:$JB$48"")),G$1,0)"),"")</f>
        <v/>
      </c>
      <c r="H9" s="35" t="str">
        <f>IFERROR(__xludf.DUMMYFUNCTION("VLOOKUP($A$1,IMPORTRANGE($A$2, CONCATENATE($A9,""!$B$5:$JB$48"")),H$1,0)"),"")</f>
        <v/>
      </c>
      <c r="I9" s="35" t="str">
        <f>IFERROR(__xludf.DUMMYFUNCTION("VLOOKUP($A$1,IMPORTRANGE($A$2, CONCATENATE($A9,""!$B$5:$JB$48"")),I$1,0)"),"")</f>
        <v/>
      </c>
      <c r="J9" s="35" t="str">
        <f>IFERROR(__xludf.DUMMYFUNCTION("VLOOKUP($A$1,IMPORTRANGE($A$2, CONCATENATE($A9,""!$B$5:$JB$48"")),J$1,0)"),"")</f>
        <v/>
      </c>
      <c r="K9" s="35" t="str">
        <f>IFERROR(__xludf.DUMMYFUNCTION("VLOOKUP($A$1,IMPORTRANGE($A$2, CONCATENATE($A9,""!$B$5:$JB$48"")),K$1,0)"),"")</f>
        <v/>
      </c>
      <c r="L9" s="35" t="str">
        <f>IFERROR(__xludf.DUMMYFUNCTION("VLOOKUP($A$1,IMPORTRANGE($A$2, CONCATENATE($A9,""!$B$5:$JB$48"")),L$1,0)"),"")</f>
        <v/>
      </c>
      <c r="M9" s="35" t="str">
        <f>IFERROR(__xludf.DUMMYFUNCTION("VLOOKUP($A$1,IMPORTRANGE($A$2, CONCATENATE($A9,""!$B$5:$JB$48"")),M$1,0)"),"")</f>
        <v/>
      </c>
      <c r="N9" s="35" t="str">
        <f>IFERROR(__xludf.DUMMYFUNCTION("VLOOKUP($A$1,IMPORTRANGE($A$2, CONCATENATE($A9,""!$B$5:$JB$48"")),N$1,0)"),"")</f>
        <v/>
      </c>
      <c r="O9" s="35" t="str">
        <f>IFERROR(__xludf.DUMMYFUNCTION("VLOOKUP($A$1,IMPORTRANGE($A$2, CONCATENATE($A9,""!$B$5:$JB$48"")),O$1,0)"),"")</f>
        <v/>
      </c>
      <c r="P9" s="35" t="str">
        <f>IFERROR(__xludf.DUMMYFUNCTION("VLOOKUP($A$1,IMPORTRANGE($A$2, CONCATENATE($A9,""!$B$5:$JB$48"")),P$1,0)"),"")</f>
        <v/>
      </c>
      <c r="Q9" s="35" t="str">
        <f>IFERROR(__xludf.DUMMYFUNCTION("VLOOKUP($A$1,IMPORTRANGE($A$2, CONCATENATE($A9,""!$B$5:$JB$48"")),Q$1,0)"),"")</f>
        <v/>
      </c>
      <c r="R9" s="35">
        <f>IFERROR(__xludf.DUMMYFUNCTION("VLOOKUP($A$1,IMPORTRANGE($A$2, CONCATENATE($A9,""!$B$5:$JB$48"")),R$1,0)"),3.0)</f>
        <v>3</v>
      </c>
      <c r="S9" s="35" t="str">
        <f>IFERROR(__xludf.DUMMYFUNCTION("VLOOKUP($A$1,IMPORTRANGE($A$2, CONCATENATE($A9,""!$B$5:$JB$48"")),S$1,0)"),"")</f>
        <v/>
      </c>
      <c r="T9" s="35" t="str">
        <f>IFERROR(__xludf.DUMMYFUNCTION("VLOOKUP($A$1,IMPORTRANGE($A$2, CONCATENATE($A9,""!$B$5:$JB$48"")),T$1,0)"),"")</f>
        <v/>
      </c>
      <c r="U9" s="35" t="str">
        <f>IFERROR(__xludf.DUMMYFUNCTION("VLOOKUP($A$1,IMPORTRANGE($A$2, CONCATENATE($A9,""!$B$5:$JB$48"")),U$1,0)"),"")</f>
        <v/>
      </c>
      <c r="V9" s="35" t="str">
        <f>IFERROR(__xludf.DUMMYFUNCTION("VLOOKUP($A$1,IMPORTRANGE($A$2, CONCATENATE($A9,""!$B$5:$JB$48"")),V$1,0)"),"")</f>
        <v/>
      </c>
      <c r="W9" s="35" t="str">
        <f>IFERROR(__xludf.DUMMYFUNCTION("VLOOKUP($A$1,IMPORTRANGE($A$2, CONCATENATE($A9,""!$B$5:$JB$48"")),W$1,0)"),"")</f>
        <v/>
      </c>
      <c r="X9" s="35" t="str">
        <f>IFERROR(__xludf.DUMMYFUNCTION("VLOOKUP($A$1,IMPORTRANGE($A$2, CONCATENATE($A9,""!$B$5:$JB$48"")),X$1,0)"),"")</f>
        <v/>
      </c>
      <c r="Y9" s="35" t="str">
        <f>IFERROR(__xludf.DUMMYFUNCTION("VLOOKUP($A$1,IMPORTRANGE($A$2, CONCATENATE($A9,""!$B$5:$JB$48"")),Y$1,0)"),"")</f>
        <v/>
      </c>
      <c r="Z9" s="35" t="str">
        <f>IFERROR(__xludf.DUMMYFUNCTION("VLOOKUP($A$1,IMPORTRANGE($A$2, CONCATENATE($A9,""!$B$5:$JB$48"")),Z$1,0)"),"")</f>
        <v/>
      </c>
      <c r="AA9" s="35" t="str">
        <f>IFERROR(__xludf.DUMMYFUNCTION("VLOOKUP($A$1,IMPORTRANGE($A$2, CONCATENATE($A9,""!$B$5:$JB$48"")),AA$1,0)"),"")</f>
        <v/>
      </c>
      <c r="AB9" s="35" t="str">
        <f>IFERROR(__xludf.DUMMYFUNCTION("VLOOKUP($A$1,IMPORTRANGE($A$2, CONCATENATE($A9,""!$B$5:$JB$48"")),AB$1,0)"),"")</f>
        <v/>
      </c>
      <c r="AC9" s="35" t="str">
        <f>IFERROR(__xludf.DUMMYFUNCTION("VLOOKUP($A$1,IMPORTRANGE($A$2, CONCATENATE($A9,""!$B$5:$JB$48"")),AC$1,0)"),"")</f>
        <v/>
      </c>
      <c r="AD9" s="35">
        <f>IFERROR(__xludf.DUMMYFUNCTION("VLOOKUP($A$1,IMPORTRANGE($A$2, CONCATENATE($A9,""!$B$5:$JB$48"")),AD$1,0)"),4.0)</f>
        <v>4</v>
      </c>
      <c r="AE9" s="35" t="str">
        <f>IFERROR(__xludf.DUMMYFUNCTION("VLOOKUP($A$1,IMPORTRANGE($A$2, CONCATENATE($A9,""!$B$5:$JB$48"")),AE$1,0)"),"")</f>
        <v/>
      </c>
      <c r="AF9" s="35" t="str">
        <f>IFERROR(__xludf.DUMMYFUNCTION("VLOOKUP($A$1,IMPORTRANGE($A$2, CONCATENATE($A9,""!$B$5:$JB$48"")),AF$1,0)"),"")</f>
        <v/>
      </c>
      <c r="AG9" s="35" t="str">
        <f>IFERROR(__xludf.DUMMYFUNCTION("VLOOKUP($A$1,IMPORTRANGE($A$2, CONCATENATE($A9,""!$B$5:$JB$48"")),AG$1,0)"),"")</f>
        <v/>
      </c>
      <c r="AH9" s="35" t="str">
        <f>IFERROR(__xludf.DUMMYFUNCTION("VLOOKUP($A$1,IMPORTRANGE($A$2, CONCATENATE($A9,""!$B$5:$JB$48"")),AH$1,0)"),"")</f>
        <v/>
      </c>
      <c r="AI9" s="35" t="str">
        <f>IFERROR(__xludf.DUMMYFUNCTION("VLOOKUP($A$1,IMPORTRANGE($A$2, CONCATENATE($A9,""!$B$5:$JB$48"")),AI$1,0)"),"")</f>
        <v/>
      </c>
      <c r="AJ9" s="35" t="str">
        <f>IFERROR(__xludf.DUMMYFUNCTION("VLOOKUP($A$1,IMPORTRANGE($A$2, CONCATENATE($A9,""!$B$5:$JB$48"")),AJ$1,0)"),"")</f>
        <v/>
      </c>
      <c r="AK9" s="35" t="str">
        <f>IFERROR(__xludf.DUMMYFUNCTION("VLOOKUP($A$1,IMPORTRANGE($A$2, CONCATENATE($A9,""!$B$5:$JB$48"")),AK$1,0)"),"")</f>
        <v/>
      </c>
      <c r="AL9" s="35">
        <f>IFERROR(__xludf.DUMMYFUNCTION("VLOOKUP($A$1,IMPORTRANGE($A$2, CONCATENATE($A9,""!$B$5:$JB$48"")),AL$1,0)"),4.0)</f>
        <v>4</v>
      </c>
      <c r="AM9" s="35" t="str">
        <f>IFERROR(__xludf.DUMMYFUNCTION("VLOOKUP($A$1,IMPORTRANGE($A$2, CONCATENATE($A9,""!$B$5:$JB$48"")),AM$1,0)"),"")</f>
        <v/>
      </c>
      <c r="AN9" s="35" t="str">
        <f>IFERROR(__xludf.DUMMYFUNCTION("VLOOKUP($A$1,IMPORTRANGE($A$2, CONCATENATE($A9,""!$B$5:$JB$48"")),AN$1,0)"),"")</f>
        <v/>
      </c>
      <c r="AO9" s="35" t="str">
        <f>IFERROR(__xludf.DUMMYFUNCTION("VLOOKUP($A$1,IMPORTRANGE($A$2, CONCATENATE($A9,""!$B$5:$JB$48"")),AO$1,0)"),"")</f>
        <v/>
      </c>
      <c r="AP9" s="35" t="str">
        <f>IFERROR(__xludf.DUMMYFUNCTION("VLOOKUP($A$1,IMPORTRANGE($A$2, CONCATENATE($A9,""!$B$5:$JB$48"")),AP$1,0)"),"")</f>
        <v/>
      </c>
      <c r="AQ9" s="35" t="str">
        <f>IFERROR(__xludf.DUMMYFUNCTION("VLOOKUP($A$1,IMPORTRANGE($A$2, CONCATENATE($A9,""!$B$5:$JB$48"")),AQ$1,0)"),"")</f>
        <v/>
      </c>
      <c r="AR9" s="35" t="str">
        <f>IFERROR(__xludf.DUMMYFUNCTION("VLOOKUP($A$1,IMPORTRANGE($A$2, CONCATENATE($A9,""!$B$5:$JB$48"")),AR$1,0)"),"")</f>
        <v/>
      </c>
      <c r="AS9" s="35">
        <f>IFERROR(__xludf.DUMMYFUNCTION("VLOOKUP($A$1,IMPORTRANGE($A$2, CONCATENATE($A9,""!$B$5:$JB$48"")),AS$1,0)"),3.0)</f>
        <v>3</v>
      </c>
      <c r="AT9" s="35">
        <f>IFERROR(__xludf.DUMMYFUNCTION("VLOOKUP($A$1,IMPORTRANGE($A$2, CONCATENATE($A9,""!$B$5:$JB$48"")),AT$1,0)"),3.0)</f>
        <v>3</v>
      </c>
      <c r="AU9" s="35" t="str">
        <f>IFERROR(__xludf.DUMMYFUNCTION("VLOOKUP($A$1,IMPORTRANGE($A$2, CONCATENATE($A9,""!$B$5:$JB$48"")),AU$1,0)"),"")</f>
        <v/>
      </c>
      <c r="AV9" s="35" t="str">
        <f>IFERROR(__xludf.DUMMYFUNCTION("VLOOKUP($A$1,IMPORTRANGE($A$2, CONCATENATE($A9,""!$B$5:$JB$48"")),AV$1,0)"),"")</f>
        <v/>
      </c>
      <c r="AW9" s="35" t="str">
        <f>IFERROR(__xludf.DUMMYFUNCTION("VLOOKUP($A$1,IMPORTRANGE($A$2, CONCATENATE($A9,""!$B$5:$JB$48"")),AW$1,0)"),"")</f>
        <v/>
      </c>
      <c r="AX9" s="35" t="str">
        <f>IFERROR(__xludf.DUMMYFUNCTION("VLOOKUP($A$1,IMPORTRANGE($A$2, CONCATENATE($A9,""!$B$5:$JB$48"")),AX$1,0)"),"")</f>
        <v/>
      </c>
      <c r="AY9" s="35" t="str">
        <f>IFERROR(__xludf.DUMMYFUNCTION("VLOOKUP($A$1,IMPORTRANGE($A$2, CONCATENATE($A9,""!$B$5:$JB$48"")),AY$1,0)"),"")</f>
        <v/>
      </c>
      <c r="AZ9" s="35" t="str">
        <f>IFERROR(__xludf.DUMMYFUNCTION("VLOOKUP($A$1,IMPORTRANGE($A$2, CONCATENATE($A9,""!$B$5:$JB$48"")),AZ$1,0)"),"")</f>
        <v/>
      </c>
      <c r="BA9" s="35" t="str">
        <f>IFERROR(__xludf.DUMMYFUNCTION("VLOOKUP($A$1,IMPORTRANGE($A$2, CONCATENATE($A9,""!$B$5:$JB$48"")),BA$1,0)"),"")</f>
        <v/>
      </c>
      <c r="BB9" s="35">
        <f>IFERROR(__xludf.DUMMYFUNCTION("VLOOKUP($A$1,IMPORTRANGE($A$2, CONCATENATE($A9,""!$B$5:$JB$48"")),BB$1,0)"),3.0)</f>
        <v>3</v>
      </c>
      <c r="BC9" s="35" t="str">
        <f>IFERROR(__xludf.DUMMYFUNCTION("VLOOKUP($A$1,IMPORTRANGE($A$2, CONCATENATE($A9,""!$B$5:$JB$48"")),BC$1,0)"),"")</f>
        <v/>
      </c>
      <c r="BD9" s="35" t="str">
        <f>IFERROR(__xludf.DUMMYFUNCTION("VLOOKUP($A$1,IMPORTRANGE($A$2, CONCATENATE($A9,""!$B$5:$JB$48"")),BD$1,0)"),"")</f>
        <v/>
      </c>
      <c r="BE9" s="35">
        <f>IFERROR(__xludf.DUMMYFUNCTION("VLOOKUP($A$1,IMPORTRANGE($A$2, CONCATENATE($A9,""!$B$5:$JB$48"")),BE$1,0)"),5.0)</f>
        <v>5</v>
      </c>
      <c r="BF9" s="35" t="str">
        <f>IFERROR(__xludf.DUMMYFUNCTION("VLOOKUP($A$1,IMPORTRANGE($A$2, CONCATENATE($A9,""!$B$5:$JB$48"")),BF$1,0)"),"")</f>
        <v/>
      </c>
      <c r="BG9" s="35" t="str">
        <f>IFERROR(__xludf.DUMMYFUNCTION("VLOOKUP($A$1,IMPORTRANGE($A$2, CONCATENATE($A9,""!$B$5:$JB$48"")),BG$1,0)"),"")</f>
        <v/>
      </c>
      <c r="BH9" s="35" t="str">
        <f>IFERROR(__xludf.DUMMYFUNCTION("VLOOKUP($A$1,IMPORTRANGE($A$2, CONCATENATE($A9,""!$B$5:$JB$48"")),BH$1,0)"),"")</f>
        <v/>
      </c>
      <c r="BI9" s="35" t="str">
        <f>IFERROR(__xludf.DUMMYFUNCTION("VLOOKUP($A$1,IMPORTRANGE($A$2, CONCATENATE($A9,""!$B$5:$JB$48"")),BI$1,0)"),"")</f>
        <v/>
      </c>
      <c r="BJ9" s="35" t="str">
        <f>IFERROR(__xludf.DUMMYFUNCTION("VLOOKUP($A$1,IMPORTRANGE($A$2, CONCATENATE($A9,""!$B$5:$JB$48"")),BJ$1,0)"),"")</f>
        <v/>
      </c>
      <c r="BK9" s="35" t="str">
        <f>IFERROR(__xludf.DUMMYFUNCTION("VLOOKUP($A$1,IMPORTRANGE($A$2, CONCATENATE($A9,""!$B$5:$JB$48"")),BK$1,0)"),"")</f>
        <v/>
      </c>
      <c r="BL9" s="35" t="str">
        <f>IFERROR(__xludf.DUMMYFUNCTION("VLOOKUP($A$1,IMPORTRANGE($A$2, CONCATENATE($A9,""!$B$5:$JB$48"")),BL$1,0)"),"")</f>
        <v/>
      </c>
      <c r="BM9" s="35" t="str">
        <f>IFERROR(__xludf.DUMMYFUNCTION("VLOOKUP($A$1,IMPORTRANGE($A$2, CONCATENATE($A9,""!$B$5:$JB$48"")),BM$1,0)"),"")</f>
        <v/>
      </c>
      <c r="BN9" s="35" t="str">
        <f>IFERROR(__xludf.DUMMYFUNCTION("VLOOKUP($A$1,IMPORTRANGE($A$2, CONCATENATE($A9,""!$B$5:$JB$48"")),BN$1,0)"),"")</f>
        <v/>
      </c>
      <c r="BO9" s="35" t="str">
        <f>IFERROR(__xludf.DUMMYFUNCTION("VLOOKUP($A$1,IMPORTRANGE($A$2, CONCATENATE($A9,""!$B$5:$JB$48"")),BO$1,0)"),"")</f>
        <v/>
      </c>
      <c r="BP9" s="35" t="str">
        <f>IFERROR(__xludf.DUMMYFUNCTION("VLOOKUP($A$1,IMPORTRANGE($A$2, CONCATENATE($A9,""!$B$5:$JB$48"")),BP$1,0)"),"")</f>
        <v/>
      </c>
      <c r="BQ9" s="35">
        <f>IFERROR(__xludf.DUMMYFUNCTION("VLOOKUP($A$1,IMPORTRANGE($A$2, CONCATENATE($A9,""!$B$5:$JB$48"")),BQ$1,0)"),3.0)</f>
        <v>3</v>
      </c>
      <c r="BR9" s="35">
        <f>IFERROR(__xludf.DUMMYFUNCTION("VLOOKUP($A$1,IMPORTRANGE($A$2, CONCATENATE($A9,""!$B$5:$JB$48"")),BR$1,0)"),3.0)</f>
        <v>3</v>
      </c>
      <c r="BS9" s="35" t="str">
        <f>IFERROR(__xludf.DUMMYFUNCTION("VLOOKUP($A$1,IMPORTRANGE($A$2, CONCATENATE($A9,""!$B$5:$JB$48"")),BS$1,0)"),"")</f>
        <v/>
      </c>
      <c r="BT9" s="35" t="str">
        <f>IFERROR(__xludf.DUMMYFUNCTION("VLOOKUP($A$1,IMPORTRANGE($A$2, CONCATENATE($A9,""!$B$5:$JB$48"")),BT$1,0)"),"")</f>
        <v/>
      </c>
      <c r="BU9" s="35" t="str">
        <f>IFERROR(__xludf.DUMMYFUNCTION("VLOOKUP($A$1,IMPORTRANGE($A$2, CONCATENATE($A9,""!$B$5:$JB$48"")),BU$1,0)"),"")</f>
        <v/>
      </c>
      <c r="BV9" s="35" t="str">
        <f>IFERROR(__xludf.DUMMYFUNCTION("VLOOKUP($A$1,IMPORTRANGE($A$2, CONCATENATE($A9,""!$B$5:$JB$48"")),BV$1,0)"),"")</f>
        <v/>
      </c>
      <c r="BW9" s="35" t="str">
        <f>IFERROR(__xludf.DUMMYFUNCTION("VLOOKUP($A$1,IMPORTRANGE($A$2, CONCATENATE($A9,""!$B$5:$JB$48"")),BW$1,0)"),"")</f>
        <v/>
      </c>
      <c r="BX9" s="35" t="str">
        <f>IFERROR(__xludf.DUMMYFUNCTION("VLOOKUP($A$1,IMPORTRANGE($A$2, CONCATENATE($A9,""!$B$5:$JB$48"")),BX$1,0)"),"")</f>
        <v/>
      </c>
      <c r="BY9" s="35">
        <f>IFERROR(__xludf.DUMMYFUNCTION("VLOOKUP($A$1,IMPORTRANGE($A$2, CONCATENATE($A9,""!$B$5:$JB$48"")),BY$1,0)"),5.0)</f>
        <v>5</v>
      </c>
      <c r="BZ9" s="35">
        <f>IFERROR(__xludf.DUMMYFUNCTION("VLOOKUP($A$1,IMPORTRANGE($A$2, CONCATENATE($A9,""!$B$5:$JB$48"")),BZ$1,0)"),3.0)</f>
        <v>3</v>
      </c>
      <c r="CA9" s="35" t="str">
        <f>IFERROR(__xludf.DUMMYFUNCTION("VLOOKUP($A$1,IMPORTRANGE($A$2, CONCATENATE($A9,""!$B$5:$JB$48"")),CA$1,0)"),"")</f>
        <v/>
      </c>
      <c r="CB9" s="35" t="str">
        <f>IFERROR(__xludf.DUMMYFUNCTION("VLOOKUP($A$1,IMPORTRANGE($A$2, CONCATENATE($A9,""!$B$5:$JB$48"")),CB$1,0)"),"")</f>
        <v/>
      </c>
      <c r="CC9" s="35" t="str">
        <f>IFERROR(__xludf.DUMMYFUNCTION("VLOOKUP($A$1,IMPORTRANGE($A$2, CONCATENATE($A9,""!$B$5:$JB$48"")),CC$1,0)"),"")</f>
        <v/>
      </c>
      <c r="CD9" s="35" t="str">
        <f>IFERROR(__xludf.DUMMYFUNCTION("VLOOKUP($A$1,IMPORTRANGE($A$2, CONCATENATE($A9,""!$B$5:$JB$48"")),CD$1,0)"),"")</f>
        <v/>
      </c>
      <c r="CE9" s="35" t="str">
        <f>IFERROR(__xludf.DUMMYFUNCTION("VLOOKUP($A$1,IMPORTRANGE($A$2, CONCATENATE($A9,""!$B$5:$JB$48"")),CE$1,0)"),"")</f>
        <v/>
      </c>
      <c r="CF9" s="35" t="str">
        <f>IFERROR(__xludf.DUMMYFUNCTION("VLOOKUP($A$1,IMPORTRANGE($A$2, CONCATENATE($A9,""!$B$5:$JB$48"")),CF$1,0)"),"")</f>
        <v/>
      </c>
      <c r="CG9" s="35" t="str">
        <f>IFERROR(__xludf.DUMMYFUNCTION("VLOOKUP($A$1,IMPORTRANGE($A$2, CONCATENATE($A9,""!$B$5:$JB$48"")),CG$1,0)"),"")</f>
        <v/>
      </c>
      <c r="CH9" s="35" t="str">
        <f>IFERROR(__xludf.DUMMYFUNCTION("VLOOKUP($A$1,IMPORTRANGE($A$2, CONCATENATE($A9,""!$B$5:$JB$48"")),CH$1,0)"),"")</f>
        <v/>
      </c>
      <c r="CI9" s="35" t="str">
        <f>IFERROR(__xludf.DUMMYFUNCTION("VLOOKUP($A$1,IMPORTRANGE($A$2, CONCATENATE($A9,""!$B$5:$JB$48"")),CI$1,0)"),"-")</f>
        <v>-</v>
      </c>
      <c r="CJ9" s="35" t="str">
        <f>IFERROR(__xludf.DUMMYFUNCTION("VLOOKUP($A$1,IMPORTRANGE($A$2, CONCATENATE($A9,""!$B$5:$JB$48"")),CJ$1,0)"),"")</f>
        <v/>
      </c>
      <c r="CK9" s="35" t="str">
        <f>IFERROR(__xludf.DUMMYFUNCTION("VLOOKUP($A$1,IMPORTRANGE($A$2, CONCATENATE($A9,""!$B$5:$JB$48"")),CK$1,0)"),"")</f>
        <v/>
      </c>
      <c r="CL9" s="35" t="str">
        <f>IFERROR(__xludf.DUMMYFUNCTION("VLOOKUP($A$1,IMPORTRANGE($A$2, CONCATENATE($A9,""!$B$5:$JB$48"")),CL$1,0)"),"")</f>
        <v/>
      </c>
      <c r="CM9" s="35">
        <f>IFERROR(__xludf.DUMMYFUNCTION("VLOOKUP($A$1,IMPORTRANGE($A$2, CONCATENATE($A9,""!$B$5:$JB$48"")),CM$1,0)"),3.0)</f>
        <v>3</v>
      </c>
      <c r="CN9" s="35" t="str">
        <f>IFERROR(__xludf.DUMMYFUNCTION("VLOOKUP($A$1,IMPORTRANGE($A$2, CONCATENATE($A9,""!$B$5:$JB$48"")),CN$1,0)"),"")</f>
        <v/>
      </c>
      <c r="CO9" s="35" t="str">
        <f>IFERROR(__xludf.DUMMYFUNCTION("VLOOKUP($A$1,IMPORTRANGE($A$2, CONCATENATE($A9,""!$B$5:$JB$48"")),CO$1,0)"),"")</f>
        <v/>
      </c>
      <c r="CP9" s="35" t="str">
        <f>IFERROR(__xludf.DUMMYFUNCTION("VLOOKUP($A$1,IMPORTRANGE($A$2, CONCATENATE($A9,""!$B$5:$JB$48"")),CP$1,0)"),"")</f>
        <v/>
      </c>
      <c r="CQ9" s="35" t="str">
        <f>IFERROR(__xludf.DUMMYFUNCTION("VLOOKUP($A$1,IMPORTRANGE($A$2, CONCATENATE($A9,""!$B$5:$JB$48"")),CQ$1,0)"),"")</f>
        <v/>
      </c>
      <c r="CR9" s="35" t="str">
        <f>IFERROR(__xludf.DUMMYFUNCTION("VLOOKUP($A$1,IMPORTRANGE($A$2, CONCATENATE($A9,""!$B$5:$JB$48"")),CR$1,0)"),"")</f>
        <v/>
      </c>
      <c r="CS9" s="35">
        <f>IFERROR(__xludf.DUMMYFUNCTION("VLOOKUP($A$1,IMPORTRANGE($A$2, CONCATENATE($A9,""!$B$5:$JB$48"")),CS$1,0)"),4.0)</f>
        <v>4</v>
      </c>
      <c r="CT9" s="35" t="str">
        <f>IFERROR(__xludf.DUMMYFUNCTION("VLOOKUP($A$1,IMPORTRANGE($A$2, CONCATENATE($A9,""!$B$5:$JB$48"")),CT$1,0)"),"")</f>
        <v/>
      </c>
      <c r="CU9" s="35">
        <f>IFERROR(__xludf.DUMMYFUNCTION("VLOOKUP($A$1,IMPORTRANGE($A$2, CONCATENATE($A9,""!$B$5:$JB$48"")),CU$1,0)"),3.0)</f>
        <v>3</v>
      </c>
      <c r="CV9" s="35" t="str">
        <f>IFERROR(__xludf.DUMMYFUNCTION("VLOOKUP($A$1,IMPORTRANGE($A$2, CONCATENATE($A9,""!$B$5:$JB$48"")),CV$1,0)"),"")</f>
        <v/>
      </c>
      <c r="CW9" s="35" t="str">
        <f>IFERROR(__xludf.DUMMYFUNCTION("VLOOKUP($A$1,IMPORTRANGE($A$2, CONCATENATE($A9,""!$B$5:$JB$48"")),CW$1,0)"),"")</f>
        <v/>
      </c>
      <c r="CX9" s="35" t="str">
        <f>IFERROR(__xludf.DUMMYFUNCTION("VLOOKUP($A$1,IMPORTRANGE($A$2, CONCATENATE($A9,""!$B$5:$JB$48"")),CX$1,0)"),"")</f>
        <v/>
      </c>
      <c r="CY9" s="35" t="str">
        <f>IFERROR(__xludf.DUMMYFUNCTION("VLOOKUP($A$1,IMPORTRANGE($A$2, CONCATENATE($A9,""!$B$5:$JB$48"")),CY$1,0)"),"")</f>
        <v/>
      </c>
      <c r="CZ9" s="35" t="str">
        <f>IFERROR(__xludf.DUMMYFUNCTION("VLOOKUP($A$1,IMPORTRANGE($A$2, CONCATENATE($A9,""!$B$5:$JB$48"")),CZ$1,0)"),"")</f>
        <v/>
      </c>
      <c r="DA9" s="35" t="str">
        <f>IFERROR(__xludf.DUMMYFUNCTION("VLOOKUP($A$1,IMPORTRANGE($A$2, CONCATENATE($A9,""!$B$5:$JB$48"")),DA$1,0)"),"")</f>
        <v/>
      </c>
      <c r="DB9" s="35">
        <f>IFERROR(__xludf.DUMMYFUNCTION("VLOOKUP($A$1,IMPORTRANGE($A$2, CONCATENATE($A9,""!$B$5:$JB$48"")),DB$1,0)"),2.0)</f>
        <v>2</v>
      </c>
      <c r="DC9" s="35">
        <f>IFERROR(__xludf.DUMMYFUNCTION("VLOOKUP($A$1,IMPORTRANGE($A$2, CONCATENATE($A9,""!$B$5:$JB$48"")),DC$1,0)"),3.0)</f>
        <v>3</v>
      </c>
      <c r="DD9" s="35" t="str">
        <f>IFERROR(__xludf.DUMMYFUNCTION("VLOOKUP($A$1,IMPORTRANGE($A$2, CONCATENATE($A9,""!$B$5:$JB$48"")),DD$1,0)"),"")</f>
        <v/>
      </c>
      <c r="DE9" s="35" t="str">
        <f>IFERROR(__xludf.DUMMYFUNCTION("VLOOKUP($A$1,IMPORTRANGE($A$2, CONCATENATE($A9,""!$B$5:$JB$48"")),DE$1,0)"),"")</f>
        <v/>
      </c>
      <c r="DF9" s="35" t="str">
        <f>IFERROR(__xludf.DUMMYFUNCTION("VLOOKUP($A$1,IMPORTRANGE($A$2, CONCATENATE($A9,""!$B$5:$JB$48"")),DF$1,0)"),"")</f>
        <v/>
      </c>
      <c r="DG9" s="35" t="str">
        <f>IFERROR(__xludf.DUMMYFUNCTION("VLOOKUP($A$1,IMPORTRANGE($A$2, CONCATENATE($A9,""!$B$5:$JB$48"")),DG$1,0)"),"")</f>
        <v/>
      </c>
      <c r="DH9" s="35">
        <f>IFERROR(__xludf.DUMMYFUNCTION("VLOOKUP($A$1,IMPORTRANGE($A$2, CONCATENATE($A9,""!$B$5:$JB$48"")),DH$1,0)"),4.0)</f>
        <v>4</v>
      </c>
      <c r="DI9" s="35" t="str">
        <f>IFERROR(__xludf.DUMMYFUNCTION("VLOOKUP($A$1,IMPORTRANGE($A$2, CONCATENATE($A9,""!$B$5:$JB$48"")),DI$1,0)"),"")</f>
        <v/>
      </c>
      <c r="DJ9" s="35" t="str">
        <f>IFERROR(__xludf.DUMMYFUNCTION("VLOOKUP($A$1,IMPORTRANGE($A$2, CONCATENATE($A9,""!$B$5:$JB$48"")),DJ$1,0)"),"")</f>
        <v/>
      </c>
      <c r="DK9" s="35">
        <f>IFERROR(__xludf.DUMMYFUNCTION("VLOOKUP($A$1,IMPORTRANGE($A$2, CONCATENATE($A9,""!$B$5:$JB$48"")),DK$1,0)"),3.0)</f>
        <v>3</v>
      </c>
      <c r="DL9" s="35" t="str">
        <f>IFERROR(__xludf.DUMMYFUNCTION("VLOOKUP($A$1,IMPORTRANGE($A$2, CONCATENATE($A9,""!$B$5:$JB$48"")),DL$1,0)"),"")</f>
        <v/>
      </c>
      <c r="DM9" s="35">
        <f>IFERROR(__xludf.DUMMYFUNCTION("VLOOKUP($A$1,IMPORTRANGE($A$2, CONCATENATE($A9,""!$B$5:$JB$48"")),DM$1,0)"),3.0)</f>
        <v>3</v>
      </c>
      <c r="DN9" s="35" t="str">
        <f>IFERROR(__xludf.DUMMYFUNCTION("VLOOKUP($A$1,IMPORTRANGE($A$2, CONCATENATE($A9,""!$B$5:$JB$48"")),DN$1,0)"),"")</f>
        <v/>
      </c>
      <c r="DO9" s="35" t="str">
        <f>IFERROR(__xludf.DUMMYFUNCTION("VLOOKUP($A$1,IMPORTRANGE($A$2, CONCATENATE($A9,""!$B$5:$JB$48"")),DO$1,0)"),"-")</f>
        <v>-</v>
      </c>
      <c r="DP9" s="35" t="str">
        <f>IFERROR(__xludf.DUMMYFUNCTION("VLOOKUP($A$1,IMPORTRANGE($A$2, CONCATENATE($A9,""!$B$5:$JB$48"")),DP$1,0)"),"")</f>
        <v/>
      </c>
      <c r="DQ9" s="35">
        <f>IFERROR(__xludf.DUMMYFUNCTION("VLOOKUP($A$1,IMPORTRANGE($A$2, CONCATENATE($A9,""!$B$5:$JB$48"")),DQ$1,0)"),4.0)</f>
        <v>4</v>
      </c>
      <c r="DR9" s="35" t="str">
        <f>IFERROR(__xludf.DUMMYFUNCTION("VLOOKUP($A$1,IMPORTRANGE($A$2, CONCATENATE($A9,""!$B$5:$JB$48"")),DR$1,0)"),"")</f>
        <v/>
      </c>
      <c r="DS9" s="35">
        <f>IFERROR(__xludf.DUMMYFUNCTION("VLOOKUP($A$1,IMPORTRANGE($A$2, CONCATENATE($A9,""!$B$5:$JB$48"")),DS$1,0)"),5.0)</f>
        <v>5</v>
      </c>
      <c r="DT9" s="35">
        <f>IFERROR(__xludf.DUMMYFUNCTION("VLOOKUP($A$1,IMPORTRANGE($A$2, CONCATENATE($A9,""!$B$5:$JB$48"")),DT$1,0)"),3.0)</f>
        <v>3</v>
      </c>
      <c r="DU9" s="35">
        <f>IFERROR(__xludf.DUMMYFUNCTION("VLOOKUP($A$1,IMPORTRANGE($A$2, CONCATENATE($A9,""!$B$5:$JB$48"")),DU$1,0)"),3.0)</f>
        <v>3</v>
      </c>
      <c r="DV9" s="35" t="str">
        <f>IFERROR(__xludf.DUMMYFUNCTION("VLOOKUP($A$1,IMPORTRANGE($A$2, CONCATENATE($A9,""!$B$5:$JB$48"")),DV$1,0)"),"")</f>
        <v/>
      </c>
      <c r="DW9" s="35" t="str">
        <f>IFERROR(__xludf.DUMMYFUNCTION("VLOOKUP($A$1,IMPORTRANGE($A$2, CONCATENATE($A9,""!$B$5:$JB$48"")),DW$1,0)"),"")</f>
        <v/>
      </c>
      <c r="DX9" s="35">
        <f>IFERROR(__xludf.DUMMYFUNCTION("VLOOKUP($A$1,IMPORTRANGE($A$2, CONCATENATE($A9,""!$B$5:$JB$48"")),DX$1,0)"),3.0)</f>
        <v>3</v>
      </c>
      <c r="DY9" s="35" t="str">
        <f>IFERROR(__xludf.DUMMYFUNCTION("VLOOKUP($A$1,IMPORTRANGE($A$2, CONCATENATE($A9,""!$B$5:$JB$48"")),DY$1,0)"),"")</f>
        <v/>
      </c>
      <c r="DZ9" s="35" t="str">
        <f>IFERROR(__xludf.DUMMYFUNCTION("VLOOKUP($A$1,IMPORTRANGE($A$2, CONCATENATE($A9,""!$B$5:$JB$48"")),DZ$1,0)"),"")</f>
        <v/>
      </c>
      <c r="EA9" s="35">
        <f>IFERROR(__xludf.DUMMYFUNCTION("VLOOKUP($A$1,IMPORTRANGE($A$2, CONCATENATE($A9,""!$B$5:$JB$48"")),EA$1,0)"),3.0)</f>
        <v>3</v>
      </c>
      <c r="EB9" s="35" t="str">
        <f>IFERROR(__xludf.DUMMYFUNCTION("VLOOKUP($A$1,IMPORTRANGE($A$2, CONCATENATE($A9,""!$B$5:$JB$48"")),EB$1,0)"),"")</f>
        <v/>
      </c>
      <c r="EC9" s="35" t="str">
        <f>IFERROR(__xludf.DUMMYFUNCTION("VLOOKUP($A$1,IMPORTRANGE($A$2, CONCATENATE($A9,""!$B$5:$JB$48"")),EC$1,0)"),"")</f>
        <v/>
      </c>
      <c r="ED9" s="35" t="str">
        <f>IFERROR(__xludf.DUMMYFUNCTION("VLOOKUP($A$1,IMPORTRANGE($A$2, CONCATENATE($A9,""!$B$5:$JB$48"")),ED$1,0)"),"")</f>
        <v/>
      </c>
      <c r="EE9" s="35" t="str">
        <f>IFERROR(__xludf.DUMMYFUNCTION("VLOOKUP($A$1,IMPORTRANGE($A$2, CONCATENATE($A9,""!$B$5:$JB$48"")),EE$1,0)"),"")</f>
        <v/>
      </c>
      <c r="EF9" s="35" t="str">
        <f>IFERROR(__xludf.DUMMYFUNCTION("VLOOKUP($A$1,IMPORTRANGE($A$2, CONCATENATE($A9,""!$B$5:$JB$48"")),EF$1,0)"),"")</f>
        <v/>
      </c>
      <c r="EG9" s="35" t="str">
        <f>IFERROR(__xludf.DUMMYFUNCTION("VLOOKUP($A$1,IMPORTRANGE($A$2, CONCATENATE($A9,""!$B$5:$JB$48"")),EG$1,0)"),"")</f>
        <v/>
      </c>
      <c r="EH9" s="35" t="str">
        <f>IFERROR(__xludf.DUMMYFUNCTION("VLOOKUP($A$1,IMPORTRANGE($A$2, CONCATENATE($A9,""!$B$5:$JB$48"")),EH$1,0)"),"")</f>
        <v/>
      </c>
      <c r="EI9" s="35" t="str">
        <f>IFERROR(__xludf.DUMMYFUNCTION("VLOOKUP($A$1,IMPORTRANGE($A$2, CONCATENATE($A9,""!$B$5:$JB$48"")),EI$1,0)"),"")</f>
        <v/>
      </c>
      <c r="EJ9" s="35" t="str">
        <f>IFERROR(__xludf.DUMMYFUNCTION("VLOOKUP($A$1,IMPORTRANGE($A$2, CONCATENATE($A9,""!$B$5:$JB$48"")),EJ$1,0)"),"")</f>
        <v/>
      </c>
      <c r="EK9" s="35" t="str">
        <f>IFERROR(__xludf.DUMMYFUNCTION("VLOOKUP($A$1,IMPORTRANGE($A$2, CONCATENATE($A9,""!$B$5:$JB$48"")),EK$1,0)"),"")</f>
        <v/>
      </c>
      <c r="EL9" s="35" t="str">
        <f>IFERROR(__xludf.DUMMYFUNCTION("VLOOKUP($A$1,IMPORTRANGE($A$2, CONCATENATE($A9,""!$B$5:$JB$48"")),EL$1,0)"),"")</f>
        <v/>
      </c>
      <c r="EM9" s="35" t="str">
        <f>IFERROR(__xludf.DUMMYFUNCTION("VLOOKUP($A$1,IMPORTRANGE($A$2, CONCATENATE($A9,""!$B$5:$JB$48"")),EM$1,0)"),"")</f>
        <v/>
      </c>
      <c r="EN9" s="35" t="str">
        <f>IFERROR(__xludf.DUMMYFUNCTION("VLOOKUP($A$1,IMPORTRANGE($A$2, CONCATENATE($A9,""!$B$5:$JB$48"")),EN$1,0)"),"")</f>
        <v/>
      </c>
      <c r="EO9" s="35" t="str">
        <f>IFERROR(__xludf.DUMMYFUNCTION("VLOOKUP($A$1,IMPORTRANGE($A$2, CONCATENATE($A9,""!$B$5:$JB$48"")),EO$1,0)"),"")</f>
        <v/>
      </c>
      <c r="EP9" s="35" t="str">
        <f>IFERROR(__xludf.DUMMYFUNCTION("VLOOKUP($A$1,IMPORTRANGE($A$2, CONCATENATE($A9,""!$B$5:$JB$48"")),EP$1,0)"),"")</f>
        <v/>
      </c>
      <c r="EQ9" s="35" t="str">
        <f>IFERROR(__xludf.DUMMYFUNCTION("VLOOKUP($A$1,IMPORTRANGE($A$2, CONCATENATE($A9,""!$B$5:$JB$48"")),EQ$1,0)"),"")</f>
        <v/>
      </c>
      <c r="ER9" s="35" t="str">
        <f>IFERROR(__xludf.DUMMYFUNCTION("VLOOKUP($A$1,IMPORTRANGE($A$2, CONCATENATE($A9,""!$B$5:$JB$48"")),ER$1,0)"),"")</f>
        <v/>
      </c>
      <c r="ES9" s="35" t="str">
        <f>IFERROR(__xludf.DUMMYFUNCTION("VLOOKUP($A$1,IMPORTRANGE($A$2, CONCATENATE($A9,""!$B$5:$JB$48"")),ES$1,0)"),"")</f>
        <v/>
      </c>
      <c r="ET9" s="35" t="str">
        <f>IFERROR(__xludf.DUMMYFUNCTION("VLOOKUP($A$1,IMPORTRANGE($A$2, CONCATENATE($A9,""!$B$5:$JB$48"")),ET$1,0)"),"")</f>
        <v/>
      </c>
      <c r="EU9" s="35" t="str">
        <f>IFERROR(__xludf.DUMMYFUNCTION("VLOOKUP($A$1,IMPORTRANGE($A$2, CONCATENATE($A9,""!$B$5:$JB$48"")),EU$1,0)"),"")</f>
        <v/>
      </c>
      <c r="EV9" s="35" t="str">
        <f>IFERROR(__xludf.DUMMYFUNCTION("VLOOKUP($A$1,IMPORTRANGE($A$2, CONCATENATE($A9,""!$B$5:$JB$48"")),EV$1,0)"),"")</f>
        <v/>
      </c>
      <c r="EW9" s="35" t="str">
        <f>IFERROR(__xludf.DUMMYFUNCTION("VLOOKUP($A$1,IMPORTRANGE($A$2, CONCATENATE($A9,""!$B$5:$JB$48"")),EW$1,0)"),"")</f>
        <v/>
      </c>
      <c r="EX9" s="35" t="str">
        <f>IFERROR(__xludf.DUMMYFUNCTION("VLOOKUP($A$1,IMPORTRANGE($A$2, CONCATENATE($A9,""!$B$5:$JB$48"")),EX$1,0)"),"")</f>
        <v/>
      </c>
      <c r="EY9" s="35" t="str">
        <f>IFERROR(__xludf.DUMMYFUNCTION("VLOOKUP($A$1,IMPORTRANGE($A$2, CONCATENATE($A9,""!$B$5:$JB$48"")),EY$1,0)"),"")</f>
        <v/>
      </c>
      <c r="EZ9" s="35" t="str">
        <f>IFERROR(__xludf.DUMMYFUNCTION("VLOOKUP($A$1,IMPORTRANGE($A$2, CONCATENATE($A9,""!$B$5:$JB$48"")),EZ$1,0)"),"")</f>
        <v/>
      </c>
      <c r="FA9" s="35" t="str">
        <f>IFERROR(__xludf.DUMMYFUNCTION("VLOOKUP($A$1,IMPORTRANGE($A$2, CONCATENATE($A9,""!$B$5:$JB$48"")),FA$1,0)"),"")</f>
        <v/>
      </c>
      <c r="FB9" s="35" t="str">
        <f>IFERROR(__xludf.DUMMYFUNCTION("VLOOKUP($A$1,IMPORTRANGE($A$2, CONCATENATE($A9,""!$B$5:$JB$48"")),FB$1,0)"),"")</f>
        <v/>
      </c>
      <c r="FC9" s="35" t="str">
        <f>IFERROR(__xludf.DUMMYFUNCTION("VLOOKUP($A$1,IMPORTRANGE($A$2, CONCATENATE($A9,""!$B$5:$JB$48"")),FC$1,0)"),"")</f>
        <v/>
      </c>
      <c r="FD9" s="35" t="str">
        <f>IFERROR(__xludf.DUMMYFUNCTION("VLOOKUP($A$1,IMPORTRANGE($A$2, CONCATENATE($A9,""!$B$5:$JB$48"")),FD$1,0)"),"")</f>
        <v/>
      </c>
      <c r="FE9" s="35" t="str">
        <f>IFERROR(__xludf.DUMMYFUNCTION("VLOOKUP($A$1,IMPORTRANGE($A$2, CONCATENATE($A9,""!$B$5:$JB$48"")),FE$1,0)"),"")</f>
        <v/>
      </c>
      <c r="FF9" s="35" t="str">
        <f>IFERROR(__xludf.DUMMYFUNCTION("VLOOKUP($A$1,IMPORTRANGE($A$2, CONCATENATE($A9,""!$B$5:$JB$48"")),FF$1,0)"),"")</f>
        <v/>
      </c>
      <c r="FG9" s="35" t="str">
        <f>IFERROR(__xludf.DUMMYFUNCTION("VLOOKUP($A$1,IMPORTRANGE($A$2, CONCATENATE($A9,""!$B$5:$JB$48"")),FG$1,0)"),"")</f>
        <v/>
      </c>
      <c r="FH9" s="35" t="str">
        <f>IFERROR(__xludf.DUMMYFUNCTION("VLOOKUP($A$1,IMPORTRANGE($A$2, CONCATENATE($A9,""!$B$5:$JB$48"")),FH$1,0)"),"")</f>
        <v/>
      </c>
      <c r="FI9" s="35" t="str">
        <f>IFERROR(__xludf.DUMMYFUNCTION("VLOOKUP($A$1,IMPORTRANGE($A$2, CONCATENATE($A9,""!$B$5:$JB$48"")),FI$1,0)"),"")</f>
        <v/>
      </c>
      <c r="FJ9" s="35" t="str">
        <f>IFERROR(__xludf.DUMMYFUNCTION("VLOOKUP($A$1,IMPORTRANGE($A$2, CONCATENATE($A9,""!$B$5:$JB$48"")),FJ$1,0)"),"")</f>
        <v/>
      </c>
      <c r="FK9" s="35" t="str">
        <f>IFERROR(__xludf.DUMMYFUNCTION("VLOOKUP($A$1,IMPORTRANGE($A$2, CONCATENATE($A9,""!$B$5:$JB$48"")),FK$1,0)"),"")</f>
        <v/>
      </c>
      <c r="FL9" s="35" t="str">
        <f>IFERROR(__xludf.DUMMYFUNCTION("VLOOKUP($A$1,IMPORTRANGE($A$2, CONCATENATE($A9,""!$B$5:$JB$48"")),FL$1,0)"),"")</f>
        <v/>
      </c>
      <c r="FM9" s="35">
        <f>IFERROR(__xludf.DUMMYFUNCTION("VLOOKUP($A$1,IMPORTRANGE($A$2, CONCATENATE($A9,""!$B$5:$JB$48"")),FM$1,0)"),3.0)</f>
        <v>3</v>
      </c>
      <c r="FN9" s="35" t="str">
        <f>IFERROR(__xludf.DUMMYFUNCTION("VLOOKUP($A$1,IMPORTRANGE($A$2, CONCATENATE($A9,""!$B$5:$JB$48"")),FN$1,0)"),"")</f>
        <v/>
      </c>
      <c r="FO9" s="35" t="str">
        <f>IFERROR(__xludf.DUMMYFUNCTION("VLOOKUP($A$1,IMPORTRANGE($A$2, CONCATENATE($A9,""!$B$5:$JB$48"")),FO$1,0)"),"")</f>
        <v/>
      </c>
      <c r="FP9" s="35" t="str">
        <f>IFERROR(__xludf.DUMMYFUNCTION("VLOOKUP($A$1,IMPORTRANGE($A$2, CONCATENATE($A9,""!$B$5:$JB$48"")),FP$1,0)"),"")</f>
        <v/>
      </c>
      <c r="FQ9" s="35" t="str">
        <f>IFERROR(__xludf.DUMMYFUNCTION("VLOOKUP($A$1,IMPORTRANGE($A$2, CONCATENATE($A9,""!$B$5:$JB$48"")),FQ$1,0)"),"")</f>
        <v/>
      </c>
      <c r="FR9" s="35" t="str">
        <f>IFERROR(__xludf.DUMMYFUNCTION("VLOOKUP($A$1,IMPORTRANGE($A$2, CONCATENATE($A9,""!$B$5:$JB$48"")),FR$1,0)"),"")</f>
        <v/>
      </c>
      <c r="FS9" s="35" t="str">
        <f>IFERROR(__xludf.DUMMYFUNCTION("VLOOKUP($A$1,IMPORTRANGE($A$2, CONCATENATE($A9,""!$B$5:$JB$48"")),FS$1,0)"),"")</f>
        <v/>
      </c>
      <c r="FT9" s="35" t="str">
        <f>IFERROR(__xludf.DUMMYFUNCTION("VLOOKUP($A$1,IMPORTRANGE($A$2, CONCATENATE($A9,""!$B$5:$JB$48"")),FT$1,0)"),"")</f>
        <v/>
      </c>
      <c r="FU9" s="35" t="str">
        <f>IFERROR(__xludf.DUMMYFUNCTION("VLOOKUP($A$1,IMPORTRANGE($A$2, CONCATENATE($A9,""!$B$5:$JB$48"")),FU$1,0)"),"")</f>
        <v/>
      </c>
      <c r="FV9" s="35" t="str">
        <f>IFERROR(__xludf.DUMMYFUNCTION("VLOOKUP($A$1,IMPORTRANGE($A$2, CONCATENATE($A9,""!$B$5:$JB$48"")),FV$1,0)"),"")</f>
        <v/>
      </c>
      <c r="FW9" s="35" t="str">
        <f>IFERROR(__xludf.DUMMYFUNCTION("VLOOKUP($A$1,IMPORTRANGE($A$2, CONCATENATE($A9,""!$B$5:$JB$48"")),FW$1,0)"),"")</f>
        <v/>
      </c>
      <c r="FX9" s="35" t="str">
        <f>IFERROR(__xludf.DUMMYFUNCTION("VLOOKUP($A$1,IMPORTRANGE($A$2, CONCATENATE($A9,""!$B$5:$JB$48"")),FX$1,0)"),"")</f>
        <v/>
      </c>
      <c r="FY9" s="35" t="str">
        <f>IFERROR(__xludf.DUMMYFUNCTION("VLOOKUP($A$1,IMPORTRANGE($A$2, CONCATENATE($A9,""!$B$5:$JB$48"")),FY$1,0)"),"")</f>
        <v/>
      </c>
      <c r="FZ9" s="35" t="str">
        <f>IFERROR(__xludf.DUMMYFUNCTION("VLOOKUP($A$1,IMPORTRANGE($A$2, CONCATENATE($A9,""!$B$5:$JB$48"")),FZ$1,0)"),"")</f>
        <v/>
      </c>
      <c r="GA9" s="35" t="str">
        <f>IFERROR(__xludf.DUMMYFUNCTION("VLOOKUP($A$1,IMPORTRANGE($A$2, CONCATENATE($A9,""!$B$5:$JB$48"")),GA$1,0)"),"")</f>
        <v/>
      </c>
      <c r="GB9" s="35" t="str">
        <f>IFERROR(__xludf.DUMMYFUNCTION("VLOOKUP($A$1,IMPORTRANGE($A$2, CONCATENATE($A9,""!$B$5:$JB$48"")),GB$1,0)"),"")</f>
        <v/>
      </c>
      <c r="GC9" s="35" t="str">
        <f>IFERROR(__xludf.DUMMYFUNCTION("VLOOKUP($A$1,IMPORTRANGE($A$2, CONCATENATE($A9,""!$B$5:$JB$48"")),GC$1,0)"),"")</f>
        <v/>
      </c>
      <c r="GD9" s="35" t="str">
        <f>IFERROR(__xludf.DUMMYFUNCTION("VLOOKUP($A$1,IMPORTRANGE($A$2, CONCATENATE($A9,""!$B$5:$JB$48"")),GD$1,0)"),"")</f>
        <v/>
      </c>
      <c r="GE9" s="35" t="str">
        <f>IFERROR(__xludf.DUMMYFUNCTION("VLOOKUP($A$1,IMPORTRANGE($A$2, CONCATENATE($A9,""!$B$5:$JB$48"")),GE$1,0)"),"")</f>
        <v/>
      </c>
      <c r="GF9" s="35" t="str">
        <f>IFERROR(__xludf.DUMMYFUNCTION("VLOOKUP($A$1,IMPORTRANGE($A$2, CONCATENATE($A9,""!$B$5:$JB$48"")),GF$1,0)"),"")</f>
        <v/>
      </c>
      <c r="GG9" s="35" t="str">
        <f>IFERROR(__xludf.DUMMYFUNCTION("VLOOKUP($A$1,IMPORTRANGE($A$2, CONCATENATE($A9,""!$B$5:$JB$48"")),GG$1,0)"),"")</f>
        <v/>
      </c>
      <c r="GH9" s="35" t="str">
        <f>IFERROR(__xludf.DUMMYFUNCTION("VLOOKUP($A$1,IMPORTRANGE($A$2, CONCATENATE($A9,""!$B$5:$JB$48"")),GH$1,0)"),"")</f>
        <v/>
      </c>
      <c r="GI9" s="35" t="str">
        <f>IFERROR(__xludf.DUMMYFUNCTION("VLOOKUP($A$1,IMPORTRANGE($A$2, CONCATENATE($A9,""!$B$5:$JB$48"")),GI$1,0)"),"")</f>
        <v/>
      </c>
      <c r="GJ9" s="35" t="str">
        <f>IFERROR(__xludf.DUMMYFUNCTION("VLOOKUP($A$1,IMPORTRANGE($A$2, CONCATENATE($A9,""!$B$5:$JB$48"")),GJ$1,0)"),"")</f>
        <v/>
      </c>
      <c r="GK9" s="35" t="str">
        <f>IFERROR(__xludf.DUMMYFUNCTION("VLOOKUP($A$1,IMPORTRANGE($A$2, CONCATENATE($A9,""!$B$5:$JB$48"")),GK$1,0)"),"")</f>
        <v/>
      </c>
      <c r="GL9" s="35" t="str">
        <f>IFERROR(__xludf.DUMMYFUNCTION("VLOOKUP($A$1,IMPORTRANGE($A$2, CONCATENATE($A9,""!$B$5:$JB$48"")),GL$1,0)"),"")</f>
        <v/>
      </c>
      <c r="GM9" s="35" t="str">
        <f>IFERROR(__xludf.DUMMYFUNCTION("VLOOKUP($A$1,IMPORTRANGE($A$2, CONCATENATE($A9,""!$B$5:$JB$48"")),GM$1,0)"),"")</f>
        <v/>
      </c>
      <c r="GN9" s="35" t="str">
        <f>IFERROR(__xludf.DUMMYFUNCTION("VLOOKUP($A$1,IMPORTRANGE($A$2, CONCATENATE($A9,""!$B$5:$JB$48"")),GN$1,0)"),"")</f>
        <v/>
      </c>
      <c r="GO9" s="35" t="str">
        <f>IFERROR(__xludf.DUMMYFUNCTION("VLOOKUP($A$1,IMPORTRANGE($A$2, CONCATENATE($A9,""!$B$5:$JB$48"")),GO$1,0)"),"")</f>
        <v/>
      </c>
      <c r="GP9" s="35" t="str">
        <f>IFERROR(__xludf.DUMMYFUNCTION("VLOOKUP($A$1,IMPORTRANGE($A$2, CONCATENATE($A9,""!$B$5:$JB$48"")),GP$1,0)"),"")</f>
        <v/>
      </c>
      <c r="GQ9" s="35" t="str">
        <f>IFERROR(__xludf.DUMMYFUNCTION("VLOOKUP($A$1,IMPORTRANGE($A$2, CONCATENATE($A9,""!$B$5:$JB$48"")),GQ$1,0)"),"")</f>
        <v/>
      </c>
      <c r="GR9" s="35" t="str">
        <f>IFERROR(__xludf.DUMMYFUNCTION("VLOOKUP($A$1,IMPORTRANGE($A$2, CONCATENATE($A9,""!$B$5:$JB$48"")),GR$1,0)"),"")</f>
        <v/>
      </c>
      <c r="GS9" s="35" t="str">
        <f>IFERROR(__xludf.DUMMYFUNCTION("VLOOKUP($A$1,IMPORTRANGE($A$2, CONCATENATE($A9,""!$B$5:$JB$48"")),GS$1,0)"),"")</f>
        <v/>
      </c>
      <c r="GT9" s="35" t="str">
        <f>IFERROR(__xludf.DUMMYFUNCTION("VLOOKUP($A$1,IMPORTRANGE($A$2, CONCATENATE($A9,""!$B$5:$JB$48"")),GT$1,0)"),"")</f>
        <v/>
      </c>
      <c r="GU9" s="35" t="str">
        <f>IFERROR(__xludf.DUMMYFUNCTION("VLOOKUP($A$1,IMPORTRANGE($A$2, CONCATENATE($A9,""!$B$5:$JB$48"")),GU$1,0)"),"")</f>
        <v/>
      </c>
      <c r="GV9" s="35" t="str">
        <f>IFERROR(__xludf.DUMMYFUNCTION("VLOOKUP($A$1,IMPORTRANGE($A$2, CONCATENATE($A9,""!$B$5:$JB$48"")),GV$1,0)"),"")</f>
        <v/>
      </c>
      <c r="GW9" s="35" t="str">
        <f>IFERROR(__xludf.DUMMYFUNCTION("VLOOKUP($A$1,IMPORTRANGE($A$2, CONCATENATE($A9,""!$B$5:$JB$48"")),GW$1,0)"),"")</f>
        <v/>
      </c>
      <c r="GX9" s="35" t="str">
        <f>IFERROR(__xludf.DUMMYFUNCTION("VLOOKUP($A$1,IMPORTRANGE($A$2, CONCATENATE($A9,""!$B$5:$JB$48"")),GX$1,0)"),"")</f>
        <v/>
      </c>
      <c r="GY9" s="35" t="str">
        <f>IFERROR(__xludf.DUMMYFUNCTION("VLOOKUP($A$1,IMPORTRANGE($A$2, CONCATENATE($A9,""!$B$5:$JB$48"")),GY$1,0)"),"")</f>
        <v/>
      </c>
      <c r="GZ9" s="35" t="str">
        <f>IFERROR(__xludf.DUMMYFUNCTION("VLOOKUP($A$1,IMPORTRANGE($A$2, CONCATENATE($A9,""!$B$5:$JB$48"")),GZ$1,0)"),"")</f>
        <v/>
      </c>
      <c r="HA9" s="35" t="str">
        <f>IFERROR(__xludf.DUMMYFUNCTION("VLOOKUP($A$1,IMPORTRANGE($A$2, CONCATENATE($A9,""!$B$5:$JB$48"")),HA$1,0)"),"")</f>
        <v/>
      </c>
      <c r="HB9" s="35" t="str">
        <f>IFERROR(__xludf.DUMMYFUNCTION("VLOOKUP($A$1,IMPORTRANGE($A$2, CONCATENATE($A9,""!$B$5:$JB$48"")),HB$1,0)"),"")</f>
        <v/>
      </c>
      <c r="HC9" s="35" t="str">
        <f>IFERROR(__xludf.DUMMYFUNCTION("VLOOKUP($A$1,IMPORTRANGE($A$2, CONCATENATE($A9,""!$B$5:$JB$48"")),HC$1,0)"),"")</f>
        <v/>
      </c>
      <c r="HD9" s="35" t="str">
        <f>IFERROR(__xludf.DUMMYFUNCTION("VLOOKUP($A$1,IMPORTRANGE($A$2, CONCATENATE($A9,""!$B$5:$JB$48"")),HD$1,0)"),"")</f>
        <v/>
      </c>
      <c r="HE9" s="35" t="str">
        <f>IFERROR(__xludf.DUMMYFUNCTION("VLOOKUP($A$1,IMPORTRANGE($A$2, CONCATENATE($A9,""!$B$5:$JB$48"")),HE$1,0)"),"")</f>
        <v/>
      </c>
      <c r="HF9" s="35" t="str">
        <f>IFERROR(__xludf.DUMMYFUNCTION("VLOOKUP($A$1,IMPORTRANGE($A$2, CONCATENATE($A9,""!$B$5:$JB$48"")),HF$1,0)"),"")</f>
        <v/>
      </c>
      <c r="HG9" s="35" t="str">
        <f>IFERROR(__xludf.DUMMYFUNCTION("VLOOKUP($A$1,IMPORTRANGE($A$2, CONCATENATE($A9,""!$B$5:$JB$48"")),HG$1,0)"),"")</f>
        <v/>
      </c>
      <c r="HH9" s="35" t="str">
        <f>IFERROR(__xludf.DUMMYFUNCTION("VLOOKUP($A$1,IMPORTRANGE($A$2, CONCATENATE($A9,""!$B$5:$JB$48"")),HH$1,0)"),"")</f>
        <v/>
      </c>
      <c r="HI9" s="35" t="str">
        <f>IFERROR(__xludf.DUMMYFUNCTION("VLOOKUP($A$1,IMPORTRANGE($A$2, CONCATENATE($A9,""!$B$5:$JB$48"")),HI$1,0)"),"")</f>
        <v/>
      </c>
      <c r="HJ9" s="35" t="str">
        <f>IFERROR(__xludf.DUMMYFUNCTION("VLOOKUP($A$1,IMPORTRANGE($A$2, CONCATENATE($A9,""!$B$5:$JB$48"")),HJ$1,0)"),"")</f>
        <v/>
      </c>
      <c r="HK9" s="35" t="str">
        <f>IFERROR(__xludf.DUMMYFUNCTION("VLOOKUP($A$1,IMPORTRANGE($A$2, CONCATENATE($A9,""!$B$5:$JB$48"")),HK$1,0)"),"")</f>
        <v/>
      </c>
      <c r="HL9" s="35" t="str">
        <f>IFERROR(__xludf.DUMMYFUNCTION("VLOOKUP($A$1,IMPORTRANGE($A$2, CONCATENATE($A9,""!$B$5:$JB$48"")),HL$1,0)"),"")</f>
        <v/>
      </c>
      <c r="HM9" s="35" t="str">
        <f>IFERROR(__xludf.DUMMYFUNCTION("VLOOKUP($A$1,IMPORTRANGE($A$2, CONCATENATE($A9,""!$B$5:$JB$48"")),HM$1,0)"),"")</f>
        <v/>
      </c>
      <c r="HN9" s="35" t="str">
        <f>IFERROR(__xludf.DUMMYFUNCTION("VLOOKUP($A$1,IMPORTRANGE($A$2, CONCATENATE($A9,""!$B$5:$JB$48"")),HN$1,0)"),"")</f>
        <v/>
      </c>
      <c r="HO9" s="35" t="str">
        <f>IFERROR(__xludf.DUMMYFUNCTION("VLOOKUP($A$1,IMPORTRANGE($A$2, CONCATENATE($A9,""!$B$5:$JB$48"")),HO$1,0)"),"")</f>
        <v/>
      </c>
      <c r="HP9" s="35" t="str">
        <f>IFERROR(__xludf.DUMMYFUNCTION("VLOOKUP($A$1,IMPORTRANGE($A$2, CONCATENATE($A9,""!$B$5:$JB$48"")),HP$1,0)"),"")</f>
        <v/>
      </c>
      <c r="HQ9" s="35" t="str">
        <f>IFERROR(__xludf.DUMMYFUNCTION("VLOOKUP($A$1,IMPORTRANGE($A$2, CONCATENATE($A9,""!$B$5:$JB$48"")),HQ$1,0)"),"")</f>
        <v/>
      </c>
      <c r="HR9" s="35" t="str">
        <f>IFERROR(__xludf.DUMMYFUNCTION("VLOOKUP($A$1,IMPORTRANGE($A$2, CONCATENATE($A9,""!$B$5:$JB$48"")),HR$1,0)"),"")</f>
        <v/>
      </c>
      <c r="HS9" s="35" t="str">
        <f>IFERROR(__xludf.DUMMYFUNCTION("VLOOKUP($A$1,IMPORTRANGE($A$2, CONCATENATE($A9,""!$B$5:$JB$48"")),HS$1,0)"),"")</f>
        <v/>
      </c>
      <c r="HT9" s="35" t="str">
        <f>IFERROR(__xludf.DUMMYFUNCTION("VLOOKUP($A$1,IMPORTRANGE($A$2, CONCATENATE($A9,""!$B$5:$JB$48"")),HT$1,0)"),"")</f>
        <v/>
      </c>
      <c r="HU9" s="35" t="str">
        <f>IFERROR(__xludf.DUMMYFUNCTION("VLOOKUP($A$1,IMPORTRANGE($A$2, CONCATENATE($A9,""!$B$5:$JB$48"")),HU$1,0)"),"")</f>
        <v/>
      </c>
      <c r="HV9" s="35" t="str">
        <f>IFERROR(__xludf.DUMMYFUNCTION("VLOOKUP($A$1,IMPORTRANGE($A$2, CONCATENATE($A9,""!$B$5:$JB$48"")),HV$1,0)"),"")</f>
        <v/>
      </c>
      <c r="HW9" s="35" t="str">
        <f>IFERROR(__xludf.DUMMYFUNCTION("VLOOKUP($A$1,IMPORTRANGE($A$2, CONCATENATE($A9,""!$B$5:$JB$48"")),HW$1,0)"),"")</f>
        <v/>
      </c>
      <c r="HX9" s="35" t="str">
        <f>IFERROR(__xludf.DUMMYFUNCTION("VLOOKUP($A$1,IMPORTRANGE($A$2, CONCATENATE($A9,""!$B$5:$JB$48"")),HX$1,0)"),"")</f>
        <v/>
      </c>
      <c r="HY9" s="35" t="str">
        <f>IFERROR(__xludf.DUMMYFUNCTION("VLOOKUP($A$1,IMPORTRANGE($A$2, CONCATENATE($A9,""!$B$5:$JB$48"")),HY$1,0)"),"")</f>
        <v/>
      </c>
      <c r="HZ9" s="35" t="str">
        <f>IFERROR(__xludf.DUMMYFUNCTION("VLOOKUP($A$1,IMPORTRANGE($A$2, CONCATENATE($A9,""!$B$5:$JB$48"")),HZ$1,0)"),"")</f>
        <v/>
      </c>
      <c r="IA9" s="35" t="str">
        <f>IFERROR(__xludf.DUMMYFUNCTION("VLOOKUP($A$1,IMPORTRANGE($A$2, CONCATENATE($A9,""!$B$5:$JB$48"")),IA$1,0)"),"")</f>
        <v/>
      </c>
      <c r="IB9" s="35" t="str">
        <f>IFERROR(__xludf.DUMMYFUNCTION("VLOOKUP($A$1,IMPORTRANGE($A$2, CONCATENATE($A9,""!$B$5:$JB$48"")),IB$1,0)"),"")</f>
        <v/>
      </c>
      <c r="IC9" s="35" t="str">
        <f>IFERROR(__xludf.DUMMYFUNCTION("VLOOKUP($A$1,IMPORTRANGE($A$2, CONCATENATE($A9,""!$B$5:$JB$48"")),IC$1,0)"),"")</f>
        <v/>
      </c>
      <c r="ID9" s="35">
        <f>IFERROR(__xludf.DUMMYFUNCTION("VLOOKUP($A$1,IMPORTRANGE($A$2, CONCATENATE($A9,""!$B$5:$JB$48"")),ID$1,0)"),45906.0)</f>
        <v>45906</v>
      </c>
      <c r="IE9" s="35" t="str">
        <f>IFERROR(__xludf.DUMMYFUNCTION("VLOOKUP($A$1,IMPORTRANGE($A$2, CONCATENATE($A9,""!$B$5:$JB$48"")),IE$1,0)"),"Tengdoshlarim")</f>
        <v>Tengdoshlarim</v>
      </c>
      <c r="IF9" s="35" t="str">
        <f>IFERROR(__xludf.DUMMYFUNCTION("VLOOKUP($A$1,IMPORTRANGE($A$2, CONCATENATE($A9,""!$B$5:$JB$48"")),IF$1,0)"),"afrosiyob haqida ma`lumot")</f>
        <v>afrosiyob haqida ma`lumot</v>
      </c>
      <c r="IG9" s="35">
        <f>IFERROR(__xludf.DUMMYFUNCTION("VLOOKUP($A$1,IMPORTRANGE($A$2, CONCATENATE($A9,""!$B$5:$JB$48"")),IG$1,0)"),45976.0)</f>
        <v>45976</v>
      </c>
      <c r="IH9" s="35" t="str">
        <f>IFERROR(__xludf.DUMMYFUNCTION("VLOOKUP($A$1,IMPORTRANGE($A$2, CONCATENATE($A9,""!$B$5:$JB$48"")),IH$1,0)"),"Tezyurar poyezd")</f>
        <v>Tezyurar poyezd</v>
      </c>
      <c r="II9" s="35" t="str">
        <f>IFERROR(__xludf.DUMMYFUNCTION("VLOOKUP($A$1,IMPORTRANGE($A$2, CONCATENATE($A9,""!$B$5:$JB$48"")),II$1,0)"),"5-mashq, 64-bet")</f>
        <v>5-mashq, 64-bet</v>
      </c>
      <c r="IJ9" s="35">
        <f>IFERROR(__xludf.DUMMYFUNCTION("VLOOKUP($A$1,IMPORTRANGE($A$2, CONCATENATE($A9,""!$B$5:$JB$48"")),IJ$1,0)"),46039.0)</f>
        <v>46039</v>
      </c>
      <c r="IK9" s="35" t="str">
        <f>IFERROR(__xludf.DUMMYFUNCTION("VLOOKUP($A$1,IMPORTRANGE($A$2, CONCATENATE($A9,""!$B$5:$JB$48"")),IK$1,0)"),"Sehrli tomchilar")</f>
        <v>Sehrli tomchilar</v>
      </c>
      <c r="IL9" s="35" t="str">
        <f>IFERROR(__xludf.DUMMYFUNCTION("VLOOKUP($A$1,IMPORTRANGE($A$2, CONCATENATE($A9,""!$B$5:$JB$48"")),IL$1,0)"),"92-bet, 4-mashq tarjima")</f>
        <v>92-bet, 4-mashq tarjima</v>
      </c>
      <c r="IM9" s="35" t="str">
        <f>IFERROR(__xludf.DUMMYFUNCTION("VLOOKUP($A$1,IMPORTRANGE($A$2, CONCATENATE($A9,""!$B$5:$JB$48"")),IM$1,0)"),"")</f>
        <v/>
      </c>
      <c r="IN9" s="35" t="str">
        <f>IFERROR(__xludf.DUMMYFUNCTION("VLOOKUP($A$1,IMPORTRANGE($A$2, CONCATENATE($A9,""!$B$5:$JB$48"")),IN$1,0)"),"")</f>
        <v/>
      </c>
      <c r="IO9" s="35" t="str">
        <f>IFERROR(__xludf.DUMMYFUNCTION("VLOOKUP($A$1,IMPORTRANGE($A$2, CONCATENATE($A9,""!$B$5:$JB$48"")),IO$1,0)"),"")</f>
        <v/>
      </c>
      <c r="IP9" s="35" t="str">
        <f>IFERROR(__xludf.DUMMYFUNCTION("VLOOKUP($A$1,IMPORTRANGE($A$2, CONCATENATE($A9,""!$B$5:$JB$48"")),IP$1,0)"),"#REF!")</f>
        <v>#REF!</v>
      </c>
      <c r="IQ9" s="35" t="str">
        <f>IFERROR(__xludf.DUMMYFUNCTION("VLOOKUP($A$1,IMPORTRANGE($A$2, CONCATENATE($A9,""!$B$5:$JB$48"")),IQ$1,0)"),"#REF!")</f>
        <v>#REF!</v>
      </c>
      <c r="IR9" s="35" t="str">
        <f>IFERROR(__xludf.DUMMYFUNCTION("VLOOKUP($A$1,IMPORTRANGE($A$2, CONCATENATE($A9,""!$B$5:$JB$48"")),IR$1,0)"),"#REF!")</f>
        <v>#REF!</v>
      </c>
      <c r="IS9" s="35" t="str">
        <f>IFERROR(__xludf.DUMMYFUNCTION("VLOOKUP($A$1,IMPORTRANGE($A$2, CONCATENATE($A9,""!$B$5:$JB$48"")),IS$1,0)"),"#REF!")</f>
        <v>#REF!</v>
      </c>
      <c r="IT9" s="35" t="str">
        <f>IFERROR(__xludf.DUMMYFUNCTION("VLOOKUP($A$1,IMPORTRANGE($A$2, CONCATENATE($A9,""!$B$5:$JB$48"")),IT$1,0)"),"#REF!")</f>
        <v>#REF!</v>
      </c>
      <c r="IU9" s="35" t="str">
        <f>IFERROR(__xludf.DUMMYFUNCTION("VLOOKUP($A$1,IMPORTRANGE($A$2, CONCATENATE($A9,""!$B$5:$JB$48"")),IU$1,0)"),"#REF!")</f>
        <v>#REF!</v>
      </c>
      <c r="IV9" s="35" t="str">
        <f>IFERROR(__xludf.DUMMYFUNCTION("VLOOKUP($A$1,IMPORTRANGE($A$2, CONCATENATE($A9,""!$B$5:$JB$48"")),IV$1,0)"),"#REF!")</f>
        <v>#REF!</v>
      </c>
      <c r="IW9" s="35" t="str">
        <f>IFERROR(__xludf.DUMMYFUNCTION("VLOOKUP($A$1,IMPORTRANGE($A$2, CONCATENATE($A9,""!$B$5:$JB$48"")),IW$1,0)"),"#REF!")</f>
        <v>#REF!</v>
      </c>
      <c r="IX9" s="35" t="str">
        <f>IFERROR(__xludf.DUMMYFUNCTION("VLOOKUP($A$1,IMPORTRANGE($A$2, CONCATENATE($A9,""!$B$5:$JB$48"")),IX$1,0)"),"#REF!")</f>
        <v>#REF!</v>
      </c>
      <c r="IY9" s="35" t="str">
        <f>IFERROR(__xludf.DUMMYFUNCTION("VLOOKUP($A$1,IMPORTRANGE($A$2, CONCATENATE($A9,""!$B$5:$JB$48"")),IY$1,0)"),"#REF!")</f>
        <v>#REF!</v>
      </c>
      <c r="IZ9" s="35" t="str">
        <f>IFERROR(__xludf.DUMMYFUNCTION("VLOOKUP($A$1,IMPORTRANGE($A$2, CONCATENATE($A9,""!$B$5:$JB$48"")),IZ$1,0)"),"#REF!")</f>
        <v>#REF!</v>
      </c>
      <c r="JA9" s="35" t="str">
        <f>IFERROR(__xludf.DUMMYFUNCTION("VLOOKUP($A$1,IMPORTRANGE($A$2, CONCATENATE($A9,""!$B$5:$JB$48"")),JA$1,0)"),"#REF!")</f>
        <v>#REF!</v>
      </c>
      <c r="JB9" s="35"/>
      <c r="JC9" s="35"/>
      <c r="JD9" s="35"/>
      <c r="JE9" s="35"/>
    </row>
    <row r="10">
      <c r="A10" s="41"/>
      <c r="B10" s="29"/>
      <c r="C10" s="37"/>
      <c r="D10" s="38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</row>
    <row r="11">
      <c r="A11" s="39"/>
      <c r="B11" s="32">
        <f>IFERROR(__xludf.DUMMYFUNCTION("IMPORTRANGE($A$2, CONCATENATE($A12,""!C4:JB4""))"),45902.0)</f>
        <v>45902</v>
      </c>
      <c r="C11" s="32">
        <f>IFERROR(__xludf.DUMMYFUNCTION("""COMPUTED_VALUE"""),45903.0)</f>
        <v>45903</v>
      </c>
      <c r="D11" s="32">
        <f>IFERROR(__xludf.DUMMYFUNCTION("""COMPUTED_VALUE"""),45904.0)</f>
        <v>45904</v>
      </c>
      <c r="E11" s="32">
        <f>IFERROR(__xludf.DUMMYFUNCTION("""COMPUTED_VALUE"""),45905.0)</f>
        <v>45905</v>
      </c>
      <c r="F11" s="32">
        <f>IFERROR(__xludf.DUMMYFUNCTION("""COMPUTED_VALUE"""),45909.0)</f>
        <v>45909</v>
      </c>
      <c r="G11" s="32"/>
      <c r="H11" s="32"/>
      <c r="I11" s="32">
        <f>IFERROR(__xludf.DUMMYFUNCTION("""COMPUTED_VALUE"""),45910.0)</f>
        <v>45910</v>
      </c>
      <c r="J11" s="32">
        <f>IFERROR(__xludf.DUMMYFUNCTION("""COMPUTED_VALUE"""),45911.0)</f>
        <v>45911</v>
      </c>
      <c r="K11" s="32">
        <f>IFERROR(__xludf.DUMMYFUNCTION("""COMPUTED_VALUE"""),45912.0)</f>
        <v>45912</v>
      </c>
      <c r="L11" s="32">
        <f>IFERROR(__xludf.DUMMYFUNCTION("""COMPUTED_VALUE"""),45917.0)</f>
        <v>45917</v>
      </c>
      <c r="M11" s="32">
        <f>IFERROR(__xludf.DUMMYFUNCTION("""COMPUTED_VALUE"""),45918.0)</f>
        <v>45918</v>
      </c>
      <c r="N11" s="32"/>
      <c r="O11" s="32"/>
      <c r="P11" s="32">
        <f>IFERROR(__xludf.DUMMYFUNCTION("""COMPUTED_VALUE"""),45919.0)</f>
        <v>45919</v>
      </c>
      <c r="Q11" s="32">
        <f>IFERROR(__xludf.DUMMYFUNCTION("""COMPUTED_VALUE"""),45920.0)</f>
        <v>45920</v>
      </c>
      <c r="R11" s="32">
        <f>IFERROR(__xludf.DUMMYFUNCTION("""COMPUTED_VALUE"""),45924.0)</f>
        <v>45924</v>
      </c>
      <c r="S11" s="32">
        <f>IFERROR(__xludf.DUMMYFUNCTION("""COMPUTED_VALUE"""),45925.0)</f>
        <v>45925</v>
      </c>
      <c r="T11" s="32">
        <f>IFERROR(__xludf.DUMMYFUNCTION("""COMPUTED_VALUE"""),45926.0)</f>
        <v>45926</v>
      </c>
      <c r="U11" s="32"/>
      <c r="V11" s="32"/>
      <c r="W11" s="32">
        <f>IFERROR(__xludf.DUMMYFUNCTION("""COMPUTED_VALUE"""),45927.0)</f>
        <v>45927</v>
      </c>
      <c r="X11" s="32">
        <f>IFERROR(__xludf.DUMMYFUNCTION("""COMPUTED_VALUE"""),45932.0)</f>
        <v>45932</v>
      </c>
      <c r="Y11" s="32">
        <f>IFERROR(__xludf.DUMMYFUNCTION("""COMPUTED_VALUE"""),45933.0)</f>
        <v>45933</v>
      </c>
      <c r="Z11" s="32">
        <f>IFERROR(__xludf.DUMMYFUNCTION("""COMPUTED_VALUE"""),45934.0)</f>
        <v>45934</v>
      </c>
      <c r="AA11" s="32">
        <f>IFERROR(__xludf.DUMMYFUNCTION("""COMPUTED_VALUE"""),45937.0)</f>
        <v>45937</v>
      </c>
      <c r="AB11" s="32"/>
      <c r="AC11" s="32"/>
      <c r="AD11" s="32">
        <f>IFERROR(__xludf.DUMMYFUNCTION("""COMPUTED_VALUE"""),45938.0)</f>
        <v>45938</v>
      </c>
      <c r="AE11" s="32">
        <f>IFERROR(__xludf.DUMMYFUNCTION("""COMPUTED_VALUE"""),45939.0)</f>
        <v>45939</v>
      </c>
      <c r="AF11" s="32">
        <f>IFERROR(__xludf.DUMMYFUNCTION("""COMPUTED_VALUE"""),45940.0)</f>
        <v>45940</v>
      </c>
      <c r="AG11" s="32">
        <f>IFERROR(__xludf.DUMMYFUNCTION("""COMPUTED_VALUE"""),45944.0)</f>
        <v>45944</v>
      </c>
      <c r="AH11" s="32">
        <f>IFERROR(__xludf.DUMMYFUNCTION("""COMPUTED_VALUE"""),45945.0)</f>
        <v>45945</v>
      </c>
      <c r="AI11" s="32"/>
      <c r="AJ11" s="32"/>
      <c r="AK11" s="32">
        <f>IFERROR(__xludf.DUMMYFUNCTION("""COMPUTED_VALUE"""),45946.0)</f>
        <v>45946</v>
      </c>
      <c r="AL11" s="32">
        <f>IFERROR(__xludf.DUMMYFUNCTION("""COMPUTED_VALUE"""),45947.0)</f>
        <v>45947</v>
      </c>
      <c r="AM11" s="32">
        <f>IFERROR(__xludf.DUMMYFUNCTION("""COMPUTED_VALUE"""),45951.0)</f>
        <v>45951</v>
      </c>
      <c r="AN11" s="32">
        <f>IFERROR(__xludf.DUMMYFUNCTION("""COMPUTED_VALUE"""),45952.0)</f>
        <v>45952</v>
      </c>
      <c r="AO11" s="32">
        <f>IFERROR(__xludf.DUMMYFUNCTION("""COMPUTED_VALUE"""),45953.0)</f>
        <v>45953</v>
      </c>
      <c r="AP11" s="32"/>
      <c r="AQ11" s="32"/>
      <c r="AR11" s="32">
        <f>IFERROR(__xludf.DUMMYFUNCTION("""COMPUTED_VALUE"""),45954.0)</f>
        <v>45954</v>
      </c>
      <c r="AS11" s="32">
        <f>IFERROR(__xludf.DUMMYFUNCTION("""COMPUTED_VALUE"""),45958.0)</f>
        <v>45958</v>
      </c>
      <c r="AT11" s="32">
        <f>IFERROR(__xludf.DUMMYFUNCTION("""COMPUTED_VALUE"""),45959.0)</f>
        <v>45959</v>
      </c>
      <c r="AU11" s="32">
        <f>IFERROR(__xludf.DUMMYFUNCTION("""COMPUTED_VALUE"""),45960.0)</f>
        <v>45960</v>
      </c>
      <c r="AV11" s="32">
        <f>IFERROR(__xludf.DUMMYFUNCTION("""COMPUTED_VALUE"""),45961.0)</f>
        <v>45961</v>
      </c>
      <c r="AW11" s="32"/>
      <c r="AX11" s="32"/>
      <c r="AY11" s="32" t="str">
        <f>IFERROR(__xludf.DUMMYFUNCTION("""COMPUTED_VALUE"""),"1 четверть")</f>
        <v>1 четверть</v>
      </c>
      <c r="AZ11" s="32">
        <f>IFERROR(__xludf.DUMMYFUNCTION("""COMPUTED_VALUE"""),45973.0)</f>
        <v>45973</v>
      </c>
      <c r="BA11" s="32">
        <f>IFERROR(__xludf.DUMMYFUNCTION("""COMPUTED_VALUE"""),45974.0)</f>
        <v>45974</v>
      </c>
      <c r="BB11" s="32">
        <f>IFERROR(__xludf.DUMMYFUNCTION("""COMPUTED_VALUE"""),45975.0)</f>
        <v>45975</v>
      </c>
      <c r="BC11" s="32">
        <f>IFERROR(__xludf.DUMMYFUNCTION("""COMPUTED_VALUE"""),45976.0)</f>
        <v>45976</v>
      </c>
      <c r="BD11" s="32">
        <f>IFERROR(__xludf.DUMMYFUNCTION("""COMPUTED_VALUE"""),45980.0)</f>
        <v>45980</v>
      </c>
      <c r="BE11" s="32">
        <f>IFERROR(__xludf.DUMMYFUNCTION("""COMPUTED_VALUE"""),45981.0)</f>
        <v>45981</v>
      </c>
      <c r="BF11" s="32">
        <f>IFERROR(__xludf.DUMMYFUNCTION("""COMPUTED_VALUE"""),45982.0)</f>
        <v>45982</v>
      </c>
      <c r="BG11" s="32">
        <f>IFERROR(__xludf.DUMMYFUNCTION("""COMPUTED_VALUE"""),45983.0)</f>
        <v>45983</v>
      </c>
      <c r="BH11" s="32">
        <f>IFERROR(__xludf.DUMMYFUNCTION("""COMPUTED_VALUE"""),45987.0)</f>
        <v>45987</v>
      </c>
      <c r="BI11" s="32">
        <f>IFERROR(__xludf.DUMMYFUNCTION("""COMPUTED_VALUE"""),45988.0)</f>
        <v>45988</v>
      </c>
      <c r="BJ11" s="32"/>
      <c r="BK11" s="32"/>
      <c r="BL11" s="32">
        <f>IFERROR(__xludf.DUMMYFUNCTION("""COMPUTED_VALUE"""),45989.0)</f>
        <v>45989</v>
      </c>
      <c r="BM11" s="32">
        <f>IFERROR(__xludf.DUMMYFUNCTION("""COMPUTED_VALUE"""),45990.0)</f>
        <v>45990</v>
      </c>
      <c r="BN11" s="32">
        <f>IFERROR(__xludf.DUMMYFUNCTION("""COMPUTED_VALUE"""),45993.0)</f>
        <v>45993</v>
      </c>
      <c r="BO11" s="32">
        <f>IFERROR(__xludf.DUMMYFUNCTION("""COMPUTED_VALUE"""),45994.0)</f>
        <v>45994</v>
      </c>
      <c r="BP11" s="32">
        <f>IFERROR(__xludf.DUMMYFUNCTION("""COMPUTED_VALUE"""),45995.0)</f>
        <v>45995</v>
      </c>
      <c r="BQ11" s="32"/>
      <c r="BR11" s="32"/>
      <c r="BS11" s="32">
        <f>IFERROR(__xludf.DUMMYFUNCTION("""COMPUTED_VALUE"""),45996.0)</f>
        <v>45996</v>
      </c>
      <c r="BT11" s="32">
        <f>IFERROR(__xludf.DUMMYFUNCTION("""COMPUTED_VALUE"""),46001.0)</f>
        <v>46001</v>
      </c>
      <c r="BU11" s="32">
        <f>IFERROR(__xludf.DUMMYFUNCTION("""COMPUTED_VALUE"""),46002.0)</f>
        <v>46002</v>
      </c>
      <c r="BV11" s="32">
        <f>IFERROR(__xludf.DUMMYFUNCTION("""COMPUTED_VALUE"""),46003.0)</f>
        <v>46003</v>
      </c>
      <c r="BW11" s="32">
        <f>IFERROR(__xludf.DUMMYFUNCTION("""COMPUTED_VALUE"""),46004.0)</f>
        <v>46004</v>
      </c>
      <c r="BX11" s="32"/>
      <c r="BY11" s="32"/>
      <c r="BZ11" s="32">
        <f>IFERROR(__xludf.DUMMYFUNCTION("""COMPUTED_VALUE"""),46008.0)</f>
        <v>46008</v>
      </c>
      <c r="CA11" s="32">
        <f>IFERROR(__xludf.DUMMYFUNCTION("""COMPUTED_VALUE"""),46009.0)</f>
        <v>46009</v>
      </c>
      <c r="CB11" s="32">
        <f>IFERROR(__xludf.DUMMYFUNCTION("""COMPUTED_VALUE"""),46010.0)</f>
        <v>46010</v>
      </c>
      <c r="CC11" s="32">
        <f>IFERROR(__xludf.DUMMYFUNCTION("""COMPUTED_VALUE"""),46011.0)</f>
        <v>46011</v>
      </c>
      <c r="CD11" s="32">
        <f>IFERROR(__xludf.DUMMYFUNCTION("""COMPUTED_VALUE"""),46015.0)</f>
        <v>46015</v>
      </c>
      <c r="CE11" s="32"/>
      <c r="CF11" s="32"/>
      <c r="CG11" s="32">
        <f>IFERROR(__xludf.DUMMYFUNCTION("""COMPUTED_VALUE"""),46016.0)</f>
        <v>46016</v>
      </c>
      <c r="CH11" s="32">
        <f>IFERROR(__xludf.DUMMYFUNCTION("""COMPUTED_VALUE"""),46017.0)</f>
        <v>46017</v>
      </c>
      <c r="CI11" s="32">
        <f>IFERROR(__xludf.DUMMYFUNCTION("""COMPUTED_VALUE"""),46018.0)</f>
        <v>46018</v>
      </c>
      <c r="CJ11" s="32" t="str">
        <f>IFERROR(__xludf.DUMMYFUNCTION("""COMPUTED_VALUE"""),"2 четверть")</f>
        <v>2 четверть</v>
      </c>
      <c r="CK11" s="32">
        <f>IFERROR(__xludf.DUMMYFUNCTION("""COMPUTED_VALUE"""),46036.0)</f>
        <v>46036</v>
      </c>
      <c r="CL11" s="32">
        <f>IFERROR(__xludf.DUMMYFUNCTION("""COMPUTED_VALUE"""),46037.0)</f>
        <v>46037</v>
      </c>
      <c r="CM11" s="32">
        <f>IFERROR(__xludf.DUMMYFUNCTION("""COMPUTED_VALUE"""),46038.0)</f>
        <v>46038</v>
      </c>
      <c r="CN11" s="32"/>
      <c r="CO11" s="32"/>
      <c r="CP11" s="32">
        <f>IFERROR(__xludf.DUMMYFUNCTION("""COMPUTED_VALUE"""),46038.0)</f>
        <v>46038</v>
      </c>
      <c r="CQ11" s="32">
        <f>IFERROR(__xludf.DUMMYFUNCTION("""COMPUTED_VALUE"""),46043.0)</f>
        <v>46043</v>
      </c>
      <c r="CR11" s="32">
        <f>IFERROR(__xludf.DUMMYFUNCTION("""COMPUTED_VALUE"""),46044.0)</f>
        <v>46044</v>
      </c>
      <c r="CS11" s="32">
        <f>IFERROR(__xludf.DUMMYFUNCTION("""COMPUTED_VALUE"""),46045.0)</f>
        <v>46045</v>
      </c>
      <c r="CT11" s="32">
        <f>IFERROR(__xludf.DUMMYFUNCTION("""COMPUTED_VALUE"""),46045.0)</f>
        <v>46045</v>
      </c>
      <c r="CU11" s="32">
        <f>IFERROR(__xludf.DUMMYFUNCTION("""COMPUTED_VALUE"""),46045.0)</f>
        <v>46045</v>
      </c>
      <c r="CV11" s="32"/>
      <c r="CW11" s="32">
        <f>IFERROR(__xludf.DUMMYFUNCTION("""COMPUTED_VALUE"""),46050.0)</f>
        <v>46050</v>
      </c>
      <c r="CX11" s="32">
        <f>IFERROR(__xludf.DUMMYFUNCTION("""COMPUTED_VALUE"""),46051.0)</f>
        <v>46051</v>
      </c>
      <c r="CY11" s="32">
        <f>IFERROR(__xludf.DUMMYFUNCTION("""COMPUTED_VALUE"""),46052.0)</f>
        <v>46052</v>
      </c>
      <c r="CZ11" s="32">
        <f>IFERROR(__xludf.DUMMYFUNCTION("""COMPUTED_VALUE"""),46052.0)</f>
        <v>46052</v>
      </c>
      <c r="DA11" s="32">
        <f>IFERROR(__xludf.DUMMYFUNCTION("""COMPUTED_VALUE"""),46057.0)</f>
        <v>46057</v>
      </c>
      <c r="DB11" s="32"/>
      <c r="DC11" s="32"/>
      <c r="DD11" s="32">
        <f>IFERROR(__xludf.DUMMYFUNCTION("""COMPUTED_VALUE"""),46058.0)</f>
        <v>46058</v>
      </c>
      <c r="DE11" s="32">
        <f>IFERROR(__xludf.DUMMYFUNCTION("""COMPUTED_VALUE"""),46059.0)</f>
        <v>46059</v>
      </c>
      <c r="DF11" s="32">
        <f>IFERROR(__xludf.DUMMYFUNCTION("""COMPUTED_VALUE"""),46059.0)</f>
        <v>46059</v>
      </c>
      <c r="DG11" s="32">
        <f>IFERROR(__xludf.DUMMYFUNCTION("""COMPUTED_VALUE"""),46064.0)</f>
        <v>46064</v>
      </c>
      <c r="DH11" s="32">
        <f>IFERROR(__xludf.DUMMYFUNCTION("""COMPUTED_VALUE"""),46065.0)</f>
        <v>46065</v>
      </c>
      <c r="DI11" s="32"/>
      <c r="DJ11" s="32"/>
      <c r="DK11" s="32">
        <f>IFERROR(__xludf.DUMMYFUNCTION("""COMPUTED_VALUE"""),46066.0)</f>
        <v>46066</v>
      </c>
      <c r="DL11" s="32">
        <f>IFERROR(__xludf.DUMMYFUNCTION("""COMPUTED_VALUE"""),46066.0)</f>
        <v>46066</v>
      </c>
      <c r="DM11" s="32">
        <f>IFERROR(__xludf.DUMMYFUNCTION("""COMPUTED_VALUE"""),46071.0)</f>
        <v>46071</v>
      </c>
      <c r="DN11" s="32">
        <f>IFERROR(__xludf.DUMMYFUNCTION("""COMPUTED_VALUE"""),46072.0)</f>
        <v>46072</v>
      </c>
      <c r="DO11" s="32">
        <f>IFERROR(__xludf.DUMMYFUNCTION("""COMPUTED_VALUE"""),46073.0)</f>
        <v>46073</v>
      </c>
      <c r="DP11" s="32"/>
      <c r="DQ11" s="32"/>
      <c r="DR11" s="32">
        <f>IFERROR(__xludf.DUMMYFUNCTION("""COMPUTED_VALUE"""),46073.0)</f>
        <v>46073</v>
      </c>
      <c r="DS11" s="32">
        <f>IFERROR(__xludf.DUMMYFUNCTION("""COMPUTED_VALUE"""),46078.0)</f>
        <v>46078</v>
      </c>
      <c r="DT11" s="32">
        <f>IFERROR(__xludf.DUMMYFUNCTION("""COMPUTED_VALUE"""),46079.0)</f>
        <v>46079</v>
      </c>
      <c r="DU11" s="32">
        <f>IFERROR(__xludf.DUMMYFUNCTION("""COMPUTED_VALUE"""),46080.0)</f>
        <v>46080</v>
      </c>
      <c r="DV11" s="32">
        <f>IFERROR(__xludf.DUMMYFUNCTION("""COMPUTED_VALUE"""),46080.0)</f>
        <v>46080</v>
      </c>
      <c r="DW11" s="32"/>
      <c r="DX11" s="32"/>
      <c r="DY11" s="32">
        <f>IFERROR(__xludf.DUMMYFUNCTION("""COMPUTED_VALUE"""),46085.0)</f>
        <v>46085</v>
      </c>
      <c r="DZ11" s="32">
        <f>IFERROR(__xludf.DUMMYFUNCTION("""COMPUTED_VALUE"""),46086.0)</f>
        <v>46086</v>
      </c>
      <c r="EA11" s="32">
        <f>IFERROR(__xludf.DUMMYFUNCTION("""COMPUTED_VALUE"""),46087.0)</f>
        <v>46087</v>
      </c>
      <c r="EB11" s="32">
        <f>IFERROR(__xludf.DUMMYFUNCTION("""COMPUTED_VALUE"""),46087.0)</f>
        <v>46087</v>
      </c>
      <c r="EC11" s="32">
        <f>IFERROR(__xludf.DUMMYFUNCTION("""COMPUTED_VALUE"""),46092.0)</f>
        <v>46092</v>
      </c>
      <c r="ED11" s="32"/>
      <c r="EE11" s="32"/>
      <c r="EF11" s="32">
        <f>IFERROR(__xludf.DUMMYFUNCTION("""COMPUTED_VALUE"""),46093.0)</f>
        <v>46093</v>
      </c>
      <c r="EG11" s="32">
        <f>IFERROR(__xludf.DUMMYFUNCTION("""COMPUTED_VALUE"""),46094.0)</f>
        <v>46094</v>
      </c>
      <c r="EH11" s="32">
        <f>IFERROR(__xludf.DUMMYFUNCTION("""COMPUTED_VALUE"""),46094.0)</f>
        <v>46094</v>
      </c>
      <c r="EI11" s="32">
        <f>IFERROR(__xludf.DUMMYFUNCTION("""COMPUTED_VALUE"""),46099.0)</f>
        <v>46099</v>
      </c>
      <c r="EJ11" s="32">
        <f>IFERROR(__xludf.DUMMYFUNCTION("""COMPUTED_VALUE"""),46099.0)</f>
        <v>46099</v>
      </c>
      <c r="EK11" s="32">
        <f>IFERROR(__xludf.DUMMYFUNCTION("""COMPUTED_VALUE"""),46100.0)</f>
        <v>46100</v>
      </c>
      <c r="EL11" s="32">
        <f>IFERROR(__xludf.DUMMYFUNCTION("""COMPUTED_VALUE"""),46100.0)</f>
        <v>46100</v>
      </c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 t="str">
        <f>IFERROR(__xludf.DUMMYFUNCTION("""COMPUTED_VALUE"""),"3 четверть")</f>
        <v>3 четверть</v>
      </c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 t="str">
        <f>IFERROR(__xludf.DUMMYFUNCTION("""COMPUTED_VALUE"""),"4 четверть")</f>
        <v>4 четверть</v>
      </c>
      <c r="HP11" s="32" t="str">
        <f>IFERROR(__xludf.DUMMYFUNCTION("""COMPUTED_VALUE"""),"год")</f>
        <v>год</v>
      </c>
      <c r="HQ11" s="32" t="str">
        <f>IFERROR(__xludf.DUMMYFUNCTION("""COMPUTED_VALUE"""),"рейтинг")</f>
        <v>рейтинг</v>
      </c>
      <c r="HR11" s="32"/>
      <c r="HS11" s="32"/>
      <c r="HT11" s="32" t="str">
        <f>IFERROR(__xludf.DUMMYFUNCTION("""COMPUTED_VALUE"""),"Дата")</f>
        <v>Дата</v>
      </c>
      <c r="HU11" s="32" t="str">
        <f>IFERROR(__xludf.DUMMYFUNCTION("""COMPUTED_VALUE"""),"Тема урока")</f>
        <v>Тема урока</v>
      </c>
      <c r="HV11" s="32" t="str">
        <f>IFERROR(__xludf.DUMMYFUNCTION("""COMPUTED_VALUE"""),"Домашнее задание")</f>
        <v>Домашнее задание</v>
      </c>
      <c r="HW11" s="32" t="str">
        <f>IFERROR(__xludf.DUMMYFUNCTION("""COMPUTED_VALUE"""),"Дата")</f>
        <v>Дата</v>
      </c>
      <c r="HX11" s="32" t="str">
        <f>IFERROR(__xludf.DUMMYFUNCTION("""COMPUTED_VALUE"""),"Тема урока")</f>
        <v>Тема урока</v>
      </c>
      <c r="HY11" s="32" t="str">
        <f>IFERROR(__xludf.DUMMYFUNCTION("""COMPUTED_VALUE"""),"Домашнее задание")</f>
        <v>Домашнее задание</v>
      </c>
      <c r="HZ11" s="32" t="str">
        <f>IFERROR(__xludf.DUMMYFUNCTION("""COMPUTED_VALUE"""),"Дата")</f>
        <v>Дата</v>
      </c>
      <c r="IA11" s="32" t="str">
        <f>IFERROR(__xludf.DUMMYFUNCTION("""COMPUTED_VALUE"""),"Тема урока")</f>
        <v>Тема урока</v>
      </c>
      <c r="IB11" s="32" t="str">
        <f>IFERROR(__xludf.DUMMYFUNCTION("""COMPUTED_VALUE"""),"Домашнее задание")</f>
        <v>Домашнее задание</v>
      </c>
      <c r="IC11" s="32" t="str">
        <f>IFERROR(__xludf.DUMMYFUNCTION("""COMPUTED_VALUE"""),"Дата")</f>
        <v>Дата</v>
      </c>
      <c r="ID11" s="32" t="str">
        <f>IFERROR(__xludf.DUMMYFUNCTION("""COMPUTED_VALUE"""),"Тема урока")</f>
        <v>Тема урока</v>
      </c>
      <c r="IE11" s="32" t="str">
        <f>IFERROR(__xludf.DUMMYFUNCTION("""COMPUTED_VALUE"""),"Домашнее задание")</f>
        <v>Домашнее задание</v>
      </c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</row>
    <row r="12">
      <c r="A12" s="42" t="s">
        <v>280</v>
      </c>
      <c r="B12" s="35" t="str">
        <f>IFERROR(__xludf.DUMMYFUNCTION("VLOOKUP($A$1,IMPORTRANGE($A$2, CONCATENATE($A12,""!$B$5:$JB$48"")),B$1,0)"),"")</f>
        <v/>
      </c>
      <c r="C12" s="35">
        <f>IFERROR(__xludf.DUMMYFUNCTION("VLOOKUP($A$1,IMPORTRANGE($A$2, CONCATENATE($A12,""!$B$5:$JB$48"")),C$1,0)"),5.0)</f>
        <v>5</v>
      </c>
      <c r="D12" s="35" t="str">
        <f>IFERROR(__xludf.DUMMYFUNCTION("VLOOKUP($A$1,IMPORTRANGE($A$2, CONCATENATE($A12,""!$B$5:$JB$48"")),D$1,0)"),"")</f>
        <v/>
      </c>
      <c r="E12" s="35">
        <f>IFERROR(__xludf.DUMMYFUNCTION("VLOOKUP($A$1,IMPORTRANGE($A$2, CONCATENATE($A12,""!$B$5:$JB$48"")),E$1,0)"),2.0)</f>
        <v>2</v>
      </c>
      <c r="F12" s="35" t="str">
        <f>IFERROR(__xludf.DUMMYFUNCTION("VLOOKUP($A$1,IMPORTRANGE($A$2, CONCATENATE($A12,""!$B$5:$JB$48"")),F$1,0)"),"")</f>
        <v/>
      </c>
      <c r="G12" s="35" t="str">
        <f>IFERROR(__xludf.DUMMYFUNCTION("VLOOKUP($A$1,IMPORTRANGE($A$2, CONCATENATE($A12,""!$B$5:$JB$48"")),G$1,0)"),"")</f>
        <v/>
      </c>
      <c r="H12" s="35" t="str">
        <f>IFERROR(__xludf.DUMMYFUNCTION("VLOOKUP($A$1,IMPORTRANGE($A$2, CONCATENATE($A12,""!$B$5:$JB$48"")),H$1,0)"),"")</f>
        <v/>
      </c>
      <c r="I12" s="35">
        <f>IFERROR(__xludf.DUMMYFUNCTION("VLOOKUP($A$1,IMPORTRANGE($A$2, CONCATENATE($A12,""!$B$5:$JB$48"")),I$1,0)"),5.0)</f>
        <v>5</v>
      </c>
      <c r="J12" s="35" t="str">
        <f>IFERROR(__xludf.DUMMYFUNCTION("VLOOKUP($A$1,IMPORTRANGE($A$2, CONCATENATE($A12,""!$B$5:$JB$48"")),J$1,0)"),"")</f>
        <v/>
      </c>
      <c r="K12" s="35" t="str">
        <f>IFERROR(__xludf.DUMMYFUNCTION("VLOOKUP($A$1,IMPORTRANGE($A$2, CONCATENATE($A12,""!$B$5:$JB$48"")),K$1,0)"),"")</f>
        <v/>
      </c>
      <c r="L12" s="35" t="str">
        <f>IFERROR(__xludf.DUMMYFUNCTION("VLOOKUP($A$1,IMPORTRANGE($A$2, CONCATENATE($A12,""!$B$5:$JB$48"")),L$1,0)"),"")</f>
        <v/>
      </c>
      <c r="M12" s="35" t="str">
        <f>IFERROR(__xludf.DUMMYFUNCTION("VLOOKUP($A$1,IMPORTRANGE($A$2, CONCATENATE($A12,""!$B$5:$JB$48"")),M$1,0)"),"")</f>
        <v/>
      </c>
      <c r="N12" s="35" t="str">
        <f>IFERROR(__xludf.DUMMYFUNCTION("VLOOKUP($A$1,IMPORTRANGE($A$2, CONCATENATE($A12,""!$B$5:$JB$48"")),N$1,0)"),"")</f>
        <v/>
      </c>
      <c r="O12" s="35" t="str">
        <f>IFERROR(__xludf.DUMMYFUNCTION("VLOOKUP($A$1,IMPORTRANGE($A$2, CONCATENATE($A12,""!$B$5:$JB$48"")),O$1,0)"),"")</f>
        <v/>
      </c>
      <c r="P12" s="35">
        <f>IFERROR(__xludf.DUMMYFUNCTION("VLOOKUP($A$1,IMPORTRANGE($A$2, CONCATENATE($A12,""!$B$5:$JB$48"")),P$1,0)"),4.0)</f>
        <v>4</v>
      </c>
      <c r="Q12" s="35">
        <f>IFERROR(__xludf.DUMMYFUNCTION("VLOOKUP($A$1,IMPORTRANGE($A$2, CONCATENATE($A12,""!$B$5:$JB$48"")),Q$1,0)"),3.0)</f>
        <v>3</v>
      </c>
      <c r="R12" s="35" t="str">
        <f>IFERROR(__xludf.DUMMYFUNCTION("VLOOKUP($A$1,IMPORTRANGE($A$2, CONCATENATE($A12,""!$B$5:$JB$48"")),R$1,0)"),"")</f>
        <v/>
      </c>
      <c r="S12" s="35">
        <f>IFERROR(__xludf.DUMMYFUNCTION("VLOOKUP($A$1,IMPORTRANGE($A$2, CONCATENATE($A12,""!$B$5:$JB$48"")),S$1,0)"),3.0)</f>
        <v>3</v>
      </c>
      <c r="T12" s="35">
        <f>IFERROR(__xludf.DUMMYFUNCTION("VLOOKUP($A$1,IMPORTRANGE($A$2, CONCATENATE($A12,""!$B$5:$JB$48"")),T$1,0)"),3.0)</f>
        <v>3</v>
      </c>
      <c r="U12" s="35" t="str">
        <f>IFERROR(__xludf.DUMMYFUNCTION("VLOOKUP($A$1,IMPORTRANGE($A$2, CONCATENATE($A12,""!$B$5:$JB$48"")),U$1,0)"),"")</f>
        <v/>
      </c>
      <c r="V12" s="35" t="str">
        <f>IFERROR(__xludf.DUMMYFUNCTION("VLOOKUP($A$1,IMPORTRANGE($A$2, CONCATENATE($A12,""!$B$5:$JB$48"")),V$1,0)"),"")</f>
        <v/>
      </c>
      <c r="W12" s="35" t="str">
        <f>IFERROR(__xludf.DUMMYFUNCTION("VLOOKUP($A$1,IMPORTRANGE($A$2, CONCATENATE($A12,""!$B$5:$JB$48"")),W$1,0)"),"")</f>
        <v/>
      </c>
      <c r="X12" s="35">
        <f>IFERROR(__xludf.DUMMYFUNCTION("VLOOKUP($A$1,IMPORTRANGE($A$2, CONCATENATE($A12,""!$B$5:$JB$48"")),X$1,0)"),3.0)</f>
        <v>3</v>
      </c>
      <c r="Y12" s="35">
        <f>IFERROR(__xludf.DUMMYFUNCTION("VLOOKUP($A$1,IMPORTRANGE($A$2, CONCATENATE($A12,""!$B$5:$JB$48"")),Y$1,0)"),5.0)</f>
        <v>5</v>
      </c>
      <c r="Z12" s="35" t="str">
        <f>IFERROR(__xludf.DUMMYFUNCTION("VLOOKUP($A$1,IMPORTRANGE($A$2, CONCATENATE($A12,""!$B$5:$JB$48"")),Z$1,0)"),"")</f>
        <v/>
      </c>
      <c r="AA12" s="35" t="str">
        <f>IFERROR(__xludf.DUMMYFUNCTION("VLOOKUP($A$1,IMPORTRANGE($A$2, CONCATENATE($A12,""!$B$5:$JB$48"")),AA$1,0)"),"")</f>
        <v/>
      </c>
      <c r="AB12" s="35" t="str">
        <f>IFERROR(__xludf.DUMMYFUNCTION("VLOOKUP($A$1,IMPORTRANGE($A$2, CONCATENATE($A12,""!$B$5:$JB$48"")),AB$1,0)"),"")</f>
        <v/>
      </c>
      <c r="AC12" s="35" t="str">
        <f>IFERROR(__xludf.DUMMYFUNCTION("VLOOKUP($A$1,IMPORTRANGE($A$2, CONCATENATE($A12,""!$B$5:$JB$48"")),AC$1,0)"),"")</f>
        <v/>
      </c>
      <c r="AD12" s="35" t="str">
        <f>IFERROR(__xludf.DUMMYFUNCTION("VLOOKUP($A$1,IMPORTRANGE($A$2, CONCATENATE($A12,""!$B$5:$JB$48"")),AD$1,0)"),"")</f>
        <v/>
      </c>
      <c r="AE12" s="35">
        <f>IFERROR(__xludf.DUMMYFUNCTION("VLOOKUP($A$1,IMPORTRANGE($A$2, CONCATENATE($A12,""!$B$5:$JB$48"")),AE$1,0)"),5.0)</f>
        <v>5</v>
      </c>
      <c r="AF12" s="35" t="str">
        <f>IFERROR(__xludf.DUMMYFUNCTION("VLOOKUP($A$1,IMPORTRANGE($A$2, CONCATENATE($A12,""!$B$5:$JB$48"")),AF$1,0)"),"")</f>
        <v/>
      </c>
      <c r="AG12" s="35" t="str">
        <f>IFERROR(__xludf.DUMMYFUNCTION("VLOOKUP($A$1,IMPORTRANGE($A$2, CONCATENATE($A12,""!$B$5:$JB$48"")),AG$1,0)"),"")</f>
        <v/>
      </c>
      <c r="AH12" s="35" t="str">
        <f>IFERROR(__xludf.DUMMYFUNCTION("VLOOKUP($A$1,IMPORTRANGE($A$2, CONCATENATE($A12,""!$B$5:$JB$48"")),AH$1,0)"),"")</f>
        <v/>
      </c>
      <c r="AI12" s="35" t="str">
        <f>IFERROR(__xludf.DUMMYFUNCTION("VLOOKUP($A$1,IMPORTRANGE($A$2, CONCATENATE($A12,""!$B$5:$JB$48"")),AI$1,0)"),"")</f>
        <v/>
      </c>
      <c r="AJ12" s="35" t="str">
        <f>IFERROR(__xludf.DUMMYFUNCTION("VLOOKUP($A$1,IMPORTRANGE($A$2, CONCATENATE($A12,""!$B$5:$JB$48"")),AJ$1,0)"),"")</f>
        <v/>
      </c>
      <c r="AK12" s="35">
        <f>IFERROR(__xludf.DUMMYFUNCTION("VLOOKUP($A$1,IMPORTRANGE($A$2, CONCATENATE($A12,""!$B$5:$JB$48"")),AK$1,0)"),4.0)</f>
        <v>4</v>
      </c>
      <c r="AL12" s="35">
        <f>IFERROR(__xludf.DUMMYFUNCTION("VLOOKUP($A$1,IMPORTRANGE($A$2, CONCATENATE($A12,""!$B$5:$JB$48"")),AL$1,0)"),4.0)</f>
        <v>4</v>
      </c>
      <c r="AM12" s="35">
        <f>IFERROR(__xludf.DUMMYFUNCTION("VLOOKUP($A$1,IMPORTRANGE($A$2, CONCATENATE($A12,""!$B$5:$JB$48"")),AM$1,0)"),5.0)</f>
        <v>5</v>
      </c>
      <c r="AN12" s="35" t="str">
        <f>IFERROR(__xludf.DUMMYFUNCTION("VLOOKUP($A$1,IMPORTRANGE($A$2, CONCATENATE($A12,""!$B$5:$JB$48"")),AN$1,0)"),"")</f>
        <v/>
      </c>
      <c r="AO12" s="35">
        <f>IFERROR(__xludf.DUMMYFUNCTION("VLOOKUP($A$1,IMPORTRANGE($A$2, CONCATENATE($A12,""!$B$5:$JB$48"")),AO$1,0)"),5.0)</f>
        <v>5</v>
      </c>
      <c r="AP12" s="35" t="str">
        <f>IFERROR(__xludf.DUMMYFUNCTION("VLOOKUP($A$1,IMPORTRANGE($A$2, CONCATENATE($A12,""!$B$5:$JB$48"")),AP$1,0)"),"")</f>
        <v/>
      </c>
      <c r="AQ12" s="35" t="str">
        <f>IFERROR(__xludf.DUMMYFUNCTION("VLOOKUP($A$1,IMPORTRANGE($A$2, CONCATENATE($A12,""!$B$5:$JB$48"")),AQ$1,0)"),"")</f>
        <v/>
      </c>
      <c r="AR12" s="35">
        <f>IFERROR(__xludf.DUMMYFUNCTION("VLOOKUP($A$1,IMPORTRANGE($A$2, CONCATENATE($A12,""!$B$5:$JB$48"")),AR$1,0)"),4.0)</f>
        <v>4</v>
      </c>
      <c r="AS12" s="35" t="str">
        <f>IFERROR(__xludf.DUMMYFUNCTION("VLOOKUP($A$1,IMPORTRANGE($A$2, CONCATENATE($A12,""!$B$5:$JB$48"")),AS$1,0)"),"")</f>
        <v/>
      </c>
      <c r="AT12" s="35" t="str">
        <f>IFERROR(__xludf.DUMMYFUNCTION("VLOOKUP($A$1,IMPORTRANGE($A$2, CONCATENATE($A12,""!$B$5:$JB$48"")),AT$1,0)"),"")</f>
        <v/>
      </c>
      <c r="AU12" s="35" t="str">
        <f>IFERROR(__xludf.DUMMYFUNCTION("VLOOKUP($A$1,IMPORTRANGE($A$2, CONCATENATE($A12,""!$B$5:$JB$48"")),AU$1,0)"),"")</f>
        <v/>
      </c>
      <c r="AV12" s="35">
        <f>IFERROR(__xludf.DUMMYFUNCTION("VLOOKUP($A$1,IMPORTRANGE($A$2, CONCATENATE($A12,""!$B$5:$JB$48"")),AV$1,0)"),4.0)</f>
        <v>4</v>
      </c>
      <c r="AW12" s="35" t="str">
        <f>IFERROR(__xludf.DUMMYFUNCTION("VLOOKUP($A$1,IMPORTRANGE($A$2, CONCATENATE($A12,""!$B$5:$JB$48"")),AW$1,0)"),"")</f>
        <v/>
      </c>
      <c r="AX12" s="35" t="str">
        <f>IFERROR(__xludf.DUMMYFUNCTION("VLOOKUP($A$1,IMPORTRANGE($A$2, CONCATENATE($A12,""!$B$5:$JB$48"")),AX$1,0)"),"")</f>
        <v/>
      </c>
      <c r="AY12" s="35">
        <f>IFERROR(__xludf.DUMMYFUNCTION("VLOOKUP($A$1,IMPORTRANGE($A$2, CONCATENATE($A12,""!$B$5:$JB$48"")),AY$1,0)"),4.0)</f>
        <v>4</v>
      </c>
      <c r="AZ12" s="35">
        <f>IFERROR(__xludf.DUMMYFUNCTION("VLOOKUP($A$1,IMPORTRANGE($A$2, CONCATENATE($A12,""!$B$5:$JB$48"")),AZ$1,0)"),2.0)</f>
        <v>2</v>
      </c>
      <c r="BA12" s="35" t="str">
        <f>IFERROR(__xludf.DUMMYFUNCTION("VLOOKUP($A$1,IMPORTRANGE($A$2, CONCATENATE($A12,""!$B$5:$JB$48"")),BA$1,0)"),"")</f>
        <v/>
      </c>
      <c r="BB12" s="35">
        <f>IFERROR(__xludf.DUMMYFUNCTION("VLOOKUP($A$1,IMPORTRANGE($A$2, CONCATENATE($A12,""!$B$5:$JB$48"")),BB$1,0)"),4.0)</f>
        <v>4</v>
      </c>
      <c r="BC12" s="35" t="str">
        <f>IFERROR(__xludf.DUMMYFUNCTION("VLOOKUP($A$1,IMPORTRANGE($A$2, CONCATENATE($A12,""!$B$5:$JB$48"")),BC$1,0)"),"")</f>
        <v/>
      </c>
      <c r="BD12" s="35" t="str">
        <f>IFERROR(__xludf.DUMMYFUNCTION("VLOOKUP($A$1,IMPORTRANGE($A$2, CONCATENATE($A12,""!$B$5:$JB$48"")),BD$1,0)"),"")</f>
        <v/>
      </c>
      <c r="BE12" s="35" t="str">
        <f>IFERROR(__xludf.DUMMYFUNCTION("VLOOKUP($A$1,IMPORTRANGE($A$2, CONCATENATE($A12,""!$B$5:$JB$48"")),BE$1,0)"),"")</f>
        <v/>
      </c>
      <c r="BF12" s="35" t="str">
        <f>IFERROR(__xludf.DUMMYFUNCTION("VLOOKUP($A$1,IMPORTRANGE($A$2, CONCATENATE($A12,""!$B$5:$JB$48"")),BF$1,0)"),"")</f>
        <v/>
      </c>
      <c r="BG12" s="35" t="str">
        <f>IFERROR(__xludf.DUMMYFUNCTION("VLOOKUP($A$1,IMPORTRANGE($A$2, CONCATENATE($A12,""!$B$5:$JB$48"")),BG$1,0)"),"н")</f>
        <v>н</v>
      </c>
      <c r="BH12" s="35" t="str">
        <f>IFERROR(__xludf.DUMMYFUNCTION("VLOOKUP($A$1,IMPORTRANGE($A$2, CONCATENATE($A12,""!$B$5:$JB$48"")),BH$1,0)"),"")</f>
        <v/>
      </c>
      <c r="BI12" s="35" t="str">
        <f>IFERROR(__xludf.DUMMYFUNCTION("VLOOKUP($A$1,IMPORTRANGE($A$2, CONCATENATE($A12,""!$B$5:$JB$48"")),BI$1,0)"),"")</f>
        <v/>
      </c>
      <c r="BJ12" s="35" t="str">
        <f>IFERROR(__xludf.DUMMYFUNCTION("VLOOKUP($A$1,IMPORTRANGE($A$2, CONCATENATE($A12,""!$B$5:$JB$48"")),BJ$1,0)"),"")</f>
        <v/>
      </c>
      <c r="BK12" s="35" t="str">
        <f>IFERROR(__xludf.DUMMYFUNCTION("VLOOKUP($A$1,IMPORTRANGE($A$2, CONCATENATE($A12,""!$B$5:$JB$48"")),BK$1,0)"),"")</f>
        <v/>
      </c>
      <c r="BL12" s="35">
        <f>IFERROR(__xludf.DUMMYFUNCTION("VLOOKUP($A$1,IMPORTRANGE($A$2, CONCATENATE($A12,""!$B$5:$JB$48"")),BL$1,0)"),4.0)</f>
        <v>4</v>
      </c>
      <c r="BM12" s="35" t="str">
        <f>IFERROR(__xludf.DUMMYFUNCTION("VLOOKUP($A$1,IMPORTRANGE($A$2, CONCATENATE($A12,""!$B$5:$JB$48"")),BM$1,0)"),"")</f>
        <v/>
      </c>
      <c r="BN12" s="35">
        <f>IFERROR(__xludf.DUMMYFUNCTION("VLOOKUP($A$1,IMPORTRANGE($A$2, CONCATENATE($A12,""!$B$5:$JB$48"")),BN$1,0)"),5.0)</f>
        <v>5</v>
      </c>
      <c r="BO12" s="35">
        <f>IFERROR(__xludf.DUMMYFUNCTION("VLOOKUP($A$1,IMPORTRANGE($A$2, CONCATENATE($A12,""!$B$5:$JB$48"")),BO$1,0)"),4.0)</f>
        <v>4</v>
      </c>
      <c r="BP12" s="35" t="str">
        <f>IFERROR(__xludf.DUMMYFUNCTION("VLOOKUP($A$1,IMPORTRANGE($A$2, CONCATENATE($A12,""!$B$5:$JB$48"")),BP$1,0)"),"")</f>
        <v/>
      </c>
      <c r="BQ12" s="35" t="str">
        <f>IFERROR(__xludf.DUMMYFUNCTION("VLOOKUP($A$1,IMPORTRANGE($A$2, CONCATENATE($A12,""!$B$5:$JB$48"")),BQ$1,0)"),"")</f>
        <v/>
      </c>
      <c r="BR12" s="35" t="str">
        <f>IFERROR(__xludf.DUMMYFUNCTION("VLOOKUP($A$1,IMPORTRANGE($A$2, CONCATENATE($A12,""!$B$5:$JB$48"")),BR$1,0)"),"")</f>
        <v/>
      </c>
      <c r="BS12" s="35" t="str">
        <f>IFERROR(__xludf.DUMMYFUNCTION("VLOOKUP($A$1,IMPORTRANGE($A$2, CONCATENATE($A12,""!$B$5:$JB$48"")),BS$1,0)"),"")</f>
        <v/>
      </c>
      <c r="BT12" s="35" t="str">
        <f>IFERROR(__xludf.DUMMYFUNCTION("VLOOKUP($A$1,IMPORTRANGE($A$2, CONCATENATE($A12,""!$B$5:$JB$48"")),BT$1,0)"),"")</f>
        <v/>
      </c>
      <c r="BU12" s="35">
        <f>IFERROR(__xludf.DUMMYFUNCTION("VLOOKUP($A$1,IMPORTRANGE($A$2, CONCATENATE($A12,""!$B$5:$JB$48"")),BU$1,0)"),5.0)</f>
        <v>5</v>
      </c>
      <c r="BV12" s="35" t="str">
        <f>IFERROR(__xludf.DUMMYFUNCTION("VLOOKUP($A$1,IMPORTRANGE($A$2, CONCATENATE($A12,""!$B$5:$JB$48"")),BV$1,0)"),"")</f>
        <v/>
      </c>
      <c r="BW12" s="35" t="str">
        <f>IFERROR(__xludf.DUMMYFUNCTION("VLOOKUP($A$1,IMPORTRANGE($A$2, CONCATENATE($A12,""!$B$5:$JB$48"")),BW$1,0)"),"")</f>
        <v/>
      </c>
      <c r="BX12" s="35" t="str">
        <f>IFERROR(__xludf.DUMMYFUNCTION("VLOOKUP($A$1,IMPORTRANGE($A$2, CONCATENATE($A12,""!$B$5:$JB$48"")),BX$1,0)"),"")</f>
        <v/>
      </c>
      <c r="BY12" s="35" t="str">
        <f>IFERROR(__xludf.DUMMYFUNCTION("VLOOKUP($A$1,IMPORTRANGE($A$2, CONCATENATE($A12,""!$B$5:$JB$48"")),BY$1,0)"),"")</f>
        <v/>
      </c>
      <c r="BZ12" s="35" t="str">
        <f>IFERROR(__xludf.DUMMYFUNCTION("VLOOKUP($A$1,IMPORTRANGE($A$2, CONCATENATE($A12,""!$B$5:$JB$48"")),BZ$1,0)"),"")</f>
        <v/>
      </c>
      <c r="CA12" s="35" t="str">
        <f>IFERROR(__xludf.DUMMYFUNCTION("VLOOKUP($A$1,IMPORTRANGE($A$2, CONCATENATE($A12,""!$B$5:$JB$48"")),CA$1,0)"),"")</f>
        <v/>
      </c>
      <c r="CB12" s="35" t="str">
        <f>IFERROR(__xludf.DUMMYFUNCTION("VLOOKUP($A$1,IMPORTRANGE($A$2, CONCATENATE($A12,""!$B$5:$JB$48"")),CB$1,0)"),"н")</f>
        <v>н</v>
      </c>
      <c r="CC12" s="35" t="str">
        <f>IFERROR(__xludf.DUMMYFUNCTION("VLOOKUP($A$1,IMPORTRANGE($A$2, CONCATENATE($A12,""!$B$5:$JB$48"")),CC$1,0)"),"")</f>
        <v/>
      </c>
      <c r="CD12" s="35" t="str">
        <f>IFERROR(__xludf.DUMMYFUNCTION("VLOOKUP($A$1,IMPORTRANGE($A$2, CONCATENATE($A12,""!$B$5:$JB$48"")),CD$1,0)"),"")</f>
        <v/>
      </c>
      <c r="CE12" s="35" t="str">
        <f>IFERROR(__xludf.DUMMYFUNCTION("VLOOKUP($A$1,IMPORTRANGE($A$2, CONCATENATE($A12,""!$B$5:$JB$48"")),CE$1,0)"),"")</f>
        <v/>
      </c>
      <c r="CF12" s="35" t="str">
        <f>IFERROR(__xludf.DUMMYFUNCTION("VLOOKUP($A$1,IMPORTRANGE($A$2, CONCATENATE($A12,""!$B$5:$JB$48"")),CF$1,0)"),"")</f>
        <v/>
      </c>
      <c r="CG12" s="35" t="str">
        <f>IFERROR(__xludf.DUMMYFUNCTION("VLOOKUP($A$1,IMPORTRANGE($A$2, CONCATENATE($A12,""!$B$5:$JB$48"")),CG$1,0)"),"")</f>
        <v/>
      </c>
      <c r="CH12" s="35" t="str">
        <f>IFERROR(__xludf.DUMMYFUNCTION("VLOOKUP($A$1,IMPORTRANGE($A$2, CONCATENATE($A12,""!$B$5:$JB$48"")),CH$1,0)"),"")</f>
        <v/>
      </c>
      <c r="CI12" s="35">
        <f>IFERROR(__xludf.DUMMYFUNCTION("VLOOKUP($A$1,IMPORTRANGE($A$2, CONCATENATE($A12,""!$B$5:$JB$48"")),CI$1,0)"),4.0)</f>
        <v>4</v>
      </c>
      <c r="CJ12" s="35">
        <f>IFERROR(__xludf.DUMMYFUNCTION("VLOOKUP($A$1,IMPORTRANGE($A$2, CONCATENATE($A12,""!$B$5:$JB$48"")),CJ$1,0)"),4.0)</f>
        <v>4</v>
      </c>
      <c r="CK12" s="35" t="str">
        <f>IFERROR(__xludf.DUMMYFUNCTION("VLOOKUP($A$1,IMPORTRANGE($A$2, CONCATENATE($A12,""!$B$5:$JB$48"")),CK$1,0)"),"")</f>
        <v/>
      </c>
      <c r="CL12" s="35">
        <f>IFERROR(__xludf.DUMMYFUNCTION("VLOOKUP($A$1,IMPORTRANGE($A$2, CONCATENATE($A12,""!$B$5:$JB$48"")),CL$1,0)"),5.0)</f>
        <v>5</v>
      </c>
      <c r="CM12" s="35" t="str">
        <f>IFERROR(__xludf.DUMMYFUNCTION("VLOOKUP($A$1,IMPORTRANGE($A$2, CONCATENATE($A12,""!$B$5:$JB$48"")),CM$1,0)"),"н")</f>
        <v>н</v>
      </c>
      <c r="CN12" s="35" t="str">
        <f>IFERROR(__xludf.DUMMYFUNCTION("VLOOKUP($A$1,IMPORTRANGE($A$2, CONCATENATE($A12,""!$B$5:$JB$48"")),CN$1,0)"),"")</f>
        <v/>
      </c>
      <c r="CO12" s="35" t="str">
        <f>IFERROR(__xludf.DUMMYFUNCTION("VLOOKUP($A$1,IMPORTRANGE($A$2, CONCATENATE($A12,""!$B$5:$JB$48"")),CO$1,0)"),"")</f>
        <v/>
      </c>
      <c r="CP12" s="35" t="str">
        <f>IFERROR(__xludf.DUMMYFUNCTION("VLOOKUP($A$1,IMPORTRANGE($A$2, CONCATENATE($A12,""!$B$5:$JB$48"")),CP$1,0)"),"")</f>
        <v/>
      </c>
      <c r="CQ12" s="35">
        <f>IFERROR(__xludf.DUMMYFUNCTION("VLOOKUP($A$1,IMPORTRANGE($A$2, CONCATENATE($A12,""!$B$5:$JB$48"")),CQ$1,0)"),5.0)</f>
        <v>5</v>
      </c>
      <c r="CR12" s="35">
        <f>IFERROR(__xludf.DUMMYFUNCTION("VLOOKUP($A$1,IMPORTRANGE($A$2, CONCATENATE($A12,""!$B$5:$JB$48"")),CR$1,0)"),3.0)</f>
        <v>3</v>
      </c>
      <c r="CS12" s="35" t="str">
        <f>IFERROR(__xludf.DUMMYFUNCTION("VLOOKUP($A$1,IMPORTRANGE($A$2, CONCATENATE($A12,""!$B$5:$JB$48"")),CS$1,0)"),"")</f>
        <v/>
      </c>
      <c r="CT12" s="35" t="str">
        <f>IFERROR(__xludf.DUMMYFUNCTION("VLOOKUP($A$1,IMPORTRANGE($A$2, CONCATENATE($A12,""!$B$5:$JB$48"")),CT$1,0)"),"")</f>
        <v/>
      </c>
      <c r="CU12" s="35" t="str">
        <f>IFERROR(__xludf.DUMMYFUNCTION("VLOOKUP($A$1,IMPORTRANGE($A$2, CONCATENATE($A12,""!$B$5:$JB$48"")),CU$1,0)"),"")</f>
        <v/>
      </c>
      <c r="CV12" s="35" t="str">
        <f>IFERROR(__xludf.DUMMYFUNCTION("VLOOKUP($A$1,IMPORTRANGE($A$2, CONCATENATE($A12,""!$B$5:$JB$48"")),CV$1,0)"),"")</f>
        <v/>
      </c>
      <c r="CW12" s="35" t="str">
        <f>IFERROR(__xludf.DUMMYFUNCTION("VLOOKUP($A$1,IMPORTRANGE($A$2, CONCATENATE($A12,""!$B$5:$JB$48"")),CW$1,0)"),"")</f>
        <v/>
      </c>
      <c r="CX12" s="35" t="str">
        <f>IFERROR(__xludf.DUMMYFUNCTION("VLOOKUP($A$1,IMPORTRANGE($A$2, CONCATENATE($A12,""!$B$5:$JB$48"")),CX$1,0)"),"")</f>
        <v/>
      </c>
      <c r="CY12" s="35">
        <f>IFERROR(__xludf.DUMMYFUNCTION("VLOOKUP($A$1,IMPORTRANGE($A$2, CONCATENATE($A12,""!$B$5:$JB$48"")),CY$1,0)"),5.0)</f>
        <v>5</v>
      </c>
      <c r="CZ12" s="35">
        <f>IFERROR(__xludf.DUMMYFUNCTION("VLOOKUP($A$1,IMPORTRANGE($A$2, CONCATENATE($A12,""!$B$5:$JB$48"")),CZ$1,0)"),5.0)</f>
        <v>5</v>
      </c>
      <c r="DA12" s="35" t="str">
        <f>IFERROR(__xludf.DUMMYFUNCTION("VLOOKUP($A$1,IMPORTRANGE($A$2, CONCATENATE($A12,""!$B$5:$JB$48"")),DA$1,0)"),"")</f>
        <v/>
      </c>
      <c r="DB12" s="35" t="str">
        <f>IFERROR(__xludf.DUMMYFUNCTION("VLOOKUP($A$1,IMPORTRANGE($A$2, CONCATENATE($A12,""!$B$5:$JB$48"")),DB$1,0)"),"")</f>
        <v/>
      </c>
      <c r="DC12" s="35" t="str">
        <f>IFERROR(__xludf.DUMMYFUNCTION("VLOOKUP($A$1,IMPORTRANGE($A$2, CONCATENATE($A12,""!$B$5:$JB$48"")),DC$1,0)"),"")</f>
        <v/>
      </c>
      <c r="DD12" s="35" t="str">
        <f>IFERROR(__xludf.DUMMYFUNCTION("VLOOKUP($A$1,IMPORTRANGE($A$2, CONCATENATE($A12,""!$B$5:$JB$48"")),DD$1,0)"),"")</f>
        <v/>
      </c>
      <c r="DE12" s="35">
        <f>IFERROR(__xludf.DUMMYFUNCTION("VLOOKUP($A$1,IMPORTRANGE($A$2, CONCATENATE($A12,""!$B$5:$JB$48"")),DE$1,0)"),4.0)</f>
        <v>4</v>
      </c>
      <c r="DF12" s="35" t="str">
        <f>IFERROR(__xludf.DUMMYFUNCTION("VLOOKUP($A$1,IMPORTRANGE($A$2, CONCATENATE($A12,""!$B$5:$JB$48"")),DF$1,0)"),"")</f>
        <v/>
      </c>
      <c r="DG12" s="35" t="str">
        <f>IFERROR(__xludf.DUMMYFUNCTION("VLOOKUP($A$1,IMPORTRANGE($A$2, CONCATENATE($A12,""!$B$5:$JB$48"")),DG$1,0)"),"")</f>
        <v/>
      </c>
      <c r="DH12" s="35">
        <f>IFERROR(__xludf.DUMMYFUNCTION("VLOOKUP($A$1,IMPORTRANGE($A$2, CONCATENATE($A12,""!$B$5:$JB$48"")),DH$1,0)"),2.0)</f>
        <v>2</v>
      </c>
      <c r="DI12" s="35" t="str">
        <f>IFERROR(__xludf.DUMMYFUNCTION("VLOOKUP($A$1,IMPORTRANGE($A$2, CONCATENATE($A12,""!$B$5:$JB$48"")),DI$1,0)"),"")</f>
        <v/>
      </c>
      <c r="DJ12" s="35" t="str">
        <f>IFERROR(__xludf.DUMMYFUNCTION("VLOOKUP($A$1,IMPORTRANGE($A$2, CONCATENATE($A12,""!$B$5:$JB$48"")),DJ$1,0)"),"")</f>
        <v/>
      </c>
      <c r="DK12" s="35" t="str">
        <f>IFERROR(__xludf.DUMMYFUNCTION("VLOOKUP($A$1,IMPORTRANGE($A$2, CONCATENATE($A12,""!$B$5:$JB$48"")),DK$1,0)"),"")</f>
        <v/>
      </c>
      <c r="DL12" s="35" t="str">
        <f>IFERROR(__xludf.DUMMYFUNCTION("VLOOKUP($A$1,IMPORTRANGE($A$2, CONCATENATE($A12,""!$B$5:$JB$48"")),DL$1,0)"),".")</f>
        <v>.</v>
      </c>
      <c r="DM12" s="35">
        <f>IFERROR(__xludf.DUMMYFUNCTION("VLOOKUP($A$1,IMPORTRANGE($A$2, CONCATENATE($A12,""!$B$5:$JB$48"")),DM$1,0)"),4.0)</f>
        <v>4</v>
      </c>
      <c r="DN12" s="35" t="str">
        <f>IFERROR(__xludf.DUMMYFUNCTION("VLOOKUP($A$1,IMPORTRANGE($A$2, CONCATENATE($A12,""!$B$5:$JB$48"")),DN$1,0)"),"")</f>
        <v/>
      </c>
      <c r="DO12" s="35" t="str">
        <f>IFERROR(__xludf.DUMMYFUNCTION("VLOOKUP($A$1,IMPORTRANGE($A$2, CONCATENATE($A12,""!$B$5:$JB$48"")),DO$1,0)"),"")</f>
        <v/>
      </c>
      <c r="DP12" s="35" t="str">
        <f>IFERROR(__xludf.DUMMYFUNCTION("VLOOKUP($A$1,IMPORTRANGE($A$2, CONCATENATE($A12,""!$B$5:$JB$48"")),DP$1,0)"),"")</f>
        <v/>
      </c>
      <c r="DQ12" s="35" t="str">
        <f>IFERROR(__xludf.DUMMYFUNCTION("VLOOKUP($A$1,IMPORTRANGE($A$2, CONCATENATE($A12,""!$B$5:$JB$48"")),DQ$1,0)"),"")</f>
        <v/>
      </c>
      <c r="DR12" s="35" t="str">
        <f>IFERROR(__xludf.DUMMYFUNCTION("VLOOKUP($A$1,IMPORTRANGE($A$2, CONCATENATE($A12,""!$B$5:$JB$48"")),DR$1,0)"),"")</f>
        <v/>
      </c>
      <c r="DS12" s="35" t="str">
        <f>IFERROR(__xludf.DUMMYFUNCTION("VLOOKUP($A$1,IMPORTRANGE($A$2, CONCATENATE($A12,""!$B$5:$JB$48"")),DS$1,0)"),"н")</f>
        <v>н</v>
      </c>
      <c r="DT12" s="35" t="str">
        <f>IFERROR(__xludf.DUMMYFUNCTION("VLOOKUP($A$1,IMPORTRANGE($A$2, CONCATENATE($A12,""!$B$5:$JB$48"")),DT$1,0)"),"")</f>
        <v/>
      </c>
      <c r="DU12" s="35" t="str">
        <f>IFERROR(__xludf.DUMMYFUNCTION("VLOOKUP($A$1,IMPORTRANGE($A$2, CONCATENATE($A12,""!$B$5:$JB$48"")),DU$1,0)"),"")</f>
        <v/>
      </c>
      <c r="DV12" s="35" t="str">
        <f>IFERROR(__xludf.DUMMYFUNCTION("VLOOKUP($A$1,IMPORTRANGE($A$2, CONCATENATE($A12,""!$B$5:$JB$48"")),DV$1,0)"),".")</f>
        <v>.</v>
      </c>
      <c r="DW12" s="35" t="str">
        <f>IFERROR(__xludf.DUMMYFUNCTION("VLOOKUP($A$1,IMPORTRANGE($A$2, CONCATENATE($A12,""!$B$5:$JB$48"")),DW$1,0)"),"")</f>
        <v/>
      </c>
      <c r="DX12" s="35" t="str">
        <f>IFERROR(__xludf.DUMMYFUNCTION("VLOOKUP($A$1,IMPORTRANGE($A$2, CONCATENATE($A12,""!$B$5:$JB$48"")),DX$1,0)"),"")</f>
        <v/>
      </c>
      <c r="DY12" s="35">
        <f>IFERROR(__xludf.DUMMYFUNCTION("VLOOKUP($A$1,IMPORTRANGE($A$2, CONCATENATE($A12,""!$B$5:$JB$48"")),DY$1,0)"),3.0)</f>
        <v>3</v>
      </c>
      <c r="DZ12" s="35" t="str">
        <f>IFERROR(__xludf.DUMMYFUNCTION("VLOOKUP($A$1,IMPORTRANGE($A$2, CONCATENATE($A12,""!$B$5:$JB$48"")),DZ$1,0)"),"")</f>
        <v/>
      </c>
      <c r="EA12" s="35" t="str">
        <f>IFERROR(__xludf.DUMMYFUNCTION("VLOOKUP($A$1,IMPORTRANGE($A$2, CONCATENATE($A12,""!$B$5:$JB$48"")),EA$1,0)"),"")</f>
        <v/>
      </c>
      <c r="EB12" s="35">
        <f>IFERROR(__xludf.DUMMYFUNCTION("VLOOKUP($A$1,IMPORTRANGE($A$2, CONCATENATE($A12,""!$B$5:$JB$48"")),EB$1,0)"),4.0)</f>
        <v>4</v>
      </c>
      <c r="EC12" s="35" t="str">
        <f>IFERROR(__xludf.DUMMYFUNCTION("VLOOKUP($A$1,IMPORTRANGE($A$2, CONCATENATE($A12,""!$B$5:$JB$48"")),EC$1,0)"),"")</f>
        <v/>
      </c>
      <c r="ED12" s="35" t="str">
        <f>IFERROR(__xludf.DUMMYFUNCTION("VLOOKUP($A$1,IMPORTRANGE($A$2, CONCATENATE($A12,""!$B$5:$JB$48"")),ED$1,0)"),"")</f>
        <v/>
      </c>
      <c r="EE12" s="35" t="str">
        <f>IFERROR(__xludf.DUMMYFUNCTION("VLOOKUP($A$1,IMPORTRANGE($A$2, CONCATENATE($A12,""!$B$5:$JB$48"")),EE$1,0)"),"")</f>
        <v/>
      </c>
      <c r="EF12" s="35" t="str">
        <f>IFERROR(__xludf.DUMMYFUNCTION("VLOOKUP($A$1,IMPORTRANGE($A$2, CONCATENATE($A12,""!$B$5:$JB$48"")),EF$1,0)"),"дз")</f>
        <v>дз</v>
      </c>
      <c r="EG12" s="35" t="str">
        <f>IFERROR(__xludf.DUMMYFUNCTION("VLOOKUP($A$1,IMPORTRANGE($A$2, CONCATENATE($A12,""!$B$5:$JB$48"")),EG$1,0)"),"")</f>
        <v/>
      </c>
      <c r="EH12" s="35" t="str">
        <f>IFERROR(__xludf.DUMMYFUNCTION("VLOOKUP($A$1,IMPORTRANGE($A$2, CONCATENATE($A12,""!$B$5:$JB$48"")),EH$1,0)"),"")</f>
        <v/>
      </c>
      <c r="EI12" s="35" t="str">
        <f>IFERROR(__xludf.DUMMYFUNCTION("VLOOKUP($A$1,IMPORTRANGE($A$2, CONCATENATE($A12,""!$B$5:$JB$48"")),EI$1,0)"),"")</f>
        <v/>
      </c>
      <c r="EJ12" s="35" t="str">
        <f>IFERROR(__xludf.DUMMYFUNCTION("VLOOKUP($A$1,IMPORTRANGE($A$2, CONCATENATE($A12,""!$B$5:$JB$48"")),EJ$1,0)"),"")</f>
        <v/>
      </c>
      <c r="EK12" s="35">
        <f>IFERROR(__xludf.DUMMYFUNCTION("VLOOKUP($A$1,IMPORTRANGE($A$2, CONCATENATE($A12,""!$B$5:$JB$48"")),EK$1,0)"),4.0)</f>
        <v>4</v>
      </c>
      <c r="EL12" s="35" t="str">
        <f>IFERROR(__xludf.DUMMYFUNCTION("VLOOKUP($A$1,IMPORTRANGE($A$2, CONCATENATE($A12,""!$B$5:$JB$48"")),EL$1,0)"),"")</f>
        <v/>
      </c>
      <c r="EM12" s="35" t="str">
        <f>IFERROR(__xludf.DUMMYFUNCTION("VLOOKUP($A$1,IMPORTRANGE($A$2, CONCATENATE($A12,""!$B$5:$JB$48"")),EM$1,0)"),"")</f>
        <v/>
      </c>
      <c r="EN12" s="35" t="str">
        <f>IFERROR(__xludf.DUMMYFUNCTION("VLOOKUP($A$1,IMPORTRANGE($A$2, CONCATENATE($A12,""!$B$5:$JB$48"")),EN$1,0)"),"")</f>
        <v/>
      </c>
      <c r="EO12" s="35" t="str">
        <f>IFERROR(__xludf.DUMMYFUNCTION("VLOOKUP($A$1,IMPORTRANGE($A$2, CONCATENATE($A12,""!$B$5:$JB$48"")),EO$1,0)"),"")</f>
        <v/>
      </c>
      <c r="EP12" s="35" t="str">
        <f>IFERROR(__xludf.DUMMYFUNCTION("VLOOKUP($A$1,IMPORTRANGE($A$2, CONCATENATE($A12,""!$B$5:$JB$48"")),EP$1,0)"),"")</f>
        <v/>
      </c>
      <c r="EQ12" s="35" t="str">
        <f>IFERROR(__xludf.DUMMYFUNCTION("VLOOKUP($A$1,IMPORTRANGE($A$2, CONCATENATE($A12,""!$B$5:$JB$48"")),EQ$1,0)"),"")</f>
        <v/>
      </c>
      <c r="ER12" s="35" t="str">
        <f>IFERROR(__xludf.DUMMYFUNCTION("VLOOKUP($A$1,IMPORTRANGE($A$2, CONCATENATE($A12,""!$B$5:$JB$48"")),ER$1,0)"),"")</f>
        <v/>
      </c>
      <c r="ES12" s="35" t="str">
        <f>IFERROR(__xludf.DUMMYFUNCTION("VLOOKUP($A$1,IMPORTRANGE($A$2, CONCATENATE($A12,""!$B$5:$JB$48"")),ES$1,0)"),"")</f>
        <v/>
      </c>
      <c r="ET12" s="35" t="str">
        <f>IFERROR(__xludf.DUMMYFUNCTION("VLOOKUP($A$1,IMPORTRANGE($A$2, CONCATENATE($A12,""!$B$5:$JB$48"")),ET$1,0)"),"")</f>
        <v/>
      </c>
      <c r="EU12" s="35" t="str">
        <f>IFERROR(__xludf.DUMMYFUNCTION("VLOOKUP($A$1,IMPORTRANGE($A$2, CONCATENATE($A12,""!$B$5:$JB$48"")),EU$1,0)"),"")</f>
        <v/>
      </c>
      <c r="EV12" s="35" t="str">
        <f>IFERROR(__xludf.DUMMYFUNCTION("VLOOKUP($A$1,IMPORTRANGE($A$2, CONCATENATE($A12,""!$B$5:$JB$48"")),EV$1,0)"),"")</f>
        <v/>
      </c>
      <c r="EW12" s="35" t="str">
        <f>IFERROR(__xludf.DUMMYFUNCTION("VLOOKUP($A$1,IMPORTRANGE($A$2, CONCATENATE($A12,""!$B$5:$JB$48"")),EW$1,0)"),"")</f>
        <v/>
      </c>
      <c r="EX12" s="35" t="str">
        <f>IFERROR(__xludf.DUMMYFUNCTION("VLOOKUP($A$1,IMPORTRANGE($A$2, CONCATENATE($A12,""!$B$5:$JB$48"")),EX$1,0)"),"")</f>
        <v/>
      </c>
      <c r="EY12" s="35" t="str">
        <f>IFERROR(__xludf.DUMMYFUNCTION("VLOOKUP($A$1,IMPORTRANGE($A$2, CONCATENATE($A12,""!$B$5:$JB$48"")),EY$1,0)"),"")</f>
        <v/>
      </c>
      <c r="EZ12" s="35" t="str">
        <f>IFERROR(__xludf.DUMMYFUNCTION("VLOOKUP($A$1,IMPORTRANGE($A$2, CONCATENATE($A12,""!$B$5:$JB$48"")),EZ$1,0)"),"")</f>
        <v/>
      </c>
      <c r="FA12" s="35" t="str">
        <f>IFERROR(__xludf.DUMMYFUNCTION("VLOOKUP($A$1,IMPORTRANGE($A$2, CONCATENATE($A12,""!$B$5:$JB$48"")),FA$1,0)"),"")</f>
        <v/>
      </c>
      <c r="FB12" s="35" t="str">
        <f>IFERROR(__xludf.DUMMYFUNCTION("VLOOKUP($A$1,IMPORTRANGE($A$2, CONCATENATE($A12,""!$B$5:$JB$48"")),FB$1,0)"),"")</f>
        <v/>
      </c>
      <c r="FC12" s="35">
        <f>IFERROR(__xludf.DUMMYFUNCTION("VLOOKUP($A$1,IMPORTRANGE($A$2, CONCATENATE($A12,""!$B$5:$JB$48"")),FC$1,0)"),4.0)</f>
        <v>4</v>
      </c>
      <c r="FD12" s="35" t="str">
        <f>IFERROR(__xludf.DUMMYFUNCTION("VLOOKUP($A$1,IMPORTRANGE($A$2, CONCATENATE($A12,""!$B$5:$JB$48"")),FD$1,0)"),"")</f>
        <v/>
      </c>
      <c r="FE12" s="35" t="str">
        <f>IFERROR(__xludf.DUMMYFUNCTION("VLOOKUP($A$1,IMPORTRANGE($A$2, CONCATENATE($A12,""!$B$5:$JB$48"")),FE$1,0)"),"")</f>
        <v/>
      </c>
      <c r="FF12" s="35" t="str">
        <f>IFERROR(__xludf.DUMMYFUNCTION("VLOOKUP($A$1,IMPORTRANGE($A$2, CONCATENATE($A12,""!$B$5:$JB$48"")),FF$1,0)"),"")</f>
        <v/>
      </c>
      <c r="FG12" s="35" t="str">
        <f>IFERROR(__xludf.DUMMYFUNCTION("VLOOKUP($A$1,IMPORTRANGE($A$2, CONCATENATE($A12,""!$B$5:$JB$48"")),FG$1,0)"),"")</f>
        <v/>
      </c>
      <c r="FH12" s="35" t="str">
        <f>IFERROR(__xludf.DUMMYFUNCTION("VLOOKUP($A$1,IMPORTRANGE($A$2, CONCATENATE($A12,""!$B$5:$JB$48"")),FH$1,0)"),"")</f>
        <v/>
      </c>
      <c r="FI12" s="35" t="str">
        <f>IFERROR(__xludf.DUMMYFUNCTION("VLOOKUP($A$1,IMPORTRANGE($A$2, CONCATENATE($A12,""!$B$5:$JB$48"")),FI$1,0)"),"")</f>
        <v/>
      </c>
      <c r="FJ12" s="35" t="str">
        <f>IFERROR(__xludf.DUMMYFUNCTION("VLOOKUP($A$1,IMPORTRANGE($A$2, CONCATENATE($A12,""!$B$5:$JB$48"")),FJ$1,0)"),"")</f>
        <v/>
      </c>
      <c r="FK12" s="35" t="str">
        <f>IFERROR(__xludf.DUMMYFUNCTION("VLOOKUP($A$1,IMPORTRANGE($A$2, CONCATENATE($A12,""!$B$5:$JB$48"")),FK$1,0)"),"")</f>
        <v/>
      </c>
      <c r="FL12" s="35" t="str">
        <f>IFERROR(__xludf.DUMMYFUNCTION("VLOOKUP($A$1,IMPORTRANGE($A$2, CONCATENATE($A12,""!$B$5:$JB$48"")),FL$1,0)"),"")</f>
        <v/>
      </c>
      <c r="FM12" s="35" t="str">
        <f>IFERROR(__xludf.DUMMYFUNCTION("VLOOKUP($A$1,IMPORTRANGE($A$2, CONCATENATE($A12,""!$B$5:$JB$48"")),FM$1,0)"),"")</f>
        <v/>
      </c>
      <c r="FN12" s="35" t="str">
        <f>IFERROR(__xludf.DUMMYFUNCTION("VLOOKUP($A$1,IMPORTRANGE($A$2, CONCATENATE($A12,""!$B$5:$JB$48"")),FN$1,0)"),"")</f>
        <v/>
      </c>
      <c r="FO12" s="35" t="str">
        <f>IFERROR(__xludf.DUMMYFUNCTION("VLOOKUP($A$1,IMPORTRANGE($A$2, CONCATENATE($A12,""!$B$5:$JB$48"")),FO$1,0)"),"")</f>
        <v/>
      </c>
      <c r="FP12" s="35" t="str">
        <f>IFERROR(__xludf.DUMMYFUNCTION("VLOOKUP($A$1,IMPORTRANGE($A$2, CONCATENATE($A12,""!$B$5:$JB$48"")),FP$1,0)"),"")</f>
        <v/>
      </c>
      <c r="FQ12" s="35" t="str">
        <f>IFERROR(__xludf.DUMMYFUNCTION("VLOOKUP($A$1,IMPORTRANGE($A$2, CONCATENATE($A12,""!$B$5:$JB$48"")),FQ$1,0)"),"")</f>
        <v/>
      </c>
      <c r="FR12" s="35" t="str">
        <f>IFERROR(__xludf.DUMMYFUNCTION("VLOOKUP($A$1,IMPORTRANGE($A$2, CONCATENATE($A12,""!$B$5:$JB$48"")),FR$1,0)"),"")</f>
        <v/>
      </c>
      <c r="FS12" s="35" t="str">
        <f>IFERROR(__xludf.DUMMYFUNCTION("VLOOKUP($A$1,IMPORTRANGE($A$2, CONCATENATE($A12,""!$B$5:$JB$48"")),FS$1,0)"),"")</f>
        <v/>
      </c>
      <c r="FT12" s="35" t="str">
        <f>IFERROR(__xludf.DUMMYFUNCTION("VLOOKUP($A$1,IMPORTRANGE($A$2, CONCATENATE($A12,""!$B$5:$JB$48"")),FT$1,0)"),"")</f>
        <v/>
      </c>
      <c r="FU12" s="35" t="str">
        <f>IFERROR(__xludf.DUMMYFUNCTION("VLOOKUP($A$1,IMPORTRANGE($A$2, CONCATENATE($A12,""!$B$5:$JB$48"")),FU$1,0)"),"")</f>
        <v/>
      </c>
      <c r="FV12" s="35" t="str">
        <f>IFERROR(__xludf.DUMMYFUNCTION("VLOOKUP($A$1,IMPORTRANGE($A$2, CONCATENATE($A12,""!$B$5:$JB$48"")),FV$1,0)"),"")</f>
        <v/>
      </c>
      <c r="FW12" s="35" t="str">
        <f>IFERROR(__xludf.DUMMYFUNCTION("VLOOKUP($A$1,IMPORTRANGE($A$2, CONCATENATE($A12,""!$B$5:$JB$48"")),FW$1,0)"),"")</f>
        <v/>
      </c>
      <c r="FX12" s="35" t="str">
        <f>IFERROR(__xludf.DUMMYFUNCTION("VLOOKUP($A$1,IMPORTRANGE($A$2, CONCATENATE($A12,""!$B$5:$JB$48"")),FX$1,0)"),"")</f>
        <v/>
      </c>
      <c r="FY12" s="35" t="str">
        <f>IFERROR(__xludf.DUMMYFUNCTION("VLOOKUP($A$1,IMPORTRANGE($A$2, CONCATENATE($A12,""!$B$5:$JB$48"")),FY$1,0)"),"")</f>
        <v/>
      </c>
      <c r="FZ12" s="35" t="str">
        <f>IFERROR(__xludf.DUMMYFUNCTION("VLOOKUP($A$1,IMPORTRANGE($A$2, CONCATENATE($A12,""!$B$5:$JB$48"")),FZ$1,0)"),"")</f>
        <v/>
      </c>
      <c r="GA12" s="35" t="str">
        <f>IFERROR(__xludf.DUMMYFUNCTION("VLOOKUP($A$1,IMPORTRANGE($A$2, CONCATENATE($A12,""!$B$5:$JB$48"")),GA$1,0)"),"")</f>
        <v/>
      </c>
      <c r="GB12" s="35" t="str">
        <f>IFERROR(__xludf.DUMMYFUNCTION("VLOOKUP($A$1,IMPORTRANGE($A$2, CONCATENATE($A12,""!$B$5:$JB$48"")),GB$1,0)"),"")</f>
        <v/>
      </c>
      <c r="GC12" s="35" t="str">
        <f>IFERROR(__xludf.DUMMYFUNCTION("VLOOKUP($A$1,IMPORTRANGE($A$2, CONCATENATE($A12,""!$B$5:$JB$48"")),GC$1,0)"),"")</f>
        <v/>
      </c>
      <c r="GD12" s="35" t="str">
        <f>IFERROR(__xludf.DUMMYFUNCTION("VLOOKUP($A$1,IMPORTRANGE($A$2, CONCATENATE($A12,""!$B$5:$JB$48"")),GD$1,0)"),"")</f>
        <v/>
      </c>
      <c r="GE12" s="35" t="str">
        <f>IFERROR(__xludf.DUMMYFUNCTION("VLOOKUP($A$1,IMPORTRANGE($A$2, CONCATENATE($A12,""!$B$5:$JB$48"")),GE$1,0)"),"")</f>
        <v/>
      </c>
      <c r="GF12" s="35" t="str">
        <f>IFERROR(__xludf.DUMMYFUNCTION("VLOOKUP($A$1,IMPORTRANGE($A$2, CONCATENATE($A12,""!$B$5:$JB$48"")),GF$1,0)"),"")</f>
        <v/>
      </c>
      <c r="GG12" s="35" t="str">
        <f>IFERROR(__xludf.DUMMYFUNCTION("VLOOKUP($A$1,IMPORTRANGE($A$2, CONCATENATE($A12,""!$B$5:$JB$48"")),GG$1,0)"),"")</f>
        <v/>
      </c>
      <c r="GH12" s="35" t="str">
        <f>IFERROR(__xludf.DUMMYFUNCTION("VLOOKUP($A$1,IMPORTRANGE($A$2, CONCATENATE($A12,""!$B$5:$JB$48"")),GH$1,0)"),"")</f>
        <v/>
      </c>
      <c r="GI12" s="35" t="str">
        <f>IFERROR(__xludf.DUMMYFUNCTION("VLOOKUP($A$1,IMPORTRANGE($A$2, CONCATENATE($A12,""!$B$5:$JB$48"")),GI$1,0)"),"")</f>
        <v/>
      </c>
      <c r="GJ12" s="35" t="str">
        <f>IFERROR(__xludf.DUMMYFUNCTION("VLOOKUP($A$1,IMPORTRANGE($A$2, CONCATENATE($A12,""!$B$5:$JB$48"")),GJ$1,0)"),"")</f>
        <v/>
      </c>
      <c r="GK12" s="35" t="str">
        <f>IFERROR(__xludf.DUMMYFUNCTION("VLOOKUP($A$1,IMPORTRANGE($A$2, CONCATENATE($A12,""!$B$5:$JB$48"")),GK$1,0)"),"")</f>
        <v/>
      </c>
      <c r="GL12" s="35" t="str">
        <f>IFERROR(__xludf.DUMMYFUNCTION("VLOOKUP($A$1,IMPORTRANGE($A$2, CONCATENATE($A12,""!$B$5:$JB$48"")),GL$1,0)"),"")</f>
        <v/>
      </c>
      <c r="GM12" s="35" t="str">
        <f>IFERROR(__xludf.DUMMYFUNCTION("VLOOKUP($A$1,IMPORTRANGE($A$2, CONCATENATE($A12,""!$B$5:$JB$48"")),GM$1,0)"),"")</f>
        <v/>
      </c>
      <c r="GN12" s="35" t="str">
        <f>IFERROR(__xludf.DUMMYFUNCTION("VLOOKUP($A$1,IMPORTRANGE($A$2, CONCATENATE($A12,""!$B$5:$JB$48"")),GN$1,0)"),"")</f>
        <v/>
      </c>
      <c r="GO12" s="35" t="str">
        <f>IFERROR(__xludf.DUMMYFUNCTION("VLOOKUP($A$1,IMPORTRANGE($A$2, CONCATENATE($A12,""!$B$5:$JB$48"")),GO$1,0)"),"")</f>
        <v/>
      </c>
      <c r="GP12" s="35" t="str">
        <f>IFERROR(__xludf.DUMMYFUNCTION("VLOOKUP($A$1,IMPORTRANGE($A$2, CONCATENATE($A12,""!$B$5:$JB$48"")),GP$1,0)"),"")</f>
        <v/>
      </c>
      <c r="GQ12" s="35" t="str">
        <f>IFERROR(__xludf.DUMMYFUNCTION("VLOOKUP($A$1,IMPORTRANGE($A$2, CONCATENATE($A12,""!$B$5:$JB$48"")),GQ$1,0)"),"")</f>
        <v/>
      </c>
      <c r="GR12" s="35" t="str">
        <f>IFERROR(__xludf.DUMMYFUNCTION("VLOOKUP($A$1,IMPORTRANGE($A$2, CONCATENATE($A12,""!$B$5:$JB$48"")),GR$1,0)"),"")</f>
        <v/>
      </c>
      <c r="GS12" s="35" t="str">
        <f>IFERROR(__xludf.DUMMYFUNCTION("VLOOKUP($A$1,IMPORTRANGE($A$2, CONCATENATE($A12,""!$B$5:$JB$48"")),GS$1,0)"),"")</f>
        <v/>
      </c>
      <c r="GT12" s="35" t="str">
        <f>IFERROR(__xludf.DUMMYFUNCTION("VLOOKUP($A$1,IMPORTRANGE($A$2, CONCATENATE($A12,""!$B$5:$JB$48"")),GT$1,0)"),"")</f>
        <v/>
      </c>
      <c r="GU12" s="35" t="str">
        <f>IFERROR(__xludf.DUMMYFUNCTION("VLOOKUP($A$1,IMPORTRANGE($A$2, CONCATENATE($A12,""!$B$5:$JB$48"")),GU$1,0)"),"")</f>
        <v/>
      </c>
      <c r="GV12" s="35" t="str">
        <f>IFERROR(__xludf.DUMMYFUNCTION("VLOOKUP($A$1,IMPORTRANGE($A$2, CONCATENATE($A12,""!$B$5:$JB$48"")),GV$1,0)"),"")</f>
        <v/>
      </c>
      <c r="GW12" s="35" t="str">
        <f>IFERROR(__xludf.DUMMYFUNCTION("VLOOKUP($A$1,IMPORTRANGE($A$2, CONCATENATE($A12,""!$B$5:$JB$48"")),GW$1,0)"),"")</f>
        <v/>
      </c>
      <c r="GX12" s="35" t="str">
        <f>IFERROR(__xludf.DUMMYFUNCTION("VLOOKUP($A$1,IMPORTRANGE($A$2, CONCATENATE($A12,""!$B$5:$JB$48"")),GX$1,0)"),"")</f>
        <v/>
      </c>
      <c r="GY12" s="35" t="str">
        <f>IFERROR(__xludf.DUMMYFUNCTION("VLOOKUP($A$1,IMPORTRANGE($A$2, CONCATENATE($A12,""!$B$5:$JB$48"")),GY$1,0)"),"")</f>
        <v/>
      </c>
      <c r="GZ12" s="35" t="str">
        <f>IFERROR(__xludf.DUMMYFUNCTION("VLOOKUP($A$1,IMPORTRANGE($A$2, CONCATENATE($A12,""!$B$5:$JB$48"")),GZ$1,0)"),"")</f>
        <v/>
      </c>
      <c r="HA12" s="35" t="str">
        <f>IFERROR(__xludf.DUMMYFUNCTION("VLOOKUP($A$1,IMPORTRANGE($A$2, CONCATENATE($A12,""!$B$5:$JB$48"")),HA$1,0)"),"")</f>
        <v/>
      </c>
      <c r="HB12" s="35" t="str">
        <f>IFERROR(__xludf.DUMMYFUNCTION("VLOOKUP($A$1,IMPORTRANGE($A$2, CONCATENATE($A12,""!$B$5:$JB$48"")),HB$1,0)"),"")</f>
        <v/>
      </c>
      <c r="HC12" s="35" t="str">
        <f>IFERROR(__xludf.DUMMYFUNCTION("VLOOKUP($A$1,IMPORTRANGE($A$2, CONCATENATE($A12,""!$B$5:$JB$48"")),HC$1,0)"),"")</f>
        <v/>
      </c>
      <c r="HD12" s="35" t="str">
        <f>IFERROR(__xludf.DUMMYFUNCTION("VLOOKUP($A$1,IMPORTRANGE($A$2, CONCATENATE($A12,""!$B$5:$JB$48"")),HD$1,0)"),"")</f>
        <v/>
      </c>
      <c r="HE12" s="35" t="str">
        <f>IFERROR(__xludf.DUMMYFUNCTION("VLOOKUP($A$1,IMPORTRANGE($A$2, CONCATENATE($A12,""!$B$5:$JB$48"")),HE$1,0)"),"")</f>
        <v/>
      </c>
      <c r="HF12" s="35" t="str">
        <f>IFERROR(__xludf.DUMMYFUNCTION("VLOOKUP($A$1,IMPORTRANGE($A$2, CONCATENATE($A12,""!$B$5:$JB$48"")),HF$1,0)"),"")</f>
        <v/>
      </c>
      <c r="HG12" s="35" t="str">
        <f>IFERROR(__xludf.DUMMYFUNCTION("VLOOKUP($A$1,IMPORTRANGE($A$2, CONCATENATE($A12,""!$B$5:$JB$48"")),HG$1,0)"),"")</f>
        <v/>
      </c>
      <c r="HH12" s="35" t="str">
        <f>IFERROR(__xludf.DUMMYFUNCTION("VLOOKUP($A$1,IMPORTRANGE($A$2, CONCATENATE($A12,""!$B$5:$JB$48"")),HH$1,0)"),"")</f>
        <v/>
      </c>
      <c r="HI12" s="35" t="str">
        <f>IFERROR(__xludf.DUMMYFUNCTION("VLOOKUP($A$1,IMPORTRANGE($A$2, CONCATENATE($A12,""!$B$5:$JB$48"")),HI$1,0)"),"")</f>
        <v/>
      </c>
      <c r="HJ12" s="35" t="str">
        <f>IFERROR(__xludf.DUMMYFUNCTION("VLOOKUP($A$1,IMPORTRANGE($A$2, CONCATENATE($A12,""!$B$5:$JB$48"")),HJ$1,0)"),"")</f>
        <v/>
      </c>
      <c r="HK12" s="35" t="str">
        <f>IFERROR(__xludf.DUMMYFUNCTION("VLOOKUP($A$1,IMPORTRANGE($A$2, CONCATENATE($A12,""!$B$5:$JB$48"")),HK$1,0)"),"")</f>
        <v/>
      </c>
      <c r="HL12" s="35" t="str">
        <f>IFERROR(__xludf.DUMMYFUNCTION("VLOOKUP($A$1,IMPORTRANGE($A$2, CONCATENATE($A12,""!$B$5:$JB$48"")),HL$1,0)"),"")</f>
        <v/>
      </c>
      <c r="HM12" s="35" t="str">
        <f>IFERROR(__xludf.DUMMYFUNCTION("VLOOKUP($A$1,IMPORTRANGE($A$2, CONCATENATE($A12,""!$B$5:$JB$48"")),HM$1,0)"),"")</f>
        <v/>
      </c>
      <c r="HN12" s="35" t="str">
        <f>IFERROR(__xludf.DUMMYFUNCTION("VLOOKUP($A$1,IMPORTRANGE($A$2, CONCATENATE($A12,""!$B$5:$JB$48"")),HN$1,0)"),"")</f>
        <v/>
      </c>
      <c r="HO12" s="35" t="str">
        <f>IFERROR(__xludf.DUMMYFUNCTION("VLOOKUP($A$1,IMPORTRANGE($A$2, CONCATENATE($A12,""!$B$5:$JB$48"")),HO$1,0)"),"")</f>
        <v/>
      </c>
      <c r="HP12" s="35" t="str">
        <f>IFERROR(__xludf.DUMMYFUNCTION("VLOOKUP($A$1,IMPORTRANGE($A$2, CONCATENATE($A12,""!$B$5:$JB$48"")),HP$1,0)"),"")</f>
        <v/>
      </c>
      <c r="HQ12" s="35" t="str">
        <f>IFERROR(__xludf.DUMMYFUNCTION("VLOOKUP($A$1,IMPORTRANGE($A$2, CONCATENATE($A12,""!$B$5:$JB$48"")),HQ$1,0)"),"")</f>
        <v/>
      </c>
      <c r="HR12" s="35" t="str">
        <f>IFERROR(__xludf.DUMMYFUNCTION("VLOOKUP($A$1,IMPORTRANGE($A$2, CONCATENATE($A12,""!$B$5:$JB$48"")),HR$1,0)"),"")</f>
        <v/>
      </c>
      <c r="HS12" s="35" t="str">
        <f>IFERROR(__xludf.DUMMYFUNCTION("VLOOKUP($A$1,IMPORTRANGE($A$2, CONCATENATE($A12,""!$B$5:$JB$48"")),HS$1,0)"),"")</f>
        <v/>
      </c>
      <c r="HT12" s="35">
        <f>IFERROR(__xludf.DUMMYFUNCTION("VLOOKUP($A$1,IMPORTRANGE($A$2, CONCATENATE($A12,""!$B$5:$JB$48"")),HT$1,0)"),45903.0)</f>
        <v>45903</v>
      </c>
      <c r="HU12" s="35" t="str">
        <f>IFERROR(__xludf.DUMMYFUNCTION("VLOOKUP($A$1,IMPORTRANGE($A$2, CONCATENATE($A12,""!$B$5:$JB$48"")),HU$1,0)"),"Unit IB Present Simple")</f>
        <v>Unit IB Present Simple</v>
      </c>
      <c r="HV12" s="35" t="str">
        <f>IFERROR(__xludf.DUMMYFUNCTION("VLOOKUP($A$1,IMPORTRANGE($A$2, CONCATENATE($A12,""!$B$5:$JB$48"")),HV$1,0)"),"Ex 1a,1b p86")</f>
        <v>Ex 1a,1b p86</v>
      </c>
      <c r="HW12" s="35" t="str">
        <f>IFERROR(__xludf.DUMMYFUNCTION("VLOOKUP($A$1,IMPORTRANGE($A$2, CONCATENATE($A12,""!$B$5:$JB$48"")),HW$1,0)"),"13.11.2025")</f>
        <v>13.11.2025</v>
      </c>
      <c r="HX12" s="35" t="str">
        <f>IFERROR(__xludf.DUMMYFUNCTION("VLOOKUP($A$1,IMPORTRANGE($A$2, CONCATENATE($A12,""!$B$5:$JB$48"")),HX$1,0)"),"Recycle: A few, a little, not much/many, a lot of")</f>
        <v>Recycle: A few, a little, not much/many, a lot of</v>
      </c>
      <c r="HY12" s="35" t="str">
        <f>IFERROR(__xludf.DUMMYFUNCTION("VLOOKUP($A$1,IMPORTRANGE($A$2, CONCATENATE($A12,""!$B$5:$JB$48"")),HY$1,0)"),"Ex 1 page 94")</f>
        <v>Ex 1 page 94</v>
      </c>
      <c r="HZ12" s="35" t="str">
        <f>IFERROR(__xludf.DUMMYFUNCTION("VLOOKUP($A$1,IMPORTRANGE($A$2, CONCATENATE($A12,""!$B$5:$JB$48"")),HZ$1,0)"),"16/01")</f>
        <v>16/01</v>
      </c>
      <c r="IA12" s="35" t="str">
        <f>IFERROR(__xludf.DUMMYFUNCTION("VLOOKUP($A$1,IMPORTRANGE($A$2, CONCATENATE($A12,""!$B$5:$JB$48"")),IA$1,0)"),"Unit 6B Present Perfect")</f>
        <v>Unit 6B Present Perfect</v>
      </c>
      <c r="IB12" s="35" t="str">
        <f>IFERROR(__xludf.DUMMYFUNCTION("VLOOKUP($A$1,IMPORTRANGE($A$2, CONCATENATE($A12,""!$B$5:$JB$48"")),IB$1,0)"),"Ex 1 page 100")</f>
        <v>Ex 1 page 100</v>
      </c>
      <c r="IC12" s="35" t="str">
        <f>IFERROR(__xludf.DUMMYFUNCTION("VLOOKUP($A$1,IMPORTRANGE($A$2, CONCATENATE($A12,""!$B$5:$JB$48"")),IC$1,0)"),"")</f>
        <v/>
      </c>
      <c r="ID12" s="35" t="str">
        <f>IFERROR(__xludf.DUMMYFUNCTION("VLOOKUP($A$1,IMPORTRANGE($A$2, CONCATENATE($A12,""!$B$5:$JB$48"")),ID$1,0)"),"")</f>
        <v/>
      </c>
      <c r="IE12" s="35" t="str">
        <f>IFERROR(__xludf.DUMMYFUNCTION("VLOOKUP($A$1,IMPORTRANGE($A$2, CONCATENATE($A12,""!$B$5:$JB$48"")),IE$1,0)"),"")</f>
        <v/>
      </c>
      <c r="IF12" s="35" t="str">
        <f>IFERROR(__xludf.DUMMYFUNCTION("VLOOKUP($A$1,IMPORTRANGE($A$2, CONCATENATE($A12,""!$B$5:$JB$48"")),IF$1,0)"),"")</f>
        <v/>
      </c>
      <c r="IG12" s="35" t="str">
        <f>IFERROR(__xludf.DUMMYFUNCTION("VLOOKUP($A$1,IMPORTRANGE($A$2, CONCATENATE($A12,""!$B$5:$JB$48"")),IG$1,0)"),"")</f>
        <v/>
      </c>
      <c r="IH12" s="35" t="str">
        <f>IFERROR(__xludf.DUMMYFUNCTION("VLOOKUP($A$1,IMPORTRANGE($A$2, CONCATENATE($A12,""!$B$5:$JB$48"")),IH$1,0)"),"")</f>
        <v/>
      </c>
      <c r="II12" s="35" t="str">
        <f>IFERROR(__xludf.DUMMYFUNCTION("VLOOKUP($A$1,IMPORTRANGE($A$2, CONCATENATE($A12,""!$B$5:$JB$48"")),II$1,0)"),"")</f>
        <v/>
      </c>
      <c r="IJ12" s="35" t="str">
        <f>IFERROR(__xludf.DUMMYFUNCTION("VLOOKUP($A$1,IMPORTRANGE($A$2, CONCATENATE($A12,""!$B$5:$JB$48"")),IJ$1,0)"),"")</f>
        <v/>
      </c>
      <c r="IK12" s="35" t="str">
        <f>IFERROR(__xludf.DUMMYFUNCTION("VLOOKUP($A$1,IMPORTRANGE($A$2, CONCATENATE($A12,""!$B$5:$JB$48"")),IK$1,0)"),"")</f>
        <v/>
      </c>
      <c r="IL12" s="35" t="str">
        <f>IFERROR(__xludf.DUMMYFUNCTION("VLOOKUP($A$1,IMPORTRANGE($A$2, CONCATENATE($A12,""!$B$5:$JB$48"")),IL$1,0)"),"")</f>
        <v/>
      </c>
      <c r="IM12" s="35" t="str">
        <f>IFERROR(__xludf.DUMMYFUNCTION("VLOOKUP($A$1,IMPORTRANGE($A$2, CONCATENATE($A12,""!$B$5:$JB$48"")),IM$1,0)"),"")</f>
        <v/>
      </c>
      <c r="IN12" s="35" t="str">
        <f>IFERROR(__xludf.DUMMYFUNCTION("VLOOKUP($A$1,IMPORTRANGE($A$2, CONCATENATE($A12,""!$B$5:$JB$48"")),IN$1,0)"),"")</f>
        <v/>
      </c>
      <c r="IO12" s="35" t="str">
        <f>IFERROR(__xludf.DUMMYFUNCTION("VLOOKUP($A$1,IMPORTRANGE($A$2, CONCATENATE($A12,""!$B$5:$JB$48"")),IO$1,0)"),"")</f>
        <v/>
      </c>
      <c r="IP12" s="35" t="str">
        <f>IFERROR(__xludf.DUMMYFUNCTION("VLOOKUP($A$1,IMPORTRANGE($A$2, CONCATENATE($A12,""!$B$5:$JB$48"")),IP$1,0)"),"")</f>
        <v/>
      </c>
      <c r="IQ12" s="35" t="str">
        <f>IFERROR(__xludf.DUMMYFUNCTION("VLOOKUP($A$1,IMPORTRANGE($A$2, CONCATENATE($A12,""!$B$5:$JB$48"")),IQ$1,0)"),"")</f>
        <v/>
      </c>
      <c r="IR12" s="35" t="str">
        <f>IFERROR(__xludf.DUMMYFUNCTION("VLOOKUP($A$1,IMPORTRANGE($A$2, CONCATENATE($A12,""!$B$5:$JB$48"")),IR$1,0)"),"")</f>
        <v/>
      </c>
      <c r="IS12" s="35" t="str">
        <f>IFERROR(__xludf.DUMMYFUNCTION("VLOOKUP($A$1,IMPORTRANGE($A$2, CONCATENATE($A12,""!$B$5:$JB$48"")),IS$1,0)"),"")</f>
        <v/>
      </c>
      <c r="IT12" s="35" t="str">
        <f>IFERROR(__xludf.DUMMYFUNCTION("VLOOKUP($A$1,IMPORTRANGE($A$2, CONCATENATE($A12,""!$B$5:$JB$48"")),IT$1,0)"),"")</f>
        <v/>
      </c>
      <c r="IU12" s="35" t="str">
        <f>IFERROR(__xludf.DUMMYFUNCTION("VLOOKUP($A$1,IMPORTRANGE($A$2, CONCATENATE($A12,""!$B$5:$JB$48"")),IU$1,0)"),"")</f>
        <v/>
      </c>
      <c r="IV12" s="35" t="str">
        <f>IFERROR(__xludf.DUMMYFUNCTION("VLOOKUP($A$1,IMPORTRANGE($A$2, CONCATENATE($A12,""!$B$5:$JB$48"")),IV$1,0)"),"#REF!")</f>
        <v>#REF!</v>
      </c>
      <c r="IW12" s="35" t="str">
        <f>IFERROR(__xludf.DUMMYFUNCTION("VLOOKUP($A$1,IMPORTRANGE($A$2, CONCATENATE($A12,""!$B$5:$JB$48"")),IW$1,0)"),"#REF!")</f>
        <v>#REF!</v>
      </c>
      <c r="IX12" s="35" t="str">
        <f>IFERROR(__xludf.DUMMYFUNCTION("VLOOKUP($A$1,IMPORTRANGE($A$2, CONCATENATE($A12,""!$B$5:$JB$48"")),IX$1,0)"),"#REF!")</f>
        <v>#REF!</v>
      </c>
      <c r="IY12" s="35" t="str">
        <f>IFERROR(__xludf.DUMMYFUNCTION("VLOOKUP($A$1,IMPORTRANGE($A$2, CONCATENATE($A12,""!$B$5:$JB$48"")),IY$1,0)"),"#REF!")</f>
        <v>#REF!</v>
      </c>
      <c r="IZ12" s="35" t="str">
        <f>IFERROR(__xludf.DUMMYFUNCTION("VLOOKUP($A$1,IMPORTRANGE($A$2, CONCATENATE($A12,""!$B$5:$JB$48"")),IZ$1,0)"),"#REF!")</f>
        <v>#REF!</v>
      </c>
      <c r="JA12" s="35" t="str">
        <f>IFERROR(__xludf.DUMMYFUNCTION("VLOOKUP($A$1,IMPORTRANGE($A$2, CONCATENATE($A12,""!$B$5:$JB$48"")),JA$1,0)"),"#REF!")</f>
        <v>#REF!</v>
      </c>
      <c r="JB12" s="35"/>
      <c r="JC12" s="35"/>
      <c r="JD12" s="35"/>
      <c r="JE12" s="35"/>
    </row>
    <row r="13">
      <c r="A13" s="41"/>
      <c r="B13" s="29"/>
      <c r="C13" s="37"/>
      <c r="D13" s="38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</row>
    <row r="14">
      <c r="A14" s="39"/>
      <c r="B14" s="32">
        <f>IFERROR(__xludf.DUMMYFUNCTION("IMPORTRANGE($A$2, CONCATENATE($A15,""!C4:JB4""))"),45902.0)</f>
        <v>45902</v>
      </c>
      <c r="C14" s="32">
        <f>IFERROR(__xludf.DUMMYFUNCTION("""COMPUTED_VALUE"""),45908.0)</f>
        <v>45908</v>
      </c>
      <c r="D14" s="32"/>
      <c r="E14" s="32"/>
      <c r="F14" s="32"/>
      <c r="G14" s="32"/>
      <c r="H14" s="32"/>
      <c r="I14" s="32">
        <f>IFERROR(__xludf.DUMMYFUNCTION("""COMPUTED_VALUE"""),45909.0)</f>
        <v>45909</v>
      </c>
      <c r="J14" s="32">
        <f>IFERROR(__xludf.DUMMYFUNCTION("""COMPUTED_VALUE"""),45915.0)</f>
        <v>45915</v>
      </c>
      <c r="K14" s="32"/>
      <c r="L14" s="32"/>
      <c r="M14" s="32"/>
      <c r="N14" s="32"/>
      <c r="O14" s="32"/>
      <c r="P14" s="32">
        <f>IFERROR(__xludf.DUMMYFUNCTION("""COMPUTED_VALUE"""),45916.0)</f>
        <v>45916</v>
      </c>
      <c r="Q14" s="32">
        <f>IFERROR(__xludf.DUMMYFUNCTION("""COMPUTED_VALUE"""),45922.0)</f>
        <v>45922</v>
      </c>
      <c r="R14" s="32"/>
      <c r="S14" s="32"/>
      <c r="T14" s="32"/>
      <c r="U14" s="32"/>
      <c r="V14" s="32"/>
      <c r="W14" s="32">
        <f>IFERROR(__xludf.DUMMYFUNCTION("""COMPUTED_VALUE"""),45923.0)</f>
        <v>45923</v>
      </c>
      <c r="X14" s="32">
        <f>IFERROR(__xludf.DUMMYFUNCTION("""COMPUTED_VALUE"""),45929.0)</f>
        <v>45929</v>
      </c>
      <c r="Y14" s="32"/>
      <c r="Z14" s="32"/>
      <c r="AA14" s="32"/>
      <c r="AB14" s="32"/>
      <c r="AC14" s="32"/>
      <c r="AD14" s="32">
        <f>IFERROR(__xludf.DUMMYFUNCTION("""COMPUTED_VALUE"""),45930.0)</f>
        <v>45930</v>
      </c>
      <c r="AE14" s="32">
        <f>IFERROR(__xludf.DUMMYFUNCTION("""COMPUTED_VALUE"""),45936.0)</f>
        <v>45936</v>
      </c>
      <c r="AF14" s="32"/>
      <c r="AG14" s="32"/>
      <c r="AH14" s="32"/>
      <c r="AI14" s="32"/>
      <c r="AJ14" s="32"/>
      <c r="AK14" s="32">
        <f>IFERROR(__xludf.DUMMYFUNCTION("""COMPUTED_VALUE"""),45937.0)</f>
        <v>45937</v>
      </c>
      <c r="AL14" s="32">
        <f>IFERROR(__xludf.DUMMYFUNCTION("""COMPUTED_VALUE"""),13.1)</f>
        <v>13.1</v>
      </c>
      <c r="AM14" s="32"/>
      <c r="AN14" s="32"/>
      <c r="AO14" s="32"/>
      <c r="AP14" s="32"/>
      <c r="AQ14" s="32"/>
      <c r="AR14" s="32">
        <f>IFERROR(__xludf.DUMMYFUNCTION("""COMPUTED_VALUE"""),45943.0)</f>
        <v>45943</v>
      </c>
      <c r="AS14" s="32">
        <f>IFERROR(__xludf.DUMMYFUNCTION("""COMPUTED_VALUE"""),45944.0)</f>
        <v>45944</v>
      </c>
      <c r="AT14" s="32">
        <f>IFERROR(__xludf.DUMMYFUNCTION("""COMPUTED_VALUE"""),45950.0)</f>
        <v>45950</v>
      </c>
      <c r="AU14" s="32"/>
      <c r="AV14" s="32"/>
      <c r="AW14" s="32"/>
      <c r="AX14" s="32"/>
      <c r="AY14" s="32">
        <f>IFERROR(__xludf.DUMMYFUNCTION("""COMPUTED_VALUE"""),45951.0)</f>
        <v>45951</v>
      </c>
      <c r="AZ14" s="32">
        <f>IFERROR(__xludf.DUMMYFUNCTION("""COMPUTED_VALUE"""),45957.0)</f>
        <v>45957</v>
      </c>
      <c r="BA14" s="32"/>
      <c r="BB14" s="32"/>
      <c r="BC14" s="32"/>
      <c r="BD14" s="32"/>
      <c r="BE14" s="32"/>
      <c r="BF14" s="32">
        <f>IFERROR(__xludf.DUMMYFUNCTION("""COMPUTED_VALUE"""),45958.0)</f>
        <v>45958</v>
      </c>
      <c r="BG14" s="32"/>
      <c r="BH14" s="32"/>
      <c r="BI14" s="32"/>
      <c r="BJ14" s="32"/>
      <c r="BK14" s="32"/>
      <c r="BL14" s="32"/>
      <c r="BM14" s="32" t="str">
        <f>IFERROR(__xludf.DUMMYFUNCTION("""COMPUTED_VALUE"""),"1 четверть")</f>
        <v>1 четверть</v>
      </c>
      <c r="BN14" s="32">
        <f>IFERROR(__xludf.DUMMYFUNCTION("""COMPUTED_VALUE"""),45971.0)</f>
        <v>45971</v>
      </c>
      <c r="BO14" s="32">
        <f>IFERROR(__xludf.DUMMYFUNCTION("""COMPUTED_VALUE"""),45972.0)</f>
        <v>45972</v>
      </c>
      <c r="BP14" s="32">
        <f>IFERROR(__xludf.DUMMYFUNCTION("""COMPUTED_VALUE"""),45978.0)</f>
        <v>45978</v>
      </c>
      <c r="BQ14" s="32">
        <f>IFERROR(__xludf.DUMMYFUNCTION("""COMPUTED_VALUE"""),45979.0)</f>
        <v>45979</v>
      </c>
      <c r="BR14" s="32">
        <f>IFERROR(__xludf.DUMMYFUNCTION("""COMPUTED_VALUE"""),45985.0)</f>
        <v>45985</v>
      </c>
      <c r="BS14" s="32">
        <f>IFERROR(__xludf.DUMMYFUNCTION("""COMPUTED_VALUE"""),45986.0)</f>
        <v>45986</v>
      </c>
      <c r="BT14" s="32">
        <f>IFERROR(__xludf.DUMMYFUNCTION("""COMPUTED_VALUE"""),45992.0)</f>
        <v>45992</v>
      </c>
      <c r="BU14" s="32">
        <f>IFERROR(__xludf.DUMMYFUNCTION("""COMPUTED_VALUE"""),45993.0)</f>
        <v>45993</v>
      </c>
      <c r="BV14" s="32">
        <f>IFERROR(__xludf.DUMMYFUNCTION("""COMPUTED_VALUE"""),46000.0)</f>
        <v>46000</v>
      </c>
      <c r="BW14" s="32">
        <f>IFERROR(__xludf.DUMMYFUNCTION("""COMPUTED_VALUE"""),46006.0)</f>
        <v>46006</v>
      </c>
      <c r="BX14" s="32">
        <f>IFERROR(__xludf.DUMMYFUNCTION("""COMPUTED_VALUE"""),46007.0)</f>
        <v>46007</v>
      </c>
      <c r="BY14" s="32">
        <f>IFERROR(__xludf.DUMMYFUNCTION("""COMPUTED_VALUE"""),46013.0)</f>
        <v>46013</v>
      </c>
      <c r="BZ14" s="32">
        <f>IFERROR(__xludf.DUMMYFUNCTION("""COMPUTED_VALUE"""),46014.0)</f>
        <v>46014</v>
      </c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 t="str">
        <f>IFERROR(__xludf.DUMMYFUNCTION("""COMPUTED_VALUE"""),"2 четверть")</f>
        <v>2 четверть</v>
      </c>
      <c r="DR14" s="32">
        <f>IFERROR(__xludf.DUMMYFUNCTION("""COMPUTED_VALUE"""),46034.0)</f>
        <v>46034</v>
      </c>
      <c r="DS14" s="32">
        <f>IFERROR(__xludf.DUMMYFUNCTION("""COMPUTED_VALUE"""),46035.0)</f>
        <v>46035</v>
      </c>
      <c r="DT14" s="32">
        <f>IFERROR(__xludf.DUMMYFUNCTION("""COMPUTED_VALUE"""),46041.0)</f>
        <v>46041</v>
      </c>
      <c r="DU14" s="32">
        <f>IFERROR(__xludf.DUMMYFUNCTION("""COMPUTED_VALUE"""),46042.0)</f>
        <v>46042</v>
      </c>
      <c r="DV14" s="32">
        <f>IFERROR(__xludf.DUMMYFUNCTION("""COMPUTED_VALUE"""),46048.0)</f>
        <v>46048</v>
      </c>
      <c r="DW14" s="32">
        <f>IFERROR(__xludf.DUMMYFUNCTION("""COMPUTED_VALUE"""),46049.0)</f>
        <v>46049</v>
      </c>
      <c r="DX14" s="32">
        <f>IFERROR(__xludf.DUMMYFUNCTION("""COMPUTED_VALUE"""),46055.0)</f>
        <v>46055</v>
      </c>
      <c r="DY14" s="32">
        <f>IFERROR(__xludf.DUMMYFUNCTION("""COMPUTED_VALUE"""),46056.0)</f>
        <v>46056</v>
      </c>
      <c r="DZ14" s="32">
        <f>IFERROR(__xludf.DUMMYFUNCTION("""COMPUTED_VALUE"""),46062.0)</f>
        <v>46062</v>
      </c>
      <c r="EA14" s="32">
        <f>IFERROR(__xludf.DUMMYFUNCTION("""COMPUTED_VALUE"""),46063.0)</f>
        <v>46063</v>
      </c>
      <c r="EB14" s="32">
        <f>IFERROR(__xludf.DUMMYFUNCTION("""COMPUTED_VALUE"""),46069.0)</f>
        <v>46069</v>
      </c>
      <c r="EC14" s="32">
        <f>IFERROR(__xludf.DUMMYFUNCTION("""COMPUTED_VALUE"""),46070.0)</f>
        <v>46070</v>
      </c>
      <c r="ED14" s="32">
        <f>IFERROR(__xludf.DUMMYFUNCTION("""COMPUTED_VALUE"""),46076.0)</f>
        <v>46076</v>
      </c>
      <c r="EE14" s="32">
        <f>IFERROR(__xludf.DUMMYFUNCTION("""COMPUTED_VALUE"""),46077.0)</f>
        <v>46077</v>
      </c>
      <c r="EF14" s="32">
        <f>IFERROR(__xludf.DUMMYFUNCTION("""COMPUTED_VALUE"""),46083.0)</f>
        <v>46083</v>
      </c>
      <c r="EG14" s="32">
        <f>IFERROR(__xludf.DUMMYFUNCTION("""COMPUTED_VALUE"""),46084.0)</f>
        <v>46084</v>
      </c>
      <c r="EH14" s="32">
        <f>IFERROR(__xludf.DUMMYFUNCTION("""COMPUTED_VALUE"""),46091.0)</f>
        <v>46091</v>
      </c>
      <c r="EI14" s="32">
        <f>IFERROR(__xludf.DUMMYFUNCTION("""COMPUTED_VALUE"""),46097.0)</f>
        <v>46097</v>
      </c>
      <c r="EJ14" s="32">
        <f>IFERROR(__xludf.DUMMYFUNCTION("""COMPUTED_VALUE"""),46098.0)</f>
        <v>46098</v>
      </c>
      <c r="EK14" s="32" t="str">
        <f>IFERROR(__xludf.DUMMYFUNCTION("""COMPUTED_VALUE"""),"3 четверть")</f>
        <v>3 четверть</v>
      </c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 t="str">
        <f>IFERROR(__xludf.DUMMYFUNCTION("""COMPUTED_VALUE"""),"4 четверть")</f>
        <v>4 четверть</v>
      </c>
      <c r="IW14" s="32" t="str">
        <f>IFERROR(__xludf.DUMMYFUNCTION("""COMPUTED_VALUE"""),"год")</f>
        <v>год</v>
      </c>
      <c r="IX14" s="32" t="str">
        <f>IFERROR(__xludf.DUMMYFUNCTION("""COMPUTED_VALUE"""),"рейтинг")</f>
        <v>рейтинг</v>
      </c>
      <c r="IY14" s="32"/>
      <c r="IZ14" s="32"/>
      <c r="JA14" s="32" t="str">
        <f>IFERROR(__xludf.DUMMYFUNCTION("""COMPUTED_VALUE"""),"Дата")</f>
        <v>Дата</v>
      </c>
      <c r="JB14" s="32"/>
      <c r="JC14" s="32"/>
      <c r="JD14" s="32"/>
      <c r="JE14" s="32"/>
    </row>
    <row r="15">
      <c r="A15" s="42" t="s">
        <v>281</v>
      </c>
      <c r="B15" s="35" t="str">
        <f>IFERROR(__xludf.DUMMYFUNCTION("VLOOKUP($A$1,IMPORTRANGE($A$2, CONCATENATE($A15,""!$B$5:$JB$48"")),B$1,0)"),"")</f>
        <v/>
      </c>
      <c r="C15" s="35" t="str">
        <f>IFERROR(__xludf.DUMMYFUNCTION("VLOOKUP($A$1,IMPORTRANGE($A$2, CONCATENATE($A15,""!$B$5:$JB$48"")),C$1,0)"),"")</f>
        <v/>
      </c>
      <c r="D15" s="35" t="str">
        <f>IFERROR(__xludf.DUMMYFUNCTION("VLOOKUP($A$1,IMPORTRANGE($A$2, CONCATENATE($A15,""!$B$5:$JB$48"")),D$1,0)"),"")</f>
        <v/>
      </c>
      <c r="E15" s="35" t="str">
        <f>IFERROR(__xludf.DUMMYFUNCTION("VLOOKUP($A$1,IMPORTRANGE($A$2, CONCATENATE($A15,""!$B$5:$JB$48"")),E$1,0)"),"")</f>
        <v/>
      </c>
      <c r="F15" s="35" t="str">
        <f>IFERROR(__xludf.DUMMYFUNCTION("VLOOKUP($A$1,IMPORTRANGE($A$2, CONCATENATE($A15,""!$B$5:$JB$48"")),F$1,0)"),"")</f>
        <v/>
      </c>
      <c r="G15" s="35" t="str">
        <f>IFERROR(__xludf.DUMMYFUNCTION("VLOOKUP($A$1,IMPORTRANGE($A$2, CONCATENATE($A15,""!$B$5:$JB$48"")),G$1,0)"),"")</f>
        <v/>
      </c>
      <c r="H15" s="35" t="str">
        <f>IFERROR(__xludf.DUMMYFUNCTION("VLOOKUP($A$1,IMPORTRANGE($A$2, CONCATENATE($A15,""!$B$5:$JB$48"")),H$1,0)"),"")</f>
        <v/>
      </c>
      <c r="I15" s="35" t="str">
        <f>IFERROR(__xludf.DUMMYFUNCTION("VLOOKUP($A$1,IMPORTRANGE($A$2, CONCATENATE($A15,""!$B$5:$JB$48"")),I$1,0)"),"")</f>
        <v/>
      </c>
      <c r="J15" s="35" t="str">
        <f>IFERROR(__xludf.DUMMYFUNCTION("VLOOKUP($A$1,IMPORTRANGE($A$2, CONCATENATE($A15,""!$B$5:$JB$48"")),J$1,0)"),"")</f>
        <v/>
      </c>
      <c r="K15" s="35" t="str">
        <f>IFERROR(__xludf.DUMMYFUNCTION("VLOOKUP($A$1,IMPORTRANGE($A$2, CONCATENATE($A15,""!$B$5:$JB$48"")),K$1,0)"),"")</f>
        <v/>
      </c>
      <c r="L15" s="35" t="str">
        <f>IFERROR(__xludf.DUMMYFUNCTION("VLOOKUP($A$1,IMPORTRANGE($A$2, CONCATENATE($A15,""!$B$5:$JB$48"")),L$1,0)"),"")</f>
        <v/>
      </c>
      <c r="M15" s="35" t="str">
        <f>IFERROR(__xludf.DUMMYFUNCTION("VLOOKUP($A$1,IMPORTRANGE($A$2, CONCATENATE($A15,""!$B$5:$JB$48"")),M$1,0)"),"")</f>
        <v/>
      </c>
      <c r="N15" s="35" t="str">
        <f>IFERROR(__xludf.DUMMYFUNCTION("VLOOKUP($A$1,IMPORTRANGE($A$2, CONCATENATE($A15,""!$B$5:$JB$48"")),N$1,0)"),"")</f>
        <v/>
      </c>
      <c r="O15" s="35" t="str">
        <f>IFERROR(__xludf.DUMMYFUNCTION("VLOOKUP($A$1,IMPORTRANGE($A$2, CONCATENATE($A15,""!$B$5:$JB$48"")),O$1,0)"),"")</f>
        <v/>
      </c>
      <c r="P15" s="35">
        <f>IFERROR(__xludf.DUMMYFUNCTION("VLOOKUP($A$1,IMPORTRANGE($A$2, CONCATENATE($A15,""!$B$5:$JB$48"")),P$1,0)"),2.0)</f>
        <v>2</v>
      </c>
      <c r="Q15" s="35">
        <f>IFERROR(__xludf.DUMMYFUNCTION("VLOOKUP($A$1,IMPORTRANGE($A$2, CONCATENATE($A15,""!$B$5:$JB$48"")),Q$1,0)"),5.0)</f>
        <v>5</v>
      </c>
      <c r="R15" s="35" t="str">
        <f>IFERROR(__xludf.DUMMYFUNCTION("VLOOKUP($A$1,IMPORTRANGE($A$2, CONCATENATE($A15,""!$B$5:$JB$48"")),R$1,0)"),"")</f>
        <v/>
      </c>
      <c r="S15" s="35" t="str">
        <f>IFERROR(__xludf.DUMMYFUNCTION("VLOOKUP($A$1,IMPORTRANGE($A$2, CONCATENATE($A15,""!$B$5:$JB$48"")),S$1,0)"),"")</f>
        <v/>
      </c>
      <c r="T15" s="35" t="str">
        <f>IFERROR(__xludf.DUMMYFUNCTION("VLOOKUP($A$1,IMPORTRANGE($A$2, CONCATENATE($A15,""!$B$5:$JB$48"")),T$1,0)"),"")</f>
        <v/>
      </c>
      <c r="U15" s="35" t="str">
        <f>IFERROR(__xludf.DUMMYFUNCTION("VLOOKUP($A$1,IMPORTRANGE($A$2, CONCATENATE($A15,""!$B$5:$JB$48"")),U$1,0)"),"")</f>
        <v/>
      </c>
      <c r="V15" s="35" t="str">
        <f>IFERROR(__xludf.DUMMYFUNCTION("VLOOKUP($A$1,IMPORTRANGE($A$2, CONCATENATE($A15,""!$B$5:$JB$48"")),V$1,0)"),"")</f>
        <v/>
      </c>
      <c r="W15" s="35">
        <f>IFERROR(__xludf.DUMMYFUNCTION("VLOOKUP($A$1,IMPORTRANGE($A$2, CONCATENATE($A15,""!$B$5:$JB$48"")),W$1,0)"),5.0)</f>
        <v>5</v>
      </c>
      <c r="X15" s="35">
        <f>IFERROR(__xludf.DUMMYFUNCTION("VLOOKUP($A$1,IMPORTRANGE($A$2, CONCATENATE($A15,""!$B$5:$JB$48"")),X$1,0)"),5.0)</f>
        <v>5</v>
      </c>
      <c r="Y15" s="35" t="str">
        <f>IFERROR(__xludf.DUMMYFUNCTION("VLOOKUP($A$1,IMPORTRANGE($A$2, CONCATENATE($A15,""!$B$5:$JB$48"")),Y$1,0)"),"")</f>
        <v/>
      </c>
      <c r="Z15" s="35" t="str">
        <f>IFERROR(__xludf.DUMMYFUNCTION("VLOOKUP($A$1,IMPORTRANGE($A$2, CONCATENATE($A15,""!$B$5:$JB$48"")),Z$1,0)"),"")</f>
        <v/>
      </c>
      <c r="AA15" s="35" t="str">
        <f>IFERROR(__xludf.DUMMYFUNCTION("VLOOKUP($A$1,IMPORTRANGE($A$2, CONCATENATE($A15,""!$B$5:$JB$48"")),AA$1,0)"),"")</f>
        <v/>
      </c>
      <c r="AB15" s="35" t="str">
        <f>IFERROR(__xludf.DUMMYFUNCTION("VLOOKUP($A$1,IMPORTRANGE($A$2, CONCATENATE($A15,""!$B$5:$JB$48"")),AB$1,0)"),"")</f>
        <v/>
      </c>
      <c r="AC15" s="35" t="str">
        <f>IFERROR(__xludf.DUMMYFUNCTION("VLOOKUP($A$1,IMPORTRANGE($A$2, CONCATENATE($A15,""!$B$5:$JB$48"")),AC$1,0)"),"")</f>
        <v/>
      </c>
      <c r="AD15" s="35" t="str">
        <f>IFERROR(__xludf.DUMMYFUNCTION("VLOOKUP($A$1,IMPORTRANGE($A$2, CONCATENATE($A15,""!$B$5:$JB$48"")),AD$1,0)"),"")</f>
        <v/>
      </c>
      <c r="AE15" s="35" t="str">
        <f>IFERROR(__xludf.DUMMYFUNCTION("VLOOKUP($A$1,IMPORTRANGE($A$2, CONCATENATE($A15,""!$B$5:$JB$48"")),AE$1,0)"),"")</f>
        <v/>
      </c>
      <c r="AF15" s="35" t="str">
        <f>IFERROR(__xludf.DUMMYFUNCTION("VLOOKUP($A$1,IMPORTRANGE($A$2, CONCATENATE($A15,""!$B$5:$JB$48"")),AF$1,0)"),"")</f>
        <v/>
      </c>
      <c r="AG15" s="35" t="str">
        <f>IFERROR(__xludf.DUMMYFUNCTION("VLOOKUP($A$1,IMPORTRANGE($A$2, CONCATENATE($A15,""!$B$5:$JB$48"")),AG$1,0)"),"")</f>
        <v/>
      </c>
      <c r="AH15" s="35" t="str">
        <f>IFERROR(__xludf.DUMMYFUNCTION("VLOOKUP($A$1,IMPORTRANGE($A$2, CONCATENATE($A15,""!$B$5:$JB$48"")),AH$1,0)"),"")</f>
        <v/>
      </c>
      <c r="AI15" s="35" t="str">
        <f>IFERROR(__xludf.DUMMYFUNCTION("VLOOKUP($A$1,IMPORTRANGE($A$2, CONCATENATE($A15,""!$B$5:$JB$48"")),AI$1,0)"),"")</f>
        <v/>
      </c>
      <c r="AJ15" s="35" t="str">
        <f>IFERROR(__xludf.DUMMYFUNCTION("VLOOKUP($A$1,IMPORTRANGE($A$2, CONCATENATE($A15,""!$B$5:$JB$48"")),AJ$1,0)"),"")</f>
        <v/>
      </c>
      <c r="AK15" s="35">
        <f>IFERROR(__xludf.DUMMYFUNCTION("VLOOKUP($A$1,IMPORTRANGE($A$2, CONCATENATE($A15,""!$B$5:$JB$48"")),AK$1,0)"),4.0)</f>
        <v>4</v>
      </c>
      <c r="AL15" s="35" t="str">
        <f>IFERROR(__xludf.DUMMYFUNCTION("VLOOKUP($A$1,IMPORTRANGE($A$2, CONCATENATE($A15,""!$B$5:$JB$48"")),AL$1,0)"),"")</f>
        <v/>
      </c>
      <c r="AM15" s="35" t="str">
        <f>IFERROR(__xludf.DUMMYFUNCTION("VLOOKUP($A$1,IMPORTRANGE($A$2, CONCATENATE($A15,""!$B$5:$JB$48"")),AM$1,0)"),"")</f>
        <v/>
      </c>
      <c r="AN15" s="35" t="str">
        <f>IFERROR(__xludf.DUMMYFUNCTION("VLOOKUP($A$1,IMPORTRANGE($A$2, CONCATENATE($A15,""!$B$5:$JB$48"")),AN$1,0)"),"")</f>
        <v/>
      </c>
      <c r="AO15" s="35" t="str">
        <f>IFERROR(__xludf.DUMMYFUNCTION("VLOOKUP($A$1,IMPORTRANGE($A$2, CONCATENATE($A15,""!$B$5:$JB$48"")),AO$1,0)"),"")</f>
        <v/>
      </c>
      <c r="AP15" s="35" t="str">
        <f>IFERROR(__xludf.DUMMYFUNCTION("VLOOKUP($A$1,IMPORTRANGE($A$2, CONCATENATE($A15,""!$B$5:$JB$48"")),AP$1,0)"),"")</f>
        <v/>
      </c>
      <c r="AQ15" s="35" t="str">
        <f>IFERROR(__xludf.DUMMYFUNCTION("VLOOKUP($A$1,IMPORTRANGE($A$2, CONCATENATE($A15,""!$B$5:$JB$48"")),AQ$1,0)"),"")</f>
        <v/>
      </c>
      <c r="AR15" s="35" t="str">
        <f>IFERROR(__xludf.DUMMYFUNCTION("VLOOKUP($A$1,IMPORTRANGE($A$2, CONCATENATE($A15,""!$B$5:$JB$48"")),AR$1,0)"),"")</f>
        <v/>
      </c>
      <c r="AS15" s="35" t="str">
        <f>IFERROR(__xludf.DUMMYFUNCTION("VLOOKUP($A$1,IMPORTRANGE($A$2, CONCATENATE($A15,""!$B$5:$JB$48"")),AS$1,0)"),"")</f>
        <v/>
      </c>
      <c r="AT15" s="35" t="str">
        <f>IFERROR(__xludf.DUMMYFUNCTION("VLOOKUP($A$1,IMPORTRANGE($A$2, CONCATENATE($A15,""!$B$5:$JB$48"")),AT$1,0)"),"")</f>
        <v/>
      </c>
      <c r="AU15" s="35" t="str">
        <f>IFERROR(__xludf.DUMMYFUNCTION("VLOOKUP($A$1,IMPORTRANGE($A$2, CONCATENATE($A15,""!$B$5:$JB$48"")),AU$1,0)"),"")</f>
        <v/>
      </c>
      <c r="AV15" s="35" t="str">
        <f>IFERROR(__xludf.DUMMYFUNCTION("VLOOKUP($A$1,IMPORTRANGE($A$2, CONCATENATE($A15,""!$B$5:$JB$48"")),AV$1,0)"),"")</f>
        <v/>
      </c>
      <c r="AW15" s="35" t="str">
        <f>IFERROR(__xludf.DUMMYFUNCTION("VLOOKUP($A$1,IMPORTRANGE($A$2, CONCATENATE($A15,""!$B$5:$JB$48"")),AW$1,0)"),"")</f>
        <v/>
      </c>
      <c r="AX15" s="35" t="str">
        <f>IFERROR(__xludf.DUMMYFUNCTION("VLOOKUP($A$1,IMPORTRANGE($A$2, CONCATENATE($A15,""!$B$5:$JB$48"")),AX$1,0)"),"")</f>
        <v/>
      </c>
      <c r="AY15" s="35" t="str">
        <f>IFERROR(__xludf.DUMMYFUNCTION("VLOOKUP($A$1,IMPORTRANGE($A$2, CONCATENATE($A15,""!$B$5:$JB$48"")),AY$1,0)"),"")</f>
        <v/>
      </c>
      <c r="AZ15" s="35">
        <f>IFERROR(__xludf.DUMMYFUNCTION("VLOOKUP($A$1,IMPORTRANGE($A$2, CONCATENATE($A15,""!$B$5:$JB$48"")),AZ$1,0)"),3.0)</f>
        <v>3</v>
      </c>
      <c r="BA15" s="35" t="str">
        <f>IFERROR(__xludf.DUMMYFUNCTION("VLOOKUP($A$1,IMPORTRANGE($A$2, CONCATENATE($A15,""!$B$5:$JB$48"")),BA$1,0)"),"")</f>
        <v/>
      </c>
      <c r="BB15" s="35" t="str">
        <f>IFERROR(__xludf.DUMMYFUNCTION("VLOOKUP($A$1,IMPORTRANGE($A$2, CONCATENATE($A15,""!$B$5:$JB$48"")),BB$1,0)"),"")</f>
        <v/>
      </c>
      <c r="BC15" s="35" t="str">
        <f>IFERROR(__xludf.DUMMYFUNCTION("VLOOKUP($A$1,IMPORTRANGE($A$2, CONCATENATE($A15,""!$B$5:$JB$48"")),BC$1,0)"),"")</f>
        <v/>
      </c>
      <c r="BD15" s="35" t="str">
        <f>IFERROR(__xludf.DUMMYFUNCTION("VLOOKUP($A$1,IMPORTRANGE($A$2, CONCATENATE($A15,""!$B$5:$JB$48"")),BD$1,0)"),"")</f>
        <v/>
      </c>
      <c r="BE15" s="35" t="str">
        <f>IFERROR(__xludf.DUMMYFUNCTION("VLOOKUP($A$1,IMPORTRANGE($A$2, CONCATENATE($A15,""!$B$5:$JB$48"")),BE$1,0)"),"")</f>
        <v/>
      </c>
      <c r="BF15" s="35">
        <f>IFERROR(__xludf.DUMMYFUNCTION("VLOOKUP($A$1,IMPORTRANGE($A$2, CONCATENATE($A15,""!$B$5:$JB$48"")),BF$1,0)"),2.0)</f>
        <v>2</v>
      </c>
      <c r="BG15" s="35" t="str">
        <f>IFERROR(__xludf.DUMMYFUNCTION("VLOOKUP($A$1,IMPORTRANGE($A$2, CONCATENATE($A15,""!$B$5:$JB$48"")),BG$1,0)"),"")</f>
        <v/>
      </c>
      <c r="BH15" s="35" t="str">
        <f>IFERROR(__xludf.DUMMYFUNCTION("VLOOKUP($A$1,IMPORTRANGE($A$2, CONCATENATE($A15,""!$B$5:$JB$48"")),BH$1,0)"),"")</f>
        <v/>
      </c>
      <c r="BI15" s="35" t="str">
        <f>IFERROR(__xludf.DUMMYFUNCTION("VLOOKUP($A$1,IMPORTRANGE($A$2, CONCATENATE($A15,""!$B$5:$JB$48"")),BI$1,0)"),"")</f>
        <v/>
      </c>
      <c r="BJ15" s="35" t="str">
        <f>IFERROR(__xludf.DUMMYFUNCTION("VLOOKUP($A$1,IMPORTRANGE($A$2, CONCATENATE($A15,""!$B$5:$JB$48"")),BJ$1,0)"),"")</f>
        <v/>
      </c>
      <c r="BK15" s="35" t="str">
        <f>IFERROR(__xludf.DUMMYFUNCTION("VLOOKUP($A$1,IMPORTRANGE($A$2, CONCATENATE($A15,""!$B$5:$JB$48"")),BK$1,0)"),"")</f>
        <v/>
      </c>
      <c r="BL15" s="35" t="str">
        <f>IFERROR(__xludf.DUMMYFUNCTION("VLOOKUP($A$1,IMPORTRANGE($A$2, CONCATENATE($A15,""!$B$5:$JB$48"")),BL$1,0)"),"")</f>
        <v/>
      </c>
      <c r="BM15" s="35">
        <f>IFERROR(__xludf.DUMMYFUNCTION("VLOOKUP($A$1,IMPORTRANGE($A$2, CONCATENATE($A15,""!$B$5:$JB$48"")),BM$1,0)"),4.0)</f>
        <v>4</v>
      </c>
      <c r="BN15" s="35" t="str">
        <f>IFERROR(__xludf.DUMMYFUNCTION("VLOOKUP($A$1,IMPORTRANGE($A$2, CONCATENATE($A15,""!$B$5:$JB$48"")),BN$1,0)"),"")</f>
        <v/>
      </c>
      <c r="BO15" s="35">
        <f>IFERROR(__xludf.DUMMYFUNCTION("VLOOKUP($A$1,IMPORTRANGE($A$2, CONCATENATE($A15,""!$B$5:$JB$48"")),BO$1,0)"),5.0)</f>
        <v>5</v>
      </c>
      <c r="BP15" s="35" t="str">
        <f>IFERROR(__xludf.DUMMYFUNCTION("VLOOKUP($A$1,IMPORTRANGE($A$2, CONCATENATE($A15,""!$B$5:$JB$48"")),BP$1,0)"),"")</f>
        <v/>
      </c>
      <c r="BQ15" s="35" t="str">
        <f>IFERROR(__xludf.DUMMYFUNCTION("VLOOKUP($A$1,IMPORTRANGE($A$2, CONCATENATE($A15,""!$B$5:$JB$48"")),BQ$1,0)"),"-")</f>
        <v>-</v>
      </c>
      <c r="BR15" s="35" t="str">
        <f>IFERROR(__xludf.DUMMYFUNCTION("VLOOKUP($A$1,IMPORTRANGE($A$2, CONCATENATE($A15,""!$B$5:$JB$48"")),BR$1,0)"),"")</f>
        <v/>
      </c>
      <c r="BS15" s="35">
        <f>IFERROR(__xludf.DUMMYFUNCTION("VLOOKUP($A$1,IMPORTRANGE($A$2, CONCATENATE($A15,""!$B$5:$JB$48"")),BS$1,0)"),5.0)</f>
        <v>5</v>
      </c>
      <c r="BT15" s="35" t="str">
        <f>IFERROR(__xludf.DUMMYFUNCTION("VLOOKUP($A$1,IMPORTRANGE($A$2, CONCATENATE($A15,""!$B$5:$JB$48"")),BT$1,0)"),"-")</f>
        <v>-</v>
      </c>
      <c r="BU15" s="35">
        <f>IFERROR(__xludf.DUMMYFUNCTION("VLOOKUP($A$1,IMPORTRANGE($A$2, CONCATENATE($A15,""!$B$5:$JB$48"")),BU$1,0)"),4.0)</f>
        <v>4</v>
      </c>
      <c r="BV15" s="35" t="str">
        <f>IFERROR(__xludf.DUMMYFUNCTION("VLOOKUP($A$1,IMPORTRANGE($A$2, CONCATENATE($A15,""!$B$5:$JB$48"")),BV$1,0)"),"")</f>
        <v/>
      </c>
      <c r="BW15" s="35" t="str">
        <f>IFERROR(__xludf.DUMMYFUNCTION("VLOOKUP($A$1,IMPORTRANGE($A$2, CONCATENATE($A15,""!$B$5:$JB$48"")),BW$1,0)"),"")</f>
        <v/>
      </c>
      <c r="BX15" s="35" t="str">
        <f>IFERROR(__xludf.DUMMYFUNCTION("VLOOKUP($A$1,IMPORTRANGE($A$2, CONCATENATE($A15,""!$B$5:$JB$48"")),BX$1,0)"),"")</f>
        <v/>
      </c>
      <c r="BY15" s="35">
        <f>IFERROR(__xludf.DUMMYFUNCTION("VLOOKUP($A$1,IMPORTRANGE($A$2, CONCATENATE($A15,""!$B$5:$JB$48"")),BY$1,0)"),5.0)</f>
        <v>5</v>
      </c>
      <c r="BZ15" s="35">
        <f>IFERROR(__xludf.DUMMYFUNCTION("VLOOKUP($A$1,IMPORTRANGE($A$2, CONCATENATE($A15,""!$B$5:$JB$48"")),BZ$1,0)"),5.0)</f>
        <v>5</v>
      </c>
      <c r="CA15" s="35" t="str">
        <f>IFERROR(__xludf.DUMMYFUNCTION("VLOOKUP($A$1,IMPORTRANGE($A$2, CONCATENATE($A15,""!$B$5:$JB$48"")),CA$1,0)"),"")</f>
        <v/>
      </c>
      <c r="CB15" s="35" t="str">
        <f>IFERROR(__xludf.DUMMYFUNCTION("VLOOKUP($A$1,IMPORTRANGE($A$2, CONCATENATE($A15,""!$B$5:$JB$48"")),CB$1,0)"),"")</f>
        <v/>
      </c>
      <c r="CC15" s="35" t="str">
        <f>IFERROR(__xludf.DUMMYFUNCTION("VLOOKUP($A$1,IMPORTRANGE($A$2, CONCATENATE($A15,""!$B$5:$JB$48"")),CC$1,0)"),"")</f>
        <v/>
      </c>
      <c r="CD15" s="35" t="str">
        <f>IFERROR(__xludf.DUMMYFUNCTION("VLOOKUP($A$1,IMPORTRANGE($A$2, CONCATENATE($A15,""!$B$5:$JB$48"")),CD$1,0)"),"")</f>
        <v/>
      </c>
      <c r="CE15" s="35" t="str">
        <f>IFERROR(__xludf.DUMMYFUNCTION("VLOOKUP($A$1,IMPORTRANGE($A$2, CONCATENATE($A15,""!$B$5:$JB$48"")),CE$1,0)"),"")</f>
        <v/>
      </c>
      <c r="CF15" s="35" t="str">
        <f>IFERROR(__xludf.DUMMYFUNCTION("VLOOKUP($A$1,IMPORTRANGE($A$2, CONCATENATE($A15,""!$B$5:$JB$48"")),CF$1,0)"),"")</f>
        <v/>
      </c>
      <c r="CG15" s="35" t="str">
        <f>IFERROR(__xludf.DUMMYFUNCTION("VLOOKUP($A$1,IMPORTRANGE($A$2, CONCATENATE($A15,""!$B$5:$JB$48"")),CG$1,0)"),"")</f>
        <v/>
      </c>
      <c r="CH15" s="35" t="str">
        <f>IFERROR(__xludf.DUMMYFUNCTION("VLOOKUP($A$1,IMPORTRANGE($A$2, CONCATENATE($A15,""!$B$5:$JB$48"")),CH$1,0)"),"")</f>
        <v/>
      </c>
      <c r="CI15" s="35" t="str">
        <f>IFERROR(__xludf.DUMMYFUNCTION("VLOOKUP($A$1,IMPORTRANGE($A$2, CONCATENATE($A15,""!$B$5:$JB$48"")),CI$1,0)"),"")</f>
        <v/>
      </c>
      <c r="CJ15" s="35" t="str">
        <f>IFERROR(__xludf.DUMMYFUNCTION("VLOOKUP($A$1,IMPORTRANGE($A$2, CONCATENATE($A15,""!$B$5:$JB$48"")),CJ$1,0)"),"")</f>
        <v/>
      </c>
      <c r="CK15" s="35" t="str">
        <f>IFERROR(__xludf.DUMMYFUNCTION("VLOOKUP($A$1,IMPORTRANGE($A$2, CONCATENATE($A15,""!$B$5:$JB$48"")),CK$1,0)"),"")</f>
        <v/>
      </c>
      <c r="CL15" s="35" t="str">
        <f>IFERROR(__xludf.DUMMYFUNCTION("VLOOKUP($A$1,IMPORTRANGE($A$2, CONCATENATE($A15,""!$B$5:$JB$48"")),CL$1,0)"),"")</f>
        <v/>
      </c>
      <c r="CM15" s="35" t="str">
        <f>IFERROR(__xludf.DUMMYFUNCTION("VLOOKUP($A$1,IMPORTRANGE($A$2, CONCATENATE($A15,""!$B$5:$JB$48"")),CM$1,0)"),"")</f>
        <v/>
      </c>
      <c r="CN15" s="35" t="str">
        <f>IFERROR(__xludf.DUMMYFUNCTION("VLOOKUP($A$1,IMPORTRANGE($A$2, CONCATENATE($A15,""!$B$5:$JB$48"")),CN$1,0)"),"")</f>
        <v/>
      </c>
      <c r="CO15" s="35" t="str">
        <f>IFERROR(__xludf.DUMMYFUNCTION("VLOOKUP($A$1,IMPORTRANGE($A$2, CONCATENATE($A15,""!$B$5:$JB$48"")),CO$1,0)"),"")</f>
        <v/>
      </c>
      <c r="CP15" s="35" t="str">
        <f>IFERROR(__xludf.DUMMYFUNCTION("VLOOKUP($A$1,IMPORTRANGE($A$2, CONCATENATE($A15,""!$B$5:$JB$48"")),CP$1,0)"),"")</f>
        <v/>
      </c>
      <c r="CQ15" s="35" t="str">
        <f>IFERROR(__xludf.DUMMYFUNCTION("VLOOKUP($A$1,IMPORTRANGE($A$2, CONCATENATE($A15,""!$B$5:$JB$48"")),CQ$1,0)"),"")</f>
        <v/>
      </c>
      <c r="CR15" s="35" t="str">
        <f>IFERROR(__xludf.DUMMYFUNCTION("VLOOKUP($A$1,IMPORTRANGE($A$2, CONCATENATE($A15,""!$B$5:$JB$48"")),CR$1,0)"),"")</f>
        <v/>
      </c>
      <c r="CS15" s="35" t="str">
        <f>IFERROR(__xludf.DUMMYFUNCTION("VLOOKUP($A$1,IMPORTRANGE($A$2, CONCATENATE($A15,""!$B$5:$JB$48"")),CS$1,0)"),"")</f>
        <v/>
      </c>
      <c r="CT15" s="35" t="str">
        <f>IFERROR(__xludf.DUMMYFUNCTION("VLOOKUP($A$1,IMPORTRANGE($A$2, CONCATENATE($A15,""!$B$5:$JB$48"")),CT$1,0)"),"")</f>
        <v/>
      </c>
      <c r="CU15" s="35" t="str">
        <f>IFERROR(__xludf.DUMMYFUNCTION("VLOOKUP($A$1,IMPORTRANGE($A$2, CONCATENATE($A15,""!$B$5:$JB$48"")),CU$1,0)"),"")</f>
        <v/>
      </c>
      <c r="CV15" s="35" t="str">
        <f>IFERROR(__xludf.DUMMYFUNCTION("VLOOKUP($A$1,IMPORTRANGE($A$2, CONCATENATE($A15,""!$B$5:$JB$48"")),CV$1,0)"),"")</f>
        <v/>
      </c>
      <c r="CW15" s="35" t="str">
        <f>IFERROR(__xludf.DUMMYFUNCTION("VLOOKUP($A$1,IMPORTRANGE($A$2, CONCATENATE($A15,""!$B$5:$JB$48"")),CW$1,0)"),"")</f>
        <v/>
      </c>
      <c r="CX15" s="35" t="str">
        <f>IFERROR(__xludf.DUMMYFUNCTION("VLOOKUP($A$1,IMPORTRANGE($A$2, CONCATENATE($A15,""!$B$5:$JB$48"")),CX$1,0)"),"")</f>
        <v/>
      </c>
      <c r="CY15" s="35" t="str">
        <f>IFERROR(__xludf.DUMMYFUNCTION("VLOOKUP($A$1,IMPORTRANGE($A$2, CONCATENATE($A15,""!$B$5:$JB$48"")),CY$1,0)"),"")</f>
        <v/>
      </c>
      <c r="CZ15" s="35" t="str">
        <f>IFERROR(__xludf.DUMMYFUNCTION("VLOOKUP($A$1,IMPORTRANGE($A$2, CONCATENATE($A15,""!$B$5:$JB$48"")),CZ$1,0)"),"")</f>
        <v/>
      </c>
      <c r="DA15" s="35" t="str">
        <f>IFERROR(__xludf.DUMMYFUNCTION("VLOOKUP($A$1,IMPORTRANGE($A$2, CONCATENATE($A15,""!$B$5:$JB$48"")),DA$1,0)"),"")</f>
        <v/>
      </c>
      <c r="DB15" s="35" t="str">
        <f>IFERROR(__xludf.DUMMYFUNCTION("VLOOKUP($A$1,IMPORTRANGE($A$2, CONCATENATE($A15,""!$B$5:$JB$48"")),DB$1,0)"),"")</f>
        <v/>
      </c>
      <c r="DC15" s="35" t="str">
        <f>IFERROR(__xludf.DUMMYFUNCTION("VLOOKUP($A$1,IMPORTRANGE($A$2, CONCATENATE($A15,""!$B$5:$JB$48"")),DC$1,0)"),"")</f>
        <v/>
      </c>
      <c r="DD15" s="35" t="str">
        <f>IFERROR(__xludf.DUMMYFUNCTION("VLOOKUP($A$1,IMPORTRANGE($A$2, CONCATENATE($A15,""!$B$5:$JB$48"")),DD$1,0)"),"")</f>
        <v/>
      </c>
      <c r="DE15" s="35" t="str">
        <f>IFERROR(__xludf.DUMMYFUNCTION("VLOOKUP($A$1,IMPORTRANGE($A$2, CONCATENATE($A15,""!$B$5:$JB$48"")),DE$1,0)"),"")</f>
        <v/>
      </c>
      <c r="DF15" s="35" t="str">
        <f>IFERROR(__xludf.DUMMYFUNCTION("VLOOKUP($A$1,IMPORTRANGE($A$2, CONCATENATE($A15,""!$B$5:$JB$48"")),DF$1,0)"),"")</f>
        <v/>
      </c>
      <c r="DG15" s="35" t="str">
        <f>IFERROR(__xludf.DUMMYFUNCTION("VLOOKUP($A$1,IMPORTRANGE($A$2, CONCATENATE($A15,""!$B$5:$JB$48"")),DG$1,0)"),"")</f>
        <v/>
      </c>
      <c r="DH15" s="35" t="str">
        <f>IFERROR(__xludf.DUMMYFUNCTION("VLOOKUP($A$1,IMPORTRANGE($A$2, CONCATENATE($A15,""!$B$5:$JB$48"")),DH$1,0)"),"")</f>
        <v/>
      </c>
      <c r="DI15" s="35" t="str">
        <f>IFERROR(__xludf.DUMMYFUNCTION("VLOOKUP($A$1,IMPORTRANGE($A$2, CONCATENATE($A15,""!$B$5:$JB$48"")),DI$1,0)"),"")</f>
        <v/>
      </c>
      <c r="DJ15" s="35" t="str">
        <f>IFERROR(__xludf.DUMMYFUNCTION("VLOOKUP($A$1,IMPORTRANGE($A$2, CONCATENATE($A15,""!$B$5:$JB$48"")),DJ$1,0)"),"")</f>
        <v/>
      </c>
      <c r="DK15" s="35" t="str">
        <f>IFERROR(__xludf.DUMMYFUNCTION("VLOOKUP($A$1,IMPORTRANGE($A$2, CONCATENATE($A15,""!$B$5:$JB$48"")),DK$1,0)"),"")</f>
        <v/>
      </c>
      <c r="DL15" s="35" t="str">
        <f>IFERROR(__xludf.DUMMYFUNCTION("VLOOKUP($A$1,IMPORTRANGE($A$2, CONCATENATE($A15,""!$B$5:$JB$48"")),DL$1,0)"),"")</f>
        <v/>
      </c>
      <c r="DM15" s="35" t="str">
        <f>IFERROR(__xludf.DUMMYFUNCTION("VLOOKUP($A$1,IMPORTRANGE($A$2, CONCATENATE($A15,""!$B$5:$JB$48"")),DM$1,0)"),"")</f>
        <v/>
      </c>
      <c r="DN15" s="35" t="str">
        <f>IFERROR(__xludf.DUMMYFUNCTION("VLOOKUP($A$1,IMPORTRANGE($A$2, CONCATENATE($A15,""!$B$5:$JB$48"")),DN$1,0)"),"")</f>
        <v/>
      </c>
      <c r="DO15" s="35" t="str">
        <f>IFERROR(__xludf.DUMMYFUNCTION("VLOOKUP($A$1,IMPORTRANGE($A$2, CONCATENATE($A15,""!$B$5:$JB$48"")),DO$1,0)"),"")</f>
        <v/>
      </c>
      <c r="DP15" s="35" t="str">
        <f>IFERROR(__xludf.DUMMYFUNCTION("VLOOKUP($A$1,IMPORTRANGE($A$2, CONCATENATE($A15,""!$B$5:$JB$48"")),DP$1,0)"),"")</f>
        <v/>
      </c>
      <c r="DQ15" s="35">
        <f>IFERROR(__xludf.DUMMYFUNCTION("VLOOKUP($A$1,IMPORTRANGE($A$2, CONCATENATE($A15,""!$B$5:$JB$48"")),DQ$1,0)"),5.0)</f>
        <v>5</v>
      </c>
      <c r="DR15" s="35" t="str">
        <f>IFERROR(__xludf.DUMMYFUNCTION("VLOOKUP($A$1,IMPORTRANGE($A$2, CONCATENATE($A15,""!$B$5:$JB$48"")),DR$1,0)"),"")</f>
        <v/>
      </c>
      <c r="DS15" s="35" t="str">
        <f>IFERROR(__xludf.DUMMYFUNCTION("VLOOKUP($A$1,IMPORTRANGE($A$2, CONCATENATE($A15,""!$B$5:$JB$48"")),DS$1,0)"),"")</f>
        <v/>
      </c>
      <c r="DT15" s="35" t="str">
        <f>IFERROR(__xludf.DUMMYFUNCTION("VLOOKUP($A$1,IMPORTRANGE($A$2, CONCATENATE($A15,""!$B$5:$JB$48"")),DT$1,0)"),"")</f>
        <v/>
      </c>
      <c r="DU15" s="35">
        <f>IFERROR(__xludf.DUMMYFUNCTION("VLOOKUP($A$1,IMPORTRANGE($A$2, CONCATENATE($A15,""!$B$5:$JB$48"")),DU$1,0)"),2.0)</f>
        <v>2</v>
      </c>
      <c r="DV15" s="35" t="str">
        <f>IFERROR(__xludf.DUMMYFUNCTION("VLOOKUP($A$1,IMPORTRANGE($A$2, CONCATENATE($A15,""!$B$5:$JB$48"")),DV$1,0)"),"")</f>
        <v/>
      </c>
      <c r="DW15" s="35" t="str">
        <f>IFERROR(__xludf.DUMMYFUNCTION("VLOOKUP($A$1,IMPORTRANGE($A$2, CONCATENATE($A15,""!$B$5:$JB$48"")),DW$1,0)"),"")</f>
        <v/>
      </c>
      <c r="DX15" s="35">
        <f>IFERROR(__xludf.DUMMYFUNCTION("VLOOKUP($A$1,IMPORTRANGE($A$2, CONCATENATE($A15,""!$B$5:$JB$48"")),DX$1,0)"),5.0)</f>
        <v>5</v>
      </c>
      <c r="DY15" s="35" t="str">
        <f>IFERROR(__xludf.DUMMYFUNCTION("VLOOKUP($A$1,IMPORTRANGE($A$2, CONCATENATE($A15,""!$B$5:$JB$48"")),DY$1,0)"),"")</f>
        <v/>
      </c>
      <c r="DZ15" s="35" t="str">
        <f>IFERROR(__xludf.DUMMYFUNCTION("VLOOKUP($A$1,IMPORTRANGE($A$2, CONCATENATE($A15,""!$B$5:$JB$48"")),DZ$1,0)"),"")</f>
        <v/>
      </c>
      <c r="EA15" s="35">
        <f>IFERROR(__xludf.DUMMYFUNCTION("VLOOKUP($A$1,IMPORTRANGE($A$2, CONCATENATE($A15,""!$B$5:$JB$48"")),EA$1,0)"),4.0)</f>
        <v>4</v>
      </c>
      <c r="EB15" s="35" t="str">
        <f>IFERROR(__xludf.DUMMYFUNCTION("VLOOKUP($A$1,IMPORTRANGE($A$2, CONCATENATE($A15,""!$B$5:$JB$48"")),EB$1,0)"),"")</f>
        <v/>
      </c>
      <c r="EC15" s="35">
        <f>IFERROR(__xludf.DUMMYFUNCTION("VLOOKUP($A$1,IMPORTRANGE($A$2, CONCATENATE($A15,""!$B$5:$JB$48"")),EC$1,0)"),2.0)</f>
        <v>2</v>
      </c>
      <c r="ED15" s="35">
        <f>IFERROR(__xludf.DUMMYFUNCTION("VLOOKUP($A$1,IMPORTRANGE($A$2, CONCATENATE($A15,""!$B$5:$JB$48"")),ED$1,0)"),4.0)</f>
        <v>4</v>
      </c>
      <c r="EE15" s="35" t="str">
        <f>IFERROR(__xludf.DUMMYFUNCTION("VLOOKUP($A$1,IMPORTRANGE($A$2, CONCATENATE($A15,""!$B$5:$JB$48"")),EE$1,0)"),"")</f>
        <v/>
      </c>
      <c r="EF15" s="35" t="str">
        <f>IFERROR(__xludf.DUMMYFUNCTION("VLOOKUP($A$1,IMPORTRANGE($A$2, CONCATENATE($A15,""!$B$5:$JB$48"")),EF$1,0)"),"")</f>
        <v/>
      </c>
      <c r="EG15" s="35" t="str">
        <f>IFERROR(__xludf.DUMMYFUNCTION("VLOOKUP($A$1,IMPORTRANGE($A$2, CONCATENATE($A15,""!$B$5:$JB$48"")),EG$1,0)"),"")</f>
        <v/>
      </c>
      <c r="EH15" s="35">
        <f>IFERROR(__xludf.DUMMYFUNCTION("VLOOKUP($A$1,IMPORTRANGE($A$2, CONCATENATE($A15,""!$B$5:$JB$48"")),EH$1,0)"),5.0)</f>
        <v>5</v>
      </c>
      <c r="EI15" s="35">
        <f>IFERROR(__xludf.DUMMYFUNCTION("VLOOKUP($A$1,IMPORTRANGE($A$2, CONCATENATE($A15,""!$B$5:$JB$48"")),EI$1,0)"),4.0)</f>
        <v>4</v>
      </c>
      <c r="EJ15" s="35" t="str">
        <f>IFERROR(__xludf.DUMMYFUNCTION("VLOOKUP($A$1,IMPORTRANGE($A$2, CONCATENATE($A15,""!$B$5:$JB$48"")),EJ$1,0)"),"")</f>
        <v/>
      </c>
      <c r="EK15" s="35">
        <f>IFERROR(__xludf.DUMMYFUNCTION("VLOOKUP($A$1,IMPORTRANGE($A$2, CONCATENATE($A15,""!$B$5:$JB$48"")),EK$1,0)"),4.0)</f>
        <v>4</v>
      </c>
      <c r="EL15" s="35" t="str">
        <f>IFERROR(__xludf.DUMMYFUNCTION("VLOOKUP($A$1,IMPORTRANGE($A$2, CONCATENATE($A15,""!$B$5:$JB$48"")),EL$1,0)"),"")</f>
        <v/>
      </c>
      <c r="EM15" s="35" t="str">
        <f>IFERROR(__xludf.DUMMYFUNCTION("VLOOKUP($A$1,IMPORTRANGE($A$2, CONCATENATE($A15,""!$B$5:$JB$48"")),EM$1,0)"),"")</f>
        <v/>
      </c>
      <c r="EN15" s="35" t="str">
        <f>IFERROR(__xludf.DUMMYFUNCTION("VLOOKUP($A$1,IMPORTRANGE($A$2, CONCATENATE($A15,""!$B$5:$JB$48"")),EN$1,0)"),"")</f>
        <v/>
      </c>
      <c r="EO15" s="35" t="str">
        <f>IFERROR(__xludf.DUMMYFUNCTION("VLOOKUP($A$1,IMPORTRANGE($A$2, CONCATENATE($A15,""!$B$5:$JB$48"")),EO$1,0)"),"")</f>
        <v/>
      </c>
      <c r="EP15" s="35" t="str">
        <f>IFERROR(__xludf.DUMMYFUNCTION("VLOOKUP($A$1,IMPORTRANGE($A$2, CONCATENATE($A15,""!$B$5:$JB$48"")),EP$1,0)"),"")</f>
        <v/>
      </c>
      <c r="EQ15" s="35" t="str">
        <f>IFERROR(__xludf.DUMMYFUNCTION("VLOOKUP($A$1,IMPORTRANGE($A$2, CONCATENATE($A15,""!$B$5:$JB$48"")),EQ$1,0)"),"")</f>
        <v/>
      </c>
      <c r="ER15" s="35" t="str">
        <f>IFERROR(__xludf.DUMMYFUNCTION("VLOOKUP($A$1,IMPORTRANGE($A$2, CONCATENATE($A15,""!$B$5:$JB$48"")),ER$1,0)"),"")</f>
        <v/>
      </c>
      <c r="ES15" s="35" t="str">
        <f>IFERROR(__xludf.DUMMYFUNCTION("VLOOKUP($A$1,IMPORTRANGE($A$2, CONCATENATE($A15,""!$B$5:$JB$48"")),ES$1,0)"),"")</f>
        <v/>
      </c>
      <c r="ET15" s="35" t="str">
        <f>IFERROR(__xludf.DUMMYFUNCTION("VLOOKUP($A$1,IMPORTRANGE($A$2, CONCATENATE($A15,""!$B$5:$JB$48"")),ET$1,0)"),"")</f>
        <v/>
      </c>
      <c r="EU15" s="35" t="str">
        <f>IFERROR(__xludf.DUMMYFUNCTION("VLOOKUP($A$1,IMPORTRANGE($A$2, CONCATENATE($A15,""!$B$5:$JB$48"")),EU$1,0)"),"")</f>
        <v/>
      </c>
      <c r="EV15" s="35" t="str">
        <f>IFERROR(__xludf.DUMMYFUNCTION("VLOOKUP($A$1,IMPORTRANGE($A$2, CONCATENATE($A15,""!$B$5:$JB$48"")),EV$1,0)"),"")</f>
        <v/>
      </c>
      <c r="EW15" s="35" t="str">
        <f>IFERROR(__xludf.DUMMYFUNCTION("VLOOKUP($A$1,IMPORTRANGE($A$2, CONCATENATE($A15,""!$B$5:$JB$48"")),EW$1,0)"),"")</f>
        <v/>
      </c>
      <c r="EX15" s="35" t="str">
        <f>IFERROR(__xludf.DUMMYFUNCTION("VLOOKUP($A$1,IMPORTRANGE($A$2, CONCATENATE($A15,""!$B$5:$JB$48"")),EX$1,0)"),"")</f>
        <v/>
      </c>
      <c r="EY15" s="35" t="str">
        <f>IFERROR(__xludf.DUMMYFUNCTION("VLOOKUP($A$1,IMPORTRANGE($A$2, CONCATENATE($A15,""!$B$5:$JB$48"")),EY$1,0)"),"")</f>
        <v/>
      </c>
      <c r="EZ15" s="35" t="str">
        <f>IFERROR(__xludf.DUMMYFUNCTION("VLOOKUP($A$1,IMPORTRANGE($A$2, CONCATENATE($A15,""!$B$5:$JB$48"")),EZ$1,0)"),"")</f>
        <v/>
      </c>
      <c r="FA15" s="35" t="str">
        <f>IFERROR(__xludf.DUMMYFUNCTION("VLOOKUP($A$1,IMPORTRANGE($A$2, CONCATENATE($A15,""!$B$5:$JB$48"")),FA$1,0)"),"")</f>
        <v/>
      </c>
      <c r="FB15" s="35" t="str">
        <f>IFERROR(__xludf.DUMMYFUNCTION("VLOOKUP($A$1,IMPORTRANGE($A$2, CONCATENATE($A15,""!$B$5:$JB$48"")),FB$1,0)"),"")</f>
        <v/>
      </c>
      <c r="FC15" s="35" t="str">
        <f>IFERROR(__xludf.DUMMYFUNCTION("VLOOKUP($A$1,IMPORTRANGE($A$2, CONCATENATE($A15,""!$B$5:$JB$48"")),FC$1,0)"),"")</f>
        <v/>
      </c>
      <c r="FD15" s="35" t="str">
        <f>IFERROR(__xludf.DUMMYFUNCTION("VLOOKUP($A$1,IMPORTRANGE($A$2, CONCATENATE($A15,""!$B$5:$JB$48"")),FD$1,0)"),"")</f>
        <v/>
      </c>
      <c r="FE15" s="35" t="str">
        <f>IFERROR(__xludf.DUMMYFUNCTION("VLOOKUP($A$1,IMPORTRANGE($A$2, CONCATENATE($A15,""!$B$5:$JB$48"")),FE$1,0)"),"")</f>
        <v/>
      </c>
      <c r="FF15" s="35" t="str">
        <f>IFERROR(__xludf.DUMMYFUNCTION("VLOOKUP($A$1,IMPORTRANGE($A$2, CONCATENATE($A15,""!$B$5:$JB$48"")),FF$1,0)"),"")</f>
        <v/>
      </c>
      <c r="FG15" s="35" t="str">
        <f>IFERROR(__xludf.DUMMYFUNCTION("VLOOKUP($A$1,IMPORTRANGE($A$2, CONCATENATE($A15,""!$B$5:$JB$48"")),FG$1,0)"),"")</f>
        <v/>
      </c>
      <c r="FH15" s="35" t="str">
        <f>IFERROR(__xludf.DUMMYFUNCTION("VLOOKUP($A$1,IMPORTRANGE($A$2, CONCATENATE($A15,""!$B$5:$JB$48"")),FH$1,0)"),"")</f>
        <v/>
      </c>
      <c r="FI15" s="35" t="str">
        <f>IFERROR(__xludf.DUMMYFUNCTION("VLOOKUP($A$1,IMPORTRANGE($A$2, CONCATENATE($A15,""!$B$5:$JB$48"")),FI$1,0)"),"")</f>
        <v/>
      </c>
      <c r="FJ15" s="35" t="str">
        <f>IFERROR(__xludf.DUMMYFUNCTION("VLOOKUP($A$1,IMPORTRANGE($A$2, CONCATENATE($A15,""!$B$5:$JB$48"")),FJ$1,0)"),"")</f>
        <v/>
      </c>
      <c r="FK15" s="35" t="str">
        <f>IFERROR(__xludf.DUMMYFUNCTION("VLOOKUP($A$1,IMPORTRANGE($A$2, CONCATENATE($A15,""!$B$5:$JB$48"")),FK$1,0)"),"")</f>
        <v/>
      </c>
      <c r="FL15" s="35" t="str">
        <f>IFERROR(__xludf.DUMMYFUNCTION("VLOOKUP($A$1,IMPORTRANGE($A$2, CONCATENATE($A15,""!$B$5:$JB$48"")),FL$1,0)"),"")</f>
        <v/>
      </c>
      <c r="FM15" s="35" t="str">
        <f>IFERROR(__xludf.DUMMYFUNCTION("VLOOKUP($A$1,IMPORTRANGE($A$2, CONCATENATE($A15,""!$B$5:$JB$48"")),FM$1,0)"),"")</f>
        <v/>
      </c>
      <c r="FN15" s="35" t="str">
        <f>IFERROR(__xludf.DUMMYFUNCTION("VLOOKUP($A$1,IMPORTRANGE($A$2, CONCATENATE($A15,""!$B$5:$JB$48"")),FN$1,0)"),"")</f>
        <v/>
      </c>
      <c r="FO15" s="35" t="str">
        <f>IFERROR(__xludf.DUMMYFUNCTION("VLOOKUP($A$1,IMPORTRANGE($A$2, CONCATENATE($A15,""!$B$5:$JB$48"")),FO$1,0)"),"")</f>
        <v/>
      </c>
      <c r="FP15" s="35" t="str">
        <f>IFERROR(__xludf.DUMMYFUNCTION("VLOOKUP($A$1,IMPORTRANGE($A$2, CONCATENATE($A15,""!$B$5:$JB$48"")),FP$1,0)"),"")</f>
        <v/>
      </c>
      <c r="FQ15" s="35" t="str">
        <f>IFERROR(__xludf.DUMMYFUNCTION("VLOOKUP($A$1,IMPORTRANGE($A$2, CONCATENATE($A15,""!$B$5:$JB$48"")),FQ$1,0)"),"")</f>
        <v/>
      </c>
      <c r="FR15" s="35" t="str">
        <f>IFERROR(__xludf.DUMMYFUNCTION("VLOOKUP($A$1,IMPORTRANGE($A$2, CONCATENATE($A15,""!$B$5:$JB$48"")),FR$1,0)"),"")</f>
        <v/>
      </c>
      <c r="FS15" s="35" t="str">
        <f>IFERROR(__xludf.DUMMYFUNCTION("VLOOKUP($A$1,IMPORTRANGE($A$2, CONCATENATE($A15,""!$B$5:$JB$48"")),FS$1,0)"),"")</f>
        <v/>
      </c>
      <c r="FT15" s="35" t="str">
        <f>IFERROR(__xludf.DUMMYFUNCTION("VLOOKUP($A$1,IMPORTRANGE($A$2, CONCATENATE($A15,""!$B$5:$JB$48"")),FT$1,0)"),"")</f>
        <v/>
      </c>
      <c r="FU15" s="35" t="str">
        <f>IFERROR(__xludf.DUMMYFUNCTION("VLOOKUP($A$1,IMPORTRANGE($A$2, CONCATENATE($A15,""!$B$5:$JB$48"")),FU$1,0)"),"")</f>
        <v/>
      </c>
      <c r="FV15" s="35" t="str">
        <f>IFERROR(__xludf.DUMMYFUNCTION("VLOOKUP($A$1,IMPORTRANGE($A$2, CONCATENATE($A15,""!$B$5:$JB$48"")),FV$1,0)"),"")</f>
        <v/>
      </c>
      <c r="FW15" s="35" t="str">
        <f>IFERROR(__xludf.DUMMYFUNCTION("VLOOKUP($A$1,IMPORTRANGE($A$2, CONCATENATE($A15,""!$B$5:$JB$48"")),FW$1,0)"),"")</f>
        <v/>
      </c>
      <c r="FX15" s="35" t="str">
        <f>IFERROR(__xludf.DUMMYFUNCTION("VLOOKUP($A$1,IMPORTRANGE($A$2, CONCATENATE($A15,""!$B$5:$JB$48"")),FX$1,0)"),"")</f>
        <v/>
      </c>
      <c r="FY15" s="35" t="str">
        <f>IFERROR(__xludf.DUMMYFUNCTION("VLOOKUP($A$1,IMPORTRANGE($A$2, CONCATENATE($A15,""!$B$5:$JB$48"")),FY$1,0)"),"")</f>
        <v/>
      </c>
      <c r="FZ15" s="35" t="str">
        <f>IFERROR(__xludf.DUMMYFUNCTION("VLOOKUP($A$1,IMPORTRANGE($A$2, CONCATENATE($A15,""!$B$5:$JB$48"")),FZ$1,0)"),"")</f>
        <v/>
      </c>
      <c r="GA15" s="35" t="str">
        <f>IFERROR(__xludf.DUMMYFUNCTION("VLOOKUP($A$1,IMPORTRANGE($A$2, CONCATENATE($A15,""!$B$5:$JB$48"")),GA$1,0)"),"")</f>
        <v/>
      </c>
      <c r="GB15" s="35" t="str">
        <f>IFERROR(__xludf.DUMMYFUNCTION("VLOOKUP($A$1,IMPORTRANGE($A$2, CONCATENATE($A15,""!$B$5:$JB$48"")),GB$1,0)"),"")</f>
        <v/>
      </c>
      <c r="GC15" s="35" t="str">
        <f>IFERROR(__xludf.DUMMYFUNCTION("VLOOKUP($A$1,IMPORTRANGE($A$2, CONCATENATE($A15,""!$B$5:$JB$48"")),GC$1,0)"),"")</f>
        <v/>
      </c>
      <c r="GD15" s="35" t="str">
        <f>IFERROR(__xludf.DUMMYFUNCTION("VLOOKUP($A$1,IMPORTRANGE($A$2, CONCATENATE($A15,""!$B$5:$JB$48"")),GD$1,0)"),"")</f>
        <v/>
      </c>
      <c r="GE15" s="35" t="str">
        <f>IFERROR(__xludf.DUMMYFUNCTION("VLOOKUP($A$1,IMPORTRANGE($A$2, CONCATENATE($A15,""!$B$5:$JB$48"")),GE$1,0)"),"")</f>
        <v/>
      </c>
      <c r="GF15" s="35" t="str">
        <f>IFERROR(__xludf.DUMMYFUNCTION("VLOOKUP($A$1,IMPORTRANGE($A$2, CONCATENATE($A15,""!$B$5:$JB$48"")),GF$1,0)"),"")</f>
        <v/>
      </c>
      <c r="GG15" s="35" t="str">
        <f>IFERROR(__xludf.DUMMYFUNCTION("VLOOKUP($A$1,IMPORTRANGE($A$2, CONCATENATE($A15,""!$B$5:$JB$48"")),GG$1,0)"),"")</f>
        <v/>
      </c>
      <c r="GH15" s="35" t="str">
        <f>IFERROR(__xludf.DUMMYFUNCTION("VLOOKUP($A$1,IMPORTRANGE($A$2, CONCATENATE($A15,""!$B$5:$JB$48"")),GH$1,0)"),"")</f>
        <v/>
      </c>
      <c r="GI15" s="35" t="str">
        <f>IFERROR(__xludf.DUMMYFUNCTION("VLOOKUP($A$1,IMPORTRANGE($A$2, CONCATENATE($A15,""!$B$5:$JB$48"")),GI$1,0)"),"")</f>
        <v/>
      </c>
      <c r="GJ15" s="35" t="str">
        <f>IFERROR(__xludf.DUMMYFUNCTION("VLOOKUP($A$1,IMPORTRANGE($A$2, CONCATENATE($A15,""!$B$5:$JB$48"")),GJ$1,0)"),"")</f>
        <v/>
      </c>
      <c r="GK15" s="35" t="str">
        <f>IFERROR(__xludf.DUMMYFUNCTION("VLOOKUP($A$1,IMPORTRANGE($A$2, CONCATENATE($A15,""!$B$5:$JB$48"")),GK$1,0)"),"")</f>
        <v/>
      </c>
      <c r="GL15" s="35" t="str">
        <f>IFERROR(__xludf.DUMMYFUNCTION("VLOOKUP($A$1,IMPORTRANGE($A$2, CONCATENATE($A15,""!$B$5:$JB$48"")),GL$1,0)"),"")</f>
        <v/>
      </c>
      <c r="GM15" s="35" t="str">
        <f>IFERROR(__xludf.DUMMYFUNCTION("VLOOKUP($A$1,IMPORTRANGE($A$2, CONCATENATE($A15,""!$B$5:$JB$48"")),GM$1,0)"),"")</f>
        <v/>
      </c>
      <c r="GN15" s="35" t="str">
        <f>IFERROR(__xludf.DUMMYFUNCTION("VLOOKUP($A$1,IMPORTRANGE($A$2, CONCATENATE($A15,""!$B$5:$JB$48"")),GN$1,0)"),"")</f>
        <v/>
      </c>
      <c r="GO15" s="35" t="str">
        <f>IFERROR(__xludf.DUMMYFUNCTION("VLOOKUP($A$1,IMPORTRANGE($A$2, CONCATENATE($A15,""!$B$5:$JB$48"")),GO$1,0)"),"")</f>
        <v/>
      </c>
      <c r="GP15" s="35" t="str">
        <f>IFERROR(__xludf.DUMMYFUNCTION("VLOOKUP($A$1,IMPORTRANGE($A$2, CONCATENATE($A15,""!$B$5:$JB$48"")),GP$1,0)"),"")</f>
        <v/>
      </c>
      <c r="GQ15" s="35" t="str">
        <f>IFERROR(__xludf.DUMMYFUNCTION("VLOOKUP($A$1,IMPORTRANGE($A$2, CONCATENATE($A15,""!$B$5:$JB$48"")),GQ$1,0)"),"")</f>
        <v/>
      </c>
      <c r="GR15" s="35" t="str">
        <f>IFERROR(__xludf.DUMMYFUNCTION("VLOOKUP($A$1,IMPORTRANGE($A$2, CONCATENATE($A15,""!$B$5:$JB$48"")),GR$1,0)"),"")</f>
        <v/>
      </c>
      <c r="GS15" s="35" t="str">
        <f>IFERROR(__xludf.DUMMYFUNCTION("VLOOKUP($A$1,IMPORTRANGE($A$2, CONCATENATE($A15,""!$B$5:$JB$48"")),GS$1,0)"),"")</f>
        <v/>
      </c>
      <c r="GT15" s="35" t="str">
        <f>IFERROR(__xludf.DUMMYFUNCTION("VLOOKUP($A$1,IMPORTRANGE($A$2, CONCATENATE($A15,""!$B$5:$JB$48"")),GT$1,0)"),"")</f>
        <v/>
      </c>
      <c r="GU15" s="35" t="str">
        <f>IFERROR(__xludf.DUMMYFUNCTION("VLOOKUP($A$1,IMPORTRANGE($A$2, CONCATENATE($A15,""!$B$5:$JB$48"")),GU$1,0)"),"")</f>
        <v/>
      </c>
      <c r="GV15" s="35" t="str">
        <f>IFERROR(__xludf.DUMMYFUNCTION("VLOOKUP($A$1,IMPORTRANGE($A$2, CONCATENATE($A15,""!$B$5:$JB$48"")),GV$1,0)"),"")</f>
        <v/>
      </c>
      <c r="GW15" s="35" t="str">
        <f>IFERROR(__xludf.DUMMYFUNCTION("VLOOKUP($A$1,IMPORTRANGE($A$2, CONCATENATE($A15,""!$B$5:$JB$48"")),GW$1,0)"),"")</f>
        <v/>
      </c>
      <c r="GX15" s="35" t="str">
        <f>IFERROR(__xludf.DUMMYFUNCTION("VLOOKUP($A$1,IMPORTRANGE($A$2, CONCATENATE($A15,""!$B$5:$JB$48"")),GX$1,0)"),"")</f>
        <v/>
      </c>
      <c r="GY15" s="35" t="str">
        <f>IFERROR(__xludf.DUMMYFUNCTION("VLOOKUP($A$1,IMPORTRANGE($A$2, CONCATENATE($A15,""!$B$5:$JB$48"")),GY$1,0)"),"")</f>
        <v/>
      </c>
      <c r="GZ15" s="35" t="str">
        <f>IFERROR(__xludf.DUMMYFUNCTION("VLOOKUP($A$1,IMPORTRANGE($A$2, CONCATENATE($A15,""!$B$5:$JB$48"")),GZ$1,0)"),"")</f>
        <v/>
      </c>
      <c r="HA15" s="35" t="str">
        <f>IFERROR(__xludf.DUMMYFUNCTION("VLOOKUP($A$1,IMPORTRANGE($A$2, CONCATENATE($A15,""!$B$5:$JB$48"")),HA$1,0)"),"")</f>
        <v/>
      </c>
      <c r="HB15" s="35" t="str">
        <f>IFERROR(__xludf.DUMMYFUNCTION("VLOOKUP($A$1,IMPORTRANGE($A$2, CONCATENATE($A15,""!$B$5:$JB$48"")),HB$1,0)"),"")</f>
        <v/>
      </c>
      <c r="HC15" s="35" t="str">
        <f>IFERROR(__xludf.DUMMYFUNCTION("VLOOKUP($A$1,IMPORTRANGE($A$2, CONCATENATE($A15,""!$B$5:$JB$48"")),HC$1,0)"),"")</f>
        <v/>
      </c>
      <c r="HD15" s="35" t="str">
        <f>IFERROR(__xludf.DUMMYFUNCTION("VLOOKUP($A$1,IMPORTRANGE($A$2, CONCATENATE($A15,""!$B$5:$JB$48"")),HD$1,0)"),"")</f>
        <v/>
      </c>
      <c r="HE15" s="35" t="str">
        <f>IFERROR(__xludf.DUMMYFUNCTION("VLOOKUP($A$1,IMPORTRANGE($A$2, CONCATENATE($A15,""!$B$5:$JB$48"")),HE$1,0)"),"")</f>
        <v/>
      </c>
      <c r="HF15" s="35" t="str">
        <f>IFERROR(__xludf.DUMMYFUNCTION("VLOOKUP($A$1,IMPORTRANGE($A$2, CONCATENATE($A15,""!$B$5:$JB$48"")),HF$1,0)"),"")</f>
        <v/>
      </c>
      <c r="HG15" s="35" t="str">
        <f>IFERROR(__xludf.DUMMYFUNCTION("VLOOKUP($A$1,IMPORTRANGE($A$2, CONCATENATE($A15,""!$B$5:$JB$48"")),HG$1,0)"),"")</f>
        <v/>
      </c>
      <c r="HH15" s="35" t="str">
        <f>IFERROR(__xludf.DUMMYFUNCTION("VLOOKUP($A$1,IMPORTRANGE($A$2, CONCATENATE($A15,""!$B$5:$JB$48"")),HH$1,0)"),"")</f>
        <v/>
      </c>
      <c r="HI15" s="35" t="str">
        <f>IFERROR(__xludf.DUMMYFUNCTION("VLOOKUP($A$1,IMPORTRANGE($A$2, CONCATENATE($A15,""!$B$5:$JB$48"")),HI$1,0)"),"")</f>
        <v/>
      </c>
      <c r="HJ15" s="35" t="str">
        <f>IFERROR(__xludf.DUMMYFUNCTION("VLOOKUP($A$1,IMPORTRANGE($A$2, CONCATENATE($A15,""!$B$5:$JB$48"")),HJ$1,0)"),"")</f>
        <v/>
      </c>
      <c r="HK15" s="35" t="str">
        <f>IFERROR(__xludf.DUMMYFUNCTION("VLOOKUP($A$1,IMPORTRANGE($A$2, CONCATENATE($A15,""!$B$5:$JB$48"")),HK$1,0)"),"")</f>
        <v/>
      </c>
      <c r="HL15" s="35" t="str">
        <f>IFERROR(__xludf.DUMMYFUNCTION("VLOOKUP($A$1,IMPORTRANGE($A$2, CONCATENATE($A15,""!$B$5:$JB$48"")),HL$1,0)"),"")</f>
        <v/>
      </c>
      <c r="HM15" s="35" t="str">
        <f>IFERROR(__xludf.DUMMYFUNCTION("VLOOKUP($A$1,IMPORTRANGE($A$2, CONCATENATE($A15,""!$B$5:$JB$48"")),HM$1,0)"),"")</f>
        <v/>
      </c>
      <c r="HN15" s="35" t="str">
        <f>IFERROR(__xludf.DUMMYFUNCTION("VLOOKUP($A$1,IMPORTRANGE($A$2, CONCATENATE($A15,""!$B$5:$JB$48"")),HN$1,0)"),"")</f>
        <v/>
      </c>
      <c r="HO15" s="35" t="str">
        <f>IFERROR(__xludf.DUMMYFUNCTION("VLOOKUP($A$1,IMPORTRANGE($A$2, CONCATENATE($A15,""!$B$5:$JB$48"")),HO$1,0)"),"")</f>
        <v/>
      </c>
      <c r="HP15" s="35" t="str">
        <f>IFERROR(__xludf.DUMMYFUNCTION("VLOOKUP($A$1,IMPORTRANGE($A$2, CONCATENATE($A15,""!$B$5:$JB$48"")),HP$1,0)"),"")</f>
        <v/>
      </c>
      <c r="HQ15" s="35" t="str">
        <f>IFERROR(__xludf.DUMMYFUNCTION("VLOOKUP($A$1,IMPORTRANGE($A$2, CONCATENATE($A15,""!$B$5:$JB$48"")),HQ$1,0)"),"")</f>
        <v/>
      </c>
      <c r="HR15" s="35" t="str">
        <f>IFERROR(__xludf.DUMMYFUNCTION("VLOOKUP($A$1,IMPORTRANGE($A$2, CONCATENATE($A15,""!$B$5:$JB$48"")),HR$1,0)"),"")</f>
        <v/>
      </c>
      <c r="HS15" s="35" t="str">
        <f>IFERROR(__xludf.DUMMYFUNCTION("VLOOKUP($A$1,IMPORTRANGE($A$2, CONCATENATE($A15,""!$B$5:$JB$48"")),HS$1,0)"),"")</f>
        <v/>
      </c>
      <c r="HT15" s="35" t="str">
        <f>IFERROR(__xludf.DUMMYFUNCTION("VLOOKUP($A$1,IMPORTRANGE($A$2, CONCATENATE($A15,""!$B$5:$JB$48"")),HT$1,0)"),"")</f>
        <v/>
      </c>
      <c r="HU15" s="35" t="str">
        <f>IFERROR(__xludf.DUMMYFUNCTION("VLOOKUP($A$1,IMPORTRANGE($A$2, CONCATENATE($A15,""!$B$5:$JB$48"")),HU$1,0)"),"")</f>
        <v/>
      </c>
      <c r="HV15" s="35" t="str">
        <f>IFERROR(__xludf.DUMMYFUNCTION("VLOOKUP($A$1,IMPORTRANGE($A$2, CONCATENATE($A15,""!$B$5:$JB$48"")),HV$1,0)"),"")</f>
        <v/>
      </c>
      <c r="HW15" s="35" t="str">
        <f>IFERROR(__xludf.DUMMYFUNCTION("VLOOKUP($A$1,IMPORTRANGE($A$2, CONCATENATE($A15,""!$B$5:$JB$48"")),HW$1,0)"),"")</f>
        <v/>
      </c>
      <c r="HX15" s="35" t="str">
        <f>IFERROR(__xludf.DUMMYFUNCTION("VLOOKUP($A$1,IMPORTRANGE($A$2, CONCATENATE($A15,""!$B$5:$JB$48"")),HX$1,0)"),"")</f>
        <v/>
      </c>
      <c r="HY15" s="35" t="str">
        <f>IFERROR(__xludf.DUMMYFUNCTION("VLOOKUP($A$1,IMPORTRANGE($A$2, CONCATENATE($A15,""!$B$5:$JB$48"")),HY$1,0)"),"")</f>
        <v/>
      </c>
      <c r="HZ15" s="35" t="str">
        <f>IFERROR(__xludf.DUMMYFUNCTION("VLOOKUP($A$1,IMPORTRANGE($A$2, CONCATENATE($A15,""!$B$5:$JB$48"")),HZ$1,0)"),"")</f>
        <v/>
      </c>
      <c r="IA15" s="35" t="str">
        <f>IFERROR(__xludf.DUMMYFUNCTION("VLOOKUP($A$1,IMPORTRANGE($A$2, CONCATENATE($A15,""!$B$5:$JB$48"")),IA$1,0)"),"")</f>
        <v/>
      </c>
      <c r="IB15" s="35" t="str">
        <f>IFERROR(__xludf.DUMMYFUNCTION("VLOOKUP($A$1,IMPORTRANGE($A$2, CONCATENATE($A15,""!$B$5:$JB$48"")),IB$1,0)"),"")</f>
        <v/>
      </c>
      <c r="IC15" s="35" t="str">
        <f>IFERROR(__xludf.DUMMYFUNCTION("VLOOKUP($A$1,IMPORTRANGE($A$2, CONCATENATE($A15,""!$B$5:$JB$48"")),IC$1,0)"),"")</f>
        <v/>
      </c>
      <c r="ID15" s="35" t="str">
        <f>IFERROR(__xludf.DUMMYFUNCTION("VLOOKUP($A$1,IMPORTRANGE($A$2, CONCATENATE($A15,""!$B$5:$JB$48"")),ID$1,0)"),"")</f>
        <v/>
      </c>
      <c r="IE15" s="35" t="str">
        <f>IFERROR(__xludf.DUMMYFUNCTION("VLOOKUP($A$1,IMPORTRANGE($A$2, CONCATENATE($A15,""!$B$5:$JB$48"")),IE$1,0)"),"")</f>
        <v/>
      </c>
      <c r="IF15" s="35" t="str">
        <f>IFERROR(__xludf.DUMMYFUNCTION("VLOOKUP($A$1,IMPORTRANGE($A$2, CONCATENATE($A15,""!$B$5:$JB$48"")),IF$1,0)"),"")</f>
        <v/>
      </c>
      <c r="IG15" s="35" t="str">
        <f>IFERROR(__xludf.DUMMYFUNCTION("VLOOKUP($A$1,IMPORTRANGE($A$2, CONCATENATE($A15,""!$B$5:$JB$48"")),IG$1,0)"),"")</f>
        <v/>
      </c>
      <c r="IH15" s="35" t="str">
        <f>IFERROR(__xludf.DUMMYFUNCTION("VLOOKUP($A$1,IMPORTRANGE($A$2, CONCATENATE($A15,""!$B$5:$JB$48"")),IH$1,0)"),"")</f>
        <v/>
      </c>
      <c r="II15" s="35" t="str">
        <f>IFERROR(__xludf.DUMMYFUNCTION("VLOOKUP($A$1,IMPORTRANGE($A$2, CONCATENATE($A15,""!$B$5:$JB$48"")),II$1,0)"),"")</f>
        <v/>
      </c>
      <c r="IJ15" s="35" t="str">
        <f>IFERROR(__xludf.DUMMYFUNCTION("VLOOKUP($A$1,IMPORTRANGE($A$2, CONCATENATE($A15,""!$B$5:$JB$48"")),IJ$1,0)"),"")</f>
        <v/>
      </c>
      <c r="IK15" s="35" t="str">
        <f>IFERROR(__xludf.DUMMYFUNCTION("VLOOKUP($A$1,IMPORTRANGE($A$2, CONCATENATE($A15,""!$B$5:$JB$48"")),IK$1,0)"),"")</f>
        <v/>
      </c>
      <c r="IL15" s="35" t="str">
        <f>IFERROR(__xludf.DUMMYFUNCTION("VLOOKUP($A$1,IMPORTRANGE($A$2, CONCATENATE($A15,""!$B$5:$JB$48"")),IL$1,0)"),"")</f>
        <v/>
      </c>
      <c r="IM15" s="35" t="str">
        <f>IFERROR(__xludf.DUMMYFUNCTION("VLOOKUP($A$1,IMPORTRANGE($A$2, CONCATENATE($A15,""!$B$5:$JB$48"")),IM$1,0)"),"")</f>
        <v/>
      </c>
      <c r="IN15" s="35" t="str">
        <f>IFERROR(__xludf.DUMMYFUNCTION("VLOOKUP($A$1,IMPORTRANGE($A$2, CONCATENATE($A15,""!$B$5:$JB$48"")),IN$1,0)"),"")</f>
        <v/>
      </c>
      <c r="IO15" s="35" t="str">
        <f>IFERROR(__xludf.DUMMYFUNCTION("VLOOKUP($A$1,IMPORTRANGE($A$2, CONCATENATE($A15,""!$B$5:$JB$48"")),IO$1,0)"),"")</f>
        <v/>
      </c>
      <c r="IP15" s="35" t="str">
        <f>IFERROR(__xludf.DUMMYFUNCTION("VLOOKUP($A$1,IMPORTRANGE($A$2, CONCATENATE($A15,""!$B$5:$JB$48"")),IP$1,0)"),"")</f>
        <v/>
      </c>
      <c r="IQ15" s="35" t="str">
        <f>IFERROR(__xludf.DUMMYFUNCTION("VLOOKUP($A$1,IMPORTRANGE($A$2, CONCATENATE($A15,""!$B$5:$JB$48"")),IQ$1,0)"),"")</f>
        <v/>
      </c>
      <c r="IR15" s="35" t="str">
        <f>IFERROR(__xludf.DUMMYFUNCTION("VLOOKUP($A$1,IMPORTRANGE($A$2, CONCATENATE($A15,""!$B$5:$JB$48"")),IR$1,0)"),"")</f>
        <v/>
      </c>
      <c r="IS15" s="35" t="str">
        <f>IFERROR(__xludf.DUMMYFUNCTION("VLOOKUP($A$1,IMPORTRANGE($A$2, CONCATENATE($A15,""!$B$5:$JB$48"")),IS$1,0)"),"")</f>
        <v/>
      </c>
      <c r="IT15" s="35" t="str">
        <f>IFERROR(__xludf.DUMMYFUNCTION("VLOOKUP($A$1,IMPORTRANGE($A$2, CONCATENATE($A15,""!$B$5:$JB$48"")),IT$1,0)"),"")</f>
        <v/>
      </c>
      <c r="IU15" s="35" t="str">
        <f>IFERROR(__xludf.DUMMYFUNCTION("VLOOKUP($A$1,IMPORTRANGE($A$2, CONCATENATE($A15,""!$B$5:$JB$48"")),IU$1,0)"),"")</f>
        <v/>
      </c>
      <c r="IV15" s="35" t="str">
        <f>IFERROR(__xludf.DUMMYFUNCTION("VLOOKUP($A$1,IMPORTRANGE($A$2, CONCATENATE($A15,""!$B$5:$JB$48"")),IV$1,0)"),"")</f>
        <v/>
      </c>
      <c r="IW15" s="35" t="str">
        <f>IFERROR(__xludf.DUMMYFUNCTION("VLOOKUP($A$1,IMPORTRANGE($A$2, CONCATENATE($A15,""!$B$5:$JB$48"")),IW$1,0)"),"")</f>
        <v/>
      </c>
      <c r="IX15" s="35" t="str">
        <f>IFERROR(__xludf.DUMMYFUNCTION("VLOOKUP($A$1,IMPORTRANGE($A$2, CONCATENATE($A15,""!$B$5:$JB$48"")),IX$1,0)"),"")</f>
        <v/>
      </c>
      <c r="IY15" s="35" t="str">
        <f>IFERROR(__xludf.DUMMYFUNCTION("VLOOKUP($A$1,IMPORTRANGE($A$2, CONCATENATE($A15,""!$B$5:$JB$48"")),IY$1,0)"),"")</f>
        <v/>
      </c>
      <c r="IZ15" s="35" t="str">
        <f>IFERROR(__xludf.DUMMYFUNCTION("VLOOKUP($A$1,IMPORTRANGE($A$2, CONCATENATE($A15,""!$B$5:$JB$48"")),IZ$1,0)"),"")</f>
        <v/>
      </c>
      <c r="JA15" s="35">
        <f>IFERROR(__xludf.DUMMYFUNCTION("VLOOKUP($A$1,IMPORTRANGE($A$2, CONCATENATE($A15,""!$B$5:$JB$48"")),JA$1,0)"),45909.0)</f>
        <v>45909</v>
      </c>
      <c r="JB15" s="35"/>
      <c r="JC15" s="35"/>
      <c r="JD15" s="35"/>
      <c r="JE15" s="35"/>
    </row>
    <row r="16">
      <c r="A16" s="41"/>
      <c r="B16" s="29"/>
      <c r="C16" s="37"/>
      <c r="D16" s="38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</row>
    <row r="17">
      <c r="A17" s="39"/>
      <c r="B17" s="32" t="str">
        <f>IFERROR(__xludf.DUMMYFUNCTION("IMPORTRANGE($A$2, CONCATENATE($A18,""!C4:JB4""))"),"")</f>
        <v/>
      </c>
      <c r="C17" s="32"/>
      <c r="D17" s="32"/>
      <c r="E17" s="32"/>
      <c r="F17" s="32"/>
      <c r="G17" s="32"/>
      <c r="H17" s="32"/>
      <c r="I17" s="32">
        <f>IFERROR(__xludf.DUMMYFUNCTION("""COMPUTED_VALUE"""),45908.0)</f>
        <v>45908</v>
      </c>
      <c r="J17" s="32"/>
      <c r="K17" s="32"/>
      <c r="L17" s="32"/>
      <c r="M17" s="32"/>
      <c r="N17" s="32"/>
      <c r="O17" s="32"/>
      <c r="P17" s="32">
        <f>IFERROR(__xludf.DUMMYFUNCTION("""COMPUTED_VALUE"""),45915.0)</f>
        <v>45915</v>
      </c>
      <c r="Q17" s="32"/>
      <c r="R17" s="32"/>
      <c r="S17" s="32"/>
      <c r="T17" s="32"/>
      <c r="U17" s="32"/>
      <c r="V17" s="32"/>
      <c r="W17" s="32">
        <f>IFERROR(__xludf.DUMMYFUNCTION("""COMPUTED_VALUE"""),45922.0)</f>
        <v>45922</v>
      </c>
      <c r="X17" s="32"/>
      <c r="Y17" s="32"/>
      <c r="Z17" s="32"/>
      <c r="AA17" s="32"/>
      <c r="AB17" s="32"/>
      <c r="AC17" s="32"/>
      <c r="AD17" s="32">
        <f>IFERROR(__xludf.DUMMYFUNCTION("""COMPUTED_VALUE"""),45929.0)</f>
        <v>45929</v>
      </c>
      <c r="AE17" s="32"/>
      <c r="AF17" s="32"/>
      <c r="AG17" s="32"/>
      <c r="AH17" s="32"/>
      <c r="AI17" s="32"/>
      <c r="AJ17" s="32"/>
      <c r="AK17" s="32">
        <f>IFERROR(__xludf.DUMMYFUNCTION("""COMPUTED_VALUE"""),45936.0)</f>
        <v>45936</v>
      </c>
      <c r="AL17" s="32"/>
      <c r="AM17" s="32"/>
      <c r="AN17" s="32"/>
      <c r="AO17" s="32"/>
      <c r="AP17" s="32"/>
      <c r="AQ17" s="32"/>
      <c r="AR17" s="32">
        <f>IFERROR(__xludf.DUMMYFUNCTION("""COMPUTED_VALUE"""),45943.0)</f>
        <v>45943</v>
      </c>
      <c r="AS17" s="32"/>
      <c r="AT17" s="32"/>
      <c r="AU17" s="32"/>
      <c r="AV17" s="32"/>
      <c r="AW17" s="32"/>
      <c r="AX17" s="32"/>
      <c r="AY17" s="32">
        <f>IFERROR(__xludf.DUMMYFUNCTION("""COMPUTED_VALUE"""),45950.0)</f>
        <v>45950</v>
      </c>
      <c r="AZ17" s="32"/>
      <c r="BA17" s="32"/>
      <c r="BB17" s="32"/>
      <c r="BC17" s="32"/>
      <c r="BD17" s="32"/>
      <c r="BE17" s="32"/>
      <c r="BF17" s="32">
        <f>IFERROR(__xludf.DUMMYFUNCTION("""COMPUTED_VALUE"""),45957.0)</f>
        <v>45957</v>
      </c>
      <c r="BG17" s="32"/>
      <c r="BH17" s="32"/>
      <c r="BI17" s="32"/>
      <c r="BJ17" s="32"/>
      <c r="BK17" s="32"/>
      <c r="BL17" s="32"/>
      <c r="BM17" s="32"/>
      <c r="BN17" s="32">
        <f>IFERROR(__xludf.DUMMYFUNCTION("""COMPUTED_VALUE"""),45964.0)</f>
        <v>45964</v>
      </c>
      <c r="BO17" s="32"/>
      <c r="BP17" s="32"/>
      <c r="BQ17" s="32"/>
      <c r="BR17" s="32"/>
      <c r="BS17" s="32"/>
      <c r="BT17" s="32"/>
      <c r="BU17" s="32" t="str">
        <f>IFERROR(__xludf.DUMMYFUNCTION("""COMPUTED_VALUE"""),"10.1102025")</f>
        <v>10.1102025</v>
      </c>
      <c r="BV17" s="32">
        <f>IFERROR(__xludf.DUMMYFUNCTION("""COMPUTED_VALUE"""),45978.0)</f>
        <v>45978</v>
      </c>
      <c r="BW17" s="32">
        <f>IFERROR(__xludf.DUMMYFUNCTION("""COMPUTED_VALUE"""),45985.0)</f>
        <v>45985</v>
      </c>
      <c r="BX17" s="32">
        <f>IFERROR(__xludf.DUMMYFUNCTION("""COMPUTED_VALUE"""),45992.0)</f>
        <v>45992</v>
      </c>
      <c r="BY17" s="32">
        <f>IFERROR(__xludf.DUMMYFUNCTION("""COMPUTED_VALUE"""),45992.0)</f>
        <v>45992</v>
      </c>
      <c r="BZ17" s="32">
        <f>IFERROR(__xludf.DUMMYFUNCTION("""COMPUTED_VALUE"""),46006.0)</f>
        <v>46006</v>
      </c>
      <c r="CA17" s="32">
        <f>IFERROR(__xludf.DUMMYFUNCTION("""COMPUTED_VALUE"""),46013.0)</f>
        <v>46013</v>
      </c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 t="str">
        <f>IFERROR(__xludf.DUMMYFUNCTION("""COMPUTED_VALUE"""),"1 полугодие")</f>
        <v>1 полугодие</v>
      </c>
      <c r="DS17" s="32">
        <f>IFERROR(__xludf.DUMMYFUNCTION("""COMPUTED_VALUE"""),46034.0)</f>
        <v>46034</v>
      </c>
      <c r="DT17" s="32"/>
      <c r="DU17" s="32"/>
      <c r="DV17" s="32">
        <f>IFERROR(__xludf.DUMMYFUNCTION("""COMPUTED_VALUE"""),46041.0)</f>
        <v>46041</v>
      </c>
      <c r="DW17" s="32"/>
      <c r="DX17" s="32"/>
      <c r="DY17" s="32"/>
      <c r="DZ17" s="32"/>
      <c r="EA17" s="32"/>
      <c r="EB17" s="32">
        <f>IFERROR(__xludf.DUMMYFUNCTION("""COMPUTED_VALUE"""),46048.0)</f>
        <v>46048</v>
      </c>
      <c r="EC17" s="32"/>
      <c r="ED17" s="32"/>
      <c r="EE17" s="32"/>
      <c r="EF17" s="32"/>
      <c r="EG17" s="32"/>
      <c r="EH17" s="32"/>
      <c r="EI17" s="32">
        <f>IFERROR(__xludf.DUMMYFUNCTION("""COMPUTED_VALUE"""),46055.0)</f>
        <v>46055</v>
      </c>
      <c r="EJ17" s="32"/>
      <c r="EK17" s="32"/>
      <c r="EL17" s="32"/>
      <c r="EM17" s="32"/>
      <c r="EN17" s="32"/>
      <c r="EO17" s="32"/>
      <c r="EP17" s="32">
        <f>IFERROR(__xludf.DUMMYFUNCTION("""COMPUTED_VALUE"""),46062.0)</f>
        <v>46062</v>
      </c>
      <c r="EQ17" s="32"/>
      <c r="ER17" s="32"/>
      <c r="ES17" s="32"/>
      <c r="ET17" s="32"/>
      <c r="EU17" s="32"/>
      <c r="EV17" s="32"/>
      <c r="EW17" s="32"/>
      <c r="EX17" s="32">
        <f>IFERROR(__xludf.DUMMYFUNCTION("""COMPUTED_VALUE"""),46069.0)</f>
        <v>46069</v>
      </c>
      <c r="EY17" s="32">
        <f>IFERROR(__xludf.DUMMYFUNCTION("""COMPUTED_VALUE"""),46076.0)</f>
        <v>46076</v>
      </c>
      <c r="EZ17" s="32"/>
      <c r="FA17" s="32"/>
      <c r="FB17" s="32"/>
      <c r="FC17" s="32"/>
      <c r="FD17" s="32"/>
      <c r="FE17" s="32"/>
      <c r="FF17" s="32"/>
      <c r="FG17" s="32">
        <f>IFERROR(__xludf.DUMMYFUNCTION("""COMPUTED_VALUE"""),46083.0)</f>
        <v>46083</v>
      </c>
      <c r="FH17" s="32"/>
      <c r="FI17" s="32"/>
      <c r="FJ17" s="32"/>
      <c r="FK17" s="32"/>
      <c r="FL17" s="32"/>
      <c r="FM17" s="32"/>
      <c r="FN17" s="32"/>
      <c r="FO17" s="32">
        <f>IFERROR(__xludf.DUMMYFUNCTION("""COMPUTED_VALUE"""),46090.0)</f>
        <v>46090</v>
      </c>
      <c r="FP17" s="32">
        <f>IFERROR(__xludf.DUMMYFUNCTION("""COMPUTED_VALUE"""),46097.0)</f>
        <v>46097</v>
      </c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  <c r="IH17" s="3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 t="str">
        <f>IFERROR(__xludf.DUMMYFUNCTION("""COMPUTED_VALUE"""),"2 полугодие")</f>
        <v>2 полугодие</v>
      </c>
      <c r="IX17" s="32" t="str">
        <f>IFERROR(__xludf.DUMMYFUNCTION("""COMPUTED_VALUE"""),"год")</f>
        <v>год</v>
      </c>
      <c r="IY17" s="32" t="str">
        <f>IFERROR(__xludf.DUMMYFUNCTION("""COMPUTED_VALUE"""),"рейтинг")</f>
        <v>рейтинг</v>
      </c>
      <c r="IZ17" s="32"/>
      <c r="JA17" s="32"/>
      <c r="JB17" s="32"/>
      <c r="JC17" s="32"/>
      <c r="JD17" s="32"/>
      <c r="JE17" s="32"/>
    </row>
    <row r="18">
      <c r="A18" s="42" t="s">
        <v>282</v>
      </c>
      <c r="B18" s="35" t="str">
        <f>IFERROR(__xludf.DUMMYFUNCTION("VLOOKUP($A$1,IMPORTRANGE($A$2, CONCATENATE($A18,""!$B$5:$JB$48"")),B$1,0)"),"")</f>
        <v/>
      </c>
      <c r="C18" s="35" t="str">
        <f>IFERROR(__xludf.DUMMYFUNCTION("VLOOKUP($A$1,IMPORTRANGE($A$2, CONCATENATE($A18,""!$B$5:$JB$48"")),C$1,0)"),"")</f>
        <v/>
      </c>
      <c r="D18" s="35" t="str">
        <f>IFERROR(__xludf.DUMMYFUNCTION("VLOOKUP($A$1,IMPORTRANGE($A$2, CONCATENATE($A18,""!$B$5:$JB$48"")),D$1,0)"),"")</f>
        <v/>
      </c>
      <c r="E18" s="35" t="str">
        <f>IFERROR(__xludf.DUMMYFUNCTION("VLOOKUP($A$1,IMPORTRANGE($A$2, CONCATENATE($A18,""!$B$5:$JB$48"")),E$1,0)"),"")</f>
        <v/>
      </c>
      <c r="F18" s="35" t="str">
        <f>IFERROR(__xludf.DUMMYFUNCTION("VLOOKUP($A$1,IMPORTRANGE($A$2, CONCATENATE($A18,""!$B$5:$JB$48"")),F$1,0)"),"")</f>
        <v/>
      </c>
      <c r="G18" s="35" t="str">
        <f>IFERROR(__xludf.DUMMYFUNCTION("VLOOKUP($A$1,IMPORTRANGE($A$2, CONCATENATE($A18,""!$B$5:$JB$48"")),G$1,0)"),"")</f>
        <v/>
      </c>
      <c r="H18" s="35" t="str">
        <f>IFERROR(__xludf.DUMMYFUNCTION("VLOOKUP($A$1,IMPORTRANGE($A$2, CONCATENATE($A18,""!$B$5:$JB$48"")),H$1,0)"),"")</f>
        <v/>
      </c>
      <c r="I18" s="35" t="str">
        <f>IFERROR(__xludf.DUMMYFUNCTION("VLOOKUP($A$1,IMPORTRANGE($A$2, CONCATENATE($A18,""!$B$5:$JB$48"")),I$1,0)"),"")</f>
        <v/>
      </c>
      <c r="J18" s="35" t="str">
        <f>IFERROR(__xludf.DUMMYFUNCTION("VLOOKUP($A$1,IMPORTRANGE($A$2, CONCATENATE($A18,""!$B$5:$JB$48"")),J$1,0)"),"")</f>
        <v/>
      </c>
      <c r="K18" s="35" t="str">
        <f>IFERROR(__xludf.DUMMYFUNCTION("VLOOKUP($A$1,IMPORTRANGE($A$2, CONCATENATE($A18,""!$B$5:$JB$48"")),K$1,0)"),"")</f>
        <v/>
      </c>
      <c r="L18" s="35" t="str">
        <f>IFERROR(__xludf.DUMMYFUNCTION("VLOOKUP($A$1,IMPORTRANGE($A$2, CONCATENATE($A18,""!$B$5:$JB$48"")),L$1,0)"),"")</f>
        <v/>
      </c>
      <c r="M18" s="35" t="str">
        <f>IFERROR(__xludf.DUMMYFUNCTION("VLOOKUP($A$1,IMPORTRANGE($A$2, CONCATENATE($A18,""!$B$5:$JB$48"")),M$1,0)"),"")</f>
        <v/>
      </c>
      <c r="N18" s="35" t="str">
        <f>IFERROR(__xludf.DUMMYFUNCTION("VLOOKUP($A$1,IMPORTRANGE($A$2, CONCATENATE($A18,""!$B$5:$JB$48"")),N$1,0)"),"")</f>
        <v/>
      </c>
      <c r="O18" s="35" t="str">
        <f>IFERROR(__xludf.DUMMYFUNCTION("VLOOKUP($A$1,IMPORTRANGE($A$2, CONCATENATE($A18,""!$B$5:$JB$48"")),O$1,0)"),"")</f>
        <v/>
      </c>
      <c r="P18" s="35">
        <f>IFERROR(__xludf.DUMMYFUNCTION("VLOOKUP($A$1,IMPORTRANGE($A$2, CONCATENATE($A18,""!$B$5:$JB$48"")),P$1,0)"),5.0)</f>
        <v>5</v>
      </c>
      <c r="Q18" s="35" t="str">
        <f>IFERROR(__xludf.DUMMYFUNCTION("VLOOKUP($A$1,IMPORTRANGE($A$2, CONCATENATE($A18,""!$B$5:$JB$48"")),Q$1,0)"),"")</f>
        <v/>
      </c>
      <c r="R18" s="35" t="str">
        <f>IFERROR(__xludf.DUMMYFUNCTION("VLOOKUP($A$1,IMPORTRANGE($A$2, CONCATENATE($A18,""!$B$5:$JB$48"")),R$1,0)"),"")</f>
        <v/>
      </c>
      <c r="S18" s="35" t="str">
        <f>IFERROR(__xludf.DUMMYFUNCTION("VLOOKUP($A$1,IMPORTRANGE($A$2, CONCATENATE($A18,""!$B$5:$JB$48"")),S$1,0)"),"")</f>
        <v/>
      </c>
      <c r="T18" s="35" t="str">
        <f>IFERROR(__xludf.DUMMYFUNCTION("VLOOKUP($A$1,IMPORTRANGE($A$2, CONCATENATE($A18,""!$B$5:$JB$48"")),T$1,0)"),"")</f>
        <v/>
      </c>
      <c r="U18" s="35" t="str">
        <f>IFERROR(__xludf.DUMMYFUNCTION("VLOOKUP($A$1,IMPORTRANGE($A$2, CONCATENATE($A18,""!$B$5:$JB$48"")),U$1,0)"),"")</f>
        <v/>
      </c>
      <c r="V18" s="35" t="str">
        <f>IFERROR(__xludf.DUMMYFUNCTION("VLOOKUP($A$1,IMPORTRANGE($A$2, CONCATENATE($A18,""!$B$5:$JB$48"")),V$1,0)"),"")</f>
        <v/>
      </c>
      <c r="W18" s="35">
        <f>IFERROR(__xludf.DUMMYFUNCTION("VLOOKUP($A$1,IMPORTRANGE($A$2, CONCATENATE($A18,""!$B$5:$JB$48"")),W$1,0)"),5.0)</f>
        <v>5</v>
      </c>
      <c r="X18" s="35" t="str">
        <f>IFERROR(__xludf.DUMMYFUNCTION("VLOOKUP($A$1,IMPORTRANGE($A$2, CONCATENATE($A18,""!$B$5:$JB$48"")),X$1,0)"),"")</f>
        <v/>
      </c>
      <c r="Y18" s="35" t="str">
        <f>IFERROR(__xludf.DUMMYFUNCTION("VLOOKUP($A$1,IMPORTRANGE($A$2, CONCATENATE($A18,""!$B$5:$JB$48"")),Y$1,0)"),"")</f>
        <v/>
      </c>
      <c r="Z18" s="35" t="str">
        <f>IFERROR(__xludf.DUMMYFUNCTION("VLOOKUP($A$1,IMPORTRANGE($A$2, CONCATENATE($A18,""!$B$5:$JB$48"")),Z$1,0)"),"")</f>
        <v/>
      </c>
      <c r="AA18" s="35" t="str">
        <f>IFERROR(__xludf.DUMMYFUNCTION("VLOOKUP($A$1,IMPORTRANGE($A$2, CONCATENATE($A18,""!$B$5:$JB$48"")),AA$1,0)"),"")</f>
        <v/>
      </c>
      <c r="AB18" s="35" t="str">
        <f>IFERROR(__xludf.DUMMYFUNCTION("VLOOKUP($A$1,IMPORTRANGE($A$2, CONCATENATE($A18,""!$B$5:$JB$48"")),AB$1,0)"),"")</f>
        <v/>
      </c>
      <c r="AC18" s="35" t="str">
        <f>IFERROR(__xludf.DUMMYFUNCTION("VLOOKUP($A$1,IMPORTRANGE($A$2, CONCATENATE($A18,""!$B$5:$JB$48"")),AC$1,0)"),"")</f>
        <v/>
      </c>
      <c r="AD18" s="35">
        <f>IFERROR(__xludf.DUMMYFUNCTION("VLOOKUP($A$1,IMPORTRANGE($A$2, CONCATENATE($A18,""!$B$5:$JB$48"")),AD$1,0)"),5.0)</f>
        <v>5</v>
      </c>
      <c r="AE18" s="35" t="str">
        <f>IFERROR(__xludf.DUMMYFUNCTION("VLOOKUP($A$1,IMPORTRANGE($A$2, CONCATENATE($A18,""!$B$5:$JB$48"")),AE$1,0)"),"")</f>
        <v/>
      </c>
      <c r="AF18" s="35" t="str">
        <f>IFERROR(__xludf.DUMMYFUNCTION("VLOOKUP($A$1,IMPORTRANGE($A$2, CONCATENATE($A18,""!$B$5:$JB$48"")),AF$1,0)"),"")</f>
        <v/>
      </c>
      <c r="AG18" s="35" t="str">
        <f>IFERROR(__xludf.DUMMYFUNCTION("VLOOKUP($A$1,IMPORTRANGE($A$2, CONCATENATE($A18,""!$B$5:$JB$48"")),AG$1,0)"),"")</f>
        <v/>
      </c>
      <c r="AH18" s="35" t="str">
        <f>IFERROR(__xludf.DUMMYFUNCTION("VLOOKUP($A$1,IMPORTRANGE($A$2, CONCATENATE($A18,""!$B$5:$JB$48"")),AH$1,0)"),"")</f>
        <v/>
      </c>
      <c r="AI18" s="35" t="str">
        <f>IFERROR(__xludf.DUMMYFUNCTION("VLOOKUP($A$1,IMPORTRANGE($A$2, CONCATENATE($A18,""!$B$5:$JB$48"")),AI$1,0)"),"")</f>
        <v/>
      </c>
      <c r="AJ18" s="35" t="str">
        <f>IFERROR(__xludf.DUMMYFUNCTION("VLOOKUP($A$1,IMPORTRANGE($A$2, CONCATENATE($A18,""!$B$5:$JB$48"")),AJ$1,0)"),"")</f>
        <v/>
      </c>
      <c r="AK18" s="35" t="str">
        <f>IFERROR(__xludf.DUMMYFUNCTION("VLOOKUP($A$1,IMPORTRANGE($A$2, CONCATENATE($A18,""!$B$5:$JB$48"")),AK$1,0)"),"")</f>
        <v/>
      </c>
      <c r="AL18" s="35" t="str">
        <f>IFERROR(__xludf.DUMMYFUNCTION("VLOOKUP($A$1,IMPORTRANGE($A$2, CONCATENATE($A18,""!$B$5:$JB$48"")),AL$1,0)"),"")</f>
        <v/>
      </c>
      <c r="AM18" s="35" t="str">
        <f>IFERROR(__xludf.DUMMYFUNCTION("VLOOKUP($A$1,IMPORTRANGE($A$2, CONCATENATE($A18,""!$B$5:$JB$48"")),AM$1,0)"),"")</f>
        <v/>
      </c>
      <c r="AN18" s="35" t="str">
        <f>IFERROR(__xludf.DUMMYFUNCTION("VLOOKUP($A$1,IMPORTRANGE($A$2, CONCATENATE($A18,""!$B$5:$JB$48"")),AN$1,0)"),"")</f>
        <v/>
      </c>
      <c r="AO18" s="35" t="str">
        <f>IFERROR(__xludf.DUMMYFUNCTION("VLOOKUP($A$1,IMPORTRANGE($A$2, CONCATENATE($A18,""!$B$5:$JB$48"")),AO$1,0)"),"")</f>
        <v/>
      </c>
      <c r="AP18" s="35" t="str">
        <f>IFERROR(__xludf.DUMMYFUNCTION("VLOOKUP($A$1,IMPORTRANGE($A$2, CONCATENATE($A18,""!$B$5:$JB$48"")),AP$1,0)"),"")</f>
        <v/>
      </c>
      <c r="AQ18" s="35" t="str">
        <f>IFERROR(__xludf.DUMMYFUNCTION("VLOOKUP($A$1,IMPORTRANGE($A$2, CONCATENATE($A18,""!$B$5:$JB$48"")),AQ$1,0)"),"")</f>
        <v/>
      </c>
      <c r="AR18" s="35" t="str">
        <f>IFERROR(__xludf.DUMMYFUNCTION("VLOOKUP($A$1,IMPORTRANGE($A$2, CONCATENATE($A18,""!$B$5:$JB$48"")),AR$1,0)"),"")</f>
        <v/>
      </c>
      <c r="AS18" s="35" t="str">
        <f>IFERROR(__xludf.DUMMYFUNCTION("VLOOKUP($A$1,IMPORTRANGE($A$2, CONCATENATE($A18,""!$B$5:$JB$48"")),AS$1,0)"),"")</f>
        <v/>
      </c>
      <c r="AT18" s="35" t="str">
        <f>IFERROR(__xludf.DUMMYFUNCTION("VLOOKUP($A$1,IMPORTRANGE($A$2, CONCATENATE($A18,""!$B$5:$JB$48"")),AT$1,0)"),"")</f>
        <v/>
      </c>
      <c r="AU18" s="35" t="str">
        <f>IFERROR(__xludf.DUMMYFUNCTION("VLOOKUP($A$1,IMPORTRANGE($A$2, CONCATENATE($A18,""!$B$5:$JB$48"")),AU$1,0)"),"")</f>
        <v/>
      </c>
      <c r="AV18" s="35" t="str">
        <f>IFERROR(__xludf.DUMMYFUNCTION("VLOOKUP($A$1,IMPORTRANGE($A$2, CONCATENATE($A18,""!$B$5:$JB$48"")),AV$1,0)"),"")</f>
        <v/>
      </c>
      <c r="AW18" s="35" t="str">
        <f>IFERROR(__xludf.DUMMYFUNCTION("VLOOKUP($A$1,IMPORTRANGE($A$2, CONCATENATE($A18,""!$B$5:$JB$48"")),AW$1,0)"),"")</f>
        <v/>
      </c>
      <c r="AX18" s="35" t="str">
        <f>IFERROR(__xludf.DUMMYFUNCTION("VLOOKUP($A$1,IMPORTRANGE($A$2, CONCATENATE($A18,""!$B$5:$JB$48"")),AX$1,0)"),"")</f>
        <v/>
      </c>
      <c r="AY18" s="35" t="str">
        <f>IFERROR(__xludf.DUMMYFUNCTION("VLOOKUP($A$1,IMPORTRANGE($A$2, CONCATENATE($A18,""!$B$5:$JB$48"")),AY$1,0)"),"")</f>
        <v/>
      </c>
      <c r="AZ18" s="35" t="str">
        <f>IFERROR(__xludf.DUMMYFUNCTION("VLOOKUP($A$1,IMPORTRANGE($A$2, CONCATENATE($A18,""!$B$5:$JB$48"")),AZ$1,0)"),"")</f>
        <v/>
      </c>
      <c r="BA18" s="35" t="str">
        <f>IFERROR(__xludf.DUMMYFUNCTION("VLOOKUP($A$1,IMPORTRANGE($A$2, CONCATENATE($A18,""!$B$5:$JB$48"")),BA$1,0)"),"")</f>
        <v/>
      </c>
      <c r="BB18" s="35" t="str">
        <f>IFERROR(__xludf.DUMMYFUNCTION("VLOOKUP($A$1,IMPORTRANGE($A$2, CONCATENATE($A18,""!$B$5:$JB$48"")),BB$1,0)"),"")</f>
        <v/>
      </c>
      <c r="BC18" s="35" t="str">
        <f>IFERROR(__xludf.DUMMYFUNCTION("VLOOKUP($A$1,IMPORTRANGE($A$2, CONCATENATE($A18,""!$B$5:$JB$48"")),BC$1,0)"),"")</f>
        <v/>
      </c>
      <c r="BD18" s="35" t="str">
        <f>IFERROR(__xludf.DUMMYFUNCTION("VLOOKUP($A$1,IMPORTRANGE($A$2, CONCATENATE($A18,""!$B$5:$JB$48"")),BD$1,0)"),"")</f>
        <v/>
      </c>
      <c r="BE18" s="35" t="str">
        <f>IFERROR(__xludf.DUMMYFUNCTION("VLOOKUP($A$1,IMPORTRANGE($A$2, CONCATENATE($A18,""!$B$5:$JB$48"")),BE$1,0)"),"")</f>
        <v/>
      </c>
      <c r="BF18" s="35">
        <f>IFERROR(__xludf.DUMMYFUNCTION("VLOOKUP($A$1,IMPORTRANGE($A$2, CONCATENATE($A18,""!$B$5:$JB$48"")),BF$1,0)"),5.0)</f>
        <v>5</v>
      </c>
      <c r="BG18" s="35" t="str">
        <f>IFERROR(__xludf.DUMMYFUNCTION("VLOOKUP($A$1,IMPORTRANGE($A$2, CONCATENATE($A18,""!$B$5:$JB$48"")),BG$1,0)"),"")</f>
        <v/>
      </c>
      <c r="BH18" s="35" t="str">
        <f>IFERROR(__xludf.DUMMYFUNCTION("VLOOKUP($A$1,IMPORTRANGE($A$2, CONCATENATE($A18,""!$B$5:$JB$48"")),BH$1,0)"),"")</f>
        <v/>
      </c>
      <c r="BI18" s="35" t="str">
        <f>IFERROR(__xludf.DUMMYFUNCTION("VLOOKUP($A$1,IMPORTRANGE($A$2, CONCATENATE($A18,""!$B$5:$JB$48"")),BI$1,0)"),"")</f>
        <v/>
      </c>
      <c r="BJ18" s="35" t="str">
        <f>IFERROR(__xludf.DUMMYFUNCTION("VLOOKUP($A$1,IMPORTRANGE($A$2, CONCATENATE($A18,""!$B$5:$JB$48"")),BJ$1,0)"),"")</f>
        <v/>
      </c>
      <c r="BK18" s="35" t="str">
        <f>IFERROR(__xludf.DUMMYFUNCTION("VLOOKUP($A$1,IMPORTRANGE($A$2, CONCATENATE($A18,""!$B$5:$JB$48"")),BK$1,0)"),"")</f>
        <v/>
      </c>
      <c r="BL18" s="35" t="str">
        <f>IFERROR(__xludf.DUMMYFUNCTION("VLOOKUP($A$1,IMPORTRANGE($A$2, CONCATENATE($A18,""!$B$5:$JB$48"")),BL$1,0)"),"")</f>
        <v/>
      </c>
      <c r="BM18" s="35" t="str">
        <f>IFERROR(__xludf.DUMMYFUNCTION("VLOOKUP($A$1,IMPORTRANGE($A$2, CONCATENATE($A18,""!$B$5:$JB$48"")),BM$1,0)"),"")</f>
        <v/>
      </c>
      <c r="BN18" s="35" t="str">
        <f>IFERROR(__xludf.DUMMYFUNCTION("VLOOKUP($A$1,IMPORTRANGE($A$2, CONCATENATE($A18,""!$B$5:$JB$48"")),BN$1,0)"),"")</f>
        <v/>
      </c>
      <c r="BO18" s="35" t="str">
        <f>IFERROR(__xludf.DUMMYFUNCTION("VLOOKUP($A$1,IMPORTRANGE($A$2, CONCATENATE($A18,""!$B$5:$JB$48"")),BO$1,0)"),"")</f>
        <v/>
      </c>
      <c r="BP18" s="35" t="str">
        <f>IFERROR(__xludf.DUMMYFUNCTION("VLOOKUP($A$1,IMPORTRANGE($A$2, CONCATENATE($A18,""!$B$5:$JB$48"")),BP$1,0)"),"")</f>
        <v/>
      </c>
      <c r="BQ18" s="35" t="str">
        <f>IFERROR(__xludf.DUMMYFUNCTION("VLOOKUP($A$1,IMPORTRANGE($A$2, CONCATENATE($A18,""!$B$5:$JB$48"")),BQ$1,0)"),"")</f>
        <v/>
      </c>
      <c r="BR18" s="35" t="str">
        <f>IFERROR(__xludf.DUMMYFUNCTION("VLOOKUP($A$1,IMPORTRANGE($A$2, CONCATENATE($A18,""!$B$5:$JB$48"")),BR$1,0)"),"")</f>
        <v/>
      </c>
      <c r="BS18" s="35" t="str">
        <f>IFERROR(__xludf.DUMMYFUNCTION("VLOOKUP($A$1,IMPORTRANGE($A$2, CONCATENATE($A18,""!$B$5:$JB$48"")),BS$1,0)"),"")</f>
        <v/>
      </c>
      <c r="BT18" s="35" t="str">
        <f>IFERROR(__xludf.DUMMYFUNCTION("VLOOKUP($A$1,IMPORTRANGE($A$2, CONCATENATE($A18,""!$B$5:$JB$48"")),BT$1,0)"),"")</f>
        <v/>
      </c>
      <c r="BU18" s="35">
        <f>IFERROR(__xludf.DUMMYFUNCTION("VLOOKUP($A$1,IMPORTRANGE($A$2, CONCATENATE($A18,""!$B$5:$JB$48"")),BU$1,0)"),5.0)</f>
        <v>5</v>
      </c>
      <c r="BV18" s="35" t="str">
        <f>IFERROR(__xludf.DUMMYFUNCTION("VLOOKUP($A$1,IMPORTRANGE($A$2, CONCATENATE($A18,""!$B$5:$JB$48"")),BV$1,0)"),"")</f>
        <v/>
      </c>
      <c r="BW18" s="35">
        <f>IFERROR(__xludf.DUMMYFUNCTION("VLOOKUP($A$1,IMPORTRANGE($A$2, CONCATENATE($A18,""!$B$5:$JB$48"")),BW$1,0)"),5.0)</f>
        <v>5</v>
      </c>
      <c r="BX18" s="35" t="str">
        <f>IFERROR(__xludf.DUMMYFUNCTION("VLOOKUP($A$1,IMPORTRANGE($A$2, CONCATENATE($A18,""!$B$5:$JB$48"")),BX$1,0)"),"")</f>
        <v/>
      </c>
      <c r="BY18" s="35" t="str">
        <f>IFERROR(__xludf.DUMMYFUNCTION("VLOOKUP($A$1,IMPORTRANGE($A$2, CONCATENATE($A18,""!$B$5:$JB$48"")),BY$1,0)"),"-")</f>
        <v>-</v>
      </c>
      <c r="BZ18" s="35" t="str">
        <f>IFERROR(__xludf.DUMMYFUNCTION("VLOOKUP($A$1,IMPORTRANGE($A$2, CONCATENATE($A18,""!$B$5:$JB$48"")),BZ$1,0)"),"")</f>
        <v/>
      </c>
      <c r="CA18" s="35">
        <f>IFERROR(__xludf.DUMMYFUNCTION("VLOOKUP($A$1,IMPORTRANGE($A$2, CONCATENATE($A18,""!$B$5:$JB$48"")),CA$1,0)"),5.0)</f>
        <v>5</v>
      </c>
      <c r="CB18" s="35" t="str">
        <f>IFERROR(__xludf.DUMMYFUNCTION("VLOOKUP($A$1,IMPORTRANGE($A$2, CONCATENATE($A18,""!$B$5:$JB$48"")),CB$1,0)"),"")</f>
        <v/>
      </c>
      <c r="CC18" s="35" t="str">
        <f>IFERROR(__xludf.DUMMYFUNCTION("VLOOKUP($A$1,IMPORTRANGE($A$2, CONCATENATE($A18,""!$B$5:$JB$48"")),CC$1,0)"),"")</f>
        <v/>
      </c>
      <c r="CD18" s="35" t="str">
        <f>IFERROR(__xludf.DUMMYFUNCTION("VLOOKUP($A$1,IMPORTRANGE($A$2, CONCATENATE($A18,""!$B$5:$JB$48"")),CD$1,0)"),"")</f>
        <v/>
      </c>
      <c r="CE18" s="35" t="str">
        <f>IFERROR(__xludf.DUMMYFUNCTION("VLOOKUP($A$1,IMPORTRANGE($A$2, CONCATENATE($A18,""!$B$5:$JB$48"")),CE$1,0)"),"")</f>
        <v/>
      </c>
      <c r="CF18" s="35" t="str">
        <f>IFERROR(__xludf.DUMMYFUNCTION("VLOOKUP($A$1,IMPORTRANGE($A$2, CONCATENATE($A18,""!$B$5:$JB$48"")),CF$1,0)"),"")</f>
        <v/>
      </c>
      <c r="CG18" s="35" t="str">
        <f>IFERROR(__xludf.DUMMYFUNCTION("VLOOKUP($A$1,IMPORTRANGE($A$2, CONCATENATE($A18,""!$B$5:$JB$48"")),CG$1,0)"),"")</f>
        <v/>
      </c>
      <c r="CH18" s="35" t="str">
        <f>IFERROR(__xludf.DUMMYFUNCTION("VLOOKUP($A$1,IMPORTRANGE($A$2, CONCATENATE($A18,""!$B$5:$JB$48"")),CH$1,0)"),"")</f>
        <v/>
      </c>
      <c r="CI18" s="35" t="str">
        <f>IFERROR(__xludf.DUMMYFUNCTION("VLOOKUP($A$1,IMPORTRANGE($A$2, CONCATENATE($A18,""!$B$5:$JB$48"")),CI$1,0)"),"")</f>
        <v/>
      </c>
      <c r="CJ18" s="35" t="str">
        <f>IFERROR(__xludf.DUMMYFUNCTION("VLOOKUP($A$1,IMPORTRANGE($A$2, CONCATENATE($A18,""!$B$5:$JB$48"")),CJ$1,0)"),"")</f>
        <v/>
      </c>
      <c r="CK18" s="35" t="str">
        <f>IFERROR(__xludf.DUMMYFUNCTION("VLOOKUP($A$1,IMPORTRANGE($A$2, CONCATENATE($A18,""!$B$5:$JB$48"")),CK$1,0)"),"")</f>
        <v/>
      </c>
      <c r="CL18" s="35" t="str">
        <f>IFERROR(__xludf.DUMMYFUNCTION("VLOOKUP($A$1,IMPORTRANGE($A$2, CONCATENATE($A18,""!$B$5:$JB$48"")),CL$1,0)"),"")</f>
        <v/>
      </c>
      <c r="CM18" s="35" t="str">
        <f>IFERROR(__xludf.DUMMYFUNCTION("VLOOKUP($A$1,IMPORTRANGE($A$2, CONCATENATE($A18,""!$B$5:$JB$48"")),CM$1,0)"),"")</f>
        <v/>
      </c>
      <c r="CN18" s="35" t="str">
        <f>IFERROR(__xludf.DUMMYFUNCTION("VLOOKUP($A$1,IMPORTRANGE($A$2, CONCATENATE($A18,""!$B$5:$JB$48"")),CN$1,0)"),"")</f>
        <v/>
      </c>
      <c r="CO18" s="35" t="str">
        <f>IFERROR(__xludf.DUMMYFUNCTION("VLOOKUP($A$1,IMPORTRANGE($A$2, CONCATENATE($A18,""!$B$5:$JB$48"")),CO$1,0)"),"")</f>
        <v/>
      </c>
      <c r="CP18" s="35" t="str">
        <f>IFERROR(__xludf.DUMMYFUNCTION("VLOOKUP($A$1,IMPORTRANGE($A$2, CONCATENATE($A18,""!$B$5:$JB$48"")),CP$1,0)"),"")</f>
        <v/>
      </c>
      <c r="CQ18" s="35" t="str">
        <f>IFERROR(__xludf.DUMMYFUNCTION("VLOOKUP($A$1,IMPORTRANGE($A$2, CONCATENATE($A18,""!$B$5:$JB$48"")),CQ$1,0)"),"")</f>
        <v/>
      </c>
      <c r="CR18" s="35" t="str">
        <f>IFERROR(__xludf.DUMMYFUNCTION("VLOOKUP($A$1,IMPORTRANGE($A$2, CONCATENATE($A18,""!$B$5:$JB$48"")),CR$1,0)"),"")</f>
        <v/>
      </c>
      <c r="CS18" s="35" t="str">
        <f>IFERROR(__xludf.DUMMYFUNCTION("VLOOKUP($A$1,IMPORTRANGE($A$2, CONCATENATE($A18,""!$B$5:$JB$48"")),CS$1,0)"),"")</f>
        <v/>
      </c>
      <c r="CT18" s="35" t="str">
        <f>IFERROR(__xludf.DUMMYFUNCTION("VLOOKUP($A$1,IMPORTRANGE($A$2, CONCATENATE($A18,""!$B$5:$JB$48"")),CT$1,0)"),"")</f>
        <v/>
      </c>
      <c r="CU18" s="35" t="str">
        <f>IFERROR(__xludf.DUMMYFUNCTION("VLOOKUP($A$1,IMPORTRANGE($A$2, CONCATENATE($A18,""!$B$5:$JB$48"")),CU$1,0)"),"")</f>
        <v/>
      </c>
      <c r="CV18" s="35" t="str">
        <f>IFERROR(__xludf.DUMMYFUNCTION("VLOOKUP($A$1,IMPORTRANGE($A$2, CONCATENATE($A18,""!$B$5:$JB$48"")),CV$1,0)"),"")</f>
        <v/>
      </c>
      <c r="CW18" s="35" t="str">
        <f>IFERROR(__xludf.DUMMYFUNCTION("VLOOKUP($A$1,IMPORTRANGE($A$2, CONCATENATE($A18,""!$B$5:$JB$48"")),CW$1,0)"),"")</f>
        <v/>
      </c>
      <c r="CX18" s="35" t="str">
        <f>IFERROR(__xludf.DUMMYFUNCTION("VLOOKUP($A$1,IMPORTRANGE($A$2, CONCATENATE($A18,""!$B$5:$JB$48"")),CX$1,0)"),"")</f>
        <v/>
      </c>
      <c r="CY18" s="35" t="str">
        <f>IFERROR(__xludf.DUMMYFUNCTION("VLOOKUP($A$1,IMPORTRANGE($A$2, CONCATENATE($A18,""!$B$5:$JB$48"")),CY$1,0)"),"")</f>
        <v/>
      </c>
      <c r="CZ18" s="35" t="str">
        <f>IFERROR(__xludf.DUMMYFUNCTION("VLOOKUP($A$1,IMPORTRANGE($A$2, CONCATENATE($A18,""!$B$5:$JB$48"")),CZ$1,0)"),"")</f>
        <v/>
      </c>
      <c r="DA18" s="35" t="str">
        <f>IFERROR(__xludf.DUMMYFUNCTION("VLOOKUP($A$1,IMPORTRANGE($A$2, CONCATENATE($A18,""!$B$5:$JB$48"")),DA$1,0)"),"")</f>
        <v/>
      </c>
      <c r="DB18" s="35" t="str">
        <f>IFERROR(__xludf.DUMMYFUNCTION("VLOOKUP($A$1,IMPORTRANGE($A$2, CONCATENATE($A18,""!$B$5:$JB$48"")),DB$1,0)"),"")</f>
        <v/>
      </c>
      <c r="DC18" s="35" t="str">
        <f>IFERROR(__xludf.DUMMYFUNCTION("VLOOKUP($A$1,IMPORTRANGE($A$2, CONCATENATE($A18,""!$B$5:$JB$48"")),DC$1,0)"),"")</f>
        <v/>
      </c>
      <c r="DD18" s="35" t="str">
        <f>IFERROR(__xludf.DUMMYFUNCTION("VLOOKUP($A$1,IMPORTRANGE($A$2, CONCATENATE($A18,""!$B$5:$JB$48"")),DD$1,0)"),"")</f>
        <v/>
      </c>
      <c r="DE18" s="35" t="str">
        <f>IFERROR(__xludf.DUMMYFUNCTION("VLOOKUP($A$1,IMPORTRANGE($A$2, CONCATENATE($A18,""!$B$5:$JB$48"")),DE$1,0)"),"")</f>
        <v/>
      </c>
      <c r="DF18" s="35" t="str">
        <f>IFERROR(__xludf.DUMMYFUNCTION("VLOOKUP($A$1,IMPORTRANGE($A$2, CONCATENATE($A18,""!$B$5:$JB$48"")),DF$1,0)"),"")</f>
        <v/>
      </c>
      <c r="DG18" s="35" t="str">
        <f>IFERROR(__xludf.DUMMYFUNCTION("VLOOKUP($A$1,IMPORTRANGE($A$2, CONCATENATE($A18,""!$B$5:$JB$48"")),DG$1,0)"),"")</f>
        <v/>
      </c>
      <c r="DH18" s="35" t="str">
        <f>IFERROR(__xludf.DUMMYFUNCTION("VLOOKUP($A$1,IMPORTRANGE($A$2, CONCATENATE($A18,""!$B$5:$JB$48"")),DH$1,0)"),"")</f>
        <v/>
      </c>
      <c r="DI18" s="35" t="str">
        <f>IFERROR(__xludf.DUMMYFUNCTION("VLOOKUP($A$1,IMPORTRANGE($A$2, CONCATENATE($A18,""!$B$5:$JB$48"")),DI$1,0)"),"")</f>
        <v/>
      </c>
      <c r="DJ18" s="35" t="str">
        <f>IFERROR(__xludf.DUMMYFUNCTION("VLOOKUP($A$1,IMPORTRANGE($A$2, CONCATENATE($A18,""!$B$5:$JB$48"")),DJ$1,0)"),"")</f>
        <v/>
      </c>
      <c r="DK18" s="35" t="str">
        <f>IFERROR(__xludf.DUMMYFUNCTION("VLOOKUP($A$1,IMPORTRANGE($A$2, CONCATENATE($A18,""!$B$5:$JB$48"")),DK$1,0)"),"")</f>
        <v/>
      </c>
      <c r="DL18" s="35" t="str">
        <f>IFERROR(__xludf.DUMMYFUNCTION("VLOOKUP($A$1,IMPORTRANGE($A$2, CONCATENATE($A18,""!$B$5:$JB$48"")),DL$1,0)"),"")</f>
        <v/>
      </c>
      <c r="DM18" s="35" t="str">
        <f>IFERROR(__xludf.DUMMYFUNCTION("VLOOKUP($A$1,IMPORTRANGE($A$2, CONCATENATE($A18,""!$B$5:$JB$48"")),DM$1,0)"),"")</f>
        <v/>
      </c>
      <c r="DN18" s="35" t="str">
        <f>IFERROR(__xludf.DUMMYFUNCTION("VLOOKUP($A$1,IMPORTRANGE($A$2, CONCATENATE($A18,""!$B$5:$JB$48"")),DN$1,0)"),"")</f>
        <v/>
      </c>
      <c r="DO18" s="35" t="str">
        <f>IFERROR(__xludf.DUMMYFUNCTION("VLOOKUP($A$1,IMPORTRANGE($A$2, CONCATENATE($A18,""!$B$5:$JB$48"")),DO$1,0)"),"")</f>
        <v/>
      </c>
      <c r="DP18" s="35" t="str">
        <f>IFERROR(__xludf.DUMMYFUNCTION("VLOOKUP($A$1,IMPORTRANGE($A$2, CONCATENATE($A18,""!$B$5:$JB$48"")),DP$1,0)"),"")</f>
        <v/>
      </c>
      <c r="DQ18" s="35" t="str">
        <f>IFERROR(__xludf.DUMMYFUNCTION("VLOOKUP($A$1,IMPORTRANGE($A$2, CONCATENATE($A18,""!$B$5:$JB$48"")),DQ$1,0)"),"")</f>
        <v/>
      </c>
      <c r="DR18" s="35">
        <f>IFERROR(__xludf.DUMMYFUNCTION("VLOOKUP($A$1,IMPORTRANGE($A$2, CONCATENATE($A18,""!$B$5:$JB$48"")),DR$1,0)"),5.0)</f>
        <v>5</v>
      </c>
      <c r="DS18" s="35">
        <f>IFERROR(__xludf.DUMMYFUNCTION("VLOOKUP($A$1,IMPORTRANGE($A$2, CONCATENATE($A18,""!$B$5:$JB$48"")),DS$1,0)"),5.0)</f>
        <v>5</v>
      </c>
      <c r="DT18" s="35" t="str">
        <f>IFERROR(__xludf.DUMMYFUNCTION("VLOOKUP($A$1,IMPORTRANGE($A$2, CONCATENATE($A18,""!$B$5:$JB$48"")),DT$1,0)"),"")</f>
        <v/>
      </c>
      <c r="DU18" s="35" t="str">
        <f>IFERROR(__xludf.DUMMYFUNCTION("VLOOKUP($A$1,IMPORTRANGE($A$2, CONCATENATE($A18,""!$B$5:$JB$48"")),DU$1,0)"),"")</f>
        <v/>
      </c>
      <c r="DV18" s="35" t="str">
        <f>IFERROR(__xludf.DUMMYFUNCTION("VLOOKUP($A$1,IMPORTRANGE($A$2, CONCATENATE($A18,""!$B$5:$JB$48"")),DV$1,0)"),"")</f>
        <v/>
      </c>
      <c r="DW18" s="35" t="str">
        <f>IFERROR(__xludf.DUMMYFUNCTION("VLOOKUP($A$1,IMPORTRANGE($A$2, CONCATENATE($A18,""!$B$5:$JB$48"")),DW$1,0)"),"")</f>
        <v/>
      </c>
      <c r="DX18" s="35" t="str">
        <f>IFERROR(__xludf.DUMMYFUNCTION("VLOOKUP($A$1,IMPORTRANGE($A$2, CONCATENATE($A18,""!$B$5:$JB$48"")),DX$1,0)"),"")</f>
        <v/>
      </c>
      <c r="DY18" s="35" t="str">
        <f>IFERROR(__xludf.DUMMYFUNCTION("VLOOKUP($A$1,IMPORTRANGE($A$2, CONCATENATE($A18,""!$B$5:$JB$48"")),DY$1,0)"),"")</f>
        <v/>
      </c>
      <c r="DZ18" s="35" t="str">
        <f>IFERROR(__xludf.DUMMYFUNCTION("VLOOKUP($A$1,IMPORTRANGE($A$2, CONCATENATE($A18,""!$B$5:$JB$48"")),DZ$1,0)"),"")</f>
        <v/>
      </c>
      <c r="EA18" s="35" t="str">
        <f>IFERROR(__xludf.DUMMYFUNCTION("VLOOKUP($A$1,IMPORTRANGE($A$2, CONCATENATE($A18,""!$B$5:$JB$48"")),EA$1,0)"),"")</f>
        <v/>
      </c>
      <c r="EB18" s="35" t="str">
        <f>IFERROR(__xludf.DUMMYFUNCTION("VLOOKUP($A$1,IMPORTRANGE($A$2, CONCATENATE($A18,""!$B$5:$JB$48"")),EB$1,0)"),"-")</f>
        <v>-</v>
      </c>
      <c r="EC18" s="35" t="str">
        <f>IFERROR(__xludf.DUMMYFUNCTION("VLOOKUP($A$1,IMPORTRANGE($A$2, CONCATENATE($A18,""!$B$5:$JB$48"")),EC$1,0)"),"")</f>
        <v/>
      </c>
      <c r="ED18" s="35" t="str">
        <f>IFERROR(__xludf.DUMMYFUNCTION("VLOOKUP($A$1,IMPORTRANGE($A$2, CONCATENATE($A18,""!$B$5:$JB$48"")),ED$1,0)"),"")</f>
        <v/>
      </c>
      <c r="EE18" s="35" t="str">
        <f>IFERROR(__xludf.DUMMYFUNCTION("VLOOKUP($A$1,IMPORTRANGE($A$2, CONCATENATE($A18,""!$B$5:$JB$48"")),EE$1,0)"),"")</f>
        <v/>
      </c>
      <c r="EF18" s="35" t="str">
        <f>IFERROR(__xludf.DUMMYFUNCTION("VLOOKUP($A$1,IMPORTRANGE($A$2, CONCATENATE($A18,""!$B$5:$JB$48"")),EF$1,0)"),"")</f>
        <v/>
      </c>
      <c r="EG18" s="35" t="str">
        <f>IFERROR(__xludf.DUMMYFUNCTION("VLOOKUP($A$1,IMPORTRANGE($A$2, CONCATENATE($A18,""!$B$5:$JB$48"")),EG$1,0)"),"")</f>
        <v/>
      </c>
      <c r="EH18" s="35" t="str">
        <f>IFERROR(__xludf.DUMMYFUNCTION("VLOOKUP($A$1,IMPORTRANGE($A$2, CONCATENATE($A18,""!$B$5:$JB$48"")),EH$1,0)"),"")</f>
        <v/>
      </c>
      <c r="EI18" s="35" t="str">
        <f>IFERROR(__xludf.DUMMYFUNCTION("VLOOKUP($A$1,IMPORTRANGE($A$2, CONCATENATE($A18,""!$B$5:$JB$48"")),EI$1,0)"),"")</f>
        <v/>
      </c>
      <c r="EJ18" s="35" t="str">
        <f>IFERROR(__xludf.DUMMYFUNCTION("VLOOKUP($A$1,IMPORTRANGE($A$2, CONCATENATE($A18,""!$B$5:$JB$48"")),EJ$1,0)"),"")</f>
        <v/>
      </c>
      <c r="EK18" s="35" t="str">
        <f>IFERROR(__xludf.DUMMYFUNCTION("VLOOKUP($A$1,IMPORTRANGE($A$2, CONCATENATE($A18,""!$B$5:$JB$48"")),EK$1,0)"),"")</f>
        <v/>
      </c>
      <c r="EL18" s="35" t="str">
        <f>IFERROR(__xludf.DUMMYFUNCTION("VLOOKUP($A$1,IMPORTRANGE($A$2, CONCATENATE($A18,""!$B$5:$JB$48"")),EL$1,0)"),"")</f>
        <v/>
      </c>
      <c r="EM18" s="35" t="str">
        <f>IFERROR(__xludf.DUMMYFUNCTION("VLOOKUP($A$1,IMPORTRANGE($A$2, CONCATENATE($A18,""!$B$5:$JB$48"")),EM$1,0)"),"")</f>
        <v/>
      </c>
      <c r="EN18" s="35" t="str">
        <f>IFERROR(__xludf.DUMMYFUNCTION("VLOOKUP($A$1,IMPORTRANGE($A$2, CONCATENATE($A18,""!$B$5:$JB$48"")),EN$1,0)"),"")</f>
        <v/>
      </c>
      <c r="EO18" s="35" t="str">
        <f>IFERROR(__xludf.DUMMYFUNCTION("VLOOKUP($A$1,IMPORTRANGE($A$2, CONCATENATE($A18,""!$B$5:$JB$48"")),EO$1,0)"),"")</f>
        <v/>
      </c>
      <c r="EP18" s="35">
        <f>IFERROR(__xludf.DUMMYFUNCTION("VLOOKUP($A$1,IMPORTRANGE($A$2, CONCATENATE($A18,""!$B$5:$JB$48"")),EP$1,0)"),5.0)</f>
        <v>5</v>
      </c>
      <c r="EQ18" s="35" t="str">
        <f>IFERROR(__xludf.DUMMYFUNCTION("VLOOKUP($A$1,IMPORTRANGE($A$2, CONCATENATE($A18,""!$B$5:$JB$48"")),EQ$1,0)"),"")</f>
        <v/>
      </c>
      <c r="ER18" s="35" t="str">
        <f>IFERROR(__xludf.DUMMYFUNCTION("VLOOKUP($A$1,IMPORTRANGE($A$2, CONCATENATE($A18,""!$B$5:$JB$48"")),ER$1,0)"),"")</f>
        <v/>
      </c>
      <c r="ES18" s="35" t="str">
        <f>IFERROR(__xludf.DUMMYFUNCTION("VLOOKUP($A$1,IMPORTRANGE($A$2, CONCATENATE($A18,""!$B$5:$JB$48"")),ES$1,0)"),"")</f>
        <v/>
      </c>
      <c r="ET18" s="35" t="str">
        <f>IFERROR(__xludf.DUMMYFUNCTION("VLOOKUP($A$1,IMPORTRANGE($A$2, CONCATENATE($A18,""!$B$5:$JB$48"")),ET$1,0)"),"")</f>
        <v/>
      </c>
      <c r="EU18" s="35" t="str">
        <f>IFERROR(__xludf.DUMMYFUNCTION("VLOOKUP($A$1,IMPORTRANGE($A$2, CONCATENATE($A18,""!$B$5:$JB$48"")),EU$1,0)"),"")</f>
        <v/>
      </c>
      <c r="EV18" s="35" t="str">
        <f>IFERROR(__xludf.DUMMYFUNCTION("VLOOKUP($A$1,IMPORTRANGE($A$2, CONCATENATE($A18,""!$B$5:$JB$48"")),EV$1,0)"),"")</f>
        <v/>
      </c>
      <c r="EW18" s="35" t="str">
        <f>IFERROR(__xludf.DUMMYFUNCTION("VLOOKUP($A$1,IMPORTRANGE($A$2, CONCATENATE($A18,""!$B$5:$JB$48"")),EW$1,0)"),"")</f>
        <v/>
      </c>
      <c r="EX18" s="35" t="str">
        <f>IFERROR(__xludf.DUMMYFUNCTION("VLOOKUP($A$1,IMPORTRANGE($A$2, CONCATENATE($A18,""!$B$5:$JB$48"")),EX$1,0)"),"")</f>
        <v/>
      </c>
      <c r="EY18" s="35">
        <f>IFERROR(__xludf.DUMMYFUNCTION("VLOOKUP($A$1,IMPORTRANGE($A$2, CONCATENATE($A18,""!$B$5:$JB$48"")),EY$1,0)"),2.0)</f>
        <v>2</v>
      </c>
      <c r="EZ18" s="35" t="str">
        <f>IFERROR(__xludf.DUMMYFUNCTION("VLOOKUP($A$1,IMPORTRANGE($A$2, CONCATENATE($A18,""!$B$5:$JB$48"")),EZ$1,0)"),"")</f>
        <v/>
      </c>
      <c r="FA18" s="35" t="str">
        <f>IFERROR(__xludf.DUMMYFUNCTION("VLOOKUP($A$1,IMPORTRANGE($A$2, CONCATENATE($A18,""!$B$5:$JB$48"")),FA$1,0)"),"")</f>
        <v/>
      </c>
      <c r="FB18" s="35" t="str">
        <f>IFERROR(__xludf.DUMMYFUNCTION("VLOOKUP($A$1,IMPORTRANGE($A$2, CONCATENATE($A18,""!$B$5:$JB$48"")),FB$1,0)"),"")</f>
        <v/>
      </c>
      <c r="FC18" s="35" t="str">
        <f>IFERROR(__xludf.DUMMYFUNCTION("VLOOKUP($A$1,IMPORTRANGE($A$2, CONCATENATE($A18,""!$B$5:$JB$48"")),FC$1,0)"),"")</f>
        <v/>
      </c>
      <c r="FD18" s="35" t="str">
        <f>IFERROR(__xludf.DUMMYFUNCTION("VLOOKUP($A$1,IMPORTRANGE($A$2, CONCATENATE($A18,""!$B$5:$JB$48"")),FD$1,0)"),"")</f>
        <v/>
      </c>
      <c r="FE18" s="35" t="str">
        <f>IFERROR(__xludf.DUMMYFUNCTION("VLOOKUP($A$1,IMPORTRANGE($A$2, CONCATENATE($A18,""!$B$5:$JB$48"")),FE$1,0)"),"")</f>
        <v/>
      </c>
      <c r="FF18" s="35" t="str">
        <f>IFERROR(__xludf.DUMMYFUNCTION("VLOOKUP($A$1,IMPORTRANGE($A$2, CONCATENATE($A18,""!$B$5:$JB$48"")),FF$1,0)"),"")</f>
        <v/>
      </c>
      <c r="FG18" s="35" t="str">
        <f>IFERROR(__xludf.DUMMYFUNCTION("VLOOKUP($A$1,IMPORTRANGE($A$2, CONCATENATE($A18,""!$B$5:$JB$48"")),FG$1,0)"),"")</f>
        <v/>
      </c>
      <c r="FH18" s="35" t="str">
        <f>IFERROR(__xludf.DUMMYFUNCTION("VLOOKUP($A$1,IMPORTRANGE($A$2, CONCATENATE($A18,""!$B$5:$JB$48"")),FH$1,0)"),"")</f>
        <v/>
      </c>
      <c r="FI18" s="35" t="str">
        <f>IFERROR(__xludf.DUMMYFUNCTION("VLOOKUP($A$1,IMPORTRANGE($A$2, CONCATENATE($A18,""!$B$5:$JB$48"")),FI$1,0)"),"")</f>
        <v/>
      </c>
      <c r="FJ18" s="35" t="str">
        <f>IFERROR(__xludf.DUMMYFUNCTION("VLOOKUP($A$1,IMPORTRANGE($A$2, CONCATENATE($A18,""!$B$5:$JB$48"")),FJ$1,0)"),"")</f>
        <v/>
      </c>
      <c r="FK18" s="35" t="str">
        <f>IFERROR(__xludf.DUMMYFUNCTION("VLOOKUP($A$1,IMPORTRANGE($A$2, CONCATENATE($A18,""!$B$5:$JB$48"")),FK$1,0)"),"")</f>
        <v/>
      </c>
      <c r="FL18" s="35" t="str">
        <f>IFERROR(__xludf.DUMMYFUNCTION("VLOOKUP($A$1,IMPORTRANGE($A$2, CONCATENATE($A18,""!$B$5:$JB$48"")),FL$1,0)"),"")</f>
        <v/>
      </c>
      <c r="FM18" s="35" t="str">
        <f>IFERROR(__xludf.DUMMYFUNCTION("VLOOKUP($A$1,IMPORTRANGE($A$2, CONCATENATE($A18,""!$B$5:$JB$48"")),FM$1,0)"),"")</f>
        <v/>
      </c>
      <c r="FN18" s="35" t="str">
        <f>IFERROR(__xludf.DUMMYFUNCTION("VLOOKUP($A$1,IMPORTRANGE($A$2, CONCATENATE($A18,""!$B$5:$JB$48"")),FN$1,0)"),"")</f>
        <v/>
      </c>
      <c r="FO18" s="35" t="str">
        <f>IFERROR(__xludf.DUMMYFUNCTION("VLOOKUP($A$1,IMPORTRANGE($A$2, CONCATENATE($A18,""!$B$5:$JB$48"")),FO$1,0)"),"")</f>
        <v/>
      </c>
      <c r="FP18" s="35">
        <f>IFERROR(__xludf.DUMMYFUNCTION("VLOOKUP($A$1,IMPORTRANGE($A$2, CONCATENATE($A18,""!$B$5:$JB$48"")),FP$1,0)"),5.0)</f>
        <v>5</v>
      </c>
      <c r="FQ18" s="35" t="str">
        <f>IFERROR(__xludf.DUMMYFUNCTION("VLOOKUP($A$1,IMPORTRANGE($A$2, CONCATENATE($A18,""!$B$5:$JB$48"")),FQ$1,0)"),"")</f>
        <v/>
      </c>
      <c r="FR18" s="35" t="str">
        <f>IFERROR(__xludf.DUMMYFUNCTION("VLOOKUP($A$1,IMPORTRANGE($A$2, CONCATENATE($A18,""!$B$5:$JB$48"")),FR$1,0)"),"")</f>
        <v/>
      </c>
      <c r="FS18" s="35" t="str">
        <f>IFERROR(__xludf.DUMMYFUNCTION("VLOOKUP($A$1,IMPORTRANGE($A$2, CONCATENATE($A18,""!$B$5:$JB$48"")),FS$1,0)"),"")</f>
        <v/>
      </c>
      <c r="FT18" s="35" t="str">
        <f>IFERROR(__xludf.DUMMYFUNCTION("VLOOKUP($A$1,IMPORTRANGE($A$2, CONCATENATE($A18,""!$B$5:$JB$48"")),FT$1,0)"),"")</f>
        <v/>
      </c>
      <c r="FU18" s="35" t="str">
        <f>IFERROR(__xludf.DUMMYFUNCTION("VLOOKUP($A$1,IMPORTRANGE($A$2, CONCATENATE($A18,""!$B$5:$JB$48"")),FU$1,0)"),"")</f>
        <v/>
      </c>
      <c r="FV18" s="35" t="str">
        <f>IFERROR(__xludf.DUMMYFUNCTION("VLOOKUP($A$1,IMPORTRANGE($A$2, CONCATENATE($A18,""!$B$5:$JB$48"")),FV$1,0)"),"")</f>
        <v/>
      </c>
      <c r="FW18" s="35" t="str">
        <f>IFERROR(__xludf.DUMMYFUNCTION("VLOOKUP($A$1,IMPORTRANGE($A$2, CONCATENATE($A18,""!$B$5:$JB$48"")),FW$1,0)"),"")</f>
        <v/>
      </c>
      <c r="FX18" s="35" t="str">
        <f>IFERROR(__xludf.DUMMYFUNCTION("VLOOKUP($A$1,IMPORTRANGE($A$2, CONCATENATE($A18,""!$B$5:$JB$48"")),FX$1,0)"),"")</f>
        <v/>
      </c>
      <c r="FY18" s="35" t="str">
        <f>IFERROR(__xludf.DUMMYFUNCTION("VLOOKUP($A$1,IMPORTRANGE($A$2, CONCATENATE($A18,""!$B$5:$JB$48"")),FY$1,0)"),"")</f>
        <v/>
      </c>
      <c r="FZ18" s="35" t="str">
        <f>IFERROR(__xludf.DUMMYFUNCTION("VLOOKUP($A$1,IMPORTRANGE($A$2, CONCATENATE($A18,""!$B$5:$JB$48"")),FZ$1,0)"),"")</f>
        <v/>
      </c>
      <c r="GA18" s="35" t="str">
        <f>IFERROR(__xludf.DUMMYFUNCTION("VLOOKUP($A$1,IMPORTRANGE($A$2, CONCATENATE($A18,""!$B$5:$JB$48"")),GA$1,0)"),"")</f>
        <v/>
      </c>
      <c r="GB18" s="35" t="str">
        <f>IFERROR(__xludf.DUMMYFUNCTION("VLOOKUP($A$1,IMPORTRANGE($A$2, CONCATENATE($A18,""!$B$5:$JB$48"")),GB$1,0)"),"")</f>
        <v/>
      </c>
      <c r="GC18" s="35" t="str">
        <f>IFERROR(__xludf.DUMMYFUNCTION("VLOOKUP($A$1,IMPORTRANGE($A$2, CONCATENATE($A18,""!$B$5:$JB$48"")),GC$1,0)"),"")</f>
        <v/>
      </c>
      <c r="GD18" s="35" t="str">
        <f>IFERROR(__xludf.DUMMYFUNCTION("VLOOKUP($A$1,IMPORTRANGE($A$2, CONCATENATE($A18,""!$B$5:$JB$48"")),GD$1,0)"),"")</f>
        <v/>
      </c>
      <c r="GE18" s="35" t="str">
        <f>IFERROR(__xludf.DUMMYFUNCTION("VLOOKUP($A$1,IMPORTRANGE($A$2, CONCATENATE($A18,""!$B$5:$JB$48"")),GE$1,0)"),"")</f>
        <v/>
      </c>
      <c r="GF18" s="35" t="str">
        <f>IFERROR(__xludf.DUMMYFUNCTION("VLOOKUP($A$1,IMPORTRANGE($A$2, CONCATENATE($A18,""!$B$5:$JB$48"")),GF$1,0)"),"")</f>
        <v/>
      </c>
      <c r="GG18" s="35" t="str">
        <f>IFERROR(__xludf.DUMMYFUNCTION("VLOOKUP($A$1,IMPORTRANGE($A$2, CONCATENATE($A18,""!$B$5:$JB$48"")),GG$1,0)"),"")</f>
        <v/>
      </c>
      <c r="GH18" s="35" t="str">
        <f>IFERROR(__xludf.DUMMYFUNCTION("VLOOKUP($A$1,IMPORTRANGE($A$2, CONCATENATE($A18,""!$B$5:$JB$48"")),GH$1,0)"),"")</f>
        <v/>
      </c>
      <c r="GI18" s="35" t="str">
        <f>IFERROR(__xludf.DUMMYFUNCTION("VLOOKUP($A$1,IMPORTRANGE($A$2, CONCATENATE($A18,""!$B$5:$JB$48"")),GI$1,0)"),"")</f>
        <v/>
      </c>
      <c r="GJ18" s="35" t="str">
        <f>IFERROR(__xludf.DUMMYFUNCTION("VLOOKUP($A$1,IMPORTRANGE($A$2, CONCATENATE($A18,""!$B$5:$JB$48"")),GJ$1,0)"),"")</f>
        <v/>
      </c>
      <c r="GK18" s="35" t="str">
        <f>IFERROR(__xludf.DUMMYFUNCTION("VLOOKUP($A$1,IMPORTRANGE($A$2, CONCATENATE($A18,""!$B$5:$JB$48"")),GK$1,0)"),"")</f>
        <v/>
      </c>
      <c r="GL18" s="35" t="str">
        <f>IFERROR(__xludf.DUMMYFUNCTION("VLOOKUP($A$1,IMPORTRANGE($A$2, CONCATENATE($A18,""!$B$5:$JB$48"")),GL$1,0)"),"")</f>
        <v/>
      </c>
      <c r="GM18" s="35" t="str">
        <f>IFERROR(__xludf.DUMMYFUNCTION("VLOOKUP($A$1,IMPORTRANGE($A$2, CONCATENATE($A18,""!$B$5:$JB$48"")),GM$1,0)"),"")</f>
        <v/>
      </c>
      <c r="GN18" s="35" t="str">
        <f>IFERROR(__xludf.DUMMYFUNCTION("VLOOKUP($A$1,IMPORTRANGE($A$2, CONCATENATE($A18,""!$B$5:$JB$48"")),GN$1,0)"),"")</f>
        <v/>
      </c>
      <c r="GO18" s="35" t="str">
        <f>IFERROR(__xludf.DUMMYFUNCTION("VLOOKUP($A$1,IMPORTRANGE($A$2, CONCATENATE($A18,""!$B$5:$JB$48"")),GO$1,0)"),"")</f>
        <v/>
      </c>
      <c r="GP18" s="35" t="str">
        <f>IFERROR(__xludf.DUMMYFUNCTION("VLOOKUP($A$1,IMPORTRANGE($A$2, CONCATENATE($A18,""!$B$5:$JB$48"")),GP$1,0)"),"")</f>
        <v/>
      </c>
      <c r="GQ18" s="35" t="str">
        <f>IFERROR(__xludf.DUMMYFUNCTION("VLOOKUP($A$1,IMPORTRANGE($A$2, CONCATENATE($A18,""!$B$5:$JB$48"")),GQ$1,0)"),"")</f>
        <v/>
      </c>
      <c r="GR18" s="35" t="str">
        <f>IFERROR(__xludf.DUMMYFUNCTION("VLOOKUP($A$1,IMPORTRANGE($A$2, CONCATENATE($A18,""!$B$5:$JB$48"")),GR$1,0)"),"")</f>
        <v/>
      </c>
      <c r="GS18" s="35" t="str">
        <f>IFERROR(__xludf.DUMMYFUNCTION("VLOOKUP($A$1,IMPORTRANGE($A$2, CONCATENATE($A18,""!$B$5:$JB$48"")),GS$1,0)"),"")</f>
        <v/>
      </c>
      <c r="GT18" s="35" t="str">
        <f>IFERROR(__xludf.DUMMYFUNCTION("VLOOKUP($A$1,IMPORTRANGE($A$2, CONCATENATE($A18,""!$B$5:$JB$48"")),GT$1,0)"),"")</f>
        <v/>
      </c>
      <c r="GU18" s="35" t="str">
        <f>IFERROR(__xludf.DUMMYFUNCTION("VLOOKUP($A$1,IMPORTRANGE($A$2, CONCATENATE($A18,""!$B$5:$JB$48"")),GU$1,0)"),"")</f>
        <v/>
      </c>
      <c r="GV18" s="35" t="str">
        <f>IFERROR(__xludf.DUMMYFUNCTION("VLOOKUP($A$1,IMPORTRANGE($A$2, CONCATENATE($A18,""!$B$5:$JB$48"")),GV$1,0)"),"")</f>
        <v/>
      </c>
      <c r="GW18" s="35" t="str">
        <f>IFERROR(__xludf.DUMMYFUNCTION("VLOOKUP($A$1,IMPORTRANGE($A$2, CONCATENATE($A18,""!$B$5:$JB$48"")),GW$1,0)"),"")</f>
        <v/>
      </c>
      <c r="GX18" s="35" t="str">
        <f>IFERROR(__xludf.DUMMYFUNCTION("VLOOKUP($A$1,IMPORTRANGE($A$2, CONCATENATE($A18,""!$B$5:$JB$48"")),GX$1,0)"),"")</f>
        <v/>
      </c>
      <c r="GY18" s="35" t="str">
        <f>IFERROR(__xludf.DUMMYFUNCTION("VLOOKUP($A$1,IMPORTRANGE($A$2, CONCATENATE($A18,""!$B$5:$JB$48"")),GY$1,0)"),"")</f>
        <v/>
      </c>
      <c r="GZ18" s="35" t="str">
        <f>IFERROR(__xludf.DUMMYFUNCTION("VLOOKUP($A$1,IMPORTRANGE($A$2, CONCATENATE($A18,""!$B$5:$JB$48"")),GZ$1,0)"),"")</f>
        <v/>
      </c>
      <c r="HA18" s="35" t="str">
        <f>IFERROR(__xludf.DUMMYFUNCTION("VLOOKUP($A$1,IMPORTRANGE($A$2, CONCATENATE($A18,""!$B$5:$JB$48"")),HA$1,0)"),"")</f>
        <v/>
      </c>
      <c r="HB18" s="35" t="str">
        <f>IFERROR(__xludf.DUMMYFUNCTION("VLOOKUP($A$1,IMPORTRANGE($A$2, CONCATENATE($A18,""!$B$5:$JB$48"")),HB$1,0)"),"")</f>
        <v/>
      </c>
      <c r="HC18" s="35" t="str">
        <f>IFERROR(__xludf.DUMMYFUNCTION("VLOOKUP($A$1,IMPORTRANGE($A$2, CONCATENATE($A18,""!$B$5:$JB$48"")),HC$1,0)"),"")</f>
        <v/>
      </c>
      <c r="HD18" s="35" t="str">
        <f>IFERROR(__xludf.DUMMYFUNCTION("VLOOKUP($A$1,IMPORTRANGE($A$2, CONCATENATE($A18,""!$B$5:$JB$48"")),HD$1,0)"),"")</f>
        <v/>
      </c>
      <c r="HE18" s="35" t="str">
        <f>IFERROR(__xludf.DUMMYFUNCTION("VLOOKUP($A$1,IMPORTRANGE($A$2, CONCATENATE($A18,""!$B$5:$JB$48"")),HE$1,0)"),"")</f>
        <v/>
      </c>
      <c r="HF18" s="35" t="str">
        <f>IFERROR(__xludf.DUMMYFUNCTION("VLOOKUP($A$1,IMPORTRANGE($A$2, CONCATENATE($A18,""!$B$5:$JB$48"")),HF$1,0)"),"")</f>
        <v/>
      </c>
      <c r="HG18" s="35" t="str">
        <f>IFERROR(__xludf.DUMMYFUNCTION("VLOOKUP($A$1,IMPORTRANGE($A$2, CONCATENATE($A18,""!$B$5:$JB$48"")),HG$1,0)"),"")</f>
        <v/>
      </c>
      <c r="HH18" s="35" t="str">
        <f>IFERROR(__xludf.DUMMYFUNCTION("VLOOKUP($A$1,IMPORTRANGE($A$2, CONCATENATE($A18,""!$B$5:$JB$48"")),HH$1,0)"),"")</f>
        <v/>
      </c>
      <c r="HI18" s="35" t="str">
        <f>IFERROR(__xludf.DUMMYFUNCTION("VLOOKUP($A$1,IMPORTRANGE($A$2, CONCATENATE($A18,""!$B$5:$JB$48"")),HI$1,0)"),"")</f>
        <v/>
      </c>
      <c r="HJ18" s="35" t="str">
        <f>IFERROR(__xludf.DUMMYFUNCTION("VLOOKUP($A$1,IMPORTRANGE($A$2, CONCATENATE($A18,""!$B$5:$JB$48"")),HJ$1,0)"),"")</f>
        <v/>
      </c>
      <c r="HK18" s="35" t="str">
        <f>IFERROR(__xludf.DUMMYFUNCTION("VLOOKUP($A$1,IMPORTRANGE($A$2, CONCATENATE($A18,""!$B$5:$JB$48"")),HK$1,0)"),"")</f>
        <v/>
      </c>
      <c r="HL18" s="35" t="str">
        <f>IFERROR(__xludf.DUMMYFUNCTION("VLOOKUP($A$1,IMPORTRANGE($A$2, CONCATENATE($A18,""!$B$5:$JB$48"")),HL$1,0)"),"")</f>
        <v/>
      </c>
      <c r="HM18" s="35" t="str">
        <f>IFERROR(__xludf.DUMMYFUNCTION("VLOOKUP($A$1,IMPORTRANGE($A$2, CONCATENATE($A18,""!$B$5:$JB$48"")),HM$1,0)"),"")</f>
        <v/>
      </c>
      <c r="HN18" s="35" t="str">
        <f>IFERROR(__xludf.DUMMYFUNCTION("VLOOKUP($A$1,IMPORTRANGE($A$2, CONCATENATE($A18,""!$B$5:$JB$48"")),HN$1,0)"),"")</f>
        <v/>
      </c>
      <c r="HO18" s="35" t="str">
        <f>IFERROR(__xludf.DUMMYFUNCTION("VLOOKUP($A$1,IMPORTRANGE($A$2, CONCATENATE($A18,""!$B$5:$JB$48"")),HO$1,0)"),"")</f>
        <v/>
      </c>
      <c r="HP18" s="35" t="str">
        <f>IFERROR(__xludf.DUMMYFUNCTION("VLOOKUP($A$1,IMPORTRANGE($A$2, CONCATENATE($A18,""!$B$5:$JB$48"")),HP$1,0)"),"")</f>
        <v/>
      </c>
      <c r="HQ18" s="35" t="str">
        <f>IFERROR(__xludf.DUMMYFUNCTION("VLOOKUP($A$1,IMPORTRANGE($A$2, CONCATENATE($A18,""!$B$5:$JB$48"")),HQ$1,0)"),"")</f>
        <v/>
      </c>
      <c r="HR18" s="35" t="str">
        <f>IFERROR(__xludf.DUMMYFUNCTION("VLOOKUP($A$1,IMPORTRANGE($A$2, CONCATENATE($A18,""!$B$5:$JB$48"")),HR$1,0)"),"")</f>
        <v/>
      </c>
      <c r="HS18" s="35" t="str">
        <f>IFERROR(__xludf.DUMMYFUNCTION("VLOOKUP($A$1,IMPORTRANGE($A$2, CONCATENATE($A18,""!$B$5:$JB$48"")),HS$1,0)"),"")</f>
        <v/>
      </c>
      <c r="HT18" s="35" t="str">
        <f>IFERROR(__xludf.DUMMYFUNCTION("VLOOKUP($A$1,IMPORTRANGE($A$2, CONCATENATE($A18,""!$B$5:$JB$48"")),HT$1,0)"),"")</f>
        <v/>
      </c>
      <c r="HU18" s="35" t="str">
        <f>IFERROR(__xludf.DUMMYFUNCTION("VLOOKUP($A$1,IMPORTRANGE($A$2, CONCATENATE($A18,""!$B$5:$JB$48"")),HU$1,0)"),"")</f>
        <v/>
      </c>
      <c r="HV18" s="35" t="str">
        <f>IFERROR(__xludf.DUMMYFUNCTION("VLOOKUP($A$1,IMPORTRANGE($A$2, CONCATENATE($A18,""!$B$5:$JB$48"")),HV$1,0)"),"")</f>
        <v/>
      </c>
      <c r="HW18" s="35" t="str">
        <f>IFERROR(__xludf.DUMMYFUNCTION("VLOOKUP($A$1,IMPORTRANGE($A$2, CONCATENATE($A18,""!$B$5:$JB$48"")),HW$1,0)"),"")</f>
        <v/>
      </c>
      <c r="HX18" s="35" t="str">
        <f>IFERROR(__xludf.DUMMYFUNCTION("VLOOKUP($A$1,IMPORTRANGE($A$2, CONCATENATE($A18,""!$B$5:$JB$48"")),HX$1,0)"),"")</f>
        <v/>
      </c>
      <c r="HY18" s="35" t="str">
        <f>IFERROR(__xludf.DUMMYFUNCTION("VLOOKUP($A$1,IMPORTRANGE($A$2, CONCATENATE($A18,""!$B$5:$JB$48"")),HY$1,0)"),"")</f>
        <v/>
      </c>
      <c r="HZ18" s="35" t="str">
        <f>IFERROR(__xludf.DUMMYFUNCTION("VLOOKUP($A$1,IMPORTRANGE($A$2, CONCATENATE($A18,""!$B$5:$JB$48"")),HZ$1,0)"),"")</f>
        <v/>
      </c>
      <c r="IA18" s="35" t="str">
        <f>IFERROR(__xludf.DUMMYFUNCTION("VLOOKUP($A$1,IMPORTRANGE($A$2, CONCATENATE($A18,""!$B$5:$JB$48"")),IA$1,0)"),"")</f>
        <v/>
      </c>
      <c r="IB18" s="35" t="str">
        <f>IFERROR(__xludf.DUMMYFUNCTION("VLOOKUP($A$1,IMPORTRANGE($A$2, CONCATENATE($A18,""!$B$5:$JB$48"")),IB$1,0)"),"")</f>
        <v/>
      </c>
      <c r="IC18" s="35" t="str">
        <f>IFERROR(__xludf.DUMMYFUNCTION("VLOOKUP($A$1,IMPORTRANGE($A$2, CONCATENATE($A18,""!$B$5:$JB$48"")),IC$1,0)"),"")</f>
        <v/>
      </c>
      <c r="ID18" s="35" t="str">
        <f>IFERROR(__xludf.DUMMYFUNCTION("VLOOKUP($A$1,IMPORTRANGE($A$2, CONCATENATE($A18,""!$B$5:$JB$48"")),ID$1,0)"),"")</f>
        <v/>
      </c>
      <c r="IE18" s="35" t="str">
        <f>IFERROR(__xludf.DUMMYFUNCTION("VLOOKUP($A$1,IMPORTRANGE($A$2, CONCATENATE($A18,""!$B$5:$JB$48"")),IE$1,0)"),"")</f>
        <v/>
      </c>
      <c r="IF18" s="35" t="str">
        <f>IFERROR(__xludf.DUMMYFUNCTION("VLOOKUP($A$1,IMPORTRANGE($A$2, CONCATENATE($A18,""!$B$5:$JB$48"")),IF$1,0)"),"")</f>
        <v/>
      </c>
      <c r="IG18" s="35" t="str">
        <f>IFERROR(__xludf.DUMMYFUNCTION("VLOOKUP($A$1,IMPORTRANGE($A$2, CONCATENATE($A18,""!$B$5:$JB$48"")),IG$1,0)"),"")</f>
        <v/>
      </c>
      <c r="IH18" s="35" t="str">
        <f>IFERROR(__xludf.DUMMYFUNCTION("VLOOKUP($A$1,IMPORTRANGE($A$2, CONCATENATE($A18,""!$B$5:$JB$48"")),IH$1,0)"),"")</f>
        <v/>
      </c>
      <c r="II18" s="35" t="str">
        <f>IFERROR(__xludf.DUMMYFUNCTION("VLOOKUP($A$1,IMPORTRANGE($A$2, CONCATENATE($A18,""!$B$5:$JB$48"")),II$1,0)"),"")</f>
        <v/>
      </c>
      <c r="IJ18" s="35" t="str">
        <f>IFERROR(__xludf.DUMMYFUNCTION("VLOOKUP($A$1,IMPORTRANGE($A$2, CONCATENATE($A18,""!$B$5:$JB$48"")),IJ$1,0)"),"")</f>
        <v/>
      </c>
      <c r="IK18" s="35" t="str">
        <f>IFERROR(__xludf.DUMMYFUNCTION("VLOOKUP($A$1,IMPORTRANGE($A$2, CONCATENATE($A18,""!$B$5:$JB$48"")),IK$1,0)"),"")</f>
        <v/>
      </c>
      <c r="IL18" s="35" t="str">
        <f>IFERROR(__xludf.DUMMYFUNCTION("VLOOKUP($A$1,IMPORTRANGE($A$2, CONCATENATE($A18,""!$B$5:$JB$48"")),IL$1,0)"),"")</f>
        <v/>
      </c>
      <c r="IM18" s="35" t="str">
        <f>IFERROR(__xludf.DUMMYFUNCTION("VLOOKUP($A$1,IMPORTRANGE($A$2, CONCATENATE($A18,""!$B$5:$JB$48"")),IM$1,0)"),"")</f>
        <v/>
      </c>
      <c r="IN18" s="35" t="str">
        <f>IFERROR(__xludf.DUMMYFUNCTION("VLOOKUP($A$1,IMPORTRANGE($A$2, CONCATENATE($A18,""!$B$5:$JB$48"")),IN$1,0)"),"")</f>
        <v/>
      </c>
      <c r="IO18" s="35" t="str">
        <f>IFERROR(__xludf.DUMMYFUNCTION("VLOOKUP($A$1,IMPORTRANGE($A$2, CONCATENATE($A18,""!$B$5:$JB$48"")),IO$1,0)"),"")</f>
        <v/>
      </c>
      <c r="IP18" s="35" t="str">
        <f>IFERROR(__xludf.DUMMYFUNCTION("VLOOKUP($A$1,IMPORTRANGE($A$2, CONCATENATE($A18,""!$B$5:$JB$48"")),IP$1,0)"),"")</f>
        <v/>
      </c>
      <c r="IQ18" s="35" t="str">
        <f>IFERROR(__xludf.DUMMYFUNCTION("VLOOKUP($A$1,IMPORTRANGE($A$2, CONCATENATE($A18,""!$B$5:$JB$48"")),IQ$1,0)"),"")</f>
        <v/>
      </c>
      <c r="IR18" s="35" t="str">
        <f>IFERROR(__xludf.DUMMYFUNCTION("VLOOKUP($A$1,IMPORTRANGE($A$2, CONCATENATE($A18,""!$B$5:$JB$48"")),IR$1,0)"),"")</f>
        <v/>
      </c>
      <c r="IS18" s="35" t="str">
        <f>IFERROR(__xludf.DUMMYFUNCTION("VLOOKUP($A$1,IMPORTRANGE($A$2, CONCATENATE($A18,""!$B$5:$JB$48"")),IS$1,0)"),"")</f>
        <v/>
      </c>
      <c r="IT18" s="35" t="str">
        <f>IFERROR(__xludf.DUMMYFUNCTION("VLOOKUP($A$1,IMPORTRANGE($A$2, CONCATENATE($A18,""!$B$5:$JB$48"")),IT$1,0)"),"")</f>
        <v/>
      </c>
      <c r="IU18" s="35" t="str">
        <f>IFERROR(__xludf.DUMMYFUNCTION("VLOOKUP($A$1,IMPORTRANGE($A$2, CONCATENATE($A18,""!$B$5:$JB$48"")),IU$1,0)"),"")</f>
        <v/>
      </c>
      <c r="IV18" s="35" t="str">
        <f>IFERROR(__xludf.DUMMYFUNCTION("VLOOKUP($A$1,IMPORTRANGE($A$2, CONCATENATE($A18,""!$B$5:$JB$48"")),IV$1,0)"),"")</f>
        <v/>
      </c>
      <c r="IW18" s="35">
        <f>IFERROR(__xludf.DUMMYFUNCTION("VLOOKUP($A$1,IMPORTRANGE($A$2, CONCATENATE($A18,""!$B$5:$JB$48"")),IW$1,0)"),4.0)</f>
        <v>4</v>
      </c>
      <c r="IX18" s="35" t="str">
        <f>IFERROR(__xludf.DUMMYFUNCTION("VLOOKUP($A$1,IMPORTRANGE($A$2, CONCATENATE($A18,""!$B$5:$JB$48"")),IX$1,0)"),"")</f>
        <v/>
      </c>
      <c r="IY18" s="35" t="str">
        <f>IFERROR(__xludf.DUMMYFUNCTION("VLOOKUP($A$1,IMPORTRANGE($A$2, CONCATENATE($A18,""!$B$5:$JB$48"")),IY$1,0)"),"")</f>
        <v/>
      </c>
      <c r="IZ18" s="35" t="str">
        <f>IFERROR(__xludf.DUMMYFUNCTION("VLOOKUP($A$1,IMPORTRANGE($A$2, CONCATENATE($A18,""!$B$5:$JB$48"")),IZ$1,0)"),"")</f>
        <v/>
      </c>
      <c r="JA18" s="35" t="str">
        <f>IFERROR(__xludf.DUMMYFUNCTION("VLOOKUP($A$1,IMPORTRANGE($A$2, CONCATENATE($A18,""!$B$5:$JB$48"")),JA$1,0)"),"")</f>
        <v/>
      </c>
      <c r="JB18" s="35"/>
      <c r="JC18" s="35"/>
      <c r="JD18" s="35"/>
      <c r="JE18" s="35"/>
    </row>
    <row r="19">
      <c r="A19" s="41"/>
      <c r="B19" s="29"/>
      <c r="C19" s="37"/>
      <c r="D19" s="38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  <c r="IZ19" s="37"/>
      <c r="JA19" s="37"/>
      <c r="JB19" s="37"/>
      <c r="JC19" s="37"/>
      <c r="JD19" s="37"/>
      <c r="JE19" s="37"/>
    </row>
    <row r="20">
      <c r="A20" s="39"/>
      <c r="B20" s="32">
        <f>IFERROR(__xludf.DUMMYFUNCTION("IMPORTRANGE($A$2, CONCATENATE($A21,""!C4:JB4""))"),45906.0)</f>
        <v>45906</v>
      </c>
      <c r="C20" s="32">
        <f>IFERROR(__xludf.DUMMYFUNCTION("""COMPUTED_VALUE"""),45908.0)</f>
        <v>45908</v>
      </c>
      <c r="D20" s="32"/>
      <c r="E20" s="32"/>
      <c r="F20" s="32"/>
      <c r="G20" s="32"/>
      <c r="H20" s="32"/>
      <c r="I20" s="32">
        <f>IFERROR(__xludf.DUMMYFUNCTION("""COMPUTED_VALUE"""),45913.0)</f>
        <v>45913</v>
      </c>
      <c r="J20" s="32">
        <f>IFERROR(__xludf.DUMMYFUNCTION("""COMPUTED_VALUE"""),45915.0)</f>
        <v>45915</v>
      </c>
      <c r="K20" s="32"/>
      <c r="L20" s="32"/>
      <c r="M20" s="32"/>
      <c r="N20" s="32"/>
      <c r="O20" s="32"/>
      <c r="P20" s="32">
        <f>IFERROR(__xludf.DUMMYFUNCTION("""COMPUTED_VALUE"""),45917.0)</f>
        <v>45917</v>
      </c>
      <c r="Q20" s="32">
        <f>IFERROR(__xludf.DUMMYFUNCTION("""COMPUTED_VALUE"""),45922.0)</f>
        <v>45922</v>
      </c>
      <c r="R20" s="32"/>
      <c r="S20" s="32"/>
      <c r="T20" s="32"/>
      <c r="U20" s="32"/>
      <c r="V20" s="32"/>
      <c r="W20" s="32">
        <f>IFERROR(__xludf.DUMMYFUNCTION("""COMPUTED_VALUE"""),45924.0)</f>
        <v>45924</v>
      </c>
      <c r="X20" s="32">
        <f>IFERROR(__xludf.DUMMYFUNCTION("""COMPUTED_VALUE"""),45929.0)</f>
        <v>45929</v>
      </c>
      <c r="Y20" s="32"/>
      <c r="Z20" s="32"/>
      <c r="AA20" s="32"/>
      <c r="AB20" s="32"/>
      <c r="AC20" s="32"/>
      <c r="AD20" s="32">
        <f>IFERROR(__xludf.DUMMYFUNCTION("""COMPUTED_VALUE"""),45936.0)</f>
        <v>45936</v>
      </c>
      <c r="AE20" s="32">
        <f>IFERROR(__xludf.DUMMYFUNCTION("""COMPUTED_VALUE"""),45938.0)</f>
        <v>45938</v>
      </c>
      <c r="AF20" s="32">
        <f>IFERROR(__xludf.DUMMYFUNCTION("""COMPUTED_VALUE"""),45943.0)</f>
        <v>45943</v>
      </c>
      <c r="AG20" s="32"/>
      <c r="AH20" s="32"/>
      <c r="AI20" s="32"/>
      <c r="AJ20" s="32"/>
      <c r="AK20" s="32"/>
      <c r="AL20" s="32">
        <f>IFERROR(__xludf.DUMMYFUNCTION("""COMPUTED_VALUE"""),45945.0)</f>
        <v>45945</v>
      </c>
      <c r="AM20" s="32">
        <f>IFERROR(__xludf.DUMMYFUNCTION("""COMPUTED_VALUE"""),45950.0)</f>
        <v>45950</v>
      </c>
      <c r="AN20" s="32"/>
      <c r="AO20" s="32"/>
      <c r="AP20" s="32"/>
      <c r="AQ20" s="32"/>
      <c r="AR20" s="32"/>
      <c r="AS20" s="32">
        <f>IFERROR(__xludf.DUMMYFUNCTION("""COMPUTED_VALUE"""),45952.0)</f>
        <v>45952</v>
      </c>
      <c r="AT20" s="32">
        <f>IFERROR(__xludf.DUMMYFUNCTION("""COMPUTED_VALUE"""),45955.0)</f>
        <v>45955</v>
      </c>
      <c r="AU20" s="32"/>
      <c r="AV20" s="32"/>
      <c r="AW20" s="32"/>
      <c r="AX20" s="32"/>
      <c r="AY20" s="32"/>
      <c r="AZ20" s="32">
        <f>IFERROR(__xludf.DUMMYFUNCTION("""COMPUTED_VALUE"""),45957.0)</f>
        <v>45957</v>
      </c>
      <c r="BA20" s="32">
        <f>IFERROR(__xludf.DUMMYFUNCTION("""COMPUTED_VALUE"""),45959.0)</f>
        <v>45959</v>
      </c>
      <c r="BB20" s="32"/>
      <c r="BC20" s="32"/>
      <c r="BD20" s="32"/>
      <c r="BE20" s="32"/>
      <c r="BF20" s="32"/>
      <c r="BG20" s="32">
        <f>IFERROR(__xludf.DUMMYFUNCTION("""COMPUTED_VALUE"""),45964.0)</f>
        <v>45964</v>
      </c>
      <c r="BH20" s="32" t="str">
        <f>IFERROR(__xludf.DUMMYFUNCTION("""COMPUTED_VALUE"""),"1 четверть")</f>
        <v>1 четверть</v>
      </c>
      <c r="BI20" s="32">
        <f>IFERROR(__xludf.DUMMYFUNCTION("""COMPUTED_VALUE"""),45971.0)</f>
        <v>45971</v>
      </c>
      <c r="BJ20" s="32">
        <f>IFERROR(__xludf.DUMMYFUNCTION("""COMPUTED_VALUE"""),45973.0)</f>
        <v>45973</v>
      </c>
      <c r="BK20" s="32">
        <f>IFERROR(__xludf.DUMMYFUNCTION("""COMPUTED_VALUE"""),45978.0)</f>
        <v>45978</v>
      </c>
      <c r="BL20" s="32"/>
      <c r="BM20" s="32"/>
      <c r="BN20" s="32"/>
      <c r="BO20" s="32"/>
      <c r="BP20" s="32"/>
      <c r="BQ20" s="32">
        <f>IFERROR(__xludf.DUMMYFUNCTION("""COMPUTED_VALUE"""),45980.0)</f>
        <v>45980</v>
      </c>
      <c r="BR20" s="32">
        <f>IFERROR(__xludf.DUMMYFUNCTION("""COMPUTED_VALUE"""),45985.0)</f>
        <v>45985</v>
      </c>
      <c r="BS20" s="32"/>
      <c r="BT20" s="32"/>
      <c r="BU20" s="32"/>
      <c r="BV20" s="32"/>
      <c r="BW20" s="32"/>
      <c r="BX20" s="32">
        <f>IFERROR(__xludf.DUMMYFUNCTION("""COMPUTED_VALUE"""),45987.0)</f>
        <v>45987</v>
      </c>
      <c r="BY20" s="32">
        <f>IFERROR(__xludf.DUMMYFUNCTION("""COMPUTED_VALUE"""),45992.0)</f>
        <v>45992</v>
      </c>
      <c r="BZ20" s="32"/>
      <c r="CA20" s="32"/>
      <c r="CB20" s="32"/>
      <c r="CC20" s="32"/>
      <c r="CD20" s="32"/>
      <c r="CE20" s="32">
        <f>IFERROR(__xludf.DUMMYFUNCTION("""COMPUTED_VALUE"""),45994.0)</f>
        <v>45994</v>
      </c>
      <c r="CF20" s="32">
        <f>IFERROR(__xludf.DUMMYFUNCTION("""COMPUTED_VALUE"""),45997.0)</f>
        <v>45997</v>
      </c>
      <c r="CG20" s="32"/>
      <c r="CH20" s="32"/>
      <c r="CI20" s="32"/>
      <c r="CJ20" s="32"/>
      <c r="CK20" s="32"/>
      <c r="CL20" s="32">
        <f>IFERROR(__xludf.DUMMYFUNCTION("""COMPUTED_VALUE"""),46001.0)</f>
        <v>46001</v>
      </c>
      <c r="CM20" s="32">
        <f>IFERROR(__xludf.DUMMYFUNCTION("""COMPUTED_VALUE"""),46006.0)</f>
        <v>46006</v>
      </c>
      <c r="CN20" s="32"/>
      <c r="CO20" s="32"/>
      <c r="CP20" s="32"/>
      <c r="CQ20" s="32"/>
      <c r="CR20" s="32"/>
      <c r="CS20" s="32">
        <f>IFERROR(__xludf.DUMMYFUNCTION("""COMPUTED_VALUE"""),46008.0)</f>
        <v>46008</v>
      </c>
      <c r="CT20" s="32">
        <f>IFERROR(__xludf.DUMMYFUNCTION("""COMPUTED_VALUE"""),46378.0)</f>
        <v>46378</v>
      </c>
      <c r="CU20" s="32"/>
      <c r="CV20" s="32"/>
      <c r="CW20" s="32"/>
      <c r="CX20" s="32"/>
      <c r="CY20" s="32"/>
      <c r="CZ20" s="32">
        <f>IFERROR(__xludf.DUMMYFUNCTION("""COMPUTED_VALUE"""),46380.0)</f>
        <v>46380</v>
      </c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 t="str">
        <f>IFERROR(__xludf.DUMMYFUNCTION("""COMPUTED_VALUE"""),"2 четверть")</f>
        <v>2 четверть</v>
      </c>
      <c r="DN20" s="32">
        <f>IFERROR(__xludf.DUMMYFUNCTION("""COMPUTED_VALUE"""),46034.0)</f>
        <v>46034</v>
      </c>
      <c r="DO20" s="32">
        <f>IFERROR(__xludf.DUMMYFUNCTION("""COMPUTED_VALUE"""),46036.0)</f>
        <v>46036</v>
      </c>
      <c r="DP20" s="32">
        <f>IFERROR(__xludf.DUMMYFUNCTION("""COMPUTED_VALUE"""),46041.0)</f>
        <v>46041</v>
      </c>
      <c r="DQ20" s="32"/>
      <c r="DR20" s="32"/>
      <c r="DS20" s="32"/>
      <c r="DT20" s="32"/>
      <c r="DU20" s="32"/>
      <c r="DV20" s="32">
        <f>IFERROR(__xludf.DUMMYFUNCTION("""COMPUTED_VALUE"""),46043.0)</f>
        <v>46043</v>
      </c>
      <c r="DW20" s="32">
        <f>IFERROR(__xludf.DUMMYFUNCTION("""COMPUTED_VALUE"""),46048.0)</f>
        <v>46048</v>
      </c>
      <c r="DX20" s="32"/>
      <c r="DY20" s="32"/>
      <c r="DZ20" s="32"/>
      <c r="EA20" s="32"/>
      <c r="EB20" s="32"/>
      <c r="EC20" s="32">
        <f>IFERROR(__xludf.DUMMYFUNCTION("""COMPUTED_VALUE"""),46050.0)</f>
        <v>46050</v>
      </c>
      <c r="ED20" s="32">
        <f>IFERROR(__xludf.DUMMYFUNCTION("""COMPUTED_VALUE"""),46055.0)</f>
        <v>46055</v>
      </c>
      <c r="EE20" s="32"/>
      <c r="EF20" s="32"/>
      <c r="EG20" s="32"/>
      <c r="EH20" s="32"/>
      <c r="EI20" s="32"/>
      <c r="EJ20" s="32">
        <f>IFERROR(__xludf.DUMMYFUNCTION("""COMPUTED_VALUE"""),46057.0)</f>
        <v>46057</v>
      </c>
      <c r="EK20" s="32">
        <f>IFERROR(__xludf.DUMMYFUNCTION("""COMPUTED_VALUE"""),46062.0)</f>
        <v>46062</v>
      </c>
      <c r="EL20" s="32"/>
      <c r="EM20" s="32"/>
      <c r="EN20" s="32"/>
      <c r="EO20" s="32"/>
      <c r="EP20" s="32"/>
      <c r="EQ20" s="32">
        <f>IFERROR(__xludf.DUMMYFUNCTION("""COMPUTED_VALUE"""),46064.0)</f>
        <v>46064</v>
      </c>
      <c r="ER20" s="32">
        <f>IFERROR(__xludf.DUMMYFUNCTION("""COMPUTED_VALUE"""),46069.0)</f>
        <v>46069</v>
      </c>
      <c r="ES20" s="32"/>
      <c r="ET20" s="32"/>
      <c r="EU20" s="32"/>
      <c r="EV20" s="32"/>
      <c r="EW20" s="32"/>
      <c r="EX20" s="32">
        <f>IFERROR(__xludf.DUMMYFUNCTION("""COMPUTED_VALUE"""),46071.0)</f>
        <v>46071</v>
      </c>
      <c r="EY20" s="32">
        <f>IFERROR(__xludf.DUMMYFUNCTION("""COMPUTED_VALUE"""),46074.0)</f>
        <v>46074</v>
      </c>
      <c r="EZ20" s="32"/>
      <c r="FA20" s="32"/>
      <c r="FB20" s="32"/>
      <c r="FC20" s="32"/>
      <c r="FD20" s="32"/>
      <c r="FE20" s="32">
        <f>IFERROR(__xludf.DUMMYFUNCTION("""COMPUTED_VALUE"""),46076.0)</f>
        <v>46076</v>
      </c>
      <c r="FF20" s="32">
        <f>IFERROR(__xludf.DUMMYFUNCTION("""COMPUTED_VALUE"""),46078.0)</f>
        <v>46078</v>
      </c>
      <c r="FG20" s="32"/>
      <c r="FH20" s="32"/>
      <c r="FI20" s="32"/>
      <c r="FJ20" s="32"/>
      <c r="FK20" s="32"/>
      <c r="FL20" s="32">
        <f>IFERROR(__xludf.DUMMYFUNCTION("""COMPUTED_VALUE"""),46083.0)</f>
        <v>46083</v>
      </c>
      <c r="FM20" s="32">
        <f>IFERROR(__xludf.DUMMYFUNCTION("""COMPUTED_VALUE"""),46085.0)</f>
        <v>46085</v>
      </c>
      <c r="FN20" s="32"/>
      <c r="FO20" s="32"/>
      <c r="FP20" s="32"/>
      <c r="FQ20" s="32"/>
      <c r="FR20" s="32"/>
      <c r="FS20" s="32">
        <f>IFERROR(__xludf.DUMMYFUNCTION("""COMPUTED_VALUE"""),46092.0)</f>
        <v>46092</v>
      </c>
      <c r="FT20" s="32">
        <f>IFERROR(__xludf.DUMMYFUNCTION("""COMPUTED_VALUE"""),46097.0)</f>
        <v>46097</v>
      </c>
      <c r="FU20" s="32"/>
      <c r="FV20" s="32"/>
      <c r="FW20" s="32"/>
      <c r="FX20" s="32"/>
      <c r="FY20" s="32"/>
      <c r="FZ20" s="32">
        <f>IFERROR(__xludf.DUMMYFUNCTION("""COMPUTED_VALUE"""),46099.0)</f>
        <v>46099</v>
      </c>
      <c r="GA20" s="32"/>
      <c r="GB20" s="32"/>
      <c r="GC20" s="32"/>
      <c r="GD20" s="32"/>
      <c r="GE20" s="32"/>
      <c r="GF20" s="32" t="str">
        <f>IFERROR(__xludf.DUMMYFUNCTION("""COMPUTED_VALUE"""),"3 четверть")</f>
        <v>3 четверть</v>
      </c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 t="str">
        <f>IFERROR(__xludf.DUMMYFUNCTION("""COMPUTED_VALUE"""),"4 четверть")</f>
        <v>4 четверть</v>
      </c>
      <c r="IS20" s="32" t="str">
        <f>IFERROR(__xludf.DUMMYFUNCTION("""COMPUTED_VALUE"""),"год")</f>
        <v>год</v>
      </c>
      <c r="IT20" s="32" t="str">
        <f>IFERROR(__xludf.DUMMYFUNCTION("""COMPUTED_VALUE"""),"рейтинг")</f>
        <v>рейтинг</v>
      </c>
      <c r="IU20" s="32"/>
      <c r="IV20" s="32"/>
      <c r="IW20" s="32"/>
      <c r="IX20" s="32" t="str">
        <f>IFERROR(__xludf.DUMMYFUNCTION("""COMPUTED_VALUE"""),"Дата")</f>
        <v>Дата</v>
      </c>
      <c r="IY20" s="32" t="str">
        <f>IFERROR(__xludf.DUMMYFUNCTION("""COMPUTED_VALUE"""),"Тема урока")</f>
        <v>Тема урока</v>
      </c>
      <c r="IZ20" s="32" t="str">
        <f>IFERROR(__xludf.DUMMYFUNCTION("""COMPUTED_VALUE"""),"Домашнее задание")</f>
        <v>Домашнее задание</v>
      </c>
      <c r="JA20" s="32" t="str">
        <f>IFERROR(__xludf.DUMMYFUNCTION("""COMPUTED_VALUE"""),"Дата")</f>
        <v>Дата</v>
      </c>
      <c r="JB20" s="32"/>
      <c r="JC20" s="32"/>
      <c r="JD20" s="32"/>
      <c r="JE20" s="32"/>
    </row>
    <row r="21">
      <c r="A21" s="42" t="s">
        <v>283</v>
      </c>
      <c r="B21" s="35">
        <f>IFERROR(__xludf.DUMMYFUNCTION("VLOOKUP($A$1,IMPORTRANGE($A$2, CONCATENATE($A21,""!$B$5:$JB$48"")),B$1,0)"),5.0)</f>
        <v>5</v>
      </c>
      <c r="C21" s="35">
        <f>IFERROR(__xludf.DUMMYFUNCTION("VLOOKUP($A$1,IMPORTRANGE($A$2, CONCATENATE($A21,""!$B$5:$JB$48"")),C$1,0)"),5.0)</f>
        <v>5</v>
      </c>
      <c r="D21" s="35" t="str">
        <f>IFERROR(__xludf.DUMMYFUNCTION("VLOOKUP($A$1,IMPORTRANGE($A$2, CONCATENATE($A21,""!$B$5:$JB$48"")),D$1,0)"),"")</f>
        <v/>
      </c>
      <c r="E21" s="35" t="str">
        <f>IFERROR(__xludf.DUMMYFUNCTION("VLOOKUP($A$1,IMPORTRANGE($A$2, CONCATENATE($A21,""!$B$5:$JB$48"")),E$1,0)"),"")</f>
        <v/>
      </c>
      <c r="F21" s="35" t="str">
        <f>IFERROR(__xludf.DUMMYFUNCTION("VLOOKUP($A$1,IMPORTRANGE($A$2, CONCATENATE($A21,""!$B$5:$JB$48"")),F$1,0)"),"")</f>
        <v/>
      </c>
      <c r="G21" s="35" t="str">
        <f>IFERROR(__xludf.DUMMYFUNCTION("VLOOKUP($A$1,IMPORTRANGE($A$2, CONCATENATE($A21,""!$B$5:$JB$48"")),G$1,0)"),"")</f>
        <v/>
      </c>
      <c r="H21" s="35" t="str">
        <f>IFERROR(__xludf.DUMMYFUNCTION("VLOOKUP($A$1,IMPORTRANGE($A$2, CONCATENATE($A21,""!$B$5:$JB$48"")),H$1,0)"),"")</f>
        <v/>
      </c>
      <c r="I21" s="35" t="str">
        <f>IFERROR(__xludf.DUMMYFUNCTION("VLOOKUP($A$1,IMPORTRANGE($A$2, CONCATENATE($A21,""!$B$5:$JB$48"")),I$1,0)"),"Б/ф")</f>
        <v>Б/ф</v>
      </c>
      <c r="J21" s="35">
        <f>IFERROR(__xludf.DUMMYFUNCTION("VLOOKUP($A$1,IMPORTRANGE($A$2, CONCATENATE($A21,""!$B$5:$JB$48"")),J$1,0)"),4.0)</f>
        <v>4</v>
      </c>
      <c r="K21" s="35" t="str">
        <f>IFERROR(__xludf.DUMMYFUNCTION("VLOOKUP($A$1,IMPORTRANGE($A$2, CONCATENATE($A21,""!$B$5:$JB$48"")),K$1,0)"),"")</f>
        <v/>
      </c>
      <c r="L21" s="35" t="str">
        <f>IFERROR(__xludf.DUMMYFUNCTION("VLOOKUP($A$1,IMPORTRANGE($A$2, CONCATENATE($A21,""!$B$5:$JB$48"")),L$1,0)"),"")</f>
        <v/>
      </c>
      <c r="M21" s="35" t="str">
        <f>IFERROR(__xludf.DUMMYFUNCTION("VLOOKUP($A$1,IMPORTRANGE($A$2, CONCATENATE($A21,""!$B$5:$JB$48"")),M$1,0)"),"")</f>
        <v/>
      </c>
      <c r="N21" s="35" t="str">
        <f>IFERROR(__xludf.DUMMYFUNCTION("VLOOKUP($A$1,IMPORTRANGE($A$2, CONCATENATE($A21,""!$B$5:$JB$48"")),N$1,0)"),"")</f>
        <v/>
      </c>
      <c r="O21" s="35" t="str">
        <f>IFERROR(__xludf.DUMMYFUNCTION("VLOOKUP($A$1,IMPORTRANGE($A$2, CONCATENATE($A21,""!$B$5:$JB$48"")),O$1,0)"),"")</f>
        <v/>
      </c>
      <c r="P21" s="35" t="str">
        <f>IFERROR(__xludf.DUMMYFUNCTION("VLOOKUP($A$1,IMPORTRANGE($A$2, CONCATENATE($A21,""!$B$5:$JB$48"")),P$1,0)"),"Б/ф")</f>
        <v>Б/ф</v>
      </c>
      <c r="Q21" s="35">
        <f>IFERROR(__xludf.DUMMYFUNCTION("VLOOKUP($A$1,IMPORTRANGE($A$2, CONCATENATE($A21,""!$B$5:$JB$48"")),Q$1,0)"),5.0)</f>
        <v>5</v>
      </c>
      <c r="R21" s="35" t="str">
        <f>IFERROR(__xludf.DUMMYFUNCTION("VLOOKUP($A$1,IMPORTRANGE($A$2, CONCATENATE($A21,""!$B$5:$JB$48"")),R$1,0)"),"")</f>
        <v/>
      </c>
      <c r="S21" s="35" t="str">
        <f>IFERROR(__xludf.DUMMYFUNCTION("VLOOKUP($A$1,IMPORTRANGE($A$2, CONCATENATE($A21,""!$B$5:$JB$48"")),S$1,0)"),"")</f>
        <v/>
      </c>
      <c r="T21" s="35" t="str">
        <f>IFERROR(__xludf.DUMMYFUNCTION("VLOOKUP($A$1,IMPORTRANGE($A$2, CONCATENATE($A21,""!$B$5:$JB$48"")),T$1,0)"),"")</f>
        <v/>
      </c>
      <c r="U21" s="35" t="str">
        <f>IFERROR(__xludf.DUMMYFUNCTION("VLOOKUP($A$1,IMPORTRANGE($A$2, CONCATENATE($A21,""!$B$5:$JB$48"")),U$1,0)"),"")</f>
        <v/>
      </c>
      <c r="V21" s="35" t="str">
        <f>IFERROR(__xludf.DUMMYFUNCTION("VLOOKUP($A$1,IMPORTRANGE($A$2, CONCATENATE($A21,""!$B$5:$JB$48"")),V$1,0)"),"")</f>
        <v/>
      </c>
      <c r="W21" s="35" t="str">
        <f>IFERROR(__xludf.DUMMYFUNCTION("VLOOKUP($A$1,IMPORTRANGE($A$2, CONCATENATE($A21,""!$B$5:$JB$48"")),W$1,0)"),"")</f>
        <v/>
      </c>
      <c r="X21" s="35">
        <f>IFERROR(__xludf.DUMMYFUNCTION("VLOOKUP($A$1,IMPORTRANGE($A$2, CONCATENATE($A21,""!$B$5:$JB$48"")),X$1,0)"),2.0)</f>
        <v>2</v>
      </c>
      <c r="Y21" s="35" t="str">
        <f>IFERROR(__xludf.DUMMYFUNCTION("VLOOKUP($A$1,IMPORTRANGE($A$2, CONCATENATE($A21,""!$B$5:$JB$48"")),Y$1,0)"),"")</f>
        <v/>
      </c>
      <c r="Z21" s="35" t="str">
        <f>IFERROR(__xludf.DUMMYFUNCTION("VLOOKUP($A$1,IMPORTRANGE($A$2, CONCATENATE($A21,""!$B$5:$JB$48"")),Z$1,0)"),"")</f>
        <v/>
      </c>
      <c r="AA21" s="35" t="str">
        <f>IFERROR(__xludf.DUMMYFUNCTION("VLOOKUP($A$1,IMPORTRANGE($A$2, CONCATENATE($A21,""!$B$5:$JB$48"")),AA$1,0)"),"")</f>
        <v/>
      </c>
      <c r="AB21" s="35" t="str">
        <f>IFERROR(__xludf.DUMMYFUNCTION("VLOOKUP($A$1,IMPORTRANGE($A$2, CONCATENATE($A21,""!$B$5:$JB$48"")),AB$1,0)"),"")</f>
        <v/>
      </c>
      <c r="AC21" s="35" t="str">
        <f>IFERROR(__xludf.DUMMYFUNCTION("VLOOKUP($A$1,IMPORTRANGE($A$2, CONCATENATE($A21,""!$B$5:$JB$48"")),AC$1,0)"),"")</f>
        <v/>
      </c>
      <c r="AD21" s="35">
        <f>IFERROR(__xludf.DUMMYFUNCTION("VLOOKUP($A$1,IMPORTRANGE($A$2, CONCATENATE($A21,""!$B$5:$JB$48"")),AD$1,0)"),4.0)</f>
        <v>4</v>
      </c>
      <c r="AE21" s="35" t="str">
        <f>IFERROR(__xludf.DUMMYFUNCTION("VLOOKUP($A$1,IMPORTRANGE($A$2, CONCATENATE($A21,""!$B$5:$JB$48"")),AE$1,0)"),"")</f>
        <v/>
      </c>
      <c r="AF21" s="35">
        <f>IFERROR(__xludf.DUMMYFUNCTION("VLOOKUP($A$1,IMPORTRANGE($A$2, CONCATENATE($A21,""!$B$5:$JB$48"")),AF$1,0)"),2.0)</f>
        <v>2</v>
      </c>
      <c r="AG21" s="35" t="str">
        <f>IFERROR(__xludf.DUMMYFUNCTION("VLOOKUP($A$1,IMPORTRANGE($A$2, CONCATENATE($A21,""!$B$5:$JB$48"")),AG$1,0)"),"")</f>
        <v/>
      </c>
      <c r="AH21" s="35" t="str">
        <f>IFERROR(__xludf.DUMMYFUNCTION("VLOOKUP($A$1,IMPORTRANGE($A$2, CONCATENATE($A21,""!$B$5:$JB$48"")),AH$1,0)"),"")</f>
        <v/>
      </c>
      <c r="AI21" s="35" t="str">
        <f>IFERROR(__xludf.DUMMYFUNCTION("VLOOKUP($A$1,IMPORTRANGE($A$2, CONCATENATE($A21,""!$B$5:$JB$48"")),AI$1,0)"),"")</f>
        <v/>
      </c>
      <c r="AJ21" s="35" t="str">
        <f>IFERROR(__xludf.DUMMYFUNCTION("VLOOKUP($A$1,IMPORTRANGE($A$2, CONCATENATE($A21,""!$B$5:$JB$48"")),AJ$1,0)"),"")</f>
        <v/>
      </c>
      <c r="AK21" s="35" t="str">
        <f>IFERROR(__xludf.DUMMYFUNCTION("VLOOKUP($A$1,IMPORTRANGE($A$2, CONCATENATE($A21,""!$B$5:$JB$48"")),AK$1,0)"),"")</f>
        <v/>
      </c>
      <c r="AL21" s="35">
        <f>IFERROR(__xludf.DUMMYFUNCTION("VLOOKUP($A$1,IMPORTRANGE($A$2, CONCATENATE($A21,""!$B$5:$JB$48"")),AL$1,0)"),5.0)</f>
        <v>5</v>
      </c>
      <c r="AM21" s="35">
        <f>IFERROR(__xludf.DUMMYFUNCTION("VLOOKUP($A$1,IMPORTRANGE($A$2, CONCATENATE($A21,""!$B$5:$JB$48"")),AM$1,0)"),4.0)</f>
        <v>4</v>
      </c>
      <c r="AN21" s="35" t="str">
        <f>IFERROR(__xludf.DUMMYFUNCTION("VLOOKUP($A$1,IMPORTRANGE($A$2, CONCATENATE($A21,""!$B$5:$JB$48"")),AN$1,0)"),"")</f>
        <v/>
      </c>
      <c r="AO21" s="35" t="str">
        <f>IFERROR(__xludf.DUMMYFUNCTION("VLOOKUP($A$1,IMPORTRANGE($A$2, CONCATENATE($A21,""!$B$5:$JB$48"")),AO$1,0)"),"")</f>
        <v/>
      </c>
      <c r="AP21" s="35" t="str">
        <f>IFERROR(__xludf.DUMMYFUNCTION("VLOOKUP($A$1,IMPORTRANGE($A$2, CONCATENATE($A21,""!$B$5:$JB$48"")),AP$1,0)"),"")</f>
        <v/>
      </c>
      <c r="AQ21" s="35" t="str">
        <f>IFERROR(__xludf.DUMMYFUNCTION("VLOOKUP($A$1,IMPORTRANGE($A$2, CONCATENATE($A21,""!$B$5:$JB$48"")),AQ$1,0)"),"")</f>
        <v/>
      </c>
      <c r="AR21" s="35" t="str">
        <f>IFERROR(__xludf.DUMMYFUNCTION("VLOOKUP($A$1,IMPORTRANGE($A$2, CONCATENATE($A21,""!$B$5:$JB$48"")),AR$1,0)"),"")</f>
        <v/>
      </c>
      <c r="AS21" s="35">
        <f>IFERROR(__xludf.DUMMYFUNCTION("VLOOKUP($A$1,IMPORTRANGE($A$2, CONCATENATE($A21,""!$B$5:$JB$48"")),AS$1,0)"),5.0)</f>
        <v>5</v>
      </c>
      <c r="AT21" s="35">
        <f>IFERROR(__xludf.DUMMYFUNCTION("VLOOKUP($A$1,IMPORTRANGE($A$2, CONCATENATE($A21,""!$B$5:$JB$48"")),AT$1,0)"),5.0)</f>
        <v>5</v>
      </c>
      <c r="AU21" s="35" t="str">
        <f>IFERROR(__xludf.DUMMYFUNCTION("VLOOKUP($A$1,IMPORTRANGE($A$2, CONCATENATE($A21,""!$B$5:$JB$48"")),AU$1,0)"),"")</f>
        <v/>
      </c>
      <c r="AV21" s="35" t="str">
        <f>IFERROR(__xludf.DUMMYFUNCTION("VLOOKUP($A$1,IMPORTRANGE($A$2, CONCATENATE($A21,""!$B$5:$JB$48"")),AV$1,0)"),"")</f>
        <v/>
      </c>
      <c r="AW21" s="35" t="str">
        <f>IFERROR(__xludf.DUMMYFUNCTION("VLOOKUP($A$1,IMPORTRANGE($A$2, CONCATENATE($A21,""!$B$5:$JB$48"")),AW$1,0)"),"")</f>
        <v/>
      </c>
      <c r="AX21" s="35" t="str">
        <f>IFERROR(__xludf.DUMMYFUNCTION("VLOOKUP($A$1,IMPORTRANGE($A$2, CONCATENATE($A21,""!$B$5:$JB$48"")),AX$1,0)"),"")</f>
        <v/>
      </c>
      <c r="AY21" s="35" t="str">
        <f>IFERROR(__xludf.DUMMYFUNCTION("VLOOKUP($A$1,IMPORTRANGE($A$2, CONCATENATE($A21,""!$B$5:$JB$48"")),AY$1,0)"),"")</f>
        <v/>
      </c>
      <c r="AZ21" s="35">
        <f>IFERROR(__xludf.DUMMYFUNCTION("VLOOKUP($A$1,IMPORTRANGE($A$2, CONCATENATE($A21,""!$B$5:$JB$48"")),AZ$1,0)"),5.0)</f>
        <v>5</v>
      </c>
      <c r="BA21" s="35">
        <f>IFERROR(__xludf.DUMMYFUNCTION("VLOOKUP($A$1,IMPORTRANGE($A$2, CONCATENATE($A21,""!$B$5:$JB$48"")),BA$1,0)"),2.0)</f>
        <v>2</v>
      </c>
      <c r="BB21" s="35" t="str">
        <f>IFERROR(__xludf.DUMMYFUNCTION("VLOOKUP($A$1,IMPORTRANGE($A$2, CONCATENATE($A21,""!$B$5:$JB$48"")),BB$1,0)"),"")</f>
        <v/>
      </c>
      <c r="BC21" s="35" t="str">
        <f>IFERROR(__xludf.DUMMYFUNCTION("VLOOKUP($A$1,IMPORTRANGE($A$2, CONCATENATE($A21,""!$B$5:$JB$48"")),BC$1,0)"),"")</f>
        <v/>
      </c>
      <c r="BD21" s="35" t="str">
        <f>IFERROR(__xludf.DUMMYFUNCTION("VLOOKUP($A$1,IMPORTRANGE($A$2, CONCATENATE($A21,""!$B$5:$JB$48"")),BD$1,0)"),"")</f>
        <v/>
      </c>
      <c r="BE21" s="35" t="str">
        <f>IFERROR(__xludf.DUMMYFUNCTION("VLOOKUP($A$1,IMPORTRANGE($A$2, CONCATENATE($A21,""!$B$5:$JB$48"")),BE$1,0)"),"")</f>
        <v/>
      </c>
      <c r="BF21" s="35" t="str">
        <f>IFERROR(__xludf.DUMMYFUNCTION("VLOOKUP($A$1,IMPORTRANGE($A$2, CONCATENATE($A21,""!$B$5:$JB$48"")),BF$1,0)"),"")</f>
        <v/>
      </c>
      <c r="BG21" s="35">
        <f>IFERROR(__xludf.DUMMYFUNCTION("VLOOKUP($A$1,IMPORTRANGE($A$2, CONCATENATE($A21,""!$B$5:$JB$48"")),BG$1,0)"),5.0)</f>
        <v>5</v>
      </c>
      <c r="BH21" s="35">
        <f>IFERROR(__xludf.DUMMYFUNCTION("VLOOKUP($A$1,IMPORTRANGE($A$2, CONCATENATE($A21,""!$B$5:$JB$48"")),BH$1,0)"),4.0)</f>
        <v>4</v>
      </c>
      <c r="BI21" s="35">
        <f>IFERROR(__xludf.DUMMYFUNCTION("VLOOKUP($A$1,IMPORTRANGE($A$2, CONCATENATE($A21,""!$B$5:$JB$48"")),BI$1,0)"),5.0)</f>
        <v>5</v>
      </c>
      <c r="BJ21" s="35" t="str">
        <f>IFERROR(__xludf.DUMMYFUNCTION("VLOOKUP($A$1,IMPORTRANGE($A$2, CONCATENATE($A21,""!$B$5:$JB$48"")),BJ$1,0)"),"Б/Ф")</f>
        <v>Б/Ф</v>
      </c>
      <c r="BK21" s="35" t="str">
        <f>IFERROR(__xludf.DUMMYFUNCTION("VLOOKUP($A$1,IMPORTRANGE($A$2, CONCATENATE($A21,""!$B$5:$JB$48"")),BK$1,0)"),"Н")</f>
        <v>Н</v>
      </c>
      <c r="BL21" s="35" t="str">
        <f>IFERROR(__xludf.DUMMYFUNCTION("VLOOKUP($A$1,IMPORTRANGE($A$2, CONCATENATE($A21,""!$B$5:$JB$48"")),BL$1,0)"),"")</f>
        <v/>
      </c>
      <c r="BM21" s="35" t="str">
        <f>IFERROR(__xludf.DUMMYFUNCTION("VLOOKUP($A$1,IMPORTRANGE($A$2, CONCATENATE($A21,""!$B$5:$JB$48"")),BM$1,0)"),"")</f>
        <v/>
      </c>
      <c r="BN21" s="35" t="str">
        <f>IFERROR(__xludf.DUMMYFUNCTION("VLOOKUP($A$1,IMPORTRANGE($A$2, CONCATENATE($A21,""!$B$5:$JB$48"")),BN$1,0)"),"")</f>
        <v/>
      </c>
      <c r="BO21" s="35" t="str">
        <f>IFERROR(__xludf.DUMMYFUNCTION("VLOOKUP($A$1,IMPORTRANGE($A$2, CONCATENATE($A21,""!$B$5:$JB$48"")),BO$1,0)"),"")</f>
        <v/>
      </c>
      <c r="BP21" s="35" t="str">
        <f>IFERROR(__xludf.DUMMYFUNCTION("VLOOKUP($A$1,IMPORTRANGE($A$2, CONCATENATE($A21,""!$B$5:$JB$48"")),BP$1,0)"),"")</f>
        <v/>
      </c>
      <c r="BQ21" s="35">
        <f>IFERROR(__xludf.DUMMYFUNCTION("VLOOKUP($A$1,IMPORTRANGE($A$2, CONCATENATE($A21,""!$B$5:$JB$48"")),BQ$1,0)"),5.0)</f>
        <v>5</v>
      </c>
      <c r="BR21" s="35">
        <f>IFERROR(__xludf.DUMMYFUNCTION("VLOOKUP($A$1,IMPORTRANGE($A$2, CONCATENATE($A21,""!$B$5:$JB$48"")),BR$1,0)"),5.0)</f>
        <v>5</v>
      </c>
      <c r="BS21" s="35" t="str">
        <f>IFERROR(__xludf.DUMMYFUNCTION("VLOOKUP($A$1,IMPORTRANGE($A$2, CONCATENATE($A21,""!$B$5:$JB$48"")),BS$1,0)"),"")</f>
        <v/>
      </c>
      <c r="BT21" s="35" t="str">
        <f>IFERROR(__xludf.DUMMYFUNCTION("VLOOKUP($A$1,IMPORTRANGE($A$2, CONCATENATE($A21,""!$B$5:$JB$48"")),BT$1,0)"),"")</f>
        <v/>
      </c>
      <c r="BU21" s="35" t="str">
        <f>IFERROR(__xludf.DUMMYFUNCTION("VLOOKUP($A$1,IMPORTRANGE($A$2, CONCATENATE($A21,""!$B$5:$JB$48"")),BU$1,0)"),"")</f>
        <v/>
      </c>
      <c r="BV21" s="35" t="str">
        <f>IFERROR(__xludf.DUMMYFUNCTION("VLOOKUP($A$1,IMPORTRANGE($A$2, CONCATENATE($A21,""!$B$5:$JB$48"")),BV$1,0)"),"")</f>
        <v/>
      </c>
      <c r="BW21" s="35" t="str">
        <f>IFERROR(__xludf.DUMMYFUNCTION("VLOOKUP($A$1,IMPORTRANGE($A$2, CONCATENATE($A21,""!$B$5:$JB$48"")),BW$1,0)"),"")</f>
        <v/>
      </c>
      <c r="BX21" s="35">
        <f>IFERROR(__xludf.DUMMYFUNCTION("VLOOKUP($A$1,IMPORTRANGE($A$2, CONCATENATE($A21,""!$B$5:$JB$48"")),BX$1,0)"),5.0)</f>
        <v>5</v>
      </c>
      <c r="BY21" s="35" t="str">
        <f>IFERROR(__xludf.DUMMYFUNCTION("VLOOKUP($A$1,IMPORTRANGE($A$2, CONCATENATE($A21,""!$B$5:$JB$48"")),BY$1,0)"),"н")</f>
        <v>н</v>
      </c>
      <c r="BZ21" s="35" t="str">
        <f>IFERROR(__xludf.DUMMYFUNCTION("VLOOKUP($A$1,IMPORTRANGE($A$2, CONCATENATE($A21,""!$B$5:$JB$48"")),BZ$1,0)"),"")</f>
        <v/>
      </c>
      <c r="CA21" s="35" t="str">
        <f>IFERROR(__xludf.DUMMYFUNCTION("VLOOKUP($A$1,IMPORTRANGE($A$2, CONCATENATE($A21,""!$B$5:$JB$48"")),CA$1,0)"),"")</f>
        <v/>
      </c>
      <c r="CB21" s="35" t="str">
        <f>IFERROR(__xludf.DUMMYFUNCTION("VLOOKUP($A$1,IMPORTRANGE($A$2, CONCATENATE($A21,""!$B$5:$JB$48"")),CB$1,0)"),"")</f>
        <v/>
      </c>
      <c r="CC21" s="35" t="str">
        <f>IFERROR(__xludf.DUMMYFUNCTION("VLOOKUP($A$1,IMPORTRANGE($A$2, CONCATENATE($A21,""!$B$5:$JB$48"")),CC$1,0)"),"")</f>
        <v/>
      </c>
      <c r="CD21" s="35" t="str">
        <f>IFERROR(__xludf.DUMMYFUNCTION("VLOOKUP($A$1,IMPORTRANGE($A$2, CONCATENATE($A21,""!$B$5:$JB$48"")),CD$1,0)"),"")</f>
        <v/>
      </c>
      <c r="CE21" s="35" t="str">
        <f>IFERROR(__xludf.DUMMYFUNCTION("VLOOKUP($A$1,IMPORTRANGE($A$2, CONCATENATE($A21,""!$B$5:$JB$48"")),CE$1,0)"),"б/ф")</f>
        <v>б/ф</v>
      </c>
      <c r="CF21" s="35">
        <f>IFERROR(__xludf.DUMMYFUNCTION("VLOOKUP($A$1,IMPORTRANGE($A$2, CONCATENATE($A21,""!$B$5:$JB$48"")),CF$1,0)"),2.0)</f>
        <v>2</v>
      </c>
      <c r="CG21" s="35" t="str">
        <f>IFERROR(__xludf.DUMMYFUNCTION("VLOOKUP($A$1,IMPORTRANGE($A$2, CONCATENATE($A21,""!$B$5:$JB$48"")),CG$1,0)"),"")</f>
        <v/>
      </c>
      <c r="CH21" s="35" t="str">
        <f>IFERROR(__xludf.DUMMYFUNCTION("VLOOKUP($A$1,IMPORTRANGE($A$2, CONCATENATE($A21,""!$B$5:$JB$48"")),CH$1,0)"),"")</f>
        <v/>
      </c>
      <c r="CI21" s="35" t="str">
        <f>IFERROR(__xludf.DUMMYFUNCTION("VLOOKUP($A$1,IMPORTRANGE($A$2, CONCATENATE($A21,""!$B$5:$JB$48"")),CI$1,0)"),"")</f>
        <v/>
      </c>
      <c r="CJ21" s="35" t="str">
        <f>IFERROR(__xludf.DUMMYFUNCTION("VLOOKUP($A$1,IMPORTRANGE($A$2, CONCATENATE($A21,""!$B$5:$JB$48"")),CJ$1,0)"),"")</f>
        <v/>
      </c>
      <c r="CK21" s="35" t="str">
        <f>IFERROR(__xludf.DUMMYFUNCTION("VLOOKUP($A$1,IMPORTRANGE($A$2, CONCATENATE($A21,""!$B$5:$JB$48"")),CK$1,0)"),"")</f>
        <v/>
      </c>
      <c r="CL21" s="35">
        <f>IFERROR(__xludf.DUMMYFUNCTION("VLOOKUP($A$1,IMPORTRANGE($A$2, CONCATENATE($A21,""!$B$5:$JB$48"")),CL$1,0)"),5.0)</f>
        <v>5</v>
      </c>
      <c r="CM21" s="35">
        <f>IFERROR(__xludf.DUMMYFUNCTION("VLOOKUP($A$1,IMPORTRANGE($A$2, CONCATENATE($A21,""!$B$5:$JB$48"")),CM$1,0)"),5.0)</f>
        <v>5</v>
      </c>
      <c r="CN21" s="35" t="str">
        <f>IFERROR(__xludf.DUMMYFUNCTION("VLOOKUP($A$1,IMPORTRANGE($A$2, CONCATENATE($A21,""!$B$5:$JB$48"")),CN$1,0)"),"")</f>
        <v/>
      </c>
      <c r="CO21" s="35" t="str">
        <f>IFERROR(__xludf.DUMMYFUNCTION("VLOOKUP($A$1,IMPORTRANGE($A$2, CONCATENATE($A21,""!$B$5:$JB$48"")),CO$1,0)"),"")</f>
        <v/>
      </c>
      <c r="CP21" s="35" t="str">
        <f>IFERROR(__xludf.DUMMYFUNCTION("VLOOKUP($A$1,IMPORTRANGE($A$2, CONCATENATE($A21,""!$B$5:$JB$48"")),CP$1,0)"),"")</f>
        <v/>
      </c>
      <c r="CQ21" s="35" t="str">
        <f>IFERROR(__xludf.DUMMYFUNCTION("VLOOKUP($A$1,IMPORTRANGE($A$2, CONCATENATE($A21,""!$B$5:$JB$48"")),CQ$1,0)"),"")</f>
        <v/>
      </c>
      <c r="CR21" s="35" t="str">
        <f>IFERROR(__xludf.DUMMYFUNCTION("VLOOKUP($A$1,IMPORTRANGE($A$2, CONCATENATE($A21,""!$B$5:$JB$48"")),CR$1,0)"),"")</f>
        <v/>
      </c>
      <c r="CS21" s="35">
        <f>IFERROR(__xludf.DUMMYFUNCTION("VLOOKUP($A$1,IMPORTRANGE($A$2, CONCATENATE($A21,""!$B$5:$JB$48"")),CS$1,0)"),2.0)</f>
        <v>2</v>
      </c>
      <c r="CT21" s="35">
        <f>IFERROR(__xludf.DUMMYFUNCTION("VLOOKUP($A$1,IMPORTRANGE($A$2, CONCATENATE($A21,""!$B$5:$JB$48"")),CT$1,0)"),5.0)</f>
        <v>5</v>
      </c>
      <c r="CU21" s="35" t="str">
        <f>IFERROR(__xludf.DUMMYFUNCTION("VLOOKUP($A$1,IMPORTRANGE($A$2, CONCATENATE($A21,""!$B$5:$JB$48"")),CU$1,0)"),"")</f>
        <v/>
      </c>
      <c r="CV21" s="35" t="str">
        <f>IFERROR(__xludf.DUMMYFUNCTION("VLOOKUP($A$1,IMPORTRANGE($A$2, CONCATENATE($A21,""!$B$5:$JB$48"")),CV$1,0)"),"")</f>
        <v/>
      </c>
      <c r="CW21" s="35" t="str">
        <f>IFERROR(__xludf.DUMMYFUNCTION("VLOOKUP($A$1,IMPORTRANGE($A$2, CONCATENATE($A21,""!$B$5:$JB$48"")),CW$1,0)"),"")</f>
        <v/>
      </c>
      <c r="CX21" s="35" t="str">
        <f>IFERROR(__xludf.DUMMYFUNCTION("VLOOKUP($A$1,IMPORTRANGE($A$2, CONCATENATE($A21,""!$B$5:$JB$48"")),CX$1,0)"),"")</f>
        <v/>
      </c>
      <c r="CY21" s="35" t="str">
        <f>IFERROR(__xludf.DUMMYFUNCTION("VLOOKUP($A$1,IMPORTRANGE($A$2, CONCATENATE($A21,""!$B$5:$JB$48"")),CY$1,0)"),"")</f>
        <v/>
      </c>
      <c r="CZ21" s="35">
        <f>IFERROR(__xludf.DUMMYFUNCTION("VLOOKUP($A$1,IMPORTRANGE($A$2, CONCATENATE($A21,""!$B$5:$JB$48"")),CZ$1,0)"),5.0)</f>
        <v>5</v>
      </c>
      <c r="DA21" s="35" t="str">
        <f>IFERROR(__xludf.DUMMYFUNCTION("VLOOKUP($A$1,IMPORTRANGE($A$2, CONCATENATE($A21,""!$B$5:$JB$48"")),DA$1,0)"),"")</f>
        <v/>
      </c>
      <c r="DB21" s="35" t="str">
        <f>IFERROR(__xludf.DUMMYFUNCTION("VLOOKUP($A$1,IMPORTRANGE($A$2, CONCATENATE($A21,""!$B$5:$JB$48"")),DB$1,0)"),"")</f>
        <v/>
      </c>
      <c r="DC21" s="35" t="str">
        <f>IFERROR(__xludf.DUMMYFUNCTION("VLOOKUP($A$1,IMPORTRANGE($A$2, CONCATENATE($A21,""!$B$5:$JB$48"")),DC$1,0)"),"")</f>
        <v/>
      </c>
      <c r="DD21" s="35" t="str">
        <f>IFERROR(__xludf.DUMMYFUNCTION("VLOOKUP($A$1,IMPORTRANGE($A$2, CONCATENATE($A21,""!$B$5:$JB$48"")),DD$1,0)"),"")</f>
        <v/>
      </c>
      <c r="DE21" s="35" t="str">
        <f>IFERROR(__xludf.DUMMYFUNCTION("VLOOKUP($A$1,IMPORTRANGE($A$2, CONCATENATE($A21,""!$B$5:$JB$48"")),DE$1,0)"),"")</f>
        <v/>
      </c>
      <c r="DF21" s="35" t="str">
        <f>IFERROR(__xludf.DUMMYFUNCTION("VLOOKUP($A$1,IMPORTRANGE($A$2, CONCATENATE($A21,""!$B$5:$JB$48"")),DF$1,0)"),"")</f>
        <v/>
      </c>
      <c r="DG21" s="35" t="str">
        <f>IFERROR(__xludf.DUMMYFUNCTION("VLOOKUP($A$1,IMPORTRANGE($A$2, CONCATENATE($A21,""!$B$5:$JB$48"")),DG$1,0)"),"")</f>
        <v/>
      </c>
      <c r="DH21" s="35" t="str">
        <f>IFERROR(__xludf.DUMMYFUNCTION("VLOOKUP($A$1,IMPORTRANGE($A$2, CONCATENATE($A21,""!$B$5:$JB$48"")),DH$1,0)"),"")</f>
        <v/>
      </c>
      <c r="DI21" s="35" t="str">
        <f>IFERROR(__xludf.DUMMYFUNCTION("VLOOKUP($A$1,IMPORTRANGE($A$2, CONCATENATE($A21,""!$B$5:$JB$48"")),DI$1,0)"),"")</f>
        <v/>
      </c>
      <c r="DJ21" s="35" t="str">
        <f>IFERROR(__xludf.DUMMYFUNCTION("VLOOKUP($A$1,IMPORTRANGE($A$2, CONCATENATE($A21,""!$B$5:$JB$48"")),DJ$1,0)"),"")</f>
        <v/>
      </c>
      <c r="DK21" s="35" t="str">
        <f>IFERROR(__xludf.DUMMYFUNCTION("VLOOKUP($A$1,IMPORTRANGE($A$2, CONCATENATE($A21,""!$B$5:$JB$48"")),DK$1,0)"),"")</f>
        <v/>
      </c>
      <c r="DL21" s="35" t="str">
        <f>IFERROR(__xludf.DUMMYFUNCTION("VLOOKUP($A$1,IMPORTRANGE($A$2, CONCATENATE($A21,""!$B$5:$JB$48"")),DL$1,0)"),"")</f>
        <v/>
      </c>
      <c r="DM21" s="35">
        <f>IFERROR(__xludf.DUMMYFUNCTION("VLOOKUP($A$1,IMPORTRANGE($A$2, CONCATENATE($A21,""!$B$5:$JB$48"")),DM$1,0)"),4.0)</f>
        <v>4</v>
      </c>
      <c r="DN21" s="35">
        <f>IFERROR(__xludf.DUMMYFUNCTION("VLOOKUP($A$1,IMPORTRANGE($A$2, CONCATENATE($A21,""!$B$5:$JB$48"")),DN$1,0)"),5.0)</f>
        <v>5</v>
      </c>
      <c r="DO21" s="35" t="str">
        <f>IFERROR(__xludf.DUMMYFUNCTION("VLOOKUP($A$1,IMPORTRANGE($A$2, CONCATENATE($A21,""!$B$5:$JB$48"")),DO$1,0)"),"о8")</f>
        <v>о8</v>
      </c>
      <c r="DP21" s="35" t="str">
        <f>IFERROR(__xludf.DUMMYFUNCTION("VLOOKUP($A$1,IMPORTRANGE($A$2, CONCATENATE($A21,""!$B$5:$JB$48"")),DP$1,0)"),"б/ф")</f>
        <v>б/ф</v>
      </c>
      <c r="DQ21" s="35" t="str">
        <f>IFERROR(__xludf.DUMMYFUNCTION("VLOOKUP($A$1,IMPORTRANGE($A$2, CONCATENATE($A21,""!$B$5:$JB$48"")),DQ$1,0)"),"")</f>
        <v/>
      </c>
      <c r="DR21" s="35" t="str">
        <f>IFERROR(__xludf.DUMMYFUNCTION("VLOOKUP($A$1,IMPORTRANGE($A$2, CONCATENATE($A21,""!$B$5:$JB$48"")),DR$1,0)"),"")</f>
        <v/>
      </c>
      <c r="DS21" s="35" t="str">
        <f>IFERROR(__xludf.DUMMYFUNCTION("VLOOKUP($A$1,IMPORTRANGE($A$2, CONCATENATE($A21,""!$B$5:$JB$48"")),DS$1,0)"),"")</f>
        <v/>
      </c>
      <c r="DT21" s="35" t="str">
        <f>IFERROR(__xludf.DUMMYFUNCTION("VLOOKUP($A$1,IMPORTRANGE($A$2, CONCATENATE($A21,""!$B$5:$JB$48"")),DT$1,0)"),"")</f>
        <v/>
      </c>
      <c r="DU21" s="35" t="str">
        <f>IFERROR(__xludf.DUMMYFUNCTION("VLOOKUP($A$1,IMPORTRANGE($A$2, CONCATENATE($A21,""!$B$5:$JB$48"")),DU$1,0)"),"")</f>
        <v/>
      </c>
      <c r="DV21" s="35">
        <f>IFERROR(__xludf.DUMMYFUNCTION("VLOOKUP($A$1,IMPORTRANGE($A$2, CONCATENATE($A21,""!$B$5:$JB$48"")),DV$1,0)"),4.0)</f>
        <v>4</v>
      </c>
      <c r="DW21" s="35" t="str">
        <f>IFERROR(__xludf.DUMMYFUNCTION("VLOOKUP($A$1,IMPORTRANGE($A$2, CONCATENATE($A21,""!$B$5:$JB$48"")),DW$1,0)"),"н")</f>
        <v>н</v>
      </c>
      <c r="DX21" s="35" t="str">
        <f>IFERROR(__xludf.DUMMYFUNCTION("VLOOKUP($A$1,IMPORTRANGE($A$2, CONCATENATE($A21,""!$B$5:$JB$48"")),DX$1,0)"),"")</f>
        <v/>
      </c>
      <c r="DY21" s="35" t="str">
        <f>IFERROR(__xludf.DUMMYFUNCTION("VLOOKUP($A$1,IMPORTRANGE($A$2, CONCATENATE($A21,""!$B$5:$JB$48"")),DY$1,0)"),"")</f>
        <v/>
      </c>
      <c r="DZ21" s="35" t="str">
        <f>IFERROR(__xludf.DUMMYFUNCTION("VLOOKUP($A$1,IMPORTRANGE($A$2, CONCATENATE($A21,""!$B$5:$JB$48"")),DZ$1,0)"),"")</f>
        <v/>
      </c>
      <c r="EA21" s="35" t="str">
        <f>IFERROR(__xludf.DUMMYFUNCTION("VLOOKUP($A$1,IMPORTRANGE($A$2, CONCATENATE($A21,""!$B$5:$JB$48"")),EA$1,0)"),"")</f>
        <v/>
      </c>
      <c r="EB21" s="35" t="str">
        <f>IFERROR(__xludf.DUMMYFUNCTION("VLOOKUP($A$1,IMPORTRANGE($A$2, CONCATENATE($A21,""!$B$5:$JB$48"")),EB$1,0)"),"")</f>
        <v/>
      </c>
      <c r="EC21" s="35">
        <f>IFERROR(__xludf.DUMMYFUNCTION("VLOOKUP($A$1,IMPORTRANGE($A$2, CONCATENATE($A21,""!$B$5:$JB$48"")),EC$1,0)"),5.0)</f>
        <v>5</v>
      </c>
      <c r="ED21" s="35">
        <f>IFERROR(__xludf.DUMMYFUNCTION("VLOOKUP($A$1,IMPORTRANGE($A$2, CONCATENATE($A21,""!$B$5:$JB$48"")),ED$1,0)"),5.0)</f>
        <v>5</v>
      </c>
      <c r="EE21" s="35" t="str">
        <f>IFERROR(__xludf.DUMMYFUNCTION("VLOOKUP($A$1,IMPORTRANGE($A$2, CONCATENATE($A21,""!$B$5:$JB$48"")),EE$1,0)"),"")</f>
        <v/>
      </c>
      <c r="EF21" s="35" t="str">
        <f>IFERROR(__xludf.DUMMYFUNCTION("VLOOKUP($A$1,IMPORTRANGE($A$2, CONCATENATE($A21,""!$B$5:$JB$48"")),EF$1,0)"),"")</f>
        <v/>
      </c>
      <c r="EG21" s="35" t="str">
        <f>IFERROR(__xludf.DUMMYFUNCTION("VLOOKUP($A$1,IMPORTRANGE($A$2, CONCATENATE($A21,""!$B$5:$JB$48"")),EG$1,0)"),"")</f>
        <v/>
      </c>
      <c r="EH21" s="35" t="str">
        <f>IFERROR(__xludf.DUMMYFUNCTION("VLOOKUP($A$1,IMPORTRANGE($A$2, CONCATENATE($A21,""!$B$5:$JB$48"")),EH$1,0)"),"")</f>
        <v/>
      </c>
      <c r="EI21" s="35" t="str">
        <f>IFERROR(__xludf.DUMMYFUNCTION("VLOOKUP($A$1,IMPORTRANGE($A$2, CONCATENATE($A21,""!$B$5:$JB$48"")),EI$1,0)"),"")</f>
        <v/>
      </c>
      <c r="EJ21" s="35" t="str">
        <f>IFERROR(__xludf.DUMMYFUNCTION("VLOOKUP($A$1,IMPORTRANGE($A$2, CONCATENATE($A21,""!$B$5:$JB$48"")),EJ$1,0)"),"б/ф")</f>
        <v>б/ф</v>
      </c>
      <c r="EK21" s="35">
        <f>IFERROR(__xludf.DUMMYFUNCTION("VLOOKUP($A$1,IMPORTRANGE($A$2, CONCATENATE($A21,""!$B$5:$JB$48"")),EK$1,0)"),5.0)</f>
        <v>5</v>
      </c>
      <c r="EL21" s="35" t="str">
        <f>IFERROR(__xludf.DUMMYFUNCTION("VLOOKUP($A$1,IMPORTRANGE($A$2, CONCATENATE($A21,""!$B$5:$JB$48"")),EL$1,0)"),"")</f>
        <v/>
      </c>
      <c r="EM21" s="35" t="str">
        <f>IFERROR(__xludf.DUMMYFUNCTION("VLOOKUP($A$1,IMPORTRANGE($A$2, CONCATENATE($A21,""!$B$5:$JB$48"")),EM$1,0)"),"")</f>
        <v/>
      </c>
      <c r="EN21" s="35" t="str">
        <f>IFERROR(__xludf.DUMMYFUNCTION("VLOOKUP($A$1,IMPORTRANGE($A$2, CONCATENATE($A21,""!$B$5:$JB$48"")),EN$1,0)"),"")</f>
        <v/>
      </c>
      <c r="EO21" s="35" t="str">
        <f>IFERROR(__xludf.DUMMYFUNCTION("VLOOKUP($A$1,IMPORTRANGE($A$2, CONCATENATE($A21,""!$B$5:$JB$48"")),EO$1,0)"),"")</f>
        <v/>
      </c>
      <c r="EP21" s="35" t="str">
        <f>IFERROR(__xludf.DUMMYFUNCTION("VLOOKUP($A$1,IMPORTRANGE($A$2, CONCATENATE($A21,""!$B$5:$JB$48"")),EP$1,0)"),"")</f>
        <v/>
      </c>
      <c r="EQ21" s="35">
        <f>IFERROR(__xludf.DUMMYFUNCTION("VLOOKUP($A$1,IMPORTRANGE($A$2, CONCATENATE($A21,""!$B$5:$JB$48"")),EQ$1,0)"),5.0)</f>
        <v>5</v>
      </c>
      <c r="ER21" s="35">
        <f>IFERROR(__xludf.DUMMYFUNCTION("VLOOKUP($A$1,IMPORTRANGE($A$2, CONCATENATE($A21,""!$B$5:$JB$48"")),ER$1,0)"),2.0)</f>
        <v>2</v>
      </c>
      <c r="ES21" s="35" t="str">
        <f>IFERROR(__xludf.DUMMYFUNCTION("VLOOKUP($A$1,IMPORTRANGE($A$2, CONCATENATE($A21,""!$B$5:$JB$48"")),ES$1,0)"),"")</f>
        <v/>
      </c>
      <c r="ET21" s="35" t="str">
        <f>IFERROR(__xludf.DUMMYFUNCTION("VLOOKUP($A$1,IMPORTRANGE($A$2, CONCATENATE($A21,""!$B$5:$JB$48"")),ET$1,0)"),"")</f>
        <v/>
      </c>
      <c r="EU21" s="35" t="str">
        <f>IFERROR(__xludf.DUMMYFUNCTION("VLOOKUP($A$1,IMPORTRANGE($A$2, CONCATENATE($A21,""!$B$5:$JB$48"")),EU$1,0)"),"")</f>
        <v/>
      </c>
      <c r="EV21" s="35" t="str">
        <f>IFERROR(__xludf.DUMMYFUNCTION("VLOOKUP($A$1,IMPORTRANGE($A$2, CONCATENATE($A21,""!$B$5:$JB$48"")),EV$1,0)"),"")</f>
        <v/>
      </c>
      <c r="EW21" s="35" t="str">
        <f>IFERROR(__xludf.DUMMYFUNCTION("VLOOKUP($A$1,IMPORTRANGE($A$2, CONCATENATE($A21,""!$B$5:$JB$48"")),EW$1,0)"),"")</f>
        <v/>
      </c>
      <c r="EX21" s="35">
        <f>IFERROR(__xludf.DUMMYFUNCTION("VLOOKUP($A$1,IMPORTRANGE($A$2, CONCATENATE($A21,""!$B$5:$JB$48"")),EX$1,0)"),5.0)</f>
        <v>5</v>
      </c>
      <c r="EY21" s="35" t="str">
        <f>IFERROR(__xludf.DUMMYFUNCTION("VLOOKUP($A$1,IMPORTRANGE($A$2, CONCATENATE($A21,""!$B$5:$JB$48"")),EY$1,0)"),"О7")</f>
        <v>О7</v>
      </c>
      <c r="EZ21" s="35" t="str">
        <f>IFERROR(__xludf.DUMMYFUNCTION("VLOOKUP($A$1,IMPORTRANGE($A$2, CONCATENATE($A21,""!$B$5:$JB$48"")),EZ$1,0)"),"")</f>
        <v/>
      </c>
      <c r="FA21" s="35" t="str">
        <f>IFERROR(__xludf.DUMMYFUNCTION("VLOOKUP($A$1,IMPORTRANGE($A$2, CONCATENATE($A21,""!$B$5:$JB$48"")),FA$1,0)"),"")</f>
        <v/>
      </c>
      <c r="FB21" s="35" t="str">
        <f>IFERROR(__xludf.DUMMYFUNCTION("VLOOKUP($A$1,IMPORTRANGE($A$2, CONCATENATE($A21,""!$B$5:$JB$48"")),FB$1,0)"),"")</f>
        <v/>
      </c>
      <c r="FC21" s="35" t="str">
        <f>IFERROR(__xludf.DUMMYFUNCTION("VLOOKUP($A$1,IMPORTRANGE($A$2, CONCATENATE($A21,""!$B$5:$JB$48"")),FC$1,0)"),"")</f>
        <v/>
      </c>
      <c r="FD21" s="35" t="str">
        <f>IFERROR(__xludf.DUMMYFUNCTION("VLOOKUP($A$1,IMPORTRANGE($A$2, CONCATENATE($A21,""!$B$5:$JB$48"")),FD$1,0)"),"")</f>
        <v/>
      </c>
      <c r="FE21" s="35" t="str">
        <f>IFERROR(__xludf.DUMMYFUNCTION("VLOOKUP($A$1,IMPORTRANGE($A$2, CONCATENATE($A21,""!$B$5:$JB$48"")),FE$1,0)"),"Б")</f>
        <v>Б</v>
      </c>
      <c r="FF21" s="35" t="str">
        <f>IFERROR(__xludf.DUMMYFUNCTION("VLOOKUP($A$1,IMPORTRANGE($A$2, CONCATENATE($A21,""!$B$5:$JB$48"")),FF$1,0)"),"Н")</f>
        <v>Н</v>
      </c>
      <c r="FG21" s="35" t="str">
        <f>IFERROR(__xludf.DUMMYFUNCTION("VLOOKUP($A$1,IMPORTRANGE($A$2, CONCATENATE($A21,""!$B$5:$JB$48"")),FG$1,0)"),"")</f>
        <v/>
      </c>
      <c r="FH21" s="35" t="str">
        <f>IFERROR(__xludf.DUMMYFUNCTION("VLOOKUP($A$1,IMPORTRANGE($A$2, CONCATENATE($A21,""!$B$5:$JB$48"")),FH$1,0)"),"")</f>
        <v/>
      </c>
      <c r="FI21" s="35" t="str">
        <f>IFERROR(__xludf.DUMMYFUNCTION("VLOOKUP($A$1,IMPORTRANGE($A$2, CONCATENATE($A21,""!$B$5:$JB$48"")),FI$1,0)"),"")</f>
        <v/>
      </c>
      <c r="FJ21" s="35" t="str">
        <f>IFERROR(__xludf.DUMMYFUNCTION("VLOOKUP($A$1,IMPORTRANGE($A$2, CONCATENATE($A21,""!$B$5:$JB$48"")),FJ$1,0)"),"")</f>
        <v/>
      </c>
      <c r="FK21" s="35" t="str">
        <f>IFERROR(__xludf.DUMMYFUNCTION("VLOOKUP($A$1,IMPORTRANGE($A$2, CONCATENATE($A21,""!$B$5:$JB$48"")),FK$1,0)"),"")</f>
        <v/>
      </c>
      <c r="FL21" s="35">
        <f>IFERROR(__xludf.DUMMYFUNCTION("VLOOKUP($A$1,IMPORTRANGE($A$2, CONCATENATE($A21,""!$B$5:$JB$48"")),FL$1,0)"),5.0)</f>
        <v>5</v>
      </c>
      <c r="FM21" s="35">
        <f>IFERROR(__xludf.DUMMYFUNCTION("VLOOKUP($A$1,IMPORTRANGE($A$2, CONCATENATE($A21,""!$B$5:$JB$48"")),FM$1,0)"),5.0)</f>
        <v>5</v>
      </c>
      <c r="FN21" s="35" t="str">
        <f>IFERROR(__xludf.DUMMYFUNCTION("VLOOKUP($A$1,IMPORTRANGE($A$2, CONCATENATE($A21,""!$B$5:$JB$48"")),FN$1,0)"),"")</f>
        <v/>
      </c>
      <c r="FO21" s="35" t="str">
        <f>IFERROR(__xludf.DUMMYFUNCTION("VLOOKUP($A$1,IMPORTRANGE($A$2, CONCATENATE($A21,""!$B$5:$JB$48"")),FO$1,0)"),"")</f>
        <v/>
      </c>
      <c r="FP21" s="35" t="str">
        <f>IFERROR(__xludf.DUMMYFUNCTION("VLOOKUP($A$1,IMPORTRANGE($A$2, CONCATENATE($A21,""!$B$5:$JB$48"")),FP$1,0)"),"")</f>
        <v/>
      </c>
      <c r="FQ21" s="35" t="str">
        <f>IFERROR(__xludf.DUMMYFUNCTION("VLOOKUP($A$1,IMPORTRANGE($A$2, CONCATENATE($A21,""!$B$5:$JB$48"")),FQ$1,0)"),"")</f>
        <v/>
      </c>
      <c r="FR21" s="35" t="str">
        <f>IFERROR(__xludf.DUMMYFUNCTION("VLOOKUP($A$1,IMPORTRANGE($A$2, CONCATENATE($A21,""!$B$5:$JB$48"")),FR$1,0)"),"")</f>
        <v/>
      </c>
      <c r="FS21" s="35">
        <f>IFERROR(__xludf.DUMMYFUNCTION("VLOOKUP($A$1,IMPORTRANGE($A$2, CONCATENATE($A21,""!$B$5:$JB$48"")),FS$1,0)"),5.0)</f>
        <v>5</v>
      </c>
      <c r="FT21" s="35" t="str">
        <f>IFERROR(__xludf.DUMMYFUNCTION("VLOOKUP($A$1,IMPORTRANGE($A$2, CONCATENATE($A21,""!$B$5:$JB$48"")),FT$1,0)"),"")</f>
        <v/>
      </c>
      <c r="FU21" s="35" t="str">
        <f>IFERROR(__xludf.DUMMYFUNCTION("VLOOKUP($A$1,IMPORTRANGE($A$2, CONCATENATE($A21,""!$B$5:$JB$48"")),FU$1,0)"),"")</f>
        <v/>
      </c>
      <c r="FV21" s="35" t="str">
        <f>IFERROR(__xludf.DUMMYFUNCTION("VLOOKUP($A$1,IMPORTRANGE($A$2, CONCATENATE($A21,""!$B$5:$JB$48"")),FV$1,0)"),"")</f>
        <v/>
      </c>
      <c r="FW21" s="35" t="str">
        <f>IFERROR(__xludf.DUMMYFUNCTION("VLOOKUP($A$1,IMPORTRANGE($A$2, CONCATENATE($A21,""!$B$5:$JB$48"")),FW$1,0)"),"")</f>
        <v/>
      </c>
      <c r="FX21" s="35" t="str">
        <f>IFERROR(__xludf.DUMMYFUNCTION("VLOOKUP($A$1,IMPORTRANGE($A$2, CONCATENATE($A21,""!$B$5:$JB$48"")),FX$1,0)"),"")</f>
        <v/>
      </c>
      <c r="FY21" s="35" t="str">
        <f>IFERROR(__xludf.DUMMYFUNCTION("VLOOKUP($A$1,IMPORTRANGE($A$2, CONCATENATE($A21,""!$B$5:$JB$48"")),FY$1,0)"),"")</f>
        <v/>
      </c>
      <c r="FZ21" s="35" t="str">
        <f>IFERROR(__xludf.DUMMYFUNCTION("VLOOKUP($A$1,IMPORTRANGE($A$2, CONCATENATE($A21,""!$B$5:$JB$48"")),FZ$1,0)"),"")</f>
        <v/>
      </c>
      <c r="GA21" s="35" t="str">
        <f>IFERROR(__xludf.DUMMYFUNCTION("VLOOKUP($A$1,IMPORTRANGE($A$2, CONCATENATE($A21,""!$B$5:$JB$48"")),GA$1,0)"),"")</f>
        <v/>
      </c>
      <c r="GB21" s="35" t="str">
        <f>IFERROR(__xludf.DUMMYFUNCTION("VLOOKUP($A$1,IMPORTRANGE($A$2, CONCATENATE($A21,""!$B$5:$JB$48"")),GB$1,0)"),"")</f>
        <v/>
      </c>
      <c r="GC21" s="35" t="str">
        <f>IFERROR(__xludf.DUMMYFUNCTION("VLOOKUP($A$1,IMPORTRANGE($A$2, CONCATENATE($A21,""!$B$5:$JB$48"")),GC$1,0)"),"")</f>
        <v/>
      </c>
      <c r="GD21" s="35" t="str">
        <f>IFERROR(__xludf.DUMMYFUNCTION("VLOOKUP($A$1,IMPORTRANGE($A$2, CONCATENATE($A21,""!$B$5:$JB$48"")),GD$1,0)"),"")</f>
        <v/>
      </c>
      <c r="GE21" s="35" t="str">
        <f>IFERROR(__xludf.DUMMYFUNCTION("VLOOKUP($A$1,IMPORTRANGE($A$2, CONCATENATE($A21,""!$B$5:$JB$48"")),GE$1,0)"),"")</f>
        <v/>
      </c>
      <c r="GF21" s="35">
        <f>IFERROR(__xludf.DUMMYFUNCTION("VLOOKUP($A$1,IMPORTRANGE($A$2, CONCATENATE($A21,""!$B$5:$JB$48"")),GF$1,0)"),5.0)</f>
        <v>5</v>
      </c>
      <c r="GG21" s="35" t="str">
        <f>IFERROR(__xludf.DUMMYFUNCTION("VLOOKUP($A$1,IMPORTRANGE($A$2, CONCATENATE($A21,""!$B$5:$JB$48"")),GG$1,0)"),"")</f>
        <v/>
      </c>
      <c r="GH21" s="35" t="str">
        <f>IFERROR(__xludf.DUMMYFUNCTION("VLOOKUP($A$1,IMPORTRANGE($A$2, CONCATENATE($A21,""!$B$5:$JB$48"")),GH$1,0)"),"")</f>
        <v/>
      </c>
      <c r="GI21" s="35" t="str">
        <f>IFERROR(__xludf.DUMMYFUNCTION("VLOOKUP($A$1,IMPORTRANGE($A$2, CONCATENATE($A21,""!$B$5:$JB$48"")),GI$1,0)"),"")</f>
        <v/>
      </c>
      <c r="GJ21" s="35" t="str">
        <f>IFERROR(__xludf.DUMMYFUNCTION("VLOOKUP($A$1,IMPORTRANGE($A$2, CONCATENATE($A21,""!$B$5:$JB$48"")),GJ$1,0)"),"")</f>
        <v/>
      </c>
      <c r="GK21" s="35" t="str">
        <f>IFERROR(__xludf.DUMMYFUNCTION("VLOOKUP($A$1,IMPORTRANGE($A$2, CONCATENATE($A21,""!$B$5:$JB$48"")),GK$1,0)"),"")</f>
        <v/>
      </c>
      <c r="GL21" s="35" t="str">
        <f>IFERROR(__xludf.DUMMYFUNCTION("VLOOKUP($A$1,IMPORTRANGE($A$2, CONCATENATE($A21,""!$B$5:$JB$48"")),GL$1,0)"),"")</f>
        <v/>
      </c>
      <c r="GM21" s="35" t="str">
        <f>IFERROR(__xludf.DUMMYFUNCTION("VLOOKUP($A$1,IMPORTRANGE($A$2, CONCATENATE($A21,""!$B$5:$JB$48"")),GM$1,0)"),"")</f>
        <v/>
      </c>
      <c r="GN21" s="35" t="str">
        <f>IFERROR(__xludf.DUMMYFUNCTION("VLOOKUP($A$1,IMPORTRANGE($A$2, CONCATENATE($A21,""!$B$5:$JB$48"")),GN$1,0)"),"")</f>
        <v/>
      </c>
      <c r="GO21" s="35" t="str">
        <f>IFERROR(__xludf.DUMMYFUNCTION("VLOOKUP($A$1,IMPORTRANGE($A$2, CONCATENATE($A21,""!$B$5:$JB$48"")),GO$1,0)"),"")</f>
        <v/>
      </c>
      <c r="GP21" s="35" t="str">
        <f>IFERROR(__xludf.DUMMYFUNCTION("VLOOKUP($A$1,IMPORTRANGE($A$2, CONCATENATE($A21,""!$B$5:$JB$48"")),GP$1,0)"),"")</f>
        <v/>
      </c>
      <c r="GQ21" s="35" t="str">
        <f>IFERROR(__xludf.DUMMYFUNCTION("VLOOKUP($A$1,IMPORTRANGE($A$2, CONCATENATE($A21,""!$B$5:$JB$48"")),GQ$1,0)"),"")</f>
        <v/>
      </c>
      <c r="GR21" s="35" t="str">
        <f>IFERROR(__xludf.DUMMYFUNCTION("VLOOKUP($A$1,IMPORTRANGE($A$2, CONCATENATE($A21,""!$B$5:$JB$48"")),GR$1,0)"),"")</f>
        <v/>
      </c>
      <c r="GS21" s="35" t="str">
        <f>IFERROR(__xludf.DUMMYFUNCTION("VLOOKUP($A$1,IMPORTRANGE($A$2, CONCATENATE($A21,""!$B$5:$JB$48"")),GS$1,0)"),"")</f>
        <v/>
      </c>
      <c r="GT21" s="35" t="str">
        <f>IFERROR(__xludf.DUMMYFUNCTION("VLOOKUP($A$1,IMPORTRANGE($A$2, CONCATENATE($A21,""!$B$5:$JB$48"")),GT$1,0)"),"")</f>
        <v/>
      </c>
      <c r="GU21" s="35" t="str">
        <f>IFERROR(__xludf.DUMMYFUNCTION("VLOOKUP($A$1,IMPORTRANGE($A$2, CONCATENATE($A21,""!$B$5:$JB$48"")),GU$1,0)"),"")</f>
        <v/>
      </c>
      <c r="GV21" s="35" t="str">
        <f>IFERROR(__xludf.DUMMYFUNCTION("VLOOKUP($A$1,IMPORTRANGE($A$2, CONCATENATE($A21,""!$B$5:$JB$48"")),GV$1,0)"),"")</f>
        <v/>
      </c>
      <c r="GW21" s="35" t="str">
        <f>IFERROR(__xludf.DUMMYFUNCTION("VLOOKUP($A$1,IMPORTRANGE($A$2, CONCATENATE($A21,""!$B$5:$JB$48"")),GW$1,0)"),"")</f>
        <v/>
      </c>
      <c r="GX21" s="35" t="str">
        <f>IFERROR(__xludf.DUMMYFUNCTION("VLOOKUP($A$1,IMPORTRANGE($A$2, CONCATENATE($A21,""!$B$5:$JB$48"")),GX$1,0)"),"")</f>
        <v/>
      </c>
      <c r="GY21" s="35" t="str">
        <f>IFERROR(__xludf.DUMMYFUNCTION("VLOOKUP($A$1,IMPORTRANGE($A$2, CONCATENATE($A21,""!$B$5:$JB$48"")),GY$1,0)"),"")</f>
        <v/>
      </c>
      <c r="GZ21" s="35" t="str">
        <f>IFERROR(__xludf.DUMMYFUNCTION("VLOOKUP($A$1,IMPORTRANGE($A$2, CONCATENATE($A21,""!$B$5:$JB$48"")),GZ$1,0)"),"")</f>
        <v/>
      </c>
      <c r="HA21" s="35" t="str">
        <f>IFERROR(__xludf.DUMMYFUNCTION("VLOOKUP($A$1,IMPORTRANGE($A$2, CONCATENATE($A21,""!$B$5:$JB$48"")),HA$1,0)"),"")</f>
        <v/>
      </c>
      <c r="HB21" s="35" t="str">
        <f>IFERROR(__xludf.DUMMYFUNCTION("VLOOKUP($A$1,IMPORTRANGE($A$2, CONCATENATE($A21,""!$B$5:$JB$48"")),HB$1,0)"),"")</f>
        <v/>
      </c>
      <c r="HC21" s="35" t="str">
        <f>IFERROR(__xludf.DUMMYFUNCTION("VLOOKUP($A$1,IMPORTRANGE($A$2, CONCATENATE($A21,""!$B$5:$JB$48"")),HC$1,0)"),"")</f>
        <v/>
      </c>
      <c r="HD21" s="35" t="str">
        <f>IFERROR(__xludf.DUMMYFUNCTION("VLOOKUP($A$1,IMPORTRANGE($A$2, CONCATENATE($A21,""!$B$5:$JB$48"")),HD$1,0)"),"")</f>
        <v/>
      </c>
      <c r="HE21" s="35" t="str">
        <f>IFERROR(__xludf.DUMMYFUNCTION("VLOOKUP($A$1,IMPORTRANGE($A$2, CONCATENATE($A21,""!$B$5:$JB$48"")),HE$1,0)"),"")</f>
        <v/>
      </c>
      <c r="HF21" s="35" t="str">
        <f>IFERROR(__xludf.DUMMYFUNCTION("VLOOKUP($A$1,IMPORTRANGE($A$2, CONCATENATE($A21,""!$B$5:$JB$48"")),HF$1,0)"),"")</f>
        <v/>
      </c>
      <c r="HG21" s="35" t="str">
        <f>IFERROR(__xludf.DUMMYFUNCTION("VLOOKUP($A$1,IMPORTRANGE($A$2, CONCATENATE($A21,""!$B$5:$JB$48"")),HG$1,0)"),"")</f>
        <v/>
      </c>
      <c r="HH21" s="35" t="str">
        <f>IFERROR(__xludf.DUMMYFUNCTION("VLOOKUP($A$1,IMPORTRANGE($A$2, CONCATENATE($A21,""!$B$5:$JB$48"")),HH$1,0)"),"")</f>
        <v/>
      </c>
      <c r="HI21" s="35" t="str">
        <f>IFERROR(__xludf.DUMMYFUNCTION("VLOOKUP($A$1,IMPORTRANGE($A$2, CONCATENATE($A21,""!$B$5:$JB$48"")),HI$1,0)"),"")</f>
        <v/>
      </c>
      <c r="HJ21" s="35" t="str">
        <f>IFERROR(__xludf.DUMMYFUNCTION("VLOOKUP($A$1,IMPORTRANGE($A$2, CONCATENATE($A21,""!$B$5:$JB$48"")),HJ$1,0)"),"")</f>
        <v/>
      </c>
      <c r="HK21" s="35" t="str">
        <f>IFERROR(__xludf.DUMMYFUNCTION("VLOOKUP($A$1,IMPORTRANGE($A$2, CONCATENATE($A21,""!$B$5:$JB$48"")),HK$1,0)"),"")</f>
        <v/>
      </c>
      <c r="HL21" s="35" t="str">
        <f>IFERROR(__xludf.DUMMYFUNCTION("VLOOKUP($A$1,IMPORTRANGE($A$2, CONCATENATE($A21,""!$B$5:$JB$48"")),HL$1,0)"),"")</f>
        <v/>
      </c>
      <c r="HM21" s="35" t="str">
        <f>IFERROR(__xludf.DUMMYFUNCTION("VLOOKUP($A$1,IMPORTRANGE($A$2, CONCATENATE($A21,""!$B$5:$JB$48"")),HM$1,0)"),"")</f>
        <v/>
      </c>
      <c r="HN21" s="35" t="str">
        <f>IFERROR(__xludf.DUMMYFUNCTION("VLOOKUP($A$1,IMPORTRANGE($A$2, CONCATENATE($A21,""!$B$5:$JB$48"")),HN$1,0)"),"")</f>
        <v/>
      </c>
      <c r="HO21" s="35" t="str">
        <f>IFERROR(__xludf.DUMMYFUNCTION("VLOOKUP($A$1,IMPORTRANGE($A$2, CONCATENATE($A21,""!$B$5:$JB$48"")),HO$1,0)"),"")</f>
        <v/>
      </c>
      <c r="HP21" s="35" t="str">
        <f>IFERROR(__xludf.DUMMYFUNCTION("VLOOKUP($A$1,IMPORTRANGE($A$2, CONCATENATE($A21,""!$B$5:$JB$48"")),HP$1,0)"),"")</f>
        <v/>
      </c>
      <c r="HQ21" s="35" t="str">
        <f>IFERROR(__xludf.DUMMYFUNCTION("VLOOKUP($A$1,IMPORTRANGE($A$2, CONCATENATE($A21,""!$B$5:$JB$48"")),HQ$1,0)"),"")</f>
        <v/>
      </c>
      <c r="HR21" s="35" t="str">
        <f>IFERROR(__xludf.DUMMYFUNCTION("VLOOKUP($A$1,IMPORTRANGE($A$2, CONCATENATE($A21,""!$B$5:$JB$48"")),HR$1,0)"),"")</f>
        <v/>
      </c>
      <c r="HS21" s="35" t="str">
        <f>IFERROR(__xludf.DUMMYFUNCTION("VLOOKUP($A$1,IMPORTRANGE($A$2, CONCATENATE($A21,""!$B$5:$JB$48"")),HS$1,0)"),"")</f>
        <v/>
      </c>
      <c r="HT21" s="35" t="str">
        <f>IFERROR(__xludf.DUMMYFUNCTION("VLOOKUP($A$1,IMPORTRANGE($A$2, CONCATENATE($A21,""!$B$5:$JB$48"")),HT$1,0)"),"")</f>
        <v/>
      </c>
      <c r="HU21" s="35" t="str">
        <f>IFERROR(__xludf.DUMMYFUNCTION("VLOOKUP($A$1,IMPORTRANGE($A$2, CONCATENATE($A21,""!$B$5:$JB$48"")),HU$1,0)"),"")</f>
        <v/>
      </c>
      <c r="HV21" s="35" t="str">
        <f>IFERROR(__xludf.DUMMYFUNCTION("VLOOKUP($A$1,IMPORTRANGE($A$2, CONCATENATE($A21,""!$B$5:$JB$48"")),HV$1,0)"),"")</f>
        <v/>
      </c>
      <c r="HW21" s="35" t="str">
        <f>IFERROR(__xludf.DUMMYFUNCTION("VLOOKUP($A$1,IMPORTRANGE($A$2, CONCATENATE($A21,""!$B$5:$JB$48"")),HW$1,0)"),"")</f>
        <v/>
      </c>
      <c r="HX21" s="35" t="str">
        <f>IFERROR(__xludf.DUMMYFUNCTION("VLOOKUP($A$1,IMPORTRANGE($A$2, CONCATENATE($A21,""!$B$5:$JB$48"")),HX$1,0)"),"")</f>
        <v/>
      </c>
      <c r="HY21" s="35" t="str">
        <f>IFERROR(__xludf.DUMMYFUNCTION("VLOOKUP($A$1,IMPORTRANGE($A$2, CONCATENATE($A21,""!$B$5:$JB$48"")),HY$1,0)"),"")</f>
        <v/>
      </c>
      <c r="HZ21" s="35" t="str">
        <f>IFERROR(__xludf.DUMMYFUNCTION("VLOOKUP($A$1,IMPORTRANGE($A$2, CONCATENATE($A21,""!$B$5:$JB$48"")),HZ$1,0)"),"")</f>
        <v/>
      </c>
      <c r="IA21" s="35" t="str">
        <f>IFERROR(__xludf.DUMMYFUNCTION("VLOOKUP($A$1,IMPORTRANGE($A$2, CONCATENATE($A21,""!$B$5:$JB$48"")),IA$1,0)"),"")</f>
        <v/>
      </c>
      <c r="IB21" s="35" t="str">
        <f>IFERROR(__xludf.DUMMYFUNCTION("VLOOKUP($A$1,IMPORTRANGE($A$2, CONCATENATE($A21,""!$B$5:$JB$48"")),IB$1,0)"),"")</f>
        <v/>
      </c>
      <c r="IC21" s="35" t="str">
        <f>IFERROR(__xludf.DUMMYFUNCTION("VLOOKUP($A$1,IMPORTRANGE($A$2, CONCATENATE($A21,""!$B$5:$JB$48"")),IC$1,0)"),"")</f>
        <v/>
      </c>
      <c r="ID21" s="35" t="str">
        <f>IFERROR(__xludf.DUMMYFUNCTION("VLOOKUP($A$1,IMPORTRANGE($A$2, CONCATENATE($A21,""!$B$5:$JB$48"")),ID$1,0)"),"")</f>
        <v/>
      </c>
      <c r="IE21" s="35" t="str">
        <f>IFERROR(__xludf.DUMMYFUNCTION("VLOOKUP($A$1,IMPORTRANGE($A$2, CONCATENATE($A21,""!$B$5:$JB$48"")),IE$1,0)"),"")</f>
        <v/>
      </c>
      <c r="IF21" s="35" t="str">
        <f>IFERROR(__xludf.DUMMYFUNCTION("VLOOKUP($A$1,IMPORTRANGE($A$2, CONCATENATE($A21,""!$B$5:$JB$48"")),IF$1,0)"),"")</f>
        <v/>
      </c>
      <c r="IG21" s="35" t="str">
        <f>IFERROR(__xludf.DUMMYFUNCTION("VLOOKUP($A$1,IMPORTRANGE($A$2, CONCATENATE($A21,""!$B$5:$JB$48"")),IG$1,0)"),"")</f>
        <v/>
      </c>
      <c r="IH21" s="35" t="str">
        <f>IFERROR(__xludf.DUMMYFUNCTION("VLOOKUP($A$1,IMPORTRANGE($A$2, CONCATENATE($A21,""!$B$5:$JB$48"")),IH$1,0)"),"")</f>
        <v/>
      </c>
      <c r="II21" s="35" t="str">
        <f>IFERROR(__xludf.DUMMYFUNCTION("VLOOKUP($A$1,IMPORTRANGE($A$2, CONCATENATE($A21,""!$B$5:$JB$48"")),II$1,0)"),"")</f>
        <v/>
      </c>
      <c r="IJ21" s="35" t="str">
        <f>IFERROR(__xludf.DUMMYFUNCTION("VLOOKUP($A$1,IMPORTRANGE($A$2, CONCATENATE($A21,""!$B$5:$JB$48"")),IJ$1,0)"),"")</f>
        <v/>
      </c>
      <c r="IK21" s="35" t="str">
        <f>IFERROR(__xludf.DUMMYFUNCTION("VLOOKUP($A$1,IMPORTRANGE($A$2, CONCATENATE($A21,""!$B$5:$JB$48"")),IK$1,0)"),"")</f>
        <v/>
      </c>
      <c r="IL21" s="35" t="str">
        <f>IFERROR(__xludf.DUMMYFUNCTION("VLOOKUP($A$1,IMPORTRANGE($A$2, CONCATENATE($A21,""!$B$5:$JB$48"")),IL$1,0)"),"")</f>
        <v/>
      </c>
      <c r="IM21" s="35" t="str">
        <f>IFERROR(__xludf.DUMMYFUNCTION("VLOOKUP($A$1,IMPORTRANGE($A$2, CONCATENATE($A21,""!$B$5:$JB$48"")),IM$1,0)"),"")</f>
        <v/>
      </c>
      <c r="IN21" s="35" t="str">
        <f>IFERROR(__xludf.DUMMYFUNCTION("VLOOKUP($A$1,IMPORTRANGE($A$2, CONCATENATE($A21,""!$B$5:$JB$48"")),IN$1,0)"),"")</f>
        <v/>
      </c>
      <c r="IO21" s="35" t="str">
        <f>IFERROR(__xludf.DUMMYFUNCTION("VLOOKUP($A$1,IMPORTRANGE($A$2, CONCATENATE($A21,""!$B$5:$JB$48"")),IO$1,0)"),"")</f>
        <v/>
      </c>
      <c r="IP21" s="35" t="str">
        <f>IFERROR(__xludf.DUMMYFUNCTION("VLOOKUP($A$1,IMPORTRANGE($A$2, CONCATENATE($A21,""!$B$5:$JB$48"")),IP$1,0)"),"")</f>
        <v/>
      </c>
      <c r="IQ21" s="35" t="str">
        <f>IFERROR(__xludf.DUMMYFUNCTION("VLOOKUP($A$1,IMPORTRANGE($A$2, CONCATENATE($A21,""!$B$5:$JB$48"")),IQ$1,0)"),"")</f>
        <v/>
      </c>
      <c r="IR21" s="35" t="str">
        <f>IFERROR(__xludf.DUMMYFUNCTION("VLOOKUP($A$1,IMPORTRANGE($A$2, CONCATENATE($A21,""!$B$5:$JB$48"")),IR$1,0)"),"")</f>
        <v/>
      </c>
      <c r="IS21" s="35" t="str">
        <f>IFERROR(__xludf.DUMMYFUNCTION("VLOOKUP($A$1,IMPORTRANGE($A$2, CONCATENATE($A21,""!$B$5:$JB$48"")),IS$1,0)"),"")</f>
        <v/>
      </c>
      <c r="IT21" s="35" t="str">
        <f>IFERROR(__xludf.DUMMYFUNCTION("VLOOKUP($A$1,IMPORTRANGE($A$2, CONCATENATE($A21,""!$B$5:$JB$48"")),IT$1,0)"),"")</f>
        <v/>
      </c>
      <c r="IU21" s="35" t="str">
        <f>IFERROR(__xludf.DUMMYFUNCTION("VLOOKUP($A$1,IMPORTRANGE($A$2, CONCATENATE($A21,""!$B$5:$JB$48"")),IU$1,0)"),"")</f>
        <v/>
      </c>
      <c r="IV21" s="35" t="str">
        <f>IFERROR(__xludf.DUMMYFUNCTION("VLOOKUP($A$1,IMPORTRANGE($A$2, CONCATENATE($A21,""!$B$5:$JB$48"")),IV$1,0)"),"")</f>
        <v/>
      </c>
      <c r="IW21" s="35" t="str">
        <f>IFERROR(__xludf.DUMMYFUNCTION("VLOOKUP($A$1,IMPORTRANGE($A$2, CONCATENATE($A21,""!$B$5:$JB$48"")),IW$1,0)"),"")</f>
        <v/>
      </c>
      <c r="IX21" s="35">
        <f>IFERROR(__xludf.DUMMYFUNCTION("VLOOKUP($A$1,IMPORTRANGE($A$2, CONCATENATE($A21,""!$B$5:$JB$48"")),IX$1,0)"),45915.0)</f>
        <v>45915</v>
      </c>
      <c r="IY21" s="35" t="str">
        <f>IFERROR(__xludf.DUMMYFUNCTION("VLOOKUP($A$1,IMPORTRANGE($A$2, CONCATENATE($A21,""!$B$5:$JB$48"")),IY$1,0)"),"Лёгкая атлетика. Прыжки в длину с места и с 5–6 шагов разбега")</f>
        <v>Лёгкая атлетика. Прыжки в длину с места и с 5–6 шагов разбега</v>
      </c>
      <c r="IZ21" s="35" t="str">
        <f>IFERROR(__xludf.DUMMYFUNCTION("VLOOKUP($A$1,IMPORTRANGE($A$2, CONCATENATE($A21,""!$B$5:$JB$48"")),IZ$1,0)"),"")</f>
        <v/>
      </c>
      <c r="JA21" s="35">
        <f>IFERROR(__xludf.DUMMYFUNCTION("VLOOKUP($A$1,IMPORTRANGE($A$2, CONCATENATE($A21,""!$B$5:$JB$48"")),JA$1,0)"),45978.0)</f>
        <v>45978</v>
      </c>
      <c r="JB21" s="35"/>
      <c r="JC21" s="35"/>
      <c r="JD21" s="35"/>
      <c r="JE21" s="35"/>
    </row>
    <row r="22">
      <c r="A22" s="41"/>
      <c r="B22" s="29"/>
      <c r="C22" s="37"/>
      <c r="D22" s="38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</row>
    <row r="23">
      <c r="A23" s="39"/>
      <c r="B23" s="32">
        <f>IFERROR(__xludf.DUMMYFUNCTION("IMPORTRANGE($A$2, CONCATENATE($A24,""!C4:JB4""))"),45902.0)</f>
        <v>45902</v>
      </c>
      <c r="C23" s="32">
        <f>IFERROR(__xludf.DUMMYFUNCTION("""COMPUTED_VALUE"""),45903.0)</f>
        <v>45903</v>
      </c>
      <c r="D23" s="32">
        <f>IFERROR(__xludf.DUMMYFUNCTION("""COMPUTED_VALUE"""),45903.0)</f>
        <v>45903</v>
      </c>
      <c r="E23" s="32">
        <f>IFERROR(__xludf.DUMMYFUNCTION("""COMPUTED_VALUE"""),45903.0)</f>
        <v>45903</v>
      </c>
      <c r="F23" s="32">
        <f>IFERROR(__xludf.DUMMYFUNCTION("""COMPUTED_VALUE"""),45904.0)</f>
        <v>45904</v>
      </c>
      <c r="G23" s="32">
        <f>IFERROR(__xludf.DUMMYFUNCTION("""COMPUTED_VALUE"""),45904.0)</f>
        <v>45904</v>
      </c>
      <c r="H23" s="32">
        <f>IFERROR(__xludf.DUMMYFUNCTION("""COMPUTED_VALUE"""),45904.0)</f>
        <v>45904</v>
      </c>
      <c r="I23" s="32">
        <f>IFERROR(__xludf.DUMMYFUNCTION("""COMPUTED_VALUE"""),45905.0)</f>
        <v>45905</v>
      </c>
      <c r="J23" s="32">
        <f>IFERROR(__xludf.DUMMYFUNCTION("""COMPUTED_VALUE"""),45905.0)</f>
        <v>45905</v>
      </c>
      <c r="K23" s="32">
        <f>IFERROR(__xludf.DUMMYFUNCTION("""COMPUTED_VALUE"""),45909.0)</f>
        <v>45909</v>
      </c>
      <c r="L23" s="32">
        <f>IFERROR(__xludf.DUMMYFUNCTION("""COMPUTED_VALUE"""),45910.0)</f>
        <v>45910</v>
      </c>
      <c r="M23" s="32">
        <f>IFERROR(__xludf.DUMMYFUNCTION("""COMPUTED_VALUE"""),45910.0)</f>
        <v>45910</v>
      </c>
      <c r="N23" s="32">
        <f>IFERROR(__xludf.DUMMYFUNCTION("""COMPUTED_VALUE"""),45910.0)</f>
        <v>45910</v>
      </c>
      <c r="O23" s="32">
        <f>IFERROR(__xludf.DUMMYFUNCTION("""COMPUTED_VALUE"""),45911.0)</f>
        <v>45911</v>
      </c>
      <c r="P23" s="32">
        <f>IFERROR(__xludf.DUMMYFUNCTION("""COMPUTED_VALUE"""),45911.0)</f>
        <v>45911</v>
      </c>
      <c r="Q23" s="32">
        <f>IFERROR(__xludf.DUMMYFUNCTION("""COMPUTED_VALUE"""),45911.0)</f>
        <v>45911</v>
      </c>
      <c r="R23" s="32">
        <f>IFERROR(__xludf.DUMMYFUNCTION("""COMPUTED_VALUE"""),45912.0)</f>
        <v>45912</v>
      </c>
      <c r="S23" s="32">
        <f>IFERROR(__xludf.DUMMYFUNCTION("""COMPUTED_VALUE"""),45912.0)</f>
        <v>45912</v>
      </c>
      <c r="T23" s="32">
        <f>IFERROR(__xludf.DUMMYFUNCTION("""COMPUTED_VALUE"""),45912.0)</f>
        <v>45912</v>
      </c>
      <c r="U23" s="32">
        <f>IFERROR(__xludf.DUMMYFUNCTION("""COMPUTED_VALUE"""),45916.0)</f>
        <v>45916</v>
      </c>
      <c r="V23" s="32">
        <f>IFERROR(__xludf.DUMMYFUNCTION("""COMPUTED_VALUE"""),45916.0)</f>
        <v>45916</v>
      </c>
      <c r="W23" s="32">
        <f>IFERROR(__xludf.DUMMYFUNCTION("""COMPUTED_VALUE"""),45916.0)</f>
        <v>45916</v>
      </c>
      <c r="X23" s="32">
        <f>IFERROR(__xludf.DUMMYFUNCTION("""COMPUTED_VALUE"""),45917.0)</f>
        <v>45917</v>
      </c>
      <c r="Y23" s="32">
        <f>IFERROR(__xludf.DUMMYFUNCTION("""COMPUTED_VALUE"""),45917.0)</f>
        <v>45917</v>
      </c>
      <c r="Z23" s="32">
        <f>IFERROR(__xludf.DUMMYFUNCTION("""COMPUTED_VALUE"""),45918.0)</f>
        <v>45918</v>
      </c>
      <c r="AA23" s="32">
        <f>IFERROR(__xludf.DUMMYFUNCTION("""COMPUTED_VALUE"""),45920.0)</f>
        <v>45920</v>
      </c>
      <c r="AB23" s="32">
        <f>IFERROR(__xludf.DUMMYFUNCTION("""COMPUTED_VALUE"""),45923.0)</f>
        <v>45923</v>
      </c>
      <c r="AC23" s="32">
        <f>IFERROR(__xludf.DUMMYFUNCTION("""COMPUTED_VALUE"""),45924.0)</f>
        <v>45924</v>
      </c>
      <c r="AD23" s="32">
        <f>IFERROR(__xludf.DUMMYFUNCTION("""COMPUTED_VALUE"""),45924.0)</f>
        <v>45924</v>
      </c>
      <c r="AE23" s="32">
        <f>IFERROR(__xludf.DUMMYFUNCTION("""COMPUTED_VALUE"""),45924.0)</f>
        <v>45924</v>
      </c>
      <c r="AF23" s="32">
        <f>IFERROR(__xludf.DUMMYFUNCTION("""COMPUTED_VALUE"""),45925.0)</f>
        <v>45925</v>
      </c>
      <c r="AG23" s="32">
        <f>IFERROR(__xludf.DUMMYFUNCTION("""COMPUTED_VALUE"""),45925.0)</f>
        <v>45925</v>
      </c>
      <c r="AH23" s="32">
        <f>IFERROR(__xludf.DUMMYFUNCTION("""COMPUTED_VALUE"""),45927.0)</f>
        <v>45927</v>
      </c>
      <c r="AI23" s="32">
        <f>IFERROR(__xludf.DUMMYFUNCTION("""COMPUTED_VALUE"""),45930.0)</f>
        <v>45930</v>
      </c>
      <c r="AJ23" s="32">
        <f>IFERROR(__xludf.DUMMYFUNCTION("""COMPUTED_VALUE"""),45930.0)</f>
        <v>45930</v>
      </c>
      <c r="AK23" s="32">
        <f>IFERROR(__xludf.DUMMYFUNCTION("""COMPUTED_VALUE"""),45930.0)</f>
        <v>45930</v>
      </c>
      <c r="AL23" s="32">
        <f>IFERROR(__xludf.DUMMYFUNCTION("""COMPUTED_VALUE"""),45932.0)</f>
        <v>45932</v>
      </c>
      <c r="AM23" s="32">
        <f>IFERROR(__xludf.DUMMYFUNCTION("""COMPUTED_VALUE"""),45934.0)</f>
        <v>45934</v>
      </c>
      <c r="AN23" s="32">
        <f>IFERROR(__xludf.DUMMYFUNCTION("""COMPUTED_VALUE"""),45937.0)</f>
        <v>45937</v>
      </c>
      <c r="AO23" s="32">
        <f>IFERROR(__xludf.DUMMYFUNCTION("""COMPUTED_VALUE"""),45937.0)</f>
        <v>45937</v>
      </c>
      <c r="AP23" s="32">
        <f>IFERROR(__xludf.DUMMYFUNCTION("""COMPUTED_VALUE"""),45937.0)</f>
        <v>45937</v>
      </c>
      <c r="AQ23" s="32">
        <f>IFERROR(__xludf.DUMMYFUNCTION("""COMPUTED_VALUE"""),45938.0)</f>
        <v>45938</v>
      </c>
      <c r="AR23" s="32">
        <f>IFERROR(__xludf.DUMMYFUNCTION("""COMPUTED_VALUE"""),45938.0)</f>
        <v>45938</v>
      </c>
      <c r="AS23" s="32">
        <f>IFERROR(__xludf.DUMMYFUNCTION("""COMPUTED_VALUE"""),45939.0)</f>
        <v>45939</v>
      </c>
      <c r="AT23" s="32">
        <f>IFERROR(__xludf.DUMMYFUNCTION("""COMPUTED_VALUE"""),45941.0)</f>
        <v>45941</v>
      </c>
      <c r="AU23" s="32">
        <f>IFERROR(__xludf.DUMMYFUNCTION("""COMPUTED_VALUE"""),45944.0)</f>
        <v>45944</v>
      </c>
      <c r="AV23" s="32">
        <f>IFERROR(__xludf.DUMMYFUNCTION("""COMPUTED_VALUE"""),45944.0)</f>
        <v>45944</v>
      </c>
      <c r="AW23" s="32">
        <f>IFERROR(__xludf.DUMMYFUNCTION("""COMPUTED_VALUE"""),45946.0)</f>
        <v>45946</v>
      </c>
      <c r="AX23" s="32">
        <f>IFERROR(__xludf.DUMMYFUNCTION("""COMPUTED_VALUE"""),45947.0)</f>
        <v>45947</v>
      </c>
      <c r="AY23" s="32">
        <f>IFERROR(__xludf.DUMMYFUNCTION("""COMPUTED_VALUE"""),45948.0)</f>
        <v>45948</v>
      </c>
      <c r="AZ23" s="32">
        <f>IFERROR(__xludf.DUMMYFUNCTION("""COMPUTED_VALUE"""),45949.0)</f>
        <v>45949</v>
      </c>
      <c r="BA23" s="32">
        <f>IFERROR(__xludf.DUMMYFUNCTION("""COMPUTED_VALUE"""),45950.0)</f>
        <v>45950</v>
      </c>
      <c r="BB23" s="32">
        <f>IFERROR(__xludf.DUMMYFUNCTION("""COMPUTED_VALUE"""),45951.0)</f>
        <v>45951</v>
      </c>
      <c r="BC23" s="32">
        <f>IFERROR(__xludf.DUMMYFUNCTION("""COMPUTED_VALUE"""),45952.0)</f>
        <v>45952</v>
      </c>
      <c r="BD23" s="32">
        <f>IFERROR(__xludf.DUMMYFUNCTION("""COMPUTED_VALUE"""),45953.0)</f>
        <v>45953</v>
      </c>
      <c r="BE23" s="32">
        <f>IFERROR(__xludf.DUMMYFUNCTION("""COMPUTED_VALUE"""),45954.0)</f>
        <v>45954</v>
      </c>
      <c r="BF23" s="32">
        <f>IFERROR(__xludf.DUMMYFUNCTION("""COMPUTED_VALUE"""),45955.0)</f>
        <v>45955</v>
      </c>
      <c r="BG23" s="32">
        <f>IFERROR(__xludf.DUMMYFUNCTION("""COMPUTED_VALUE"""),45956.0)</f>
        <v>45956</v>
      </c>
      <c r="BH23" s="32">
        <f>IFERROR(__xludf.DUMMYFUNCTION("""COMPUTED_VALUE"""),45957.0)</f>
        <v>45957</v>
      </c>
      <c r="BI23" s="32">
        <f>IFERROR(__xludf.DUMMYFUNCTION("""COMPUTED_VALUE"""),45958.0)</f>
        <v>45958</v>
      </c>
      <c r="BJ23" s="32">
        <f>IFERROR(__xludf.DUMMYFUNCTION("""COMPUTED_VALUE"""),45959.0)</f>
        <v>45959</v>
      </c>
      <c r="BK23" s="32">
        <f>IFERROR(__xludf.DUMMYFUNCTION("""COMPUTED_VALUE"""),45960.0)</f>
        <v>45960</v>
      </c>
      <c r="BL23" s="32">
        <f>IFERROR(__xludf.DUMMYFUNCTION("""COMPUTED_VALUE"""),45961.0)</f>
        <v>45961</v>
      </c>
      <c r="BM23" s="32">
        <f>IFERROR(__xludf.DUMMYFUNCTION("""COMPUTED_VALUE"""),45944.0)</f>
        <v>45944</v>
      </c>
      <c r="BN23" s="32">
        <f>IFERROR(__xludf.DUMMYFUNCTION("""COMPUTED_VALUE"""),45945.0)</f>
        <v>45945</v>
      </c>
      <c r="BO23" s="32">
        <f>IFERROR(__xludf.DUMMYFUNCTION("""COMPUTED_VALUE"""),45945.0)</f>
        <v>45945</v>
      </c>
      <c r="BP23" s="32">
        <f>IFERROR(__xludf.DUMMYFUNCTION("""COMPUTED_VALUE"""),45946.0)</f>
        <v>45946</v>
      </c>
      <c r="BQ23" s="32">
        <f>IFERROR(__xludf.DUMMYFUNCTION("""COMPUTED_VALUE"""),45948.0)</f>
        <v>45948</v>
      </c>
      <c r="BR23" s="32">
        <f>IFERROR(__xludf.DUMMYFUNCTION("""COMPUTED_VALUE"""),45951.0)</f>
        <v>45951</v>
      </c>
      <c r="BS23" s="32">
        <f>IFERROR(__xludf.DUMMYFUNCTION("""COMPUTED_VALUE"""),45951.0)</f>
        <v>45951</v>
      </c>
      <c r="BT23" s="32">
        <f>IFERROR(__xludf.DUMMYFUNCTION("""COMPUTED_VALUE"""),45952.0)</f>
        <v>45952</v>
      </c>
      <c r="BU23" s="32">
        <f>IFERROR(__xludf.DUMMYFUNCTION("""COMPUTED_VALUE"""),45953.0)</f>
        <v>45953</v>
      </c>
      <c r="BV23" s="32">
        <f>IFERROR(__xludf.DUMMYFUNCTION("""COMPUTED_VALUE"""),45955.0)</f>
        <v>45955</v>
      </c>
      <c r="BW23" s="32">
        <f>IFERROR(__xludf.DUMMYFUNCTION("""COMPUTED_VALUE"""),45955.0)</f>
        <v>45955</v>
      </c>
      <c r="BX23" s="32">
        <f>IFERROR(__xludf.DUMMYFUNCTION("""COMPUTED_VALUE"""),45958.0)</f>
        <v>45958</v>
      </c>
      <c r="BY23" s="32">
        <f>IFERROR(__xludf.DUMMYFUNCTION("""COMPUTED_VALUE"""),45958.0)</f>
        <v>45958</v>
      </c>
      <c r="BZ23" s="32">
        <f>IFERROR(__xludf.DUMMYFUNCTION("""COMPUTED_VALUE"""),45959.0)</f>
        <v>45959</v>
      </c>
      <c r="CA23" s="32">
        <f>IFERROR(__xludf.DUMMYFUNCTION("""COMPUTED_VALUE"""),45960.0)</f>
        <v>45960</v>
      </c>
      <c r="CB23" s="32">
        <f>IFERROR(__xludf.DUMMYFUNCTION("""COMPUTED_VALUE"""),45960.0)</f>
        <v>45960</v>
      </c>
      <c r="CC23" s="32" t="str">
        <f>IFERROR(__xludf.DUMMYFUNCTION("""COMPUTED_VALUE"""),"1 четверть")</f>
        <v>1 четверть</v>
      </c>
      <c r="CD23" s="32">
        <f>IFERROR(__xludf.DUMMYFUNCTION("""COMPUTED_VALUE"""),45972.0)</f>
        <v>45972</v>
      </c>
      <c r="CE23" s="32">
        <f>IFERROR(__xludf.DUMMYFUNCTION("""COMPUTED_VALUE"""),45972.0)</f>
        <v>45972</v>
      </c>
      <c r="CF23" s="32">
        <f>IFERROR(__xludf.DUMMYFUNCTION("""COMPUTED_VALUE"""),45973.0)</f>
        <v>45973</v>
      </c>
      <c r="CG23" s="32">
        <f>IFERROR(__xludf.DUMMYFUNCTION("""COMPUTED_VALUE"""),45974.0)</f>
        <v>45974</v>
      </c>
      <c r="CH23" s="32">
        <f>IFERROR(__xludf.DUMMYFUNCTION("""COMPUTED_VALUE"""),45976.0)</f>
        <v>45976</v>
      </c>
      <c r="CI23" s="32">
        <f>IFERROR(__xludf.DUMMYFUNCTION("""COMPUTED_VALUE"""),45976.0)</f>
        <v>45976</v>
      </c>
      <c r="CJ23" s="32">
        <f>IFERROR(__xludf.DUMMYFUNCTION("""COMPUTED_VALUE"""),45979.0)</f>
        <v>45979</v>
      </c>
      <c r="CK23" s="32">
        <f>IFERROR(__xludf.DUMMYFUNCTION("""COMPUTED_VALUE"""),45979.0)</f>
        <v>45979</v>
      </c>
      <c r="CL23" s="32">
        <f>IFERROR(__xludf.DUMMYFUNCTION("""COMPUTED_VALUE"""),45980.0)</f>
        <v>45980</v>
      </c>
      <c r="CM23" s="32">
        <f>IFERROR(__xludf.DUMMYFUNCTION("""COMPUTED_VALUE"""),45980.0)</f>
        <v>45980</v>
      </c>
      <c r="CN23" s="32">
        <f>IFERROR(__xludf.DUMMYFUNCTION("""COMPUTED_VALUE"""),45981.0)</f>
        <v>45981</v>
      </c>
      <c r="CO23" s="32">
        <f>IFERROR(__xludf.DUMMYFUNCTION("""COMPUTED_VALUE"""),45983.0)</f>
        <v>45983</v>
      </c>
      <c r="CP23" s="32">
        <f>IFERROR(__xludf.DUMMYFUNCTION("""COMPUTED_VALUE"""),45983.0)</f>
        <v>45983</v>
      </c>
      <c r="CQ23" s="32">
        <f>IFERROR(__xludf.DUMMYFUNCTION("""COMPUTED_VALUE"""),45986.0)</f>
        <v>45986</v>
      </c>
      <c r="CR23" s="32">
        <f>IFERROR(__xludf.DUMMYFUNCTION("""COMPUTED_VALUE"""),45986.0)</f>
        <v>45986</v>
      </c>
      <c r="CS23" s="32">
        <f>IFERROR(__xludf.DUMMYFUNCTION("""COMPUTED_VALUE"""),45986.0)</f>
        <v>45986</v>
      </c>
      <c r="CT23" s="32">
        <f>IFERROR(__xludf.DUMMYFUNCTION("""COMPUTED_VALUE"""),45987.0)</f>
        <v>45987</v>
      </c>
      <c r="CU23" s="32">
        <f>IFERROR(__xludf.DUMMYFUNCTION("""COMPUTED_VALUE"""),45988.0)</f>
        <v>45988</v>
      </c>
      <c r="CV23" s="32">
        <f>IFERROR(__xludf.DUMMYFUNCTION("""COMPUTED_VALUE"""),45990.0)</f>
        <v>45990</v>
      </c>
      <c r="CW23" s="32">
        <f>IFERROR(__xludf.DUMMYFUNCTION("""COMPUTED_VALUE"""),45990.0)</f>
        <v>45990</v>
      </c>
      <c r="CX23" s="32">
        <f>IFERROR(__xludf.DUMMYFUNCTION("""COMPUTED_VALUE"""),45993.0)</f>
        <v>45993</v>
      </c>
      <c r="CY23" s="32">
        <f>IFERROR(__xludf.DUMMYFUNCTION("""COMPUTED_VALUE"""),45993.0)</f>
        <v>45993</v>
      </c>
      <c r="CZ23" s="32">
        <f>IFERROR(__xludf.DUMMYFUNCTION("""COMPUTED_VALUE"""),45993.0)</f>
        <v>45993</v>
      </c>
      <c r="DA23" s="32">
        <f>IFERROR(__xludf.DUMMYFUNCTION("""COMPUTED_VALUE"""),45994.0)</f>
        <v>45994</v>
      </c>
      <c r="DB23" s="32">
        <f>IFERROR(__xludf.DUMMYFUNCTION("""COMPUTED_VALUE"""),45995.0)</f>
        <v>45995</v>
      </c>
      <c r="DC23" s="32">
        <f>IFERROR(__xludf.DUMMYFUNCTION("""COMPUTED_VALUE"""),45997.0)</f>
        <v>45997</v>
      </c>
      <c r="DD23" s="32">
        <f>IFERROR(__xludf.DUMMYFUNCTION("""COMPUTED_VALUE"""),46000.0)</f>
        <v>46000</v>
      </c>
      <c r="DE23" s="32">
        <f>IFERROR(__xludf.DUMMYFUNCTION("""COMPUTED_VALUE"""),46000.0)</f>
        <v>46000</v>
      </c>
      <c r="DF23" s="32">
        <f>IFERROR(__xludf.DUMMYFUNCTION("""COMPUTED_VALUE"""),46000.0)</f>
        <v>46000</v>
      </c>
      <c r="DG23" s="32">
        <f>IFERROR(__xludf.DUMMYFUNCTION("""COMPUTED_VALUE"""),46001.0)</f>
        <v>46001</v>
      </c>
      <c r="DH23" s="32">
        <f>IFERROR(__xludf.DUMMYFUNCTION("""COMPUTED_VALUE"""),46002.0)</f>
        <v>46002</v>
      </c>
      <c r="DI23" s="32">
        <f>IFERROR(__xludf.DUMMYFUNCTION("""COMPUTED_VALUE"""),46003.0)</f>
        <v>46003</v>
      </c>
      <c r="DJ23" s="32">
        <f>IFERROR(__xludf.DUMMYFUNCTION("""COMPUTED_VALUE"""),46004.0)</f>
        <v>46004</v>
      </c>
      <c r="DK23" s="32">
        <f>IFERROR(__xludf.DUMMYFUNCTION("""COMPUTED_VALUE"""),46005.0)</f>
        <v>46005</v>
      </c>
      <c r="DL23" s="32">
        <f>IFERROR(__xludf.DUMMYFUNCTION("""COMPUTED_VALUE"""),46006.0)</f>
        <v>46006</v>
      </c>
      <c r="DM23" s="32">
        <f>IFERROR(__xludf.DUMMYFUNCTION("""COMPUTED_VALUE"""),46007.0)</f>
        <v>46007</v>
      </c>
      <c r="DN23" s="32">
        <f>IFERROR(__xludf.DUMMYFUNCTION("""COMPUTED_VALUE"""),46008.0)</f>
        <v>46008</v>
      </c>
      <c r="DO23" s="32">
        <f>IFERROR(__xludf.DUMMYFUNCTION("""COMPUTED_VALUE"""),46009.0)</f>
        <v>46009</v>
      </c>
      <c r="DP23" s="32">
        <f>IFERROR(__xludf.DUMMYFUNCTION("""COMPUTED_VALUE"""),46010.0)</f>
        <v>46010</v>
      </c>
      <c r="DQ23" s="32">
        <f>IFERROR(__xludf.DUMMYFUNCTION("""COMPUTED_VALUE"""),46011.0)</f>
        <v>46011</v>
      </c>
      <c r="DR23" s="32">
        <f>IFERROR(__xludf.DUMMYFUNCTION("""COMPUTED_VALUE"""),46012.0)</f>
        <v>46012</v>
      </c>
      <c r="DS23" s="32">
        <f>IFERROR(__xludf.DUMMYFUNCTION("""COMPUTED_VALUE"""),46013.0)</f>
        <v>46013</v>
      </c>
      <c r="DT23" s="32">
        <f>IFERROR(__xludf.DUMMYFUNCTION("""COMPUTED_VALUE"""),46014.0)</f>
        <v>46014</v>
      </c>
      <c r="DU23" s="32">
        <f>IFERROR(__xludf.DUMMYFUNCTION("""COMPUTED_VALUE"""),46015.0)</f>
        <v>46015</v>
      </c>
      <c r="DV23" s="32">
        <f>IFERROR(__xludf.DUMMYFUNCTION("""COMPUTED_VALUE"""),46016.0)</f>
        <v>46016</v>
      </c>
      <c r="DW23" s="32">
        <f>IFERROR(__xludf.DUMMYFUNCTION("""COMPUTED_VALUE"""),46017.0)</f>
        <v>46017</v>
      </c>
      <c r="DX23" s="32">
        <f>IFERROR(__xludf.DUMMYFUNCTION("""COMPUTED_VALUE"""),46004.0)</f>
        <v>46004</v>
      </c>
      <c r="DY23" s="32">
        <f>IFERROR(__xludf.DUMMYFUNCTION("""COMPUTED_VALUE"""),46004.0)</f>
        <v>46004</v>
      </c>
      <c r="DZ23" s="32">
        <f>IFERROR(__xludf.DUMMYFUNCTION("""COMPUTED_VALUE"""),46007.0)</f>
        <v>46007</v>
      </c>
      <c r="EA23" s="32">
        <f>IFERROR(__xludf.DUMMYFUNCTION("""COMPUTED_VALUE"""),46007.0)</f>
        <v>46007</v>
      </c>
      <c r="EB23" s="32">
        <f>IFERROR(__xludf.DUMMYFUNCTION("""COMPUTED_VALUE"""),46007.0)</f>
        <v>46007</v>
      </c>
      <c r="EC23" s="32">
        <f>IFERROR(__xludf.DUMMYFUNCTION("""COMPUTED_VALUE"""),46008.0)</f>
        <v>46008</v>
      </c>
      <c r="ED23" s="32">
        <f>IFERROR(__xludf.DUMMYFUNCTION("""COMPUTED_VALUE"""),46009.0)</f>
        <v>46009</v>
      </c>
      <c r="EE23" s="32">
        <f>IFERROR(__xludf.DUMMYFUNCTION("""COMPUTED_VALUE"""),46011.0)</f>
        <v>46011</v>
      </c>
      <c r="EF23" s="32">
        <f>IFERROR(__xludf.DUMMYFUNCTION("""COMPUTED_VALUE"""),46011.0)</f>
        <v>46011</v>
      </c>
      <c r="EG23" s="32">
        <f>IFERROR(__xludf.DUMMYFUNCTION("""COMPUTED_VALUE"""),46011.0)</f>
        <v>46011</v>
      </c>
      <c r="EH23" s="32">
        <f>IFERROR(__xludf.DUMMYFUNCTION("""COMPUTED_VALUE"""),46014.0)</f>
        <v>46014</v>
      </c>
      <c r="EI23" s="32">
        <f>IFERROR(__xludf.DUMMYFUNCTION("""COMPUTED_VALUE"""),46014.0)</f>
        <v>46014</v>
      </c>
      <c r="EJ23" s="32">
        <f>IFERROR(__xludf.DUMMYFUNCTION("""COMPUTED_VALUE"""),46014.0)</f>
        <v>46014</v>
      </c>
      <c r="EK23" s="32">
        <f>IFERROR(__xludf.DUMMYFUNCTION("""COMPUTED_VALUE"""),46015.0)</f>
        <v>46015</v>
      </c>
      <c r="EL23" s="32">
        <f>IFERROR(__xludf.DUMMYFUNCTION("""COMPUTED_VALUE"""),46015.0)</f>
        <v>46015</v>
      </c>
      <c r="EM23" s="32">
        <f>IFERROR(__xludf.DUMMYFUNCTION("""COMPUTED_VALUE"""),46016.0)</f>
        <v>46016</v>
      </c>
      <c r="EN23" s="32">
        <f>IFERROR(__xludf.DUMMYFUNCTION("""COMPUTED_VALUE"""),46017.0)</f>
        <v>46017</v>
      </c>
      <c r="EO23" s="32">
        <f>IFERROR(__xludf.DUMMYFUNCTION("""COMPUTED_VALUE"""),46018.0)</f>
        <v>46018</v>
      </c>
      <c r="EP23" s="32">
        <f>IFERROR(__xludf.DUMMYFUNCTION("""COMPUTED_VALUE"""),46018.0)</f>
        <v>46018</v>
      </c>
      <c r="EQ23" s="32">
        <f>IFERROR(__xludf.DUMMYFUNCTION("""COMPUTED_VALUE"""),46018.0)</f>
        <v>46018</v>
      </c>
      <c r="ER23" s="32" t="str">
        <f>IFERROR(__xludf.DUMMYFUNCTION("""COMPUTED_VALUE"""),"2 четверть")</f>
        <v>2 четверть</v>
      </c>
      <c r="ES23" s="32">
        <f>IFERROR(__xludf.DUMMYFUNCTION("""COMPUTED_VALUE"""),46035.0)</f>
        <v>46035</v>
      </c>
      <c r="ET23" s="32">
        <f>IFERROR(__xludf.DUMMYFUNCTION("""COMPUTED_VALUE"""),46035.0)</f>
        <v>46035</v>
      </c>
      <c r="EU23" s="32">
        <f>IFERROR(__xludf.DUMMYFUNCTION("""COMPUTED_VALUE"""),46035.0)</f>
        <v>46035</v>
      </c>
      <c r="EV23" s="32">
        <f>IFERROR(__xludf.DUMMYFUNCTION("""COMPUTED_VALUE"""),46036.0)</f>
        <v>46036</v>
      </c>
      <c r="EW23" s="32">
        <f>IFERROR(__xludf.DUMMYFUNCTION("""COMPUTED_VALUE"""),46037.0)</f>
        <v>46037</v>
      </c>
      <c r="EX23" s="32">
        <f>IFERROR(__xludf.DUMMYFUNCTION("""COMPUTED_VALUE"""),46039.0)</f>
        <v>46039</v>
      </c>
      <c r="EY23" s="32">
        <f>IFERROR(__xludf.DUMMYFUNCTION("""COMPUTED_VALUE"""),46039.0)</f>
        <v>46039</v>
      </c>
      <c r="EZ23" s="32">
        <f>IFERROR(__xludf.DUMMYFUNCTION("""COMPUTED_VALUE"""),46042.0)</f>
        <v>46042</v>
      </c>
      <c r="FA23" s="32">
        <f>IFERROR(__xludf.DUMMYFUNCTION("""COMPUTED_VALUE"""),46042.0)</f>
        <v>46042</v>
      </c>
      <c r="FB23" s="32">
        <f>IFERROR(__xludf.DUMMYFUNCTION("""COMPUTED_VALUE"""),46042.0)</f>
        <v>46042</v>
      </c>
      <c r="FC23" s="32">
        <f>IFERROR(__xludf.DUMMYFUNCTION("""COMPUTED_VALUE"""),46043.0)</f>
        <v>46043</v>
      </c>
      <c r="FD23" s="32">
        <f>IFERROR(__xludf.DUMMYFUNCTION("""COMPUTED_VALUE"""),46044.0)</f>
        <v>46044</v>
      </c>
      <c r="FE23" s="32">
        <f>IFERROR(__xludf.DUMMYFUNCTION("""COMPUTED_VALUE"""),46046.0)</f>
        <v>46046</v>
      </c>
      <c r="FF23" s="32">
        <f>IFERROR(__xludf.DUMMYFUNCTION("""COMPUTED_VALUE"""),46046.0)</f>
        <v>46046</v>
      </c>
      <c r="FG23" s="32">
        <f>IFERROR(__xludf.DUMMYFUNCTION("""COMPUTED_VALUE"""),46049.0)</f>
        <v>46049</v>
      </c>
      <c r="FH23" s="32">
        <f>IFERROR(__xludf.DUMMYFUNCTION("""COMPUTED_VALUE"""),46049.0)</f>
        <v>46049</v>
      </c>
      <c r="FI23" s="32">
        <f>IFERROR(__xludf.DUMMYFUNCTION("""COMPUTED_VALUE"""),46049.0)</f>
        <v>46049</v>
      </c>
      <c r="FJ23" s="32">
        <f>IFERROR(__xludf.DUMMYFUNCTION("""COMPUTED_VALUE"""),46050.0)</f>
        <v>46050</v>
      </c>
      <c r="FK23" s="32">
        <f>IFERROR(__xludf.DUMMYFUNCTION("""COMPUTED_VALUE"""),46051.0)</f>
        <v>46051</v>
      </c>
      <c r="FL23" s="32">
        <f>IFERROR(__xludf.DUMMYFUNCTION("""COMPUTED_VALUE"""),46053.0)</f>
        <v>46053</v>
      </c>
      <c r="FM23" s="32">
        <f>IFERROR(__xludf.DUMMYFUNCTION("""COMPUTED_VALUE"""),46053.0)</f>
        <v>46053</v>
      </c>
      <c r="FN23" s="32">
        <f>IFERROR(__xludf.DUMMYFUNCTION("""COMPUTED_VALUE"""),46056.0)</f>
        <v>46056</v>
      </c>
      <c r="FO23" s="32">
        <f>IFERROR(__xludf.DUMMYFUNCTION("""COMPUTED_VALUE"""),46056.0)</f>
        <v>46056</v>
      </c>
      <c r="FP23" s="32">
        <f>IFERROR(__xludf.DUMMYFUNCTION("""COMPUTED_VALUE"""),46056.0)</f>
        <v>46056</v>
      </c>
      <c r="FQ23" s="32">
        <f>IFERROR(__xludf.DUMMYFUNCTION("""COMPUTED_VALUE"""),46057.0)</f>
        <v>46057</v>
      </c>
      <c r="FR23" s="32">
        <f>IFERROR(__xludf.DUMMYFUNCTION("""COMPUTED_VALUE"""),46058.0)</f>
        <v>46058</v>
      </c>
      <c r="FS23" s="32">
        <f>IFERROR(__xludf.DUMMYFUNCTION("""COMPUTED_VALUE"""),46060.0)</f>
        <v>46060</v>
      </c>
      <c r="FT23" s="32">
        <f>IFERROR(__xludf.DUMMYFUNCTION("""COMPUTED_VALUE"""),46060.0)</f>
        <v>46060</v>
      </c>
      <c r="FU23" s="32">
        <f>IFERROR(__xludf.DUMMYFUNCTION("""COMPUTED_VALUE"""),46063.0)</f>
        <v>46063</v>
      </c>
      <c r="FV23" s="32">
        <f>IFERROR(__xludf.DUMMYFUNCTION("""COMPUTED_VALUE"""),46063.0)</f>
        <v>46063</v>
      </c>
      <c r="FW23" s="32">
        <f>IFERROR(__xludf.DUMMYFUNCTION("""COMPUTED_VALUE"""),46063.0)</f>
        <v>46063</v>
      </c>
      <c r="FX23" s="32">
        <f>IFERROR(__xludf.DUMMYFUNCTION("""COMPUTED_VALUE"""),46065.0)</f>
        <v>46065</v>
      </c>
      <c r="FY23" s="32">
        <f>IFERROR(__xludf.DUMMYFUNCTION("""COMPUTED_VALUE"""),46067.0)</f>
        <v>46067</v>
      </c>
      <c r="FZ23" s="32">
        <f>IFERROR(__xludf.DUMMYFUNCTION("""COMPUTED_VALUE"""),46067.0)</f>
        <v>46067</v>
      </c>
      <c r="GA23" s="32">
        <f>IFERROR(__xludf.DUMMYFUNCTION("""COMPUTED_VALUE"""),46070.0)</f>
        <v>46070</v>
      </c>
      <c r="GB23" s="32">
        <f>IFERROR(__xludf.DUMMYFUNCTION("""COMPUTED_VALUE"""),46070.0)</f>
        <v>46070</v>
      </c>
      <c r="GC23" s="32">
        <f>IFERROR(__xludf.DUMMYFUNCTION("""COMPUTED_VALUE"""),46070.0)</f>
        <v>46070</v>
      </c>
      <c r="GD23" s="32">
        <f>IFERROR(__xludf.DUMMYFUNCTION("""COMPUTED_VALUE"""),46074.0)</f>
        <v>46074</v>
      </c>
      <c r="GE23" s="32">
        <f>IFERROR(__xludf.DUMMYFUNCTION("""COMPUTED_VALUE"""),46074.0)</f>
        <v>46074</v>
      </c>
      <c r="GF23" s="32">
        <f>IFERROR(__xludf.DUMMYFUNCTION("""COMPUTED_VALUE"""),46077.0)</f>
        <v>46077</v>
      </c>
      <c r="GG23" s="32">
        <f>IFERROR(__xludf.DUMMYFUNCTION("""COMPUTED_VALUE"""),46077.0)</f>
        <v>46077</v>
      </c>
      <c r="GH23" s="32">
        <f>IFERROR(__xludf.DUMMYFUNCTION("""COMPUTED_VALUE"""),46077.0)</f>
        <v>46077</v>
      </c>
      <c r="GI23" s="32">
        <f>IFERROR(__xludf.DUMMYFUNCTION("""COMPUTED_VALUE"""),46078.0)</f>
        <v>46078</v>
      </c>
      <c r="GJ23" s="32">
        <f>IFERROR(__xludf.DUMMYFUNCTION("""COMPUTED_VALUE"""),46079.0)</f>
        <v>46079</v>
      </c>
      <c r="GK23" s="32">
        <f>IFERROR(__xludf.DUMMYFUNCTION("""COMPUTED_VALUE"""),46081.0)</f>
        <v>46081</v>
      </c>
      <c r="GL23" s="32">
        <f>IFERROR(__xludf.DUMMYFUNCTION("""COMPUTED_VALUE"""),46081.0)</f>
        <v>46081</v>
      </c>
      <c r="GM23" s="32">
        <f>IFERROR(__xludf.DUMMYFUNCTION("""COMPUTED_VALUE"""),46084.0)</f>
        <v>46084</v>
      </c>
      <c r="GN23" s="32">
        <f>IFERROR(__xludf.DUMMYFUNCTION("""COMPUTED_VALUE"""),46084.0)</f>
        <v>46084</v>
      </c>
      <c r="GO23" s="32">
        <f>IFERROR(__xludf.DUMMYFUNCTION("""COMPUTED_VALUE"""),46084.0)</f>
        <v>46084</v>
      </c>
      <c r="GP23" s="32">
        <f>IFERROR(__xludf.DUMMYFUNCTION("""COMPUTED_VALUE"""),46085.0)</f>
        <v>46085</v>
      </c>
      <c r="GQ23" s="32">
        <f>IFERROR(__xludf.DUMMYFUNCTION("""COMPUTED_VALUE"""),46085.0)</f>
        <v>46085</v>
      </c>
      <c r="GR23" s="32">
        <f>IFERROR(__xludf.DUMMYFUNCTION("""COMPUTED_VALUE"""),46085.0)</f>
        <v>46085</v>
      </c>
      <c r="GS23" s="32">
        <f>IFERROR(__xludf.DUMMYFUNCTION("""COMPUTED_VALUE"""),46086.0)</f>
        <v>46086</v>
      </c>
      <c r="GT23" s="32">
        <f>IFERROR(__xludf.DUMMYFUNCTION("""COMPUTED_VALUE"""),46086.0)</f>
        <v>46086</v>
      </c>
      <c r="GU23" s="32">
        <f>IFERROR(__xludf.DUMMYFUNCTION("""COMPUTED_VALUE"""),46088.0)</f>
        <v>46088</v>
      </c>
      <c r="GV23" s="32">
        <f>IFERROR(__xludf.DUMMYFUNCTION("""COMPUTED_VALUE"""),46088.0)</f>
        <v>46088</v>
      </c>
      <c r="GW23" s="32">
        <f>IFERROR(__xludf.DUMMYFUNCTION("""COMPUTED_VALUE"""),46091.0)</f>
        <v>46091</v>
      </c>
      <c r="GX23" s="32">
        <f>IFERROR(__xludf.DUMMYFUNCTION("""COMPUTED_VALUE"""),46091.0)</f>
        <v>46091</v>
      </c>
      <c r="GY23" s="32">
        <f>IFERROR(__xludf.DUMMYFUNCTION("""COMPUTED_VALUE"""),46091.0)</f>
        <v>46091</v>
      </c>
      <c r="GZ23" s="32">
        <f>IFERROR(__xludf.DUMMYFUNCTION("""COMPUTED_VALUE"""),46092.0)</f>
        <v>46092</v>
      </c>
      <c r="HA23" s="32">
        <f>IFERROR(__xludf.DUMMYFUNCTION("""COMPUTED_VALUE"""),46092.0)</f>
        <v>46092</v>
      </c>
      <c r="HB23" s="32">
        <f>IFERROR(__xludf.DUMMYFUNCTION("""COMPUTED_VALUE"""),46093.0)</f>
        <v>46093</v>
      </c>
      <c r="HC23" s="32">
        <f>IFERROR(__xludf.DUMMYFUNCTION("""COMPUTED_VALUE"""),46095.0)</f>
        <v>46095</v>
      </c>
      <c r="HD23" s="32">
        <f>IFERROR(__xludf.DUMMYFUNCTION("""COMPUTED_VALUE"""),46095.0)</f>
        <v>46095</v>
      </c>
      <c r="HE23" s="32">
        <f>IFERROR(__xludf.DUMMYFUNCTION("""COMPUTED_VALUE"""),46095.0)</f>
        <v>46095</v>
      </c>
      <c r="HF23" s="32">
        <f>IFERROR(__xludf.DUMMYFUNCTION("""COMPUTED_VALUE"""),46098.0)</f>
        <v>46098</v>
      </c>
      <c r="HG23" s="32">
        <f>IFERROR(__xludf.DUMMYFUNCTION("""COMPUTED_VALUE"""),46098.0)</f>
        <v>46098</v>
      </c>
      <c r="HH23" s="32">
        <f>IFERROR(__xludf.DUMMYFUNCTION("""COMPUTED_VALUE"""),46098.0)</f>
        <v>46098</v>
      </c>
      <c r="HI23" s="32">
        <f>IFERROR(__xludf.DUMMYFUNCTION("""COMPUTED_VALUE"""),46099.0)</f>
        <v>46099</v>
      </c>
      <c r="HJ23" s="32">
        <f>IFERROR(__xludf.DUMMYFUNCTION("""COMPUTED_VALUE"""),46100.0)</f>
        <v>46100</v>
      </c>
      <c r="HK23" s="32" t="str">
        <f>IFERROR(__xludf.DUMMYFUNCTION("""COMPUTED_VALUE"""),"3 четверть")</f>
        <v>3 четверть</v>
      </c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  <c r="IH23" s="32"/>
      <c r="II23" s="32"/>
      <c r="IJ23" s="32"/>
      <c r="IK23" s="32"/>
      <c r="IL23" s="32"/>
      <c r="IM23" s="32"/>
      <c r="IN23" s="32"/>
      <c r="IO23" s="32"/>
      <c r="IP23" s="32"/>
      <c r="IQ23" s="32"/>
      <c r="IR23" s="32"/>
      <c r="IS23" s="32"/>
      <c r="IT23" s="32"/>
      <c r="IU23" s="32"/>
      <c r="IV23" s="32"/>
      <c r="IW23" s="32"/>
      <c r="IX23" s="32"/>
      <c r="IY23" s="32"/>
      <c r="IZ23" s="32"/>
      <c r="JA23" s="32"/>
      <c r="JB23" s="32"/>
      <c r="JC23" s="32"/>
      <c r="JD23" s="32"/>
      <c r="JE23" s="32"/>
    </row>
    <row r="24">
      <c r="A24" s="42" t="s">
        <v>284</v>
      </c>
      <c r="B24" s="35" t="str">
        <f>IFERROR(__xludf.DUMMYFUNCTION("VLOOKUP($A$1,IMPORTRANGE($A$2, CONCATENATE($A24,""!$B$5:$JB$48"")),B$1,0)"),"")</f>
        <v/>
      </c>
      <c r="C24" s="35" t="str">
        <f>IFERROR(__xludf.DUMMYFUNCTION("VLOOKUP($A$1,IMPORTRANGE($A$2, CONCATENATE($A24,""!$B$5:$JB$48"")),C$1,0)"),"")</f>
        <v/>
      </c>
      <c r="D24" s="35" t="str">
        <f>IFERROR(__xludf.DUMMYFUNCTION("VLOOKUP($A$1,IMPORTRANGE($A$2, CONCATENATE($A24,""!$B$5:$JB$48"")),D$1,0)"),"")</f>
        <v/>
      </c>
      <c r="E24" s="35" t="str">
        <f>IFERROR(__xludf.DUMMYFUNCTION("VLOOKUP($A$1,IMPORTRANGE($A$2, CONCATENATE($A24,""!$B$5:$JB$48"")),E$1,0)"),"")</f>
        <v/>
      </c>
      <c r="F24" s="35" t="str">
        <f>IFERROR(__xludf.DUMMYFUNCTION("VLOOKUP($A$1,IMPORTRANGE($A$2, CONCATENATE($A24,""!$B$5:$JB$48"")),F$1,0)"),"")</f>
        <v/>
      </c>
      <c r="G24" s="35" t="str">
        <f>IFERROR(__xludf.DUMMYFUNCTION("VLOOKUP($A$1,IMPORTRANGE($A$2, CONCATENATE($A24,""!$B$5:$JB$48"")),G$1,0)"),"")</f>
        <v/>
      </c>
      <c r="H24" s="35" t="str">
        <f>IFERROR(__xludf.DUMMYFUNCTION("VLOOKUP($A$1,IMPORTRANGE($A$2, CONCATENATE($A24,""!$B$5:$JB$48"")),H$1,0)"),"")</f>
        <v/>
      </c>
      <c r="I24" s="35" t="str">
        <f>IFERROR(__xludf.DUMMYFUNCTION("VLOOKUP($A$1,IMPORTRANGE($A$2, CONCATENATE($A24,""!$B$5:$JB$48"")),I$1,0)"),"")</f>
        <v/>
      </c>
      <c r="J24" s="35" t="str">
        <f>IFERROR(__xludf.DUMMYFUNCTION("VLOOKUP($A$1,IMPORTRANGE($A$2, CONCATENATE($A24,""!$B$5:$JB$48"")),J$1,0)"),"")</f>
        <v/>
      </c>
      <c r="K24" s="35" t="str">
        <f>IFERROR(__xludf.DUMMYFUNCTION("VLOOKUP($A$1,IMPORTRANGE($A$2, CONCATENATE($A24,""!$B$5:$JB$48"")),K$1,0)"),"")</f>
        <v/>
      </c>
      <c r="L24" s="35">
        <f>IFERROR(__xludf.DUMMYFUNCTION("VLOOKUP($A$1,IMPORTRANGE($A$2, CONCATENATE($A24,""!$B$5:$JB$48"")),L$1,0)"),4.0)</f>
        <v>4</v>
      </c>
      <c r="M24" s="35" t="str">
        <f>IFERROR(__xludf.DUMMYFUNCTION("VLOOKUP($A$1,IMPORTRANGE($A$2, CONCATENATE($A24,""!$B$5:$JB$48"")),M$1,0)"),"")</f>
        <v/>
      </c>
      <c r="N24" s="35" t="str">
        <f>IFERROR(__xludf.DUMMYFUNCTION("VLOOKUP($A$1,IMPORTRANGE($A$2, CONCATENATE($A24,""!$B$5:$JB$48"")),N$1,0)"),"")</f>
        <v/>
      </c>
      <c r="O24" s="35" t="str">
        <f>IFERROR(__xludf.DUMMYFUNCTION("VLOOKUP($A$1,IMPORTRANGE($A$2, CONCATENATE($A24,""!$B$5:$JB$48"")),O$1,0)"),"")</f>
        <v/>
      </c>
      <c r="P24" s="35" t="str">
        <f>IFERROR(__xludf.DUMMYFUNCTION("VLOOKUP($A$1,IMPORTRANGE($A$2, CONCATENATE($A24,""!$B$5:$JB$48"")),P$1,0)"),"")</f>
        <v/>
      </c>
      <c r="Q24" s="35" t="str">
        <f>IFERROR(__xludf.DUMMYFUNCTION("VLOOKUP($A$1,IMPORTRANGE($A$2, CONCATENATE($A24,""!$B$5:$JB$48"")),Q$1,0)"),"")</f>
        <v/>
      </c>
      <c r="R24" s="35" t="str">
        <f>IFERROR(__xludf.DUMMYFUNCTION("VLOOKUP($A$1,IMPORTRANGE($A$2, CONCATENATE($A24,""!$B$5:$JB$48"")),R$1,0)"),"")</f>
        <v/>
      </c>
      <c r="S24" s="35" t="str">
        <f>IFERROR(__xludf.DUMMYFUNCTION("VLOOKUP($A$1,IMPORTRANGE($A$2, CONCATENATE($A24,""!$B$5:$JB$48"")),S$1,0)"),"")</f>
        <v/>
      </c>
      <c r="T24" s="35" t="str">
        <f>IFERROR(__xludf.DUMMYFUNCTION("VLOOKUP($A$1,IMPORTRANGE($A$2, CONCATENATE($A24,""!$B$5:$JB$48"")),T$1,0)"),"")</f>
        <v/>
      </c>
      <c r="U24" s="35">
        <f>IFERROR(__xludf.DUMMYFUNCTION("VLOOKUP($A$1,IMPORTRANGE($A$2, CONCATENATE($A24,""!$B$5:$JB$48"")),U$1,0)"),5.0)</f>
        <v>5</v>
      </c>
      <c r="V24" s="35" t="str">
        <f>IFERROR(__xludf.DUMMYFUNCTION("VLOOKUP($A$1,IMPORTRANGE($A$2, CONCATENATE($A24,""!$B$5:$JB$48"")),V$1,0)"),"")</f>
        <v/>
      </c>
      <c r="W24" s="35" t="str">
        <f>IFERROR(__xludf.DUMMYFUNCTION("VLOOKUP($A$1,IMPORTRANGE($A$2, CONCATENATE($A24,""!$B$5:$JB$48"")),W$1,0)"),"")</f>
        <v/>
      </c>
      <c r="X24" s="35" t="str">
        <f>IFERROR(__xludf.DUMMYFUNCTION("VLOOKUP($A$1,IMPORTRANGE($A$2, CONCATENATE($A24,""!$B$5:$JB$48"")),X$1,0)"),"")</f>
        <v/>
      </c>
      <c r="Y24" s="35">
        <f>IFERROR(__xludf.DUMMYFUNCTION("VLOOKUP($A$1,IMPORTRANGE($A$2, CONCATENATE($A24,""!$B$5:$JB$48"")),Y$1,0)"),5.0)</f>
        <v>5</v>
      </c>
      <c r="Z24" s="35" t="str">
        <f>IFERROR(__xludf.DUMMYFUNCTION("VLOOKUP($A$1,IMPORTRANGE($A$2, CONCATENATE($A24,""!$B$5:$JB$48"")),Z$1,0)"),"")</f>
        <v/>
      </c>
      <c r="AA24" s="35" t="str">
        <f>IFERROR(__xludf.DUMMYFUNCTION("VLOOKUP($A$1,IMPORTRANGE($A$2, CONCATENATE($A24,""!$B$5:$JB$48"")),AA$1,0)"),"")</f>
        <v/>
      </c>
      <c r="AB24" s="35">
        <f>IFERROR(__xludf.DUMMYFUNCTION("VLOOKUP($A$1,IMPORTRANGE($A$2, CONCATENATE($A24,""!$B$5:$JB$48"")),AB$1,0)"),5.0)</f>
        <v>5</v>
      </c>
      <c r="AC24" s="35" t="str">
        <f>IFERROR(__xludf.DUMMYFUNCTION("VLOOKUP($A$1,IMPORTRANGE($A$2, CONCATENATE($A24,""!$B$5:$JB$48"")),AC$1,0)"),"")</f>
        <v/>
      </c>
      <c r="AD24" s="35">
        <f>IFERROR(__xludf.DUMMYFUNCTION("VLOOKUP($A$1,IMPORTRANGE($A$2, CONCATENATE($A24,""!$B$5:$JB$48"")),AD$1,0)"),5.0)</f>
        <v>5</v>
      </c>
      <c r="AE24" s="35" t="str">
        <f>IFERROR(__xludf.DUMMYFUNCTION("VLOOKUP($A$1,IMPORTRANGE($A$2, CONCATENATE($A24,""!$B$5:$JB$48"")),AE$1,0)"),"")</f>
        <v/>
      </c>
      <c r="AF24" s="35">
        <f>IFERROR(__xludf.DUMMYFUNCTION("VLOOKUP($A$1,IMPORTRANGE($A$2, CONCATENATE($A24,""!$B$5:$JB$48"")),AF$1,0)"),5.0)</f>
        <v>5</v>
      </c>
      <c r="AG24" s="35" t="str">
        <f>IFERROR(__xludf.DUMMYFUNCTION("VLOOKUP($A$1,IMPORTRANGE($A$2, CONCATENATE($A24,""!$B$5:$JB$48"")),AG$1,0)"),"")</f>
        <v/>
      </c>
      <c r="AH24" s="35" t="str">
        <f>IFERROR(__xludf.DUMMYFUNCTION("VLOOKUP($A$1,IMPORTRANGE($A$2, CONCATENATE($A24,""!$B$5:$JB$48"")),AH$1,0)"),"")</f>
        <v/>
      </c>
      <c r="AI24" s="35" t="str">
        <f>IFERROR(__xludf.DUMMYFUNCTION("VLOOKUP($A$1,IMPORTRANGE($A$2, CONCATENATE($A24,""!$B$5:$JB$48"")),AI$1,0)"),"")</f>
        <v/>
      </c>
      <c r="AJ24" s="35" t="str">
        <f>IFERROR(__xludf.DUMMYFUNCTION("VLOOKUP($A$1,IMPORTRANGE($A$2, CONCATENATE($A24,""!$B$5:$JB$48"")),AJ$1,0)"),"")</f>
        <v/>
      </c>
      <c r="AK24" s="35">
        <f>IFERROR(__xludf.DUMMYFUNCTION("VLOOKUP($A$1,IMPORTRANGE($A$2, CONCATENATE($A24,""!$B$5:$JB$48"")),AK$1,0)"),5.0)</f>
        <v>5</v>
      </c>
      <c r="AL24" s="35" t="str">
        <f>IFERROR(__xludf.DUMMYFUNCTION("VLOOKUP($A$1,IMPORTRANGE($A$2, CONCATENATE($A24,""!$B$5:$JB$48"")),AL$1,0)"),"")</f>
        <v/>
      </c>
      <c r="AM24" s="35" t="str">
        <f>IFERROR(__xludf.DUMMYFUNCTION("VLOOKUP($A$1,IMPORTRANGE($A$2, CONCATENATE($A24,""!$B$5:$JB$48"")),AM$1,0)"),"")</f>
        <v/>
      </c>
      <c r="AN24" s="35">
        <f>IFERROR(__xludf.DUMMYFUNCTION("VLOOKUP($A$1,IMPORTRANGE($A$2, CONCATENATE($A24,""!$B$5:$JB$48"")),AN$1,0)"),4.0)</f>
        <v>4</v>
      </c>
      <c r="AO24" s="35" t="str">
        <f>IFERROR(__xludf.DUMMYFUNCTION("VLOOKUP($A$1,IMPORTRANGE($A$2, CONCATENATE($A24,""!$B$5:$JB$48"")),AO$1,0)"),"")</f>
        <v/>
      </c>
      <c r="AP24" s="35" t="str">
        <f>IFERROR(__xludf.DUMMYFUNCTION("VLOOKUP($A$1,IMPORTRANGE($A$2, CONCATENATE($A24,""!$B$5:$JB$48"")),AP$1,0)"),"")</f>
        <v/>
      </c>
      <c r="AQ24" s="35" t="str">
        <f>IFERROR(__xludf.DUMMYFUNCTION("VLOOKUP($A$1,IMPORTRANGE($A$2, CONCATENATE($A24,""!$B$5:$JB$48"")),AQ$1,0)"),"")</f>
        <v/>
      </c>
      <c r="AR24" s="35" t="str">
        <f>IFERROR(__xludf.DUMMYFUNCTION("VLOOKUP($A$1,IMPORTRANGE($A$2, CONCATENATE($A24,""!$B$5:$JB$48"")),AR$1,0)"),"")</f>
        <v/>
      </c>
      <c r="AS24" s="35" t="str">
        <f>IFERROR(__xludf.DUMMYFUNCTION("VLOOKUP($A$1,IMPORTRANGE($A$2, CONCATENATE($A24,""!$B$5:$JB$48"")),AS$1,0)"),"")</f>
        <v/>
      </c>
      <c r="AT24" s="35" t="str">
        <f>IFERROR(__xludf.DUMMYFUNCTION("VLOOKUP($A$1,IMPORTRANGE($A$2, CONCATENATE($A24,""!$B$5:$JB$48"")),AT$1,0)"),"")</f>
        <v/>
      </c>
      <c r="AU24" s="35">
        <f>IFERROR(__xludf.DUMMYFUNCTION("VLOOKUP($A$1,IMPORTRANGE($A$2, CONCATENATE($A24,""!$B$5:$JB$48"")),AU$1,0)"),4.0)</f>
        <v>4</v>
      </c>
      <c r="AV24" s="35" t="str">
        <f>IFERROR(__xludf.DUMMYFUNCTION("VLOOKUP($A$1,IMPORTRANGE($A$2, CONCATENATE($A24,""!$B$5:$JB$48"")),AV$1,0)"),"")</f>
        <v/>
      </c>
      <c r="AW24" s="35" t="str">
        <f>IFERROR(__xludf.DUMMYFUNCTION("VLOOKUP($A$1,IMPORTRANGE($A$2, CONCATENATE($A24,""!$B$5:$JB$48"")),AW$1,0)"),"")</f>
        <v/>
      </c>
      <c r="AX24" s="35" t="str">
        <f>IFERROR(__xludf.DUMMYFUNCTION("VLOOKUP($A$1,IMPORTRANGE($A$2, CONCATENATE($A24,""!$B$5:$JB$48"")),AX$1,0)"),"")</f>
        <v/>
      </c>
      <c r="AY24" s="35" t="str">
        <f>IFERROR(__xludf.DUMMYFUNCTION("VLOOKUP($A$1,IMPORTRANGE($A$2, CONCATENATE($A24,""!$B$5:$JB$48"")),AY$1,0)"),"")</f>
        <v/>
      </c>
      <c r="AZ24" s="35" t="str">
        <f>IFERROR(__xludf.DUMMYFUNCTION("VLOOKUP($A$1,IMPORTRANGE($A$2, CONCATENATE($A24,""!$B$5:$JB$48"")),AZ$1,0)"),"")</f>
        <v/>
      </c>
      <c r="BA24" s="35" t="str">
        <f>IFERROR(__xludf.DUMMYFUNCTION("VLOOKUP($A$1,IMPORTRANGE($A$2, CONCATENATE($A24,""!$B$5:$JB$48"")),BA$1,0)"),"")</f>
        <v/>
      </c>
      <c r="BB24" s="35" t="str">
        <f>IFERROR(__xludf.DUMMYFUNCTION("VLOOKUP($A$1,IMPORTRANGE($A$2, CONCATENATE($A24,""!$B$5:$JB$48"")),BB$1,0)"),"")</f>
        <v/>
      </c>
      <c r="BC24" s="35" t="str">
        <f>IFERROR(__xludf.DUMMYFUNCTION("VLOOKUP($A$1,IMPORTRANGE($A$2, CONCATENATE($A24,""!$B$5:$JB$48"")),BC$1,0)"),"")</f>
        <v/>
      </c>
      <c r="BD24" s="35" t="str">
        <f>IFERROR(__xludf.DUMMYFUNCTION("VLOOKUP($A$1,IMPORTRANGE($A$2, CONCATENATE($A24,""!$B$5:$JB$48"")),BD$1,0)"),"")</f>
        <v/>
      </c>
      <c r="BE24" s="35" t="str">
        <f>IFERROR(__xludf.DUMMYFUNCTION("VLOOKUP($A$1,IMPORTRANGE($A$2, CONCATENATE($A24,""!$B$5:$JB$48"")),BE$1,0)"),"")</f>
        <v/>
      </c>
      <c r="BF24" s="35" t="str">
        <f>IFERROR(__xludf.DUMMYFUNCTION("VLOOKUP($A$1,IMPORTRANGE($A$2, CONCATENATE($A24,""!$B$5:$JB$48"")),BF$1,0)"),"")</f>
        <v/>
      </c>
      <c r="BG24" s="35" t="str">
        <f>IFERROR(__xludf.DUMMYFUNCTION("VLOOKUP($A$1,IMPORTRANGE($A$2, CONCATENATE($A24,""!$B$5:$JB$48"")),BG$1,0)"),"")</f>
        <v/>
      </c>
      <c r="BH24" s="35" t="str">
        <f>IFERROR(__xludf.DUMMYFUNCTION("VLOOKUP($A$1,IMPORTRANGE($A$2, CONCATENATE($A24,""!$B$5:$JB$48"")),BH$1,0)"),"")</f>
        <v/>
      </c>
      <c r="BI24" s="35" t="str">
        <f>IFERROR(__xludf.DUMMYFUNCTION("VLOOKUP($A$1,IMPORTRANGE($A$2, CONCATENATE($A24,""!$B$5:$JB$48"")),BI$1,0)"),"")</f>
        <v/>
      </c>
      <c r="BJ24" s="35" t="str">
        <f>IFERROR(__xludf.DUMMYFUNCTION("VLOOKUP($A$1,IMPORTRANGE($A$2, CONCATENATE($A24,""!$B$5:$JB$48"")),BJ$1,0)"),"")</f>
        <v/>
      </c>
      <c r="BK24" s="35" t="str">
        <f>IFERROR(__xludf.DUMMYFUNCTION("VLOOKUP($A$1,IMPORTRANGE($A$2, CONCATENATE($A24,""!$B$5:$JB$48"")),BK$1,0)"),"")</f>
        <v/>
      </c>
      <c r="BL24" s="35" t="str">
        <f>IFERROR(__xludf.DUMMYFUNCTION("VLOOKUP($A$1,IMPORTRANGE($A$2, CONCATENATE($A24,""!$B$5:$JB$48"")),BL$1,0)"),"")</f>
        <v/>
      </c>
      <c r="BM24" s="35" t="str">
        <f>IFERROR(__xludf.DUMMYFUNCTION("VLOOKUP($A$1,IMPORTRANGE($A$2, CONCATENATE($A24,""!$B$5:$JB$48"")),BM$1,0)"),"")</f>
        <v/>
      </c>
      <c r="BN24" s="35" t="str">
        <f>IFERROR(__xludf.DUMMYFUNCTION("VLOOKUP($A$1,IMPORTRANGE($A$2, CONCATENATE($A24,""!$B$5:$JB$48"")),BN$1,0)"),"")</f>
        <v/>
      </c>
      <c r="BO24" s="35" t="str">
        <f>IFERROR(__xludf.DUMMYFUNCTION("VLOOKUP($A$1,IMPORTRANGE($A$2, CONCATENATE($A24,""!$B$5:$JB$48"")),BO$1,0)"),"")</f>
        <v/>
      </c>
      <c r="BP24" s="35" t="str">
        <f>IFERROR(__xludf.DUMMYFUNCTION("VLOOKUP($A$1,IMPORTRANGE($A$2, CONCATENATE($A24,""!$B$5:$JB$48"")),BP$1,0)"),"")</f>
        <v/>
      </c>
      <c r="BQ24" s="35">
        <f>IFERROR(__xludf.DUMMYFUNCTION("VLOOKUP($A$1,IMPORTRANGE($A$2, CONCATENATE($A24,""!$B$5:$JB$48"")),BQ$1,0)"),5.0)</f>
        <v>5</v>
      </c>
      <c r="BR24" s="35" t="str">
        <f>IFERROR(__xludf.DUMMYFUNCTION("VLOOKUP($A$1,IMPORTRANGE($A$2, CONCATENATE($A24,""!$B$5:$JB$48"")),BR$1,0)"),"")</f>
        <v/>
      </c>
      <c r="BS24" s="35" t="str">
        <f>IFERROR(__xludf.DUMMYFUNCTION("VLOOKUP($A$1,IMPORTRANGE($A$2, CONCATENATE($A24,""!$B$5:$JB$48"")),BS$1,0)"),"")</f>
        <v/>
      </c>
      <c r="BT24" s="35">
        <f>IFERROR(__xludf.DUMMYFUNCTION("VLOOKUP($A$1,IMPORTRANGE($A$2, CONCATENATE($A24,""!$B$5:$JB$48"")),BT$1,0)"),5.0)</f>
        <v>5</v>
      </c>
      <c r="BU24" s="35" t="str">
        <f>IFERROR(__xludf.DUMMYFUNCTION("VLOOKUP($A$1,IMPORTRANGE($A$2, CONCATENATE($A24,""!$B$5:$JB$48"")),BU$1,0)"),"")</f>
        <v/>
      </c>
      <c r="BV24" s="35" t="str">
        <f>IFERROR(__xludf.DUMMYFUNCTION("VLOOKUP($A$1,IMPORTRANGE($A$2, CONCATENATE($A24,""!$B$5:$JB$48"")),BV$1,0)"),"")</f>
        <v/>
      </c>
      <c r="BW24" s="35" t="str">
        <f>IFERROR(__xludf.DUMMYFUNCTION("VLOOKUP($A$1,IMPORTRANGE($A$2, CONCATENATE($A24,""!$B$5:$JB$48"")),BW$1,0)"),"")</f>
        <v/>
      </c>
      <c r="BX24" s="35" t="str">
        <f>IFERROR(__xludf.DUMMYFUNCTION("VLOOKUP($A$1,IMPORTRANGE($A$2, CONCATENATE($A24,""!$B$5:$JB$48"")),BX$1,0)"),"")</f>
        <v/>
      </c>
      <c r="BY24" s="35" t="str">
        <f>IFERROR(__xludf.DUMMYFUNCTION("VLOOKUP($A$1,IMPORTRANGE($A$2, CONCATENATE($A24,""!$B$5:$JB$48"")),BY$1,0)"),"")</f>
        <v/>
      </c>
      <c r="BZ24" s="35">
        <f>IFERROR(__xludf.DUMMYFUNCTION("VLOOKUP($A$1,IMPORTRANGE($A$2, CONCATENATE($A24,""!$B$5:$JB$48"")),BZ$1,0)"),3.0)</f>
        <v>3</v>
      </c>
      <c r="CA24" s="35">
        <f>IFERROR(__xludf.DUMMYFUNCTION("VLOOKUP($A$1,IMPORTRANGE($A$2, CONCATENATE($A24,""!$B$5:$JB$48"")),CA$1,0)"),5.0)</f>
        <v>5</v>
      </c>
      <c r="CB24" s="35" t="str">
        <f>IFERROR(__xludf.DUMMYFUNCTION("VLOOKUP($A$1,IMPORTRANGE($A$2, CONCATENATE($A24,""!$B$5:$JB$48"")),CB$1,0)"),"")</f>
        <v/>
      </c>
      <c r="CC24" s="35">
        <f>IFERROR(__xludf.DUMMYFUNCTION("VLOOKUP($A$1,IMPORTRANGE($A$2, CONCATENATE($A24,""!$B$5:$JB$48"")),CC$1,0)"),5.0)</f>
        <v>5</v>
      </c>
      <c r="CD24" s="35" t="str">
        <f>IFERROR(__xludf.DUMMYFUNCTION("VLOOKUP($A$1,IMPORTRANGE($A$2, CONCATENATE($A24,""!$B$5:$JB$48"")),CD$1,0)"),"")</f>
        <v/>
      </c>
      <c r="CE24" s="35" t="str">
        <f>IFERROR(__xludf.DUMMYFUNCTION("VLOOKUP($A$1,IMPORTRANGE($A$2, CONCATENATE($A24,""!$B$5:$JB$48"")),CE$1,0)"),"")</f>
        <v/>
      </c>
      <c r="CF24" s="35" t="str">
        <f>IFERROR(__xludf.DUMMYFUNCTION("VLOOKUP($A$1,IMPORTRANGE($A$2, CONCATENATE($A24,""!$B$5:$JB$48"")),CF$1,0)"),"")</f>
        <v/>
      </c>
      <c r="CG24" s="35">
        <f>IFERROR(__xludf.DUMMYFUNCTION("VLOOKUP($A$1,IMPORTRANGE($A$2, CONCATENATE($A24,""!$B$5:$JB$48"")),CG$1,0)"),3.0)</f>
        <v>3</v>
      </c>
      <c r="CH24" s="35" t="str">
        <f>IFERROR(__xludf.DUMMYFUNCTION("VLOOKUP($A$1,IMPORTRANGE($A$2, CONCATENATE($A24,""!$B$5:$JB$48"")),CH$1,0)"),"")</f>
        <v/>
      </c>
      <c r="CI24" s="35" t="str">
        <f>IFERROR(__xludf.DUMMYFUNCTION("VLOOKUP($A$1,IMPORTRANGE($A$2, CONCATENATE($A24,""!$B$5:$JB$48"")),CI$1,0)"),"")</f>
        <v/>
      </c>
      <c r="CJ24" s="35" t="str">
        <f>IFERROR(__xludf.DUMMYFUNCTION("VLOOKUP($A$1,IMPORTRANGE($A$2, CONCATENATE($A24,""!$B$5:$JB$48"")),CJ$1,0)"),"н")</f>
        <v>н</v>
      </c>
      <c r="CK24" s="35" t="str">
        <f>IFERROR(__xludf.DUMMYFUNCTION("VLOOKUP($A$1,IMPORTRANGE($A$2, CONCATENATE($A24,""!$B$5:$JB$48"")),CK$1,0)"),"н")</f>
        <v>н</v>
      </c>
      <c r="CL24" s="35">
        <f>IFERROR(__xludf.DUMMYFUNCTION("VLOOKUP($A$1,IMPORTRANGE($A$2, CONCATENATE($A24,""!$B$5:$JB$48"")),CL$1,0)"),2.0)</f>
        <v>2</v>
      </c>
      <c r="CM24" s="35" t="str">
        <f>IFERROR(__xludf.DUMMYFUNCTION("VLOOKUP($A$1,IMPORTRANGE($A$2, CONCATENATE($A24,""!$B$5:$JB$48"")),CM$1,0)"),"")</f>
        <v/>
      </c>
      <c r="CN24" s="35" t="str">
        <f>IFERROR(__xludf.DUMMYFUNCTION("VLOOKUP($A$1,IMPORTRANGE($A$2, CONCATENATE($A24,""!$B$5:$JB$48"")),CN$1,0)"),"")</f>
        <v/>
      </c>
      <c r="CO24" s="35" t="str">
        <f>IFERROR(__xludf.DUMMYFUNCTION("VLOOKUP($A$1,IMPORTRANGE($A$2, CONCATENATE($A24,""!$B$5:$JB$48"")),CO$1,0)"),"н")</f>
        <v>н</v>
      </c>
      <c r="CP24" s="35" t="str">
        <f>IFERROR(__xludf.DUMMYFUNCTION("VLOOKUP($A$1,IMPORTRANGE($A$2, CONCATENATE($A24,""!$B$5:$JB$48"")),CP$1,0)"),"н")</f>
        <v>н</v>
      </c>
      <c r="CQ24" s="35" t="str">
        <f>IFERROR(__xludf.DUMMYFUNCTION("VLOOKUP($A$1,IMPORTRANGE($A$2, CONCATENATE($A24,""!$B$5:$JB$48"")),CQ$1,0)"),"")</f>
        <v/>
      </c>
      <c r="CR24" s="35">
        <f>IFERROR(__xludf.DUMMYFUNCTION("VLOOKUP($A$1,IMPORTRANGE($A$2, CONCATENATE($A24,""!$B$5:$JB$48"")),CR$1,0)"),5.0)</f>
        <v>5</v>
      </c>
      <c r="CS24" s="35" t="str">
        <f>IFERROR(__xludf.DUMMYFUNCTION("VLOOKUP($A$1,IMPORTRANGE($A$2, CONCATENATE($A24,""!$B$5:$JB$48"")),CS$1,0)"),"")</f>
        <v/>
      </c>
      <c r="CT24" s="35">
        <f>IFERROR(__xludf.DUMMYFUNCTION("VLOOKUP($A$1,IMPORTRANGE($A$2, CONCATENATE($A24,""!$B$5:$JB$48"")),CT$1,0)"),3.0)</f>
        <v>3</v>
      </c>
      <c r="CU24" s="35" t="str">
        <f>IFERROR(__xludf.DUMMYFUNCTION("VLOOKUP($A$1,IMPORTRANGE($A$2, CONCATENATE($A24,""!$B$5:$JB$48"")),CU$1,0)"),"")</f>
        <v/>
      </c>
      <c r="CV24" s="35">
        <f>IFERROR(__xludf.DUMMYFUNCTION("VLOOKUP($A$1,IMPORTRANGE($A$2, CONCATENATE($A24,""!$B$5:$JB$48"")),CV$1,0)"),5.0)</f>
        <v>5</v>
      </c>
      <c r="CW24" s="35" t="str">
        <f>IFERROR(__xludf.DUMMYFUNCTION("VLOOKUP($A$1,IMPORTRANGE($A$2, CONCATENATE($A24,""!$B$5:$JB$48"")),CW$1,0)"),"")</f>
        <v/>
      </c>
      <c r="CX24" s="35" t="str">
        <f>IFERROR(__xludf.DUMMYFUNCTION("VLOOKUP($A$1,IMPORTRANGE($A$2, CONCATENATE($A24,""!$B$5:$JB$48"")),CX$1,0)"),"")</f>
        <v/>
      </c>
      <c r="CY24" s="35" t="str">
        <f>IFERROR(__xludf.DUMMYFUNCTION("VLOOKUP($A$1,IMPORTRANGE($A$2, CONCATENATE($A24,""!$B$5:$JB$48"")),CY$1,0)"),"")</f>
        <v/>
      </c>
      <c r="CZ24" s="35" t="str">
        <f>IFERROR(__xludf.DUMMYFUNCTION("VLOOKUP($A$1,IMPORTRANGE($A$2, CONCATENATE($A24,""!$B$5:$JB$48"")),CZ$1,0)"),"")</f>
        <v/>
      </c>
      <c r="DA24" s="35" t="str">
        <f>IFERROR(__xludf.DUMMYFUNCTION("VLOOKUP($A$1,IMPORTRANGE($A$2, CONCATENATE($A24,""!$B$5:$JB$48"")),DA$1,0)"),"")</f>
        <v/>
      </c>
      <c r="DB24" s="35" t="str">
        <f>IFERROR(__xludf.DUMMYFUNCTION("VLOOKUP($A$1,IMPORTRANGE($A$2, CONCATENATE($A24,""!$B$5:$JB$48"")),DB$1,0)"),"")</f>
        <v/>
      </c>
      <c r="DC24" s="35" t="str">
        <f>IFERROR(__xludf.DUMMYFUNCTION("VLOOKUP($A$1,IMPORTRANGE($A$2, CONCATENATE($A24,""!$B$5:$JB$48"")),DC$1,0)"),"")</f>
        <v/>
      </c>
      <c r="DD24" s="35" t="str">
        <f>IFERROR(__xludf.DUMMYFUNCTION("VLOOKUP($A$1,IMPORTRANGE($A$2, CONCATENATE($A24,""!$B$5:$JB$48"")),DD$1,0)"),"")</f>
        <v/>
      </c>
      <c r="DE24" s="35" t="str">
        <f>IFERROR(__xludf.DUMMYFUNCTION("VLOOKUP($A$1,IMPORTRANGE($A$2, CONCATENATE($A24,""!$B$5:$JB$48"")),DE$1,0)"),"")</f>
        <v/>
      </c>
      <c r="DF24" s="35" t="str">
        <f>IFERROR(__xludf.DUMMYFUNCTION("VLOOKUP($A$1,IMPORTRANGE($A$2, CONCATENATE($A24,""!$B$5:$JB$48"")),DF$1,0)"),"")</f>
        <v/>
      </c>
      <c r="DG24" s="35">
        <f>IFERROR(__xludf.DUMMYFUNCTION("VLOOKUP($A$1,IMPORTRANGE($A$2, CONCATENATE($A24,""!$B$5:$JB$48"")),DG$1,0)"),4.0)</f>
        <v>4</v>
      </c>
      <c r="DH24" s="35" t="str">
        <f>IFERROR(__xludf.DUMMYFUNCTION("VLOOKUP($A$1,IMPORTRANGE($A$2, CONCATENATE($A24,""!$B$5:$JB$48"")),DH$1,0)"),"")</f>
        <v/>
      </c>
      <c r="DI24" s="35" t="str">
        <f>IFERROR(__xludf.DUMMYFUNCTION("VLOOKUP($A$1,IMPORTRANGE($A$2, CONCATENATE($A24,""!$B$5:$JB$48"")),DI$1,0)"),"")</f>
        <v/>
      </c>
      <c r="DJ24" s="35" t="str">
        <f>IFERROR(__xludf.DUMMYFUNCTION("VLOOKUP($A$1,IMPORTRANGE($A$2, CONCATENATE($A24,""!$B$5:$JB$48"")),DJ$1,0)"),"")</f>
        <v/>
      </c>
      <c r="DK24" s="35" t="str">
        <f>IFERROR(__xludf.DUMMYFUNCTION("VLOOKUP($A$1,IMPORTRANGE($A$2, CONCATENATE($A24,""!$B$5:$JB$48"")),DK$1,0)"),"")</f>
        <v/>
      </c>
      <c r="DL24" s="35" t="str">
        <f>IFERROR(__xludf.DUMMYFUNCTION("VLOOKUP($A$1,IMPORTRANGE($A$2, CONCATENATE($A24,""!$B$5:$JB$48"")),DL$1,0)"),"")</f>
        <v/>
      </c>
      <c r="DM24" s="35" t="str">
        <f>IFERROR(__xludf.DUMMYFUNCTION("VLOOKUP($A$1,IMPORTRANGE($A$2, CONCATENATE($A24,""!$B$5:$JB$48"")),DM$1,0)"),"")</f>
        <v/>
      </c>
      <c r="DN24" s="35" t="str">
        <f>IFERROR(__xludf.DUMMYFUNCTION("VLOOKUP($A$1,IMPORTRANGE($A$2, CONCATENATE($A24,""!$B$5:$JB$48"")),DN$1,0)"),"")</f>
        <v/>
      </c>
      <c r="DO24" s="35" t="str">
        <f>IFERROR(__xludf.DUMMYFUNCTION("VLOOKUP($A$1,IMPORTRANGE($A$2, CONCATENATE($A24,""!$B$5:$JB$48"")),DO$1,0)"),"")</f>
        <v/>
      </c>
      <c r="DP24" s="35" t="str">
        <f>IFERROR(__xludf.DUMMYFUNCTION("VLOOKUP($A$1,IMPORTRANGE($A$2, CONCATENATE($A24,""!$B$5:$JB$48"")),DP$1,0)"),"")</f>
        <v/>
      </c>
      <c r="DQ24" s="35" t="str">
        <f>IFERROR(__xludf.DUMMYFUNCTION("VLOOKUP($A$1,IMPORTRANGE($A$2, CONCATENATE($A24,""!$B$5:$JB$48"")),DQ$1,0)"),"")</f>
        <v/>
      </c>
      <c r="DR24" s="35" t="str">
        <f>IFERROR(__xludf.DUMMYFUNCTION("VLOOKUP($A$1,IMPORTRANGE($A$2, CONCATENATE($A24,""!$B$5:$JB$48"")),DR$1,0)"),"")</f>
        <v/>
      </c>
      <c r="DS24" s="35" t="str">
        <f>IFERROR(__xludf.DUMMYFUNCTION("VLOOKUP($A$1,IMPORTRANGE($A$2, CONCATENATE($A24,""!$B$5:$JB$48"")),DS$1,0)"),"")</f>
        <v/>
      </c>
      <c r="DT24" s="35" t="str">
        <f>IFERROR(__xludf.DUMMYFUNCTION("VLOOKUP($A$1,IMPORTRANGE($A$2, CONCATENATE($A24,""!$B$5:$JB$48"")),DT$1,0)"),"")</f>
        <v/>
      </c>
      <c r="DU24" s="35" t="str">
        <f>IFERROR(__xludf.DUMMYFUNCTION("VLOOKUP($A$1,IMPORTRANGE($A$2, CONCATENATE($A24,""!$B$5:$JB$48"")),DU$1,0)"),"")</f>
        <v/>
      </c>
      <c r="DV24" s="35" t="str">
        <f>IFERROR(__xludf.DUMMYFUNCTION("VLOOKUP($A$1,IMPORTRANGE($A$2, CONCATENATE($A24,""!$B$5:$JB$48"")),DV$1,0)"),"")</f>
        <v/>
      </c>
      <c r="DW24" s="35" t="str">
        <f>IFERROR(__xludf.DUMMYFUNCTION("VLOOKUP($A$1,IMPORTRANGE($A$2, CONCATENATE($A24,""!$B$5:$JB$48"")),DW$1,0)"),"")</f>
        <v/>
      </c>
      <c r="DX24" s="35">
        <f>IFERROR(__xludf.DUMMYFUNCTION("VLOOKUP($A$1,IMPORTRANGE($A$2, CONCATENATE($A24,""!$B$5:$JB$48"")),DX$1,0)"),4.0)</f>
        <v>4</v>
      </c>
      <c r="DY24" s="35" t="str">
        <f>IFERROR(__xludf.DUMMYFUNCTION("VLOOKUP($A$1,IMPORTRANGE($A$2, CONCATENATE($A24,""!$B$5:$JB$48"")),DY$1,0)"),"")</f>
        <v/>
      </c>
      <c r="DZ24" s="35">
        <f>IFERROR(__xludf.DUMMYFUNCTION("VLOOKUP($A$1,IMPORTRANGE($A$2, CONCATENATE($A24,""!$B$5:$JB$48"")),DZ$1,0)"),5.0)</f>
        <v>5</v>
      </c>
      <c r="EA24" s="35" t="str">
        <f>IFERROR(__xludf.DUMMYFUNCTION("VLOOKUP($A$1,IMPORTRANGE($A$2, CONCATENATE($A24,""!$B$5:$JB$48"")),EA$1,0)"),"")</f>
        <v/>
      </c>
      <c r="EB24" s="35" t="str">
        <f>IFERROR(__xludf.DUMMYFUNCTION("VLOOKUP($A$1,IMPORTRANGE($A$2, CONCATENATE($A24,""!$B$5:$JB$48"")),EB$1,0)"),"")</f>
        <v/>
      </c>
      <c r="EC24" s="35" t="str">
        <f>IFERROR(__xludf.DUMMYFUNCTION("VLOOKUP($A$1,IMPORTRANGE($A$2, CONCATENATE($A24,""!$B$5:$JB$48"")),EC$1,0)"),"")</f>
        <v/>
      </c>
      <c r="ED24" s="35">
        <f>IFERROR(__xludf.DUMMYFUNCTION("VLOOKUP($A$1,IMPORTRANGE($A$2, CONCATENATE($A24,""!$B$5:$JB$48"")),ED$1,0)"),5.0)</f>
        <v>5</v>
      </c>
      <c r="EE24" s="35" t="str">
        <f>IFERROR(__xludf.DUMMYFUNCTION("VLOOKUP($A$1,IMPORTRANGE($A$2, CONCATENATE($A24,""!$B$5:$JB$48"")),EE$1,0)"),"")</f>
        <v/>
      </c>
      <c r="EF24" s="35" t="str">
        <f>IFERROR(__xludf.DUMMYFUNCTION("VLOOKUP($A$1,IMPORTRANGE($A$2, CONCATENATE($A24,""!$B$5:$JB$48"")),EF$1,0)"),"")</f>
        <v/>
      </c>
      <c r="EG24" s="35">
        <f>IFERROR(__xludf.DUMMYFUNCTION("VLOOKUP($A$1,IMPORTRANGE($A$2, CONCATENATE($A24,""!$B$5:$JB$48"")),EG$1,0)"),5.0)</f>
        <v>5</v>
      </c>
      <c r="EH24" s="35" t="str">
        <f>IFERROR(__xludf.DUMMYFUNCTION("VLOOKUP($A$1,IMPORTRANGE($A$2, CONCATENATE($A24,""!$B$5:$JB$48"")),EH$1,0)"),"")</f>
        <v/>
      </c>
      <c r="EI24" s="35" t="str">
        <f>IFERROR(__xludf.DUMMYFUNCTION("VLOOKUP($A$1,IMPORTRANGE($A$2, CONCATENATE($A24,""!$B$5:$JB$48"")),EI$1,0)"),"н")</f>
        <v>н</v>
      </c>
      <c r="EJ24" s="35" t="str">
        <f>IFERROR(__xludf.DUMMYFUNCTION("VLOOKUP($A$1,IMPORTRANGE($A$2, CONCATENATE($A24,""!$B$5:$JB$48"")),EJ$1,0)"),"")</f>
        <v/>
      </c>
      <c r="EK24" s="35" t="str">
        <f>IFERROR(__xludf.DUMMYFUNCTION("VLOOKUP($A$1,IMPORTRANGE($A$2, CONCATENATE($A24,""!$B$5:$JB$48"")),EK$1,0)"),"")</f>
        <v/>
      </c>
      <c r="EL24" s="35" t="str">
        <f>IFERROR(__xludf.DUMMYFUNCTION("VLOOKUP($A$1,IMPORTRANGE($A$2, CONCATENATE($A24,""!$B$5:$JB$48"")),EL$1,0)"),"")</f>
        <v/>
      </c>
      <c r="EM24" s="35" t="str">
        <f>IFERROR(__xludf.DUMMYFUNCTION("VLOOKUP($A$1,IMPORTRANGE($A$2, CONCATENATE($A24,""!$B$5:$JB$48"")),EM$1,0)"),"")</f>
        <v/>
      </c>
      <c r="EN24" s="35">
        <f>IFERROR(__xludf.DUMMYFUNCTION("VLOOKUP($A$1,IMPORTRANGE($A$2, CONCATENATE($A24,""!$B$5:$JB$48"")),EN$1,0)"),5.0)</f>
        <v>5</v>
      </c>
      <c r="EO24" s="35" t="str">
        <f>IFERROR(__xludf.DUMMYFUNCTION("VLOOKUP($A$1,IMPORTRANGE($A$2, CONCATENATE($A24,""!$B$5:$JB$48"")),EO$1,0)"),"")</f>
        <v/>
      </c>
      <c r="EP24" s="35" t="str">
        <f>IFERROR(__xludf.DUMMYFUNCTION("VLOOKUP($A$1,IMPORTRANGE($A$2, CONCATENATE($A24,""!$B$5:$JB$48"")),EP$1,0)"),"")</f>
        <v/>
      </c>
      <c r="EQ24" s="35" t="str">
        <f>IFERROR(__xludf.DUMMYFUNCTION("VLOOKUP($A$1,IMPORTRANGE($A$2, CONCATENATE($A24,""!$B$5:$JB$48"")),EQ$1,0)"),"")</f>
        <v/>
      </c>
      <c r="ER24" s="35">
        <f>IFERROR(__xludf.DUMMYFUNCTION("VLOOKUP($A$1,IMPORTRANGE($A$2, CONCATENATE($A24,""!$B$5:$JB$48"")),ER$1,0)"),4.0)</f>
        <v>4</v>
      </c>
      <c r="ES24" s="35" t="str">
        <f>IFERROR(__xludf.DUMMYFUNCTION("VLOOKUP($A$1,IMPORTRANGE($A$2, CONCATENATE($A24,""!$B$5:$JB$48"")),ES$1,0)"),"")</f>
        <v/>
      </c>
      <c r="ET24" s="35" t="str">
        <f>IFERROR(__xludf.DUMMYFUNCTION("VLOOKUP($A$1,IMPORTRANGE($A$2, CONCATENATE($A24,""!$B$5:$JB$48"")),ET$1,0)"),"")</f>
        <v/>
      </c>
      <c r="EU24" s="35" t="str">
        <f>IFERROR(__xludf.DUMMYFUNCTION("VLOOKUP($A$1,IMPORTRANGE($A$2, CONCATENATE($A24,""!$B$5:$JB$48"")),EU$1,0)"),"")</f>
        <v/>
      </c>
      <c r="EV24" s="35" t="str">
        <f>IFERROR(__xludf.DUMMYFUNCTION("VLOOKUP($A$1,IMPORTRANGE($A$2, CONCATENATE($A24,""!$B$5:$JB$48"")),EV$1,0)"),"")</f>
        <v/>
      </c>
      <c r="EW24" s="35" t="str">
        <f>IFERROR(__xludf.DUMMYFUNCTION("VLOOKUP($A$1,IMPORTRANGE($A$2, CONCATENATE($A24,""!$B$5:$JB$48"")),EW$1,0)"),"")</f>
        <v/>
      </c>
      <c r="EX24" s="35" t="str">
        <f>IFERROR(__xludf.DUMMYFUNCTION("VLOOKUP($A$1,IMPORTRANGE($A$2, CONCATENATE($A24,""!$B$5:$JB$48"")),EX$1,0)"),"")</f>
        <v/>
      </c>
      <c r="EY24" s="35" t="str">
        <f>IFERROR(__xludf.DUMMYFUNCTION("VLOOKUP($A$1,IMPORTRANGE($A$2, CONCATENATE($A24,""!$B$5:$JB$48"")),EY$1,0)"),"")</f>
        <v/>
      </c>
      <c r="EZ24" s="35">
        <f>IFERROR(__xludf.DUMMYFUNCTION("VLOOKUP($A$1,IMPORTRANGE($A$2, CONCATENATE($A24,""!$B$5:$JB$48"")),EZ$1,0)"),3.0)</f>
        <v>3</v>
      </c>
      <c r="FA24" s="35" t="str">
        <f>IFERROR(__xludf.DUMMYFUNCTION("VLOOKUP($A$1,IMPORTRANGE($A$2, CONCATENATE($A24,""!$B$5:$JB$48"")),FA$1,0)"),"")</f>
        <v/>
      </c>
      <c r="FB24" s="35" t="str">
        <f>IFERROR(__xludf.DUMMYFUNCTION("VLOOKUP($A$1,IMPORTRANGE($A$2, CONCATENATE($A24,""!$B$5:$JB$48"")),FB$1,0)"),"")</f>
        <v/>
      </c>
      <c r="FC24" s="35" t="str">
        <f>IFERROR(__xludf.DUMMYFUNCTION("VLOOKUP($A$1,IMPORTRANGE($A$2, CONCATENATE($A24,""!$B$5:$JB$48"")),FC$1,0)"),"")</f>
        <v/>
      </c>
      <c r="FD24" s="35" t="str">
        <f>IFERROR(__xludf.DUMMYFUNCTION("VLOOKUP($A$1,IMPORTRANGE($A$2, CONCATENATE($A24,""!$B$5:$JB$48"")),FD$1,0)"),"")</f>
        <v/>
      </c>
      <c r="FE24" s="35">
        <f>IFERROR(__xludf.DUMMYFUNCTION("VLOOKUP($A$1,IMPORTRANGE($A$2, CONCATENATE($A24,""!$B$5:$JB$48"")),FE$1,0)"),4.0)</f>
        <v>4</v>
      </c>
      <c r="FF24" s="35" t="str">
        <f>IFERROR(__xludf.DUMMYFUNCTION("VLOOKUP($A$1,IMPORTRANGE($A$2, CONCATENATE($A24,""!$B$5:$JB$48"")),FF$1,0)"),"")</f>
        <v/>
      </c>
      <c r="FG24" s="35">
        <f>IFERROR(__xludf.DUMMYFUNCTION("VLOOKUP($A$1,IMPORTRANGE($A$2, CONCATENATE($A24,""!$B$5:$JB$48"")),FG$1,0)"),4.0)</f>
        <v>4</v>
      </c>
      <c r="FH24" s="35">
        <f>IFERROR(__xludf.DUMMYFUNCTION("VLOOKUP($A$1,IMPORTRANGE($A$2, CONCATENATE($A24,""!$B$5:$JB$48"")),FH$1,0)"),4.0)</f>
        <v>4</v>
      </c>
      <c r="FI24" s="35">
        <f>IFERROR(__xludf.DUMMYFUNCTION("VLOOKUP($A$1,IMPORTRANGE($A$2, CONCATENATE($A24,""!$B$5:$JB$48"")),FI$1,0)"),5.0)</f>
        <v>5</v>
      </c>
      <c r="FJ24" s="35" t="str">
        <f>IFERROR(__xludf.DUMMYFUNCTION("VLOOKUP($A$1,IMPORTRANGE($A$2, CONCATENATE($A24,""!$B$5:$JB$48"")),FJ$1,0)"),"")</f>
        <v/>
      </c>
      <c r="FK24" s="35" t="str">
        <f>IFERROR(__xludf.DUMMYFUNCTION("VLOOKUP($A$1,IMPORTRANGE($A$2, CONCATENATE($A24,""!$B$5:$JB$48"")),FK$1,0)"),"")</f>
        <v/>
      </c>
      <c r="FL24" s="35" t="str">
        <f>IFERROR(__xludf.DUMMYFUNCTION("VLOOKUP($A$1,IMPORTRANGE($A$2, CONCATENATE($A24,""!$B$5:$JB$48"")),FL$1,0)"),"н")</f>
        <v>н</v>
      </c>
      <c r="FM24" s="35" t="str">
        <f>IFERROR(__xludf.DUMMYFUNCTION("VLOOKUP($A$1,IMPORTRANGE($A$2, CONCATENATE($A24,""!$B$5:$JB$48"")),FM$1,0)"),"")</f>
        <v/>
      </c>
      <c r="FN24" s="35" t="str">
        <f>IFERROR(__xludf.DUMMYFUNCTION("VLOOKUP($A$1,IMPORTRANGE($A$2, CONCATENATE($A24,""!$B$5:$JB$48"")),FN$1,0)"),"")</f>
        <v/>
      </c>
      <c r="FO24" s="35">
        <f>IFERROR(__xludf.DUMMYFUNCTION("VLOOKUP($A$1,IMPORTRANGE($A$2, CONCATENATE($A24,""!$B$5:$JB$48"")),FO$1,0)"),4.0)</f>
        <v>4</v>
      </c>
      <c r="FP24" s="35" t="str">
        <f>IFERROR(__xludf.DUMMYFUNCTION("VLOOKUP($A$1,IMPORTRANGE($A$2, CONCATENATE($A24,""!$B$5:$JB$48"")),FP$1,0)"),"")</f>
        <v/>
      </c>
      <c r="FQ24" s="35" t="str">
        <f>IFERROR(__xludf.DUMMYFUNCTION("VLOOKUP($A$1,IMPORTRANGE($A$2, CONCATENATE($A24,""!$B$5:$JB$48"")),FQ$1,0)"),"")</f>
        <v/>
      </c>
      <c r="FR24" s="35" t="str">
        <f>IFERROR(__xludf.DUMMYFUNCTION("VLOOKUP($A$1,IMPORTRANGE($A$2, CONCATENATE($A24,""!$B$5:$JB$48"")),FR$1,0)"),"")</f>
        <v/>
      </c>
      <c r="FS24" s="35">
        <f>IFERROR(__xludf.DUMMYFUNCTION("VLOOKUP($A$1,IMPORTRANGE($A$2, CONCATENATE($A24,""!$B$5:$JB$48"")),FS$1,0)"),5.0)</f>
        <v>5</v>
      </c>
      <c r="FT24" s="35">
        <f>IFERROR(__xludf.DUMMYFUNCTION("VLOOKUP($A$1,IMPORTRANGE($A$2, CONCATENATE($A24,""!$B$5:$JB$48"")),FT$1,0)"),3.0)</f>
        <v>3</v>
      </c>
      <c r="FU24" s="35">
        <f>IFERROR(__xludf.DUMMYFUNCTION("VLOOKUP($A$1,IMPORTRANGE($A$2, CONCATENATE($A24,""!$B$5:$JB$48"")),FU$1,0)"),2.0)</f>
        <v>2</v>
      </c>
      <c r="FV24" s="35" t="str">
        <f>IFERROR(__xludf.DUMMYFUNCTION("VLOOKUP($A$1,IMPORTRANGE($A$2, CONCATENATE($A24,""!$B$5:$JB$48"")),FV$1,0)"),"")</f>
        <v/>
      </c>
      <c r="FW24" s="35" t="str">
        <f>IFERROR(__xludf.DUMMYFUNCTION("VLOOKUP($A$1,IMPORTRANGE($A$2, CONCATENATE($A24,""!$B$5:$JB$48"")),FW$1,0)"),"")</f>
        <v/>
      </c>
      <c r="FX24" s="35" t="str">
        <f>IFERROR(__xludf.DUMMYFUNCTION("VLOOKUP($A$1,IMPORTRANGE($A$2, CONCATENATE($A24,""!$B$5:$JB$48"")),FX$1,0)"),"")</f>
        <v/>
      </c>
      <c r="FY24" s="35" t="str">
        <f>IFERROR(__xludf.DUMMYFUNCTION("VLOOKUP($A$1,IMPORTRANGE($A$2, CONCATENATE($A24,""!$B$5:$JB$48"")),FY$1,0)"),"")</f>
        <v/>
      </c>
      <c r="FZ24" s="35" t="str">
        <f>IFERROR(__xludf.DUMMYFUNCTION("VLOOKUP($A$1,IMPORTRANGE($A$2, CONCATENATE($A24,""!$B$5:$JB$48"")),FZ$1,0)"),"")</f>
        <v/>
      </c>
      <c r="GA24" s="35" t="str">
        <f>IFERROR(__xludf.DUMMYFUNCTION("VLOOKUP($A$1,IMPORTRANGE($A$2, CONCATENATE($A24,""!$B$5:$JB$48"")),GA$1,0)"),"")</f>
        <v/>
      </c>
      <c r="GB24" s="35" t="str">
        <f>IFERROR(__xludf.DUMMYFUNCTION("VLOOKUP($A$1,IMPORTRANGE($A$2, CONCATENATE($A24,""!$B$5:$JB$48"")),GB$1,0)"),"")</f>
        <v/>
      </c>
      <c r="GC24" s="35" t="str">
        <f>IFERROR(__xludf.DUMMYFUNCTION("VLOOKUP($A$1,IMPORTRANGE($A$2, CONCATENATE($A24,""!$B$5:$JB$48"")),GC$1,0)"),"")</f>
        <v/>
      </c>
      <c r="GD24" s="35">
        <f>IFERROR(__xludf.DUMMYFUNCTION("VLOOKUP($A$1,IMPORTRANGE($A$2, CONCATENATE($A24,""!$B$5:$JB$48"")),GD$1,0)"),3.0)</f>
        <v>3</v>
      </c>
      <c r="GE24" s="35" t="str">
        <f>IFERROR(__xludf.DUMMYFUNCTION("VLOOKUP($A$1,IMPORTRANGE($A$2, CONCATENATE($A24,""!$B$5:$JB$48"")),GE$1,0)"),"")</f>
        <v/>
      </c>
      <c r="GF24" s="35">
        <f>IFERROR(__xludf.DUMMYFUNCTION("VLOOKUP($A$1,IMPORTRANGE($A$2, CONCATENATE($A24,""!$B$5:$JB$48"")),GF$1,0)"),3.0)</f>
        <v>3</v>
      </c>
      <c r="GG24" s="35" t="str">
        <f>IFERROR(__xludf.DUMMYFUNCTION("VLOOKUP($A$1,IMPORTRANGE($A$2, CONCATENATE($A24,""!$B$5:$JB$48"")),GG$1,0)"),"")</f>
        <v/>
      </c>
      <c r="GH24" s="35" t="str">
        <f>IFERROR(__xludf.DUMMYFUNCTION("VLOOKUP($A$1,IMPORTRANGE($A$2, CONCATENATE($A24,""!$B$5:$JB$48"")),GH$1,0)"),"")</f>
        <v/>
      </c>
      <c r="GI24" s="35" t="str">
        <f>IFERROR(__xludf.DUMMYFUNCTION("VLOOKUP($A$1,IMPORTRANGE($A$2, CONCATENATE($A24,""!$B$5:$JB$48"")),GI$1,0)"),"н")</f>
        <v>н</v>
      </c>
      <c r="GJ24" s="35" t="str">
        <f>IFERROR(__xludf.DUMMYFUNCTION("VLOOKUP($A$1,IMPORTRANGE($A$2, CONCATENATE($A24,""!$B$5:$JB$48"")),GJ$1,0)"),"")</f>
        <v/>
      </c>
      <c r="GK24" s="35" t="str">
        <f>IFERROR(__xludf.DUMMYFUNCTION("VLOOKUP($A$1,IMPORTRANGE($A$2, CONCATENATE($A24,""!$B$5:$JB$48"")),GK$1,0)"),"")</f>
        <v/>
      </c>
      <c r="GL24" s="35" t="str">
        <f>IFERROR(__xludf.DUMMYFUNCTION("VLOOKUP($A$1,IMPORTRANGE($A$2, CONCATENATE($A24,""!$B$5:$JB$48"")),GL$1,0)"),"")</f>
        <v/>
      </c>
      <c r="GM24" s="35" t="str">
        <f>IFERROR(__xludf.DUMMYFUNCTION("VLOOKUP($A$1,IMPORTRANGE($A$2, CONCATENATE($A24,""!$B$5:$JB$48"")),GM$1,0)"),"")</f>
        <v/>
      </c>
      <c r="GN24" s="35">
        <f>IFERROR(__xludf.DUMMYFUNCTION("VLOOKUP($A$1,IMPORTRANGE($A$2, CONCATENATE($A24,""!$B$5:$JB$48"")),GN$1,0)"),5.0)</f>
        <v>5</v>
      </c>
      <c r="GO24" s="35" t="str">
        <f>IFERROR(__xludf.DUMMYFUNCTION("VLOOKUP($A$1,IMPORTRANGE($A$2, CONCATENATE($A24,""!$B$5:$JB$48"")),GO$1,0)"),"")</f>
        <v/>
      </c>
      <c r="GP24" s="35" t="str">
        <f>IFERROR(__xludf.DUMMYFUNCTION("VLOOKUP($A$1,IMPORTRANGE($A$2, CONCATENATE($A24,""!$B$5:$JB$48"")),GP$1,0)"),"")</f>
        <v/>
      </c>
      <c r="GQ24" s="35" t="str">
        <f>IFERROR(__xludf.DUMMYFUNCTION("VLOOKUP($A$1,IMPORTRANGE($A$2, CONCATENATE($A24,""!$B$5:$JB$48"")),GQ$1,0)"),"")</f>
        <v/>
      </c>
      <c r="GR24" s="35" t="str">
        <f>IFERROR(__xludf.DUMMYFUNCTION("VLOOKUP($A$1,IMPORTRANGE($A$2, CONCATENATE($A24,""!$B$5:$JB$48"")),GR$1,0)"),"")</f>
        <v/>
      </c>
      <c r="GS24" s="35" t="str">
        <f>IFERROR(__xludf.DUMMYFUNCTION("VLOOKUP($A$1,IMPORTRANGE($A$2, CONCATENATE($A24,""!$B$5:$JB$48"")),GS$1,0)"),"")</f>
        <v/>
      </c>
      <c r="GT24" s="35" t="str">
        <f>IFERROR(__xludf.DUMMYFUNCTION("VLOOKUP($A$1,IMPORTRANGE($A$2, CONCATENATE($A24,""!$B$5:$JB$48"")),GT$1,0)"),"")</f>
        <v/>
      </c>
      <c r="GU24" s="35" t="str">
        <f>IFERROR(__xludf.DUMMYFUNCTION("VLOOKUP($A$1,IMPORTRANGE($A$2, CONCATENATE($A24,""!$B$5:$JB$48"")),GU$1,0)"),"н")</f>
        <v>н</v>
      </c>
      <c r="GV24" s="35" t="str">
        <f>IFERROR(__xludf.DUMMYFUNCTION("VLOOKUP($A$1,IMPORTRANGE($A$2, CONCATENATE($A24,""!$B$5:$JB$48"")),GV$1,0)"),"")</f>
        <v/>
      </c>
      <c r="GW24" s="35" t="str">
        <f>IFERROR(__xludf.DUMMYFUNCTION("VLOOKUP($A$1,IMPORTRANGE($A$2, CONCATENATE($A24,""!$B$5:$JB$48"")),GW$1,0)"),"")</f>
        <v/>
      </c>
      <c r="GX24" s="35">
        <f>IFERROR(__xludf.DUMMYFUNCTION("VLOOKUP($A$1,IMPORTRANGE($A$2, CONCATENATE($A24,""!$B$5:$JB$48"")),GX$1,0)"),4.0)</f>
        <v>4</v>
      </c>
      <c r="GY24" s="35" t="str">
        <f>IFERROR(__xludf.DUMMYFUNCTION("VLOOKUP($A$1,IMPORTRANGE($A$2, CONCATENATE($A24,""!$B$5:$JB$48"")),GY$1,0)"),"")</f>
        <v/>
      </c>
      <c r="GZ24" s="35" t="str">
        <f>IFERROR(__xludf.DUMMYFUNCTION("VLOOKUP($A$1,IMPORTRANGE($A$2, CONCATENATE($A24,""!$B$5:$JB$48"")),GZ$1,0)"),"")</f>
        <v/>
      </c>
      <c r="HA24" s="35" t="str">
        <f>IFERROR(__xludf.DUMMYFUNCTION("VLOOKUP($A$1,IMPORTRANGE($A$2, CONCATENATE($A24,""!$B$5:$JB$48"")),HA$1,0)"),"")</f>
        <v/>
      </c>
      <c r="HB24" s="35" t="str">
        <f>IFERROR(__xludf.DUMMYFUNCTION("VLOOKUP($A$1,IMPORTRANGE($A$2, CONCATENATE($A24,""!$B$5:$JB$48"")),HB$1,0)"),"")</f>
        <v/>
      </c>
      <c r="HC24" s="35" t="str">
        <f>IFERROR(__xludf.DUMMYFUNCTION("VLOOKUP($A$1,IMPORTRANGE($A$2, CONCATENATE($A24,""!$B$5:$JB$48"")),HC$1,0)"),"")</f>
        <v/>
      </c>
      <c r="HD24" s="35" t="str">
        <f>IFERROR(__xludf.DUMMYFUNCTION("VLOOKUP($A$1,IMPORTRANGE($A$2, CONCATENATE($A24,""!$B$5:$JB$48"")),HD$1,0)"),"")</f>
        <v/>
      </c>
      <c r="HE24" s="35">
        <f>IFERROR(__xludf.DUMMYFUNCTION("VLOOKUP($A$1,IMPORTRANGE($A$2, CONCATENATE($A24,""!$B$5:$JB$48"")),HE$1,0)"),5.0)</f>
        <v>5</v>
      </c>
      <c r="HF24" s="35" t="str">
        <f>IFERROR(__xludf.DUMMYFUNCTION("VLOOKUP($A$1,IMPORTRANGE($A$2, CONCATENATE($A24,""!$B$5:$JB$48"")),HF$1,0)"),"")</f>
        <v/>
      </c>
      <c r="HG24" s="35" t="str">
        <f>IFERROR(__xludf.DUMMYFUNCTION("VLOOKUP($A$1,IMPORTRANGE($A$2, CONCATENATE($A24,""!$B$5:$JB$48"")),HG$1,0)"),"")</f>
        <v/>
      </c>
      <c r="HH24" s="35">
        <f>IFERROR(__xludf.DUMMYFUNCTION("VLOOKUP($A$1,IMPORTRANGE($A$2, CONCATENATE($A24,""!$B$5:$JB$48"")),HH$1,0)"),4.0)</f>
        <v>4</v>
      </c>
      <c r="HI24" s="35" t="str">
        <f>IFERROR(__xludf.DUMMYFUNCTION("VLOOKUP($A$1,IMPORTRANGE($A$2, CONCATENATE($A24,""!$B$5:$JB$48"")),HI$1,0)"),"")</f>
        <v/>
      </c>
      <c r="HJ24" s="35" t="str">
        <f>IFERROR(__xludf.DUMMYFUNCTION("VLOOKUP($A$1,IMPORTRANGE($A$2, CONCATENATE($A24,""!$B$5:$JB$48"")),HJ$1,0)"),"")</f>
        <v/>
      </c>
      <c r="HK24" s="35">
        <f>IFERROR(__xludf.DUMMYFUNCTION("VLOOKUP($A$1,IMPORTRANGE($A$2, CONCATENATE($A24,""!$B$5:$JB$48"")),HK$1,0)"),4.0)</f>
        <v>4</v>
      </c>
      <c r="HL24" s="35" t="str">
        <f>IFERROR(__xludf.DUMMYFUNCTION("VLOOKUP($A$1,IMPORTRANGE($A$2, CONCATENATE($A24,""!$B$5:$JB$48"")),HL$1,0)"),"")</f>
        <v/>
      </c>
      <c r="HM24" s="35" t="str">
        <f>IFERROR(__xludf.DUMMYFUNCTION("VLOOKUP($A$1,IMPORTRANGE($A$2, CONCATENATE($A24,""!$B$5:$JB$48"")),HM$1,0)"),"")</f>
        <v/>
      </c>
      <c r="HN24" s="35" t="str">
        <f>IFERROR(__xludf.DUMMYFUNCTION("VLOOKUP($A$1,IMPORTRANGE($A$2, CONCATENATE($A24,""!$B$5:$JB$48"")),HN$1,0)"),"")</f>
        <v/>
      </c>
      <c r="HO24" s="35" t="str">
        <f>IFERROR(__xludf.DUMMYFUNCTION("VLOOKUP($A$1,IMPORTRANGE($A$2, CONCATENATE($A24,""!$B$5:$JB$48"")),HO$1,0)"),"")</f>
        <v/>
      </c>
      <c r="HP24" s="35" t="str">
        <f>IFERROR(__xludf.DUMMYFUNCTION("VLOOKUP($A$1,IMPORTRANGE($A$2, CONCATENATE($A24,""!$B$5:$JB$48"")),HP$1,0)"),"")</f>
        <v/>
      </c>
      <c r="HQ24" s="35" t="str">
        <f>IFERROR(__xludf.DUMMYFUNCTION("VLOOKUP($A$1,IMPORTRANGE($A$2, CONCATENATE($A24,""!$B$5:$JB$48"")),HQ$1,0)"),"")</f>
        <v/>
      </c>
      <c r="HR24" s="35" t="str">
        <f>IFERROR(__xludf.DUMMYFUNCTION("VLOOKUP($A$1,IMPORTRANGE($A$2, CONCATENATE($A24,""!$B$5:$JB$48"")),HR$1,0)"),"")</f>
        <v/>
      </c>
      <c r="HS24" s="35" t="str">
        <f>IFERROR(__xludf.DUMMYFUNCTION("VLOOKUP($A$1,IMPORTRANGE($A$2, CONCATENATE($A24,""!$B$5:$JB$48"")),HS$1,0)"),"")</f>
        <v/>
      </c>
      <c r="HT24" s="35" t="str">
        <f>IFERROR(__xludf.DUMMYFUNCTION("VLOOKUP($A$1,IMPORTRANGE($A$2, CONCATENATE($A24,""!$B$5:$JB$48"")),HT$1,0)"),"")</f>
        <v/>
      </c>
      <c r="HU24" s="35" t="str">
        <f>IFERROR(__xludf.DUMMYFUNCTION("VLOOKUP($A$1,IMPORTRANGE($A$2, CONCATENATE($A24,""!$B$5:$JB$48"")),HU$1,0)"),"")</f>
        <v/>
      </c>
      <c r="HV24" s="35" t="str">
        <f>IFERROR(__xludf.DUMMYFUNCTION("VLOOKUP($A$1,IMPORTRANGE($A$2, CONCATENATE($A24,""!$B$5:$JB$48"")),HV$1,0)"),"")</f>
        <v/>
      </c>
      <c r="HW24" s="35" t="str">
        <f>IFERROR(__xludf.DUMMYFUNCTION("VLOOKUP($A$1,IMPORTRANGE($A$2, CONCATENATE($A24,""!$B$5:$JB$48"")),HW$1,0)"),"")</f>
        <v/>
      </c>
      <c r="HX24" s="35" t="str">
        <f>IFERROR(__xludf.DUMMYFUNCTION("VLOOKUP($A$1,IMPORTRANGE($A$2, CONCATENATE($A24,""!$B$5:$JB$48"")),HX$1,0)"),"")</f>
        <v/>
      </c>
      <c r="HY24" s="35" t="str">
        <f>IFERROR(__xludf.DUMMYFUNCTION("VLOOKUP($A$1,IMPORTRANGE($A$2, CONCATENATE($A24,""!$B$5:$JB$48"")),HY$1,0)"),"")</f>
        <v/>
      </c>
      <c r="HZ24" s="35" t="str">
        <f>IFERROR(__xludf.DUMMYFUNCTION("VLOOKUP($A$1,IMPORTRANGE($A$2, CONCATENATE($A24,""!$B$5:$JB$48"")),HZ$1,0)"),"")</f>
        <v/>
      </c>
      <c r="IA24" s="35" t="str">
        <f>IFERROR(__xludf.DUMMYFUNCTION("VLOOKUP($A$1,IMPORTRANGE($A$2, CONCATENATE($A24,""!$B$5:$JB$48"")),IA$1,0)"),"")</f>
        <v/>
      </c>
      <c r="IB24" s="35" t="str">
        <f>IFERROR(__xludf.DUMMYFUNCTION("VLOOKUP($A$1,IMPORTRANGE($A$2, CONCATENATE($A24,""!$B$5:$JB$48"")),IB$1,0)"),"")</f>
        <v/>
      </c>
      <c r="IC24" s="35" t="str">
        <f>IFERROR(__xludf.DUMMYFUNCTION("VLOOKUP($A$1,IMPORTRANGE($A$2, CONCATENATE($A24,""!$B$5:$JB$48"")),IC$1,0)"),"")</f>
        <v/>
      </c>
      <c r="ID24" s="35" t="str">
        <f>IFERROR(__xludf.DUMMYFUNCTION("VLOOKUP($A$1,IMPORTRANGE($A$2, CONCATENATE($A24,""!$B$5:$JB$48"")),ID$1,0)"),"")</f>
        <v/>
      </c>
      <c r="IE24" s="35" t="str">
        <f>IFERROR(__xludf.DUMMYFUNCTION("VLOOKUP($A$1,IMPORTRANGE($A$2, CONCATENATE($A24,""!$B$5:$JB$48"")),IE$1,0)"),"")</f>
        <v/>
      </c>
      <c r="IF24" s="35" t="str">
        <f>IFERROR(__xludf.DUMMYFUNCTION("VLOOKUP($A$1,IMPORTRANGE($A$2, CONCATENATE($A24,""!$B$5:$JB$48"")),IF$1,0)"),"")</f>
        <v/>
      </c>
      <c r="IG24" s="35" t="str">
        <f>IFERROR(__xludf.DUMMYFUNCTION("VLOOKUP($A$1,IMPORTRANGE($A$2, CONCATENATE($A24,""!$B$5:$JB$48"")),IG$1,0)"),"")</f>
        <v/>
      </c>
      <c r="IH24" s="35" t="str">
        <f>IFERROR(__xludf.DUMMYFUNCTION("VLOOKUP($A$1,IMPORTRANGE($A$2, CONCATENATE($A24,""!$B$5:$JB$48"")),IH$1,0)"),"")</f>
        <v/>
      </c>
      <c r="II24" s="35" t="str">
        <f>IFERROR(__xludf.DUMMYFUNCTION("VLOOKUP($A$1,IMPORTRANGE($A$2, CONCATENATE($A24,""!$B$5:$JB$48"")),II$1,0)"),"")</f>
        <v/>
      </c>
      <c r="IJ24" s="35" t="str">
        <f>IFERROR(__xludf.DUMMYFUNCTION("VLOOKUP($A$1,IMPORTRANGE($A$2, CONCATENATE($A24,""!$B$5:$JB$48"")),IJ$1,0)"),"")</f>
        <v/>
      </c>
      <c r="IK24" s="35" t="str">
        <f>IFERROR(__xludf.DUMMYFUNCTION("VLOOKUP($A$1,IMPORTRANGE($A$2, CONCATENATE($A24,""!$B$5:$JB$48"")),IK$1,0)"),"")</f>
        <v/>
      </c>
      <c r="IL24" s="35" t="str">
        <f>IFERROR(__xludf.DUMMYFUNCTION("VLOOKUP($A$1,IMPORTRANGE($A$2, CONCATENATE($A24,""!$B$5:$JB$48"")),IL$1,0)"),"")</f>
        <v/>
      </c>
      <c r="IM24" s="35" t="str">
        <f>IFERROR(__xludf.DUMMYFUNCTION("VLOOKUP($A$1,IMPORTRANGE($A$2, CONCATENATE($A24,""!$B$5:$JB$48"")),IM$1,0)"),"")</f>
        <v/>
      </c>
      <c r="IN24" s="35" t="str">
        <f>IFERROR(__xludf.DUMMYFUNCTION("VLOOKUP($A$1,IMPORTRANGE($A$2, CONCATENATE($A24,""!$B$5:$JB$48"")),IN$1,0)"),"")</f>
        <v/>
      </c>
      <c r="IO24" s="35" t="str">
        <f>IFERROR(__xludf.DUMMYFUNCTION("VLOOKUP($A$1,IMPORTRANGE($A$2, CONCATENATE($A24,""!$B$5:$JB$48"")),IO$1,0)"),"")</f>
        <v/>
      </c>
      <c r="IP24" s="35" t="str">
        <f>IFERROR(__xludf.DUMMYFUNCTION("VLOOKUP($A$1,IMPORTRANGE($A$2, CONCATENATE($A24,""!$B$5:$JB$48"")),IP$1,0)"),"")</f>
        <v/>
      </c>
      <c r="IQ24" s="35" t="str">
        <f>IFERROR(__xludf.DUMMYFUNCTION("VLOOKUP($A$1,IMPORTRANGE($A$2, CONCATENATE($A24,""!$B$5:$JB$48"")),IQ$1,0)"),"")</f>
        <v/>
      </c>
      <c r="IR24" s="35" t="str">
        <f>IFERROR(__xludf.DUMMYFUNCTION("VLOOKUP($A$1,IMPORTRANGE($A$2, CONCATENATE($A24,""!$B$5:$JB$48"")),IR$1,0)"),"")</f>
        <v/>
      </c>
      <c r="IS24" s="35" t="str">
        <f>IFERROR(__xludf.DUMMYFUNCTION("VLOOKUP($A$1,IMPORTRANGE($A$2, CONCATENATE($A24,""!$B$5:$JB$48"")),IS$1,0)"),"")</f>
        <v/>
      </c>
      <c r="IT24" s="35" t="str">
        <f>IFERROR(__xludf.DUMMYFUNCTION("VLOOKUP($A$1,IMPORTRANGE($A$2, CONCATENATE($A24,""!$B$5:$JB$48"")),IT$1,0)"),"")</f>
        <v/>
      </c>
      <c r="IU24" s="35" t="str">
        <f>IFERROR(__xludf.DUMMYFUNCTION("VLOOKUP($A$1,IMPORTRANGE($A$2, CONCATENATE($A24,""!$B$5:$JB$48"")),IU$1,0)"),"")</f>
        <v/>
      </c>
      <c r="IV24" s="35" t="str">
        <f>IFERROR(__xludf.DUMMYFUNCTION("VLOOKUP($A$1,IMPORTRANGE($A$2, CONCATENATE($A24,""!$B$5:$JB$48"")),IV$1,0)"),"")</f>
        <v/>
      </c>
      <c r="IW24" s="35" t="str">
        <f>IFERROR(__xludf.DUMMYFUNCTION("VLOOKUP($A$1,IMPORTRANGE($A$2, CONCATENATE($A24,""!$B$5:$JB$48"")),IW$1,0)"),"")</f>
        <v/>
      </c>
      <c r="IX24" s="35" t="str">
        <f>IFERROR(__xludf.DUMMYFUNCTION("VLOOKUP($A$1,IMPORTRANGE($A$2, CONCATENATE($A24,""!$B$5:$JB$48"")),IX$1,0)"),"")</f>
        <v/>
      </c>
      <c r="IY24" s="35" t="str">
        <f>IFERROR(__xludf.DUMMYFUNCTION("VLOOKUP($A$1,IMPORTRANGE($A$2, CONCATENATE($A24,""!$B$5:$JB$48"")),IY$1,0)"),"")</f>
        <v/>
      </c>
      <c r="IZ24" s="35" t="str">
        <f>IFERROR(__xludf.DUMMYFUNCTION("VLOOKUP($A$1,IMPORTRANGE($A$2, CONCATENATE($A24,""!$B$5:$JB$48"")),IZ$1,0)"),"")</f>
        <v/>
      </c>
      <c r="JA24" s="35" t="str">
        <f>IFERROR(__xludf.DUMMYFUNCTION("VLOOKUP($A$1,IMPORTRANGE($A$2, CONCATENATE($A24,""!$B$5:$JB$48"")),JA$1,0)"),"")</f>
        <v/>
      </c>
      <c r="JB24" s="35"/>
      <c r="JC24" s="35"/>
      <c r="JD24" s="35"/>
      <c r="JE24" s="35"/>
    </row>
    <row r="25">
      <c r="A25" s="41"/>
      <c r="B25" s="29"/>
      <c r="C25" s="37"/>
      <c r="D25" s="38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</row>
    <row r="26">
      <c r="A26" s="39"/>
      <c r="B26" s="32">
        <f>IFERROR(__xludf.DUMMYFUNCTION("IMPORTRANGE($A$2, CONCATENATE($A27,""!C4:JB4""))"),45903.0)</f>
        <v>45903</v>
      </c>
      <c r="C26" s="32">
        <f>IFERROR(__xludf.DUMMYFUNCTION("""COMPUTED_VALUE"""),45911.0)</f>
        <v>45911</v>
      </c>
      <c r="D26" s="32">
        <f>IFERROR(__xludf.DUMMYFUNCTION("""COMPUTED_VALUE"""),45918.0)</f>
        <v>45918</v>
      </c>
      <c r="E26" s="32">
        <f>IFERROR(__xludf.DUMMYFUNCTION("""COMPUTED_VALUE"""),45925.0)</f>
        <v>45925</v>
      </c>
      <c r="F26" s="32">
        <f>IFERROR(__xludf.DUMMYFUNCTION("""COMPUTED_VALUE"""),45932.0)</f>
        <v>45932</v>
      </c>
      <c r="G26" s="32">
        <f>IFERROR(__xludf.DUMMYFUNCTION("""COMPUTED_VALUE"""),45939.0)</f>
        <v>45939</v>
      </c>
      <c r="H26" s="32">
        <f>IFERROR(__xludf.DUMMYFUNCTION("""COMPUTED_VALUE"""),45946.0)</f>
        <v>45946</v>
      </c>
      <c r="I26" s="32" t="str">
        <f>IFERROR(__xludf.DUMMYFUNCTION("""COMPUTED_VALUE"""),"23.10,2025")</f>
        <v>23.10,2025</v>
      </c>
      <c r="J26" s="32">
        <f>IFERROR(__xludf.DUMMYFUNCTION("""COMPUTED_VALUE"""),45960.0)</f>
        <v>45960</v>
      </c>
      <c r="K26" s="32">
        <f>IFERROR(__xludf.DUMMYFUNCTION("""COMPUTED_VALUE"""),45974.0)</f>
        <v>45974</v>
      </c>
      <c r="L26" s="32">
        <f>IFERROR(__xludf.DUMMYFUNCTION("""COMPUTED_VALUE"""),45981.0)</f>
        <v>45981</v>
      </c>
      <c r="M26" s="32">
        <f>IFERROR(__xludf.DUMMYFUNCTION("""COMPUTED_VALUE"""),45988.0)</f>
        <v>45988</v>
      </c>
      <c r="N26" s="32">
        <f>IFERROR(__xludf.DUMMYFUNCTION("""COMPUTED_VALUE"""),45995.0)</f>
        <v>45995</v>
      </c>
      <c r="O26" s="32">
        <f>IFERROR(__xludf.DUMMYFUNCTION("""COMPUTED_VALUE"""),46002.0)</f>
        <v>46002</v>
      </c>
      <c r="P26" s="32">
        <f>IFERROR(__xludf.DUMMYFUNCTION("""COMPUTED_VALUE"""),46009.0)</f>
        <v>46009</v>
      </c>
      <c r="Q26" s="32">
        <f>IFERROR(__xludf.DUMMYFUNCTION("""COMPUTED_VALUE"""),46016.0)</f>
        <v>46016</v>
      </c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 t="str">
        <f>IFERROR(__xludf.DUMMYFUNCTION("""COMPUTED_VALUE"""),"1 полугодие")</f>
        <v>1 полугодие</v>
      </c>
      <c r="BN26" s="32">
        <f>IFERROR(__xludf.DUMMYFUNCTION("""COMPUTED_VALUE"""),46037.0)</f>
        <v>46037</v>
      </c>
      <c r="BO26" s="32">
        <f>IFERROR(__xludf.DUMMYFUNCTION("""COMPUTED_VALUE"""),46044.0)</f>
        <v>46044</v>
      </c>
      <c r="BP26" s="32">
        <f>IFERROR(__xludf.DUMMYFUNCTION("""COMPUTED_VALUE"""),46051.0)</f>
        <v>46051</v>
      </c>
      <c r="BQ26" s="32">
        <f>IFERROR(__xludf.DUMMYFUNCTION("""COMPUTED_VALUE"""),46058.0)</f>
        <v>46058</v>
      </c>
      <c r="BR26" s="32">
        <f>IFERROR(__xludf.DUMMYFUNCTION("""COMPUTED_VALUE"""),46065.0)</f>
        <v>46065</v>
      </c>
      <c r="BS26" s="32">
        <f>IFERROR(__xludf.DUMMYFUNCTION("""COMPUTED_VALUE"""),46072.0)</f>
        <v>46072</v>
      </c>
      <c r="BT26" s="32">
        <f>IFERROR(__xludf.DUMMYFUNCTION("""COMPUTED_VALUE"""),46079.0)</f>
        <v>46079</v>
      </c>
      <c r="BU26" s="32">
        <f>IFERROR(__xludf.DUMMYFUNCTION("""COMPUTED_VALUE"""),46086.0)</f>
        <v>46086</v>
      </c>
      <c r="BV26" s="32">
        <f>IFERROR(__xludf.DUMMYFUNCTION("""COMPUTED_VALUE"""),46093.0)</f>
        <v>46093</v>
      </c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  <c r="IH26" s="32"/>
      <c r="II26" s="32"/>
      <c r="IJ26" s="32"/>
      <c r="IK26" s="32"/>
      <c r="IL26" s="32"/>
      <c r="IM26" s="32"/>
      <c r="IN26" s="32"/>
      <c r="IO26" s="32"/>
      <c r="IP26" s="32"/>
      <c r="IQ26" s="32"/>
      <c r="IR26" s="32"/>
      <c r="IS26" s="32"/>
      <c r="IT26" s="32"/>
      <c r="IU26" s="32"/>
      <c r="IV26" s="32"/>
      <c r="IW26" s="32" t="str">
        <f>IFERROR(__xludf.DUMMYFUNCTION("""COMPUTED_VALUE"""),"2 полугодие")</f>
        <v>2 полугодие</v>
      </c>
      <c r="IX26" s="32" t="str">
        <f>IFERROR(__xludf.DUMMYFUNCTION("""COMPUTED_VALUE"""),"год")</f>
        <v>год</v>
      </c>
      <c r="IY26" s="32" t="str">
        <f>IFERROR(__xludf.DUMMYFUNCTION("""COMPUTED_VALUE"""),"рейтинг")</f>
        <v>рейтинг</v>
      </c>
      <c r="IZ26" s="32"/>
      <c r="JA26" s="32"/>
      <c r="JB26" s="32"/>
      <c r="JC26" s="32"/>
      <c r="JD26" s="32"/>
      <c r="JE26" s="32"/>
    </row>
    <row r="27">
      <c r="A27" s="42" t="s">
        <v>285</v>
      </c>
      <c r="B27" s="35">
        <f>IFERROR(__xludf.DUMMYFUNCTION("VLOOKUP($A$1,IMPORTRANGE($A$2, CONCATENATE($A27,""!$B$5:$JB$48"")),B$1,0)"),4.0)</f>
        <v>4</v>
      </c>
      <c r="C27" s="35" t="str">
        <f>IFERROR(__xludf.DUMMYFUNCTION("VLOOKUP($A$1,IMPORTRANGE($A$2, CONCATENATE($A27,""!$B$5:$JB$48"")),C$1,0)"),"")</f>
        <v/>
      </c>
      <c r="D27" s="35" t="str">
        <f>IFERROR(__xludf.DUMMYFUNCTION("VLOOKUP($A$1,IMPORTRANGE($A$2, CONCATENATE($A27,""!$B$5:$JB$48"")),D$1,0)"),"")</f>
        <v/>
      </c>
      <c r="E27" s="35" t="str">
        <f>IFERROR(__xludf.DUMMYFUNCTION("VLOOKUP($A$1,IMPORTRANGE($A$2, CONCATENATE($A27,""!$B$5:$JB$48"")),E$1,0)"),"")</f>
        <v/>
      </c>
      <c r="F27" s="35" t="str">
        <f>IFERROR(__xludf.DUMMYFUNCTION("VLOOKUP($A$1,IMPORTRANGE($A$2, CONCATENATE($A27,""!$B$5:$JB$48"")),F$1,0)"),"")</f>
        <v/>
      </c>
      <c r="G27" s="35">
        <f>IFERROR(__xludf.DUMMYFUNCTION("VLOOKUP($A$1,IMPORTRANGE($A$2, CONCATENATE($A27,""!$B$5:$JB$48"")),G$1,0)"),5.0)</f>
        <v>5</v>
      </c>
      <c r="H27" s="35" t="str">
        <f>IFERROR(__xludf.DUMMYFUNCTION("VLOOKUP($A$1,IMPORTRANGE($A$2, CONCATENATE($A27,""!$B$5:$JB$48"")),H$1,0)"),"")</f>
        <v/>
      </c>
      <c r="I27" s="35">
        <f>IFERROR(__xludf.DUMMYFUNCTION("VLOOKUP($A$1,IMPORTRANGE($A$2, CONCATENATE($A27,""!$B$5:$JB$48"")),I$1,0)"),4.0)</f>
        <v>4</v>
      </c>
      <c r="J27" s="35">
        <f>IFERROR(__xludf.DUMMYFUNCTION("VLOOKUP($A$1,IMPORTRANGE($A$2, CONCATENATE($A27,""!$B$5:$JB$48"")),J$1,0)"),5.0)</f>
        <v>5</v>
      </c>
      <c r="K27" s="35" t="str">
        <f>IFERROR(__xludf.DUMMYFUNCTION("VLOOKUP($A$1,IMPORTRANGE($A$2, CONCATENATE($A27,""!$B$5:$JB$48"")),K$1,0)"),"")</f>
        <v/>
      </c>
      <c r="L27" s="35">
        <f>IFERROR(__xludf.DUMMYFUNCTION("VLOOKUP($A$1,IMPORTRANGE($A$2, CONCATENATE($A27,""!$B$5:$JB$48"")),L$1,0)"),5.0)</f>
        <v>5</v>
      </c>
      <c r="M27" s="35" t="str">
        <f>IFERROR(__xludf.DUMMYFUNCTION("VLOOKUP($A$1,IMPORTRANGE($A$2, CONCATENATE($A27,""!$B$5:$JB$48"")),M$1,0)"),"")</f>
        <v/>
      </c>
      <c r="N27" s="35">
        <f>IFERROR(__xludf.DUMMYFUNCTION("VLOOKUP($A$1,IMPORTRANGE($A$2, CONCATENATE($A27,""!$B$5:$JB$48"")),N$1,0)"),5.0)</f>
        <v>5</v>
      </c>
      <c r="O27" s="35" t="str">
        <f>IFERROR(__xludf.DUMMYFUNCTION("VLOOKUP($A$1,IMPORTRANGE($A$2, CONCATENATE($A27,""!$B$5:$JB$48"")),O$1,0)"),"")</f>
        <v/>
      </c>
      <c r="P27" s="35">
        <f>IFERROR(__xludf.DUMMYFUNCTION("VLOOKUP($A$1,IMPORTRANGE($A$2, CONCATENATE($A27,""!$B$5:$JB$48"")),P$1,0)"),5.0)</f>
        <v>5</v>
      </c>
      <c r="Q27" s="35">
        <f>IFERROR(__xludf.DUMMYFUNCTION("VLOOKUP($A$1,IMPORTRANGE($A$2, CONCATENATE($A27,""!$B$5:$JB$48"")),Q$1,0)"),4.0)</f>
        <v>4</v>
      </c>
      <c r="R27" s="35" t="str">
        <f>IFERROR(__xludf.DUMMYFUNCTION("VLOOKUP($A$1,IMPORTRANGE($A$2, CONCATENATE($A27,""!$B$5:$JB$48"")),R$1,0)"),"")</f>
        <v/>
      </c>
      <c r="S27" s="35" t="str">
        <f>IFERROR(__xludf.DUMMYFUNCTION("VLOOKUP($A$1,IMPORTRANGE($A$2, CONCATENATE($A27,""!$B$5:$JB$48"")),S$1,0)"),"")</f>
        <v/>
      </c>
      <c r="T27" s="35" t="str">
        <f>IFERROR(__xludf.DUMMYFUNCTION("VLOOKUP($A$1,IMPORTRANGE($A$2, CONCATENATE($A27,""!$B$5:$JB$48"")),T$1,0)"),"")</f>
        <v/>
      </c>
      <c r="U27" s="35" t="str">
        <f>IFERROR(__xludf.DUMMYFUNCTION("VLOOKUP($A$1,IMPORTRANGE($A$2, CONCATENATE($A27,""!$B$5:$JB$48"")),U$1,0)"),"")</f>
        <v/>
      </c>
      <c r="V27" s="35" t="str">
        <f>IFERROR(__xludf.DUMMYFUNCTION("VLOOKUP($A$1,IMPORTRANGE($A$2, CONCATENATE($A27,""!$B$5:$JB$48"")),V$1,0)"),"")</f>
        <v/>
      </c>
      <c r="W27" s="35" t="str">
        <f>IFERROR(__xludf.DUMMYFUNCTION("VLOOKUP($A$1,IMPORTRANGE($A$2, CONCATENATE($A27,""!$B$5:$JB$48"")),W$1,0)"),"")</f>
        <v/>
      </c>
      <c r="X27" s="35" t="str">
        <f>IFERROR(__xludf.DUMMYFUNCTION("VLOOKUP($A$1,IMPORTRANGE($A$2, CONCATENATE($A27,""!$B$5:$JB$48"")),X$1,0)"),"")</f>
        <v/>
      </c>
      <c r="Y27" s="35" t="str">
        <f>IFERROR(__xludf.DUMMYFUNCTION("VLOOKUP($A$1,IMPORTRANGE($A$2, CONCATENATE($A27,""!$B$5:$JB$48"")),Y$1,0)"),"")</f>
        <v/>
      </c>
      <c r="Z27" s="35" t="str">
        <f>IFERROR(__xludf.DUMMYFUNCTION("VLOOKUP($A$1,IMPORTRANGE($A$2, CONCATENATE($A27,""!$B$5:$JB$48"")),Z$1,0)"),"")</f>
        <v/>
      </c>
      <c r="AA27" s="35" t="str">
        <f>IFERROR(__xludf.DUMMYFUNCTION("VLOOKUP($A$1,IMPORTRANGE($A$2, CONCATENATE($A27,""!$B$5:$JB$48"")),AA$1,0)"),"")</f>
        <v/>
      </c>
      <c r="AB27" s="35" t="str">
        <f>IFERROR(__xludf.DUMMYFUNCTION("VLOOKUP($A$1,IMPORTRANGE($A$2, CONCATENATE($A27,""!$B$5:$JB$48"")),AB$1,0)"),"")</f>
        <v/>
      </c>
      <c r="AC27" s="35" t="str">
        <f>IFERROR(__xludf.DUMMYFUNCTION("VLOOKUP($A$1,IMPORTRANGE($A$2, CONCATENATE($A27,""!$B$5:$JB$48"")),AC$1,0)"),"")</f>
        <v/>
      </c>
      <c r="AD27" s="35" t="str">
        <f>IFERROR(__xludf.DUMMYFUNCTION("VLOOKUP($A$1,IMPORTRANGE($A$2, CONCATENATE($A27,""!$B$5:$JB$48"")),AD$1,0)"),"")</f>
        <v/>
      </c>
      <c r="AE27" s="35" t="str">
        <f>IFERROR(__xludf.DUMMYFUNCTION("VLOOKUP($A$1,IMPORTRANGE($A$2, CONCATENATE($A27,""!$B$5:$JB$48"")),AE$1,0)"),"")</f>
        <v/>
      </c>
      <c r="AF27" s="35" t="str">
        <f>IFERROR(__xludf.DUMMYFUNCTION("VLOOKUP($A$1,IMPORTRANGE($A$2, CONCATENATE($A27,""!$B$5:$JB$48"")),AF$1,0)"),"")</f>
        <v/>
      </c>
      <c r="AG27" s="35" t="str">
        <f>IFERROR(__xludf.DUMMYFUNCTION("VLOOKUP($A$1,IMPORTRANGE($A$2, CONCATENATE($A27,""!$B$5:$JB$48"")),AG$1,0)"),"")</f>
        <v/>
      </c>
      <c r="AH27" s="35" t="str">
        <f>IFERROR(__xludf.DUMMYFUNCTION("VLOOKUP($A$1,IMPORTRANGE($A$2, CONCATENATE($A27,""!$B$5:$JB$48"")),AH$1,0)"),"")</f>
        <v/>
      </c>
      <c r="AI27" s="35" t="str">
        <f>IFERROR(__xludf.DUMMYFUNCTION("VLOOKUP($A$1,IMPORTRANGE($A$2, CONCATENATE($A27,""!$B$5:$JB$48"")),AI$1,0)"),"")</f>
        <v/>
      </c>
      <c r="AJ27" s="35" t="str">
        <f>IFERROR(__xludf.DUMMYFUNCTION("VLOOKUP($A$1,IMPORTRANGE($A$2, CONCATENATE($A27,""!$B$5:$JB$48"")),AJ$1,0)"),"")</f>
        <v/>
      </c>
      <c r="AK27" s="35" t="str">
        <f>IFERROR(__xludf.DUMMYFUNCTION("VLOOKUP($A$1,IMPORTRANGE($A$2, CONCATENATE($A27,""!$B$5:$JB$48"")),AK$1,0)"),"")</f>
        <v/>
      </c>
      <c r="AL27" s="35" t="str">
        <f>IFERROR(__xludf.DUMMYFUNCTION("VLOOKUP($A$1,IMPORTRANGE($A$2, CONCATENATE($A27,""!$B$5:$JB$48"")),AL$1,0)"),"")</f>
        <v/>
      </c>
      <c r="AM27" s="35" t="str">
        <f>IFERROR(__xludf.DUMMYFUNCTION("VLOOKUP($A$1,IMPORTRANGE($A$2, CONCATENATE($A27,""!$B$5:$JB$48"")),AM$1,0)"),"")</f>
        <v/>
      </c>
      <c r="AN27" s="35" t="str">
        <f>IFERROR(__xludf.DUMMYFUNCTION("VLOOKUP($A$1,IMPORTRANGE($A$2, CONCATENATE($A27,""!$B$5:$JB$48"")),AN$1,0)"),"")</f>
        <v/>
      </c>
      <c r="AO27" s="35" t="str">
        <f>IFERROR(__xludf.DUMMYFUNCTION("VLOOKUP($A$1,IMPORTRANGE($A$2, CONCATENATE($A27,""!$B$5:$JB$48"")),AO$1,0)"),"")</f>
        <v/>
      </c>
      <c r="AP27" s="35" t="str">
        <f>IFERROR(__xludf.DUMMYFUNCTION("VLOOKUP($A$1,IMPORTRANGE($A$2, CONCATENATE($A27,""!$B$5:$JB$48"")),AP$1,0)"),"")</f>
        <v/>
      </c>
      <c r="AQ27" s="35" t="str">
        <f>IFERROR(__xludf.DUMMYFUNCTION("VLOOKUP($A$1,IMPORTRANGE($A$2, CONCATENATE($A27,""!$B$5:$JB$48"")),AQ$1,0)"),"")</f>
        <v/>
      </c>
      <c r="AR27" s="35" t="str">
        <f>IFERROR(__xludf.DUMMYFUNCTION("VLOOKUP($A$1,IMPORTRANGE($A$2, CONCATENATE($A27,""!$B$5:$JB$48"")),AR$1,0)"),"")</f>
        <v/>
      </c>
      <c r="AS27" s="35" t="str">
        <f>IFERROR(__xludf.DUMMYFUNCTION("VLOOKUP($A$1,IMPORTRANGE($A$2, CONCATENATE($A27,""!$B$5:$JB$48"")),AS$1,0)"),"")</f>
        <v/>
      </c>
      <c r="AT27" s="35" t="str">
        <f>IFERROR(__xludf.DUMMYFUNCTION("VLOOKUP($A$1,IMPORTRANGE($A$2, CONCATENATE($A27,""!$B$5:$JB$48"")),AT$1,0)"),"")</f>
        <v/>
      </c>
      <c r="AU27" s="35" t="str">
        <f>IFERROR(__xludf.DUMMYFUNCTION("VLOOKUP($A$1,IMPORTRANGE($A$2, CONCATENATE($A27,""!$B$5:$JB$48"")),AU$1,0)"),"")</f>
        <v/>
      </c>
      <c r="AV27" s="35" t="str">
        <f>IFERROR(__xludf.DUMMYFUNCTION("VLOOKUP($A$1,IMPORTRANGE($A$2, CONCATENATE($A27,""!$B$5:$JB$48"")),AV$1,0)"),"")</f>
        <v/>
      </c>
      <c r="AW27" s="35" t="str">
        <f>IFERROR(__xludf.DUMMYFUNCTION("VLOOKUP($A$1,IMPORTRANGE($A$2, CONCATENATE($A27,""!$B$5:$JB$48"")),AW$1,0)"),"")</f>
        <v/>
      </c>
      <c r="AX27" s="35" t="str">
        <f>IFERROR(__xludf.DUMMYFUNCTION("VLOOKUP($A$1,IMPORTRANGE($A$2, CONCATENATE($A27,""!$B$5:$JB$48"")),AX$1,0)"),"")</f>
        <v/>
      </c>
      <c r="AY27" s="35" t="str">
        <f>IFERROR(__xludf.DUMMYFUNCTION("VLOOKUP($A$1,IMPORTRANGE($A$2, CONCATENATE($A27,""!$B$5:$JB$48"")),AY$1,0)"),"")</f>
        <v/>
      </c>
      <c r="AZ27" s="35" t="str">
        <f>IFERROR(__xludf.DUMMYFUNCTION("VLOOKUP($A$1,IMPORTRANGE($A$2, CONCATENATE($A27,""!$B$5:$JB$48"")),AZ$1,0)"),"")</f>
        <v/>
      </c>
      <c r="BA27" s="35" t="str">
        <f>IFERROR(__xludf.DUMMYFUNCTION("VLOOKUP($A$1,IMPORTRANGE($A$2, CONCATENATE($A27,""!$B$5:$JB$48"")),BA$1,0)"),"")</f>
        <v/>
      </c>
      <c r="BB27" s="35" t="str">
        <f>IFERROR(__xludf.DUMMYFUNCTION("VLOOKUP($A$1,IMPORTRANGE($A$2, CONCATENATE($A27,""!$B$5:$JB$48"")),BB$1,0)"),"")</f>
        <v/>
      </c>
      <c r="BC27" s="35" t="str">
        <f>IFERROR(__xludf.DUMMYFUNCTION("VLOOKUP($A$1,IMPORTRANGE($A$2, CONCATENATE($A27,""!$B$5:$JB$48"")),BC$1,0)"),"")</f>
        <v/>
      </c>
      <c r="BD27" s="35" t="str">
        <f>IFERROR(__xludf.DUMMYFUNCTION("VLOOKUP($A$1,IMPORTRANGE($A$2, CONCATENATE($A27,""!$B$5:$JB$48"")),BD$1,0)"),"")</f>
        <v/>
      </c>
      <c r="BE27" s="35" t="str">
        <f>IFERROR(__xludf.DUMMYFUNCTION("VLOOKUP($A$1,IMPORTRANGE($A$2, CONCATENATE($A27,""!$B$5:$JB$48"")),BE$1,0)"),"")</f>
        <v/>
      </c>
      <c r="BF27" s="35" t="str">
        <f>IFERROR(__xludf.DUMMYFUNCTION("VLOOKUP($A$1,IMPORTRANGE($A$2, CONCATENATE($A27,""!$B$5:$JB$48"")),BF$1,0)"),"")</f>
        <v/>
      </c>
      <c r="BG27" s="35" t="str">
        <f>IFERROR(__xludf.DUMMYFUNCTION("VLOOKUP($A$1,IMPORTRANGE($A$2, CONCATENATE($A27,""!$B$5:$JB$48"")),BG$1,0)"),"")</f>
        <v/>
      </c>
      <c r="BH27" s="35" t="str">
        <f>IFERROR(__xludf.DUMMYFUNCTION("VLOOKUP($A$1,IMPORTRANGE($A$2, CONCATENATE($A27,""!$B$5:$JB$48"")),BH$1,0)"),"")</f>
        <v/>
      </c>
      <c r="BI27" s="35" t="str">
        <f>IFERROR(__xludf.DUMMYFUNCTION("VLOOKUP($A$1,IMPORTRANGE($A$2, CONCATENATE($A27,""!$B$5:$JB$48"")),BI$1,0)"),"")</f>
        <v/>
      </c>
      <c r="BJ27" s="35" t="str">
        <f>IFERROR(__xludf.DUMMYFUNCTION("VLOOKUP($A$1,IMPORTRANGE($A$2, CONCATENATE($A27,""!$B$5:$JB$48"")),BJ$1,0)"),"")</f>
        <v/>
      </c>
      <c r="BK27" s="35" t="str">
        <f>IFERROR(__xludf.DUMMYFUNCTION("VLOOKUP($A$1,IMPORTRANGE($A$2, CONCATENATE($A27,""!$B$5:$JB$48"")),BK$1,0)"),"")</f>
        <v/>
      </c>
      <c r="BL27" s="35" t="str">
        <f>IFERROR(__xludf.DUMMYFUNCTION("VLOOKUP($A$1,IMPORTRANGE($A$2, CONCATENATE($A27,""!$B$5:$JB$48"")),BL$1,0)"),"")</f>
        <v/>
      </c>
      <c r="BM27" s="35">
        <f>IFERROR(__xludf.DUMMYFUNCTION("VLOOKUP($A$1,IMPORTRANGE($A$2, CONCATENATE($A27,""!$B$5:$JB$48"")),BM$1,0)"),5.0)</f>
        <v>5</v>
      </c>
      <c r="BN27" s="35" t="str">
        <f>IFERROR(__xludf.DUMMYFUNCTION("VLOOKUP($A$1,IMPORTRANGE($A$2, CONCATENATE($A27,""!$B$5:$JB$48"")),BN$1,0)"),"")</f>
        <v/>
      </c>
      <c r="BO27" s="35">
        <f>IFERROR(__xludf.DUMMYFUNCTION("VLOOKUP($A$1,IMPORTRANGE($A$2, CONCATENATE($A27,""!$B$5:$JB$48"")),BO$1,0)"),2.0)</f>
        <v>2</v>
      </c>
      <c r="BP27" s="35">
        <f>IFERROR(__xludf.DUMMYFUNCTION("VLOOKUP($A$1,IMPORTRANGE($A$2, CONCATENATE($A27,""!$B$5:$JB$48"")),BP$1,0)"),4.0)</f>
        <v>4</v>
      </c>
      <c r="BQ27" s="35" t="str">
        <f>IFERROR(__xludf.DUMMYFUNCTION("VLOOKUP($A$1,IMPORTRANGE($A$2, CONCATENATE($A27,""!$B$5:$JB$48"")),BQ$1,0)"),"")</f>
        <v/>
      </c>
      <c r="BR27" s="35">
        <f>IFERROR(__xludf.DUMMYFUNCTION("VLOOKUP($A$1,IMPORTRANGE($A$2, CONCATENATE($A27,""!$B$5:$JB$48"")),BR$1,0)"),5.0)</f>
        <v>5</v>
      </c>
      <c r="BS27" s="35" t="str">
        <f>IFERROR(__xludf.DUMMYFUNCTION("VLOOKUP($A$1,IMPORTRANGE($A$2, CONCATENATE($A27,""!$B$5:$JB$48"")),BS$1,0)"),"")</f>
        <v/>
      </c>
      <c r="BT27" s="35" t="str">
        <f>IFERROR(__xludf.DUMMYFUNCTION("VLOOKUP($A$1,IMPORTRANGE($A$2, CONCATENATE($A27,""!$B$5:$JB$48"")),BT$1,0)"),"")</f>
        <v/>
      </c>
      <c r="BU27" s="35" t="str">
        <f>IFERROR(__xludf.DUMMYFUNCTION("VLOOKUP($A$1,IMPORTRANGE($A$2, CONCATENATE($A27,""!$B$5:$JB$48"")),BU$1,0)"),"")</f>
        <v/>
      </c>
      <c r="BV27" s="35" t="str">
        <f>IFERROR(__xludf.DUMMYFUNCTION("VLOOKUP($A$1,IMPORTRANGE($A$2, CONCATENATE($A27,""!$B$5:$JB$48"")),BV$1,0)"),"")</f>
        <v/>
      </c>
      <c r="BW27" s="35" t="str">
        <f>IFERROR(__xludf.DUMMYFUNCTION("VLOOKUP($A$1,IMPORTRANGE($A$2, CONCATENATE($A27,""!$B$5:$JB$48"")),BW$1,0)"),"")</f>
        <v/>
      </c>
      <c r="BX27" s="35" t="str">
        <f>IFERROR(__xludf.DUMMYFUNCTION("VLOOKUP($A$1,IMPORTRANGE($A$2, CONCATENATE($A27,""!$B$5:$JB$48"")),BX$1,0)"),"")</f>
        <v/>
      </c>
      <c r="BY27" s="35" t="str">
        <f>IFERROR(__xludf.DUMMYFUNCTION("VLOOKUP($A$1,IMPORTRANGE($A$2, CONCATENATE($A27,""!$B$5:$JB$48"")),BY$1,0)"),"")</f>
        <v/>
      </c>
      <c r="BZ27" s="35" t="str">
        <f>IFERROR(__xludf.DUMMYFUNCTION("VLOOKUP($A$1,IMPORTRANGE($A$2, CONCATENATE($A27,""!$B$5:$JB$48"")),BZ$1,0)"),"")</f>
        <v/>
      </c>
      <c r="CA27" s="35" t="str">
        <f>IFERROR(__xludf.DUMMYFUNCTION("VLOOKUP($A$1,IMPORTRANGE($A$2, CONCATENATE($A27,""!$B$5:$JB$48"")),CA$1,0)"),"")</f>
        <v/>
      </c>
      <c r="CB27" s="35" t="str">
        <f>IFERROR(__xludf.DUMMYFUNCTION("VLOOKUP($A$1,IMPORTRANGE($A$2, CONCATENATE($A27,""!$B$5:$JB$48"")),CB$1,0)"),"")</f>
        <v/>
      </c>
      <c r="CC27" s="35" t="str">
        <f>IFERROR(__xludf.DUMMYFUNCTION("VLOOKUP($A$1,IMPORTRANGE($A$2, CONCATENATE($A27,""!$B$5:$JB$48"")),CC$1,0)"),"")</f>
        <v/>
      </c>
      <c r="CD27" s="35" t="str">
        <f>IFERROR(__xludf.DUMMYFUNCTION("VLOOKUP($A$1,IMPORTRANGE($A$2, CONCATENATE($A27,""!$B$5:$JB$48"")),CD$1,0)"),"")</f>
        <v/>
      </c>
      <c r="CE27" s="35" t="str">
        <f>IFERROR(__xludf.DUMMYFUNCTION("VLOOKUP($A$1,IMPORTRANGE($A$2, CONCATENATE($A27,""!$B$5:$JB$48"")),CE$1,0)"),"")</f>
        <v/>
      </c>
      <c r="CF27" s="35" t="str">
        <f>IFERROR(__xludf.DUMMYFUNCTION("VLOOKUP($A$1,IMPORTRANGE($A$2, CONCATENATE($A27,""!$B$5:$JB$48"")),CF$1,0)"),"")</f>
        <v/>
      </c>
      <c r="CG27" s="35" t="str">
        <f>IFERROR(__xludf.DUMMYFUNCTION("VLOOKUP($A$1,IMPORTRANGE($A$2, CONCATENATE($A27,""!$B$5:$JB$48"")),CG$1,0)"),"")</f>
        <v/>
      </c>
      <c r="CH27" s="35" t="str">
        <f>IFERROR(__xludf.DUMMYFUNCTION("VLOOKUP($A$1,IMPORTRANGE($A$2, CONCATENATE($A27,""!$B$5:$JB$48"")),CH$1,0)"),"")</f>
        <v/>
      </c>
      <c r="CI27" s="35" t="str">
        <f>IFERROR(__xludf.DUMMYFUNCTION("VLOOKUP($A$1,IMPORTRANGE($A$2, CONCATENATE($A27,""!$B$5:$JB$48"")),CI$1,0)"),"")</f>
        <v/>
      </c>
      <c r="CJ27" s="35" t="str">
        <f>IFERROR(__xludf.DUMMYFUNCTION("VLOOKUP($A$1,IMPORTRANGE($A$2, CONCATENATE($A27,""!$B$5:$JB$48"")),CJ$1,0)"),"")</f>
        <v/>
      </c>
      <c r="CK27" s="35" t="str">
        <f>IFERROR(__xludf.DUMMYFUNCTION("VLOOKUP($A$1,IMPORTRANGE($A$2, CONCATENATE($A27,""!$B$5:$JB$48"")),CK$1,0)"),"")</f>
        <v/>
      </c>
      <c r="CL27" s="35" t="str">
        <f>IFERROR(__xludf.DUMMYFUNCTION("VLOOKUP($A$1,IMPORTRANGE($A$2, CONCATENATE($A27,""!$B$5:$JB$48"")),CL$1,0)"),"")</f>
        <v/>
      </c>
      <c r="CM27" s="35" t="str">
        <f>IFERROR(__xludf.DUMMYFUNCTION("VLOOKUP($A$1,IMPORTRANGE($A$2, CONCATENATE($A27,""!$B$5:$JB$48"")),CM$1,0)"),"")</f>
        <v/>
      </c>
      <c r="CN27" s="35" t="str">
        <f>IFERROR(__xludf.DUMMYFUNCTION("VLOOKUP($A$1,IMPORTRANGE($A$2, CONCATENATE($A27,""!$B$5:$JB$48"")),CN$1,0)"),"")</f>
        <v/>
      </c>
      <c r="CO27" s="35" t="str">
        <f>IFERROR(__xludf.DUMMYFUNCTION("VLOOKUP($A$1,IMPORTRANGE($A$2, CONCATENATE($A27,""!$B$5:$JB$48"")),CO$1,0)"),"")</f>
        <v/>
      </c>
      <c r="CP27" s="35" t="str">
        <f>IFERROR(__xludf.DUMMYFUNCTION("VLOOKUP($A$1,IMPORTRANGE($A$2, CONCATENATE($A27,""!$B$5:$JB$48"")),CP$1,0)"),"")</f>
        <v/>
      </c>
      <c r="CQ27" s="35" t="str">
        <f>IFERROR(__xludf.DUMMYFUNCTION("VLOOKUP($A$1,IMPORTRANGE($A$2, CONCATENATE($A27,""!$B$5:$JB$48"")),CQ$1,0)"),"")</f>
        <v/>
      </c>
      <c r="CR27" s="35" t="str">
        <f>IFERROR(__xludf.DUMMYFUNCTION("VLOOKUP($A$1,IMPORTRANGE($A$2, CONCATENATE($A27,""!$B$5:$JB$48"")),CR$1,0)"),"")</f>
        <v/>
      </c>
      <c r="CS27" s="35" t="str">
        <f>IFERROR(__xludf.DUMMYFUNCTION("VLOOKUP($A$1,IMPORTRANGE($A$2, CONCATENATE($A27,""!$B$5:$JB$48"")),CS$1,0)"),"")</f>
        <v/>
      </c>
      <c r="CT27" s="35" t="str">
        <f>IFERROR(__xludf.DUMMYFUNCTION("VLOOKUP($A$1,IMPORTRANGE($A$2, CONCATENATE($A27,""!$B$5:$JB$48"")),CT$1,0)"),"")</f>
        <v/>
      </c>
      <c r="CU27" s="35" t="str">
        <f>IFERROR(__xludf.DUMMYFUNCTION("VLOOKUP($A$1,IMPORTRANGE($A$2, CONCATENATE($A27,""!$B$5:$JB$48"")),CU$1,0)"),"")</f>
        <v/>
      </c>
      <c r="CV27" s="35" t="str">
        <f>IFERROR(__xludf.DUMMYFUNCTION("VLOOKUP($A$1,IMPORTRANGE($A$2, CONCATENATE($A27,""!$B$5:$JB$48"")),CV$1,0)"),"")</f>
        <v/>
      </c>
      <c r="CW27" s="35" t="str">
        <f>IFERROR(__xludf.DUMMYFUNCTION("VLOOKUP($A$1,IMPORTRANGE($A$2, CONCATENATE($A27,""!$B$5:$JB$48"")),CW$1,0)"),"")</f>
        <v/>
      </c>
      <c r="CX27" s="35" t="str">
        <f>IFERROR(__xludf.DUMMYFUNCTION("VLOOKUP($A$1,IMPORTRANGE($A$2, CONCATENATE($A27,""!$B$5:$JB$48"")),CX$1,0)"),"")</f>
        <v/>
      </c>
      <c r="CY27" s="35" t="str">
        <f>IFERROR(__xludf.DUMMYFUNCTION("VLOOKUP($A$1,IMPORTRANGE($A$2, CONCATENATE($A27,""!$B$5:$JB$48"")),CY$1,0)"),"")</f>
        <v/>
      </c>
      <c r="CZ27" s="35" t="str">
        <f>IFERROR(__xludf.DUMMYFUNCTION("VLOOKUP($A$1,IMPORTRANGE($A$2, CONCATENATE($A27,""!$B$5:$JB$48"")),CZ$1,0)"),"")</f>
        <v/>
      </c>
      <c r="DA27" s="35" t="str">
        <f>IFERROR(__xludf.DUMMYFUNCTION("VLOOKUP($A$1,IMPORTRANGE($A$2, CONCATENATE($A27,""!$B$5:$JB$48"")),DA$1,0)"),"")</f>
        <v/>
      </c>
      <c r="DB27" s="35" t="str">
        <f>IFERROR(__xludf.DUMMYFUNCTION("VLOOKUP($A$1,IMPORTRANGE($A$2, CONCATENATE($A27,""!$B$5:$JB$48"")),DB$1,0)"),"")</f>
        <v/>
      </c>
      <c r="DC27" s="35" t="str">
        <f>IFERROR(__xludf.DUMMYFUNCTION("VLOOKUP($A$1,IMPORTRANGE($A$2, CONCATENATE($A27,""!$B$5:$JB$48"")),DC$1,0)"),"")</f>
        <v/>
      </c>
      <c r="DD27" s="35" t="str">
        <f>IFERROR(__xludf.DUMMYFUNCTION("VLOOKUP($A$1,IMPORTRANGE($A$2, CONCATENATE($A27,""!$B$5:$JB$48"")),DD$1,0)"),"")</f>
        <v/>
      </c>
      <c r="DE27" s="35" t="str">
        <f>IFERROR(__xludf.DUMMYFUNCTION("VLOOKUP($A$1,IMPORTRANGE($A$2, CONCATENATE($A27,""!$B$5:$JB$48"")),DE$1,0)"),"")</f>
        <v/>
      </c>
      <c r="DF27" s="35" t="str">
        <f>IFERROR(__xludf.DUMMYFUNCTION("VLOOKUP($A$1,IMPORTRANGE($A$2, CONCATENATE($A27,""!$B$5:$JB$48"")),DF$1,0)"),"")</f>
        <v/>
      </c>
      <c r="DG27" s="35" t="str">
        <f>IFERROR(__xludf.DUMMYFUNCTION("VLOOKUP($A$1,IMPORTRANGE($A$2, CONCATENATE($A27,""!$B$5:$JB$48"")),DG$1,0)"),"")</f>
        <v/>
      </c>
      <c r="DH27" s="35" t="str">
        <f>IFERROR(__xludf.DUMMYFUNCTION("VLOOKUP($A$1,IMPORTRANGE($A$2, CONCATENATE($A27,""!$B$5:$JB$48"")),DH$1,0)"),"")</f>
        <v/>
      </c>
      <c r="DI27" s="35" t="str">
        <f>IFERROR(__xludf.DUMMYFUNCTION("VLOOKUP($A$1,IMPORTRANGE($A$2, CONCATENATE($A27,""!$B$5:$JB$48"")),DI$1,0)"),"")</f>
        <v/>
      </c>
      <c r="DJ27" s="35" t="str">
        <f>IFERROR(__xludf.DUMMYFUNCTION("VLOOKUP($A$1,IMPORTRANGE($A$2, CONCATENATE($A27,""!$B$5:$JB$48"")),DJ$1,0)"),"")</f>
        <v/>
      </c>
      <c r="DK27" s="35" t="str">
        <f>IFERROR(__xludf.DUMMYFUNCTION("VLOOKUP($A$1,IMPORTRANGE($A$2, CONCATENATE($A27,""!$B$5:$JB$48"")),DK$1,0)"),"")</f>
        <v/>
      </c>
      <c r="DL27" s="35" t="str">
        <f>IFERROR(__xludf.DUMMYFUNCTION("VLOOKUP($A$1,IMPORTRANGE($A$2, CONCATENATE($A27,""!$B$5:$JB$48"")),DL$1,0)"),"")</f>
        <v/>
      </c>
      <c r="DM27" s="35" t="str">
        <f>IFERROR(__xludf.DUMMYFUNCTION("VLOOKUP($A$1,IMPORTRANGE($A$2, CONCATENATE($A27,""!$B$5:$JB$48"")),DM$1,0)"),"")</f>
        <v/>
      </c>
      <c r="DN27" s="35" t="str">
        <f>IFERROR(__xludf.DUMMYFUNCTION("VLOOKUP($A$1,IMPORTRANGE($A$2, CONCATENATE($A27,""!$B$5:$JB$48"")),DN$1,0)"),"")</f>
        <v/>
      </c>
      <c r="DO27" s="35" t="str">
        <f>IFERROR(__xludf.DUMMYFUNCTION("VLOOKUP($A$1,IMPORTRANGE($A$2, CONCATENATE($A27,""!$B$5:$JB$48"")),DO$1,0)"),"")</f>
        <v/>
      </c>
      <c r="DP27" s="35" t="str">
        <f>IFERROR(__xludf.DUMMYFUNCTION("VLOOKUP($A$1,IMPORTRANGE($A$2, CONCATENATE($A27,""!$B$5:$JB$48"")),DP$1,0)"),"")</f>
        <v/>
      </c>
      <c r="DQ27" s="35" t="str">
        <f>IFERROR(__xludf.DUMMYFUNCTION("VLOOKUP($A$1,IMPORTRANGE($A$2, CONCATENATE($A27,""!$B$5:$JB$48"")),DQ$1,0)"),"")</f>
        <v/>
      </c>
      <c r="DR27" s="35" t="str">
        <f>IFERROR(__xludf.DUMMYFUNCTION("VLOOKUP($A$1,IMPORTRANGE($A$2, CONCATENATE($A27,""!$B$5:$JB$48"")),DR$1,0)"),"")</f>
        <v/>
      </c>
      <c r="DS27" s="35" t="str">
        <f>IFERROR(__xludf.DUMMYFUNCTION("VLOOKUP($A$1,IMPORTRANGE($A$2, CONCATENATE($A27,""!$B$5:$JB$48"")),DS$1,0)"),"")</f>
        <v/>
      </c>
      <c r="DT27" s="35" t="str">
        <f>IFERROR(__xludf.DUMMYFUNCTION("VLOOKUP($A$1,IMPORTRANGE($A$2, CONCATENATE($A27,""!$B$5:$JB$48"")),DT$1,0)"),"")</f>
        <v/>
      </c>
      <c r="DU27" s="35" t="str">
        <f>IFERROR(__xludf.DUMMYFUNCTION("VLOOKUP($A$1,IMPORTRANGE($A$2, CONCATENATE($A27,""!$B$5:$JB$48"")),DU$1,0)"),"")</f>
        <v/>
      </c>
      <c r="DV27" s="35" t="str">
        <f>IFERROR(__xludf.DUMMYFUNCTION("VLOOKUP($A$1,IMPORTRANGE($A$2, CONCATENATE($A27,""!$B$5:$JB$48"")),DV$1,0)"),"")</f>
        <v/>
      </c>
      <c r="DW27" s="35" t="str">
        <f>IFERROR(__xludf.DUMMYFUNCTION("VLOOKUP($A$1,IMPORTRANGE($A$2, CONCATENATE($A27,""!$B$5:$JB$48"")),DW$1,0)"),"")</f>
        <v/>
      </c>
      <c r="DX27" s="35" t="str">
        <f>IFERROR(__xludf.DUMMYFUNCTION("VLOOKUP($A$1,IMPORTRANGE($A$2, CONCATENATE($A27,""!$B$5:$JB$48"")),DX$1,0)"),"")</f>
        <v/>
      </c>
      <c r="DY27" s="35" t="str">
        <f>IFERROR(__xludf.DUMMYFUNCTION("VLOOKUP($A$1,IMPORTRANGE($A$2, CONCATENATE($A27,""!$B$5:$JB$48"")),DY$1,0)"),"")</f>
        <v/>
      </c>
      <c r="DZ27" s="35" t="str">
        <f>IFERROR(__xludf.DUMMYFUNCTION("VLOOKUP($A$1,IMPORTRANGE($A$2, CONCATENATE($A27,""!$B$5:$JB$48"")),DZ$1,0)"),"")</f>
        <v/>
      </c>
      <c r="EA27" s="35" t="str">
        <f>IFERROR(__xludf.DUMMYFUNCTION("VLOOKUP($A$1,IMPORTRANGE($A$2, CONCATENATE($A27,""!$B$5:$JB$48"")),EA$1,0)"),"")</f>
        <v/>
      </c>
      <c r="EB27" s="35" t="str">
        <f>IFERROR(__xludf.DUMMYFUNCTION("VLOOKUP($A$1,IMPORTRANGE($A$2, CONCATENATE($A27,""!$B$5:$JB$48"")),EB$1,0)"),"")</f>
        <v/>
      </c>
      <c r="EC27" s="35" t="str">
        <f>IFERROR(__xludf.DUMMYFUNCTION("VLOOKUP($A$1,IMPORTRANGE($A$2, CONCATENATE($A27,""!$B$5:$JB$48"")),EC$1,0)"),"")</f>
        <v/>
      </c>
      <c r="ED27" s="35" t="str">
        <f>IFERROR(__xludf.DUMMYFUNCTION("VLOOKUP($A$1,IMPORTRANGE($A$2, CONCATENATE($A27,""!$B$5:$JB$48"")),ED$1,0)"),"")</f>
        <v/>
      </c>
      <c r="EE27" s="35" t="str">
        <f>IFERROR(__xludf.DUMMYFUNCTION("VLOOKUP($A$1,IMPORTRANGE($A$2, CONCATENATE($A27,""!$B$5:$JB$48"")),EE$1,0)"),"")</f>
        <v/>
      </c>
      <c r="EF27" s="35" t="str">
        <f>IFERROR(__xludf.DUMMYFUNCTION("VLOOKUP($A$1,IMPORTRANGE($A$2, CONCATENATE($A27,""!$B$5:$JB$48"")),EF$1,0)"),"")</f>
        <v/>
      </c>
      <c r="EG27" s="35" t="str">
        <f>IFERROR(__xludf.DUMMYFUNCTION("VLOOKUP($A$1,IMPORTRANGE($A$2, CONCATENATE($A27,""!$B$5:$JB$48"")),EG$1,0)"),"")</f>
        <v/>
      </c>
      <c r="EH27" s="35" t="str">
        <f>IFERROR(__xludf.DUMMYFUNCTION("VLOOKUP($A$1,IMPORTRANGE($A$2, CONCATENATE($A27,""!$B$5:$JB$48"")),EH$1,0)"),"")</f>
        <v/>
      </c>
      <c r="EI27" s="35" t="str">
        <f>IFERROR(__xludf.DUMMYFUNCTION("VLOOKUP($A$1,IMPORTRANGE($A$2, CONCATENATE($A27,""!$B$5:$JB$48"")),EI$1,0)"),"")</f>
        <v/>
      </c>
      <c r="EJ27" s="35" t="str">
        <f>IFERROR(__xludf.DUMMYFUNCTION("VLOOKUP($A$1,IMPORTRANGE($A$2, CONCATENATE($A27,""!$B$5:$JB$48"")),EJ$1,0)"),"")</f>
        <v/>
      </c>
      <c r="EK27" s="35" t="str">
        <f>IFERROR(__xludf.DUMMYFUNCTION("VLOOKUP($A$1,IMPORTRANGE($A$2, CONCATENATE($A27,""!$B$5:$JB$48"")),EK$1,0)"),"")</f>
        <v/>
      </c>
      <c r="EL27" s="35" t="str">
        <f>IFERROR(__xludf.DUMMYFUNCTION("VLOOKUP($A$1,IMPORTRANGE($A$2, CONCATENATE($A27,""!$B$5:$JB$48"")),EL$1,0)"),"")</f>
        <v/>
      </c>
      <c r="EM27" s="35" t="str">
        <f>IFERROR(__xludf.DUMMYFUNCTION("VLOOKUP($A$1,IMPORTRANGE($A$2, CONCATENATE($A27,""!$B$5:$JB$48"")),EM$1,0)"),"")</f>
        <v/>
      </c>
      <c r="EN27" s="35" t="str">
        <f>IFERROR(__xludf.DUMMYFUNCTION("VLOOKUP($A$1,IMPORTRANGE($A$2, CONCATENATE($A27,""!$B$5:$JB$48"")),EN$1,0)"),"")</f>
        <v/>
      </c>
      <c r="EO27" s="35" t="str">
        <f>IFERROR(__xludf.DUMMYFUNCTION("VLOOKUP($A$1,IMPORTRANGE($A$2, CONCATENATE($A27,""!$B$5:$JB$48"")),EO$1,0)"),"")</f>
        <v/>
      </c>
      <c r="EP27" s="35" t="str">
        <f>IFERROR(__xludf.DUMMYFUNCTION("VLOOKUP($A$1,IMPORTRANGE($A$2, CONCATENATE($A27,""!$B$5:$JB$48"")),EP$1,0)"),"")</f>
        <v/>
      </c>
      <c r="EQ27" s="35" t="str">
        <f>IFERROR(__xludf.DUMMYFUNCTION("VLOOKUP($A$1,IMPORTRANGE($A$2, CONCATENATE($A27,""!$B$5:$JB$48"")),EQ$1,0)"),"")</f>
        <v/>
      </c>
      <c r="ER27" s="35" t="str">
        <f>IFERROR(__xludf.DUMMYFUNCTION("VLOOKUP($A$1,IMPORTRANGE($A$2, CONCATENATE($A27,""!$B$5:$JB$48"")),ER$1,0)"),"")</f>
        <v/>
      </c>
      <c r="ES27" s="35" t="str">
        <f>IFERROR(__xludf.DUMMYFUNCTION("VLOOKUP($A$1,IMPORTRANGE($A$2, CONCATENATE($A27,""!$B$5:$JB$48"")),ES$1,0)"),"")</f>
        <v/>
      </c>
      <c r="ET27" s="35" t="str">
        <f>IFERROR(__xludf.DUMMYFUNCTION("VLOOKUP($A$1,IMPORTRANGE($A$2, CONCATENATE($A27,""!$B$5:$JB$48"")),ET$1,0)"),"")</f>
        <v/>
      </c>
      <c r="EU27" s="35" t="str">
        <f>IFERROR(__xludf.DUMMYFUNCTION("VLOOKUP($A$1,IMPORTRANGE($A$2, CONCATENATE($A27,""!$B$5:$JB$48"")),EU$1,0)"),"")</f>
        <v/>
      </c>
      <c r="EV27" s="35" t="str">
        <f>IFERROR(__xludf.DUMMYFUNCTION("VLOOKUP($A$1,IMPORTRANGE($A$2, CONCATENATE($A27,""!$B$5:$JB$48"")),EV$1,0)"),"")</f>
        <v/>
      </c>
      <c r="EW27" s="35" t="str">
        <f>IFERROR(__xludf.DUMMYFUNCTION("VLOOKUP($A$1,IMPORTRANGE($A$2, CONCATENATE($A27,""!$B$5:$JB$48"")),EW$1,0)"),"")</f>
        <v/>
      </c>
      <c r="EX27" s="35" t="str">
        <f>IFERROR(__xludf.DUMMYFUNCTION("VLOOKUP($A$1,IMPORTRANGE($A$2, CONCATENATE($A27,""!$B$5:$JB$48"")),EX$1,0)"),"")</f>
        <v/>
      </c>
      <c r="EY27" s="35" t="str">
        <f>IFERROR(__xludf.DUMMYFUNCTION("VLOOKUP($A$1,IMPORTRANGE($A$2, CONCATENATE($A27,""!$B$5:$JB$48"")),EY$1,0)"),"")</f>
        <v/>
      </c>
      <c r="EZ27" s="35" t="str">
        <f>IFERROR(__xludf.DUMMYFUNCTION("VLOOKUP($A$1,IMPORTRANGE($A$2, CONCATENATE($A27,""!$B$5:$JB$48"")),EZ$1,0)"),"")</f>
        <v/>
      </c>
      <c r="FA27" s="35" t="str">
        <f>IFERROR(__xludf.DUMMYFUNCTION("VLOOKUP($A$1,IMPORTRANGE($A$2, CONCATENATE($A27,""!$B$5:$JB$48"")),FA$1,0)"),"")</f>
        <v/>
      </c>
      <c r="FB27" s="35" t="str">
        <f>IFERROR(__xludf.DUMMYFUNCTION("VLOOKUP($A$1,IMPORTRANGE($A$2, CONCATENATE($A27,""!$B$5:$JB$48"")),FB$1,0)"),"")</f>
        <v/>
      </c>
      <c r="FC27" s="35" t="str">
        <f>IFERROR(__xludf.DUMMYFUNCTION("VLOOKUP($A$1,IMPORTRANGE($A$2, CONCATENATE($A27,""!$B$5:$JB$48"")),FC$1,0)"),"")</f>
        <v/>
      </c>
      <c r="FD27" s="35" t="str">
        <f>IFERROR(__xludf.DUMMYFUNCTION("VLOOKUP($A$1,IMPORTRANGE($A$2, CONCATENATE($A27,""!$B$5:$JB$48"")),FD$1,0)"),"")</f>
        <v/>
      </c>
      <c r="FE27" s="35" t="str">
        <f>IFERROR(__xludf.DUMMYFUNCTION("VLOOKUP($A$1,IMPORTRANGE($A$2, CONCATENATE($A27,""!$B$5:$JB$48"")),FE$1,0)"),"")</f>
        <v/>
      </c>
      <c r="FF27" s="35" t="str">
        <f>IFERROR(__xludf.DUMMYFUNCTION("VLOOKUP($A$1,IMPORTRANGE($A$2, CONCATENATE($A27,""!$B$5:$JB$48"")),FF$1,0)"),"")</f>
        <v/>
      </c>
      <c r="FG27" s="35" t="str">
        <f>IFERROR(__xludf.DUMMYFUNCTION("VLOOKUP($A$1,IMPORTRANGE($A$2, CONCATENATE($A27,""!$B$5:$JB$48"")),FG$1,0)"),"")</f>
        <v/>
      </c>
      <c r="FH27" s="35" t="str">
        <f>IFERROR(__xludf.DUMMYFUNCTION("VLOOKUP($A$1,IMPORTRANGE($A$2, CONCATENATE($A27,""!$B$5:$JB$48"")),FH$1,0)"),"")</f>
        <v/>
      </c>
      <c r="FI27" s="35" t="str">
        <f>IFERROR(__xludf.DUMMYFUNCTION("VLOOKUP($A$1,IMPORTRANGE($A$2, CONCATENATE($A27,""!$B$5:$JB$48"")),FI$1,0)"),"")</f>
        <v/>
      </c>
      <c r="FJ27" s="35" t="str">
        <f>IFERROR(__xludf.DUMMYFUNCTION("VLOOKUP($A$1,IMPORTRANGE($A$2, CONCATENATE($A27,""!$B$5:$JB$48"")),FJ$1,0)"),"")</f>
        <v/>
      </c>
      <c r="FK27" s="35" t="str">
        <f>IFERROR(__xludf.DUMMYFUNCTION("VLOOKUP($A$1,IMPORTRANGE($A$2, CONCATENATE($A27,""!$B$5:$JB$48"")),FK$1,0)"),"")</f>
        <v/>
      </c>
      <c r="FL27" s="35" t="str">
        <f>IFERROR(__xludf.DUMMYFUNCTION("VLOOKUP($A$1,IMPORTRANGE($A$2, CONCATENATE($A27,""!$B$5:$JB$48"")),FL$1,0)"),"")</f>
        <v/>
      </c>
      <c r="FM27" s="35" t="str">
        <f>IFERROR(__xludf.DUMMYFUNCTION("VLOOKUP($A$1,IMPORTRANGE($A$2, CONCATENATE($A27,""!$B$5:$JB$48"")),FM$1,0)"),"")</f>
        <v/>
      </c>
      <c r="FN27" s="35" t="str">
        <f>IFERROR(__xludf.DUMMYFUNCTION("VLOOKUP($A$1,IMPORTRANGE($A$2, CONCATENATE($A27,""!$B$5:$JB$48"")),FN$1,0)"),"")</f>
        <v/>
      </c>
      <c r="FO27" s="35" t="str">
        <f>IFERROR(__xludf.DUMMYFUNCTION("VLOOKUP($A$1,IMPORTRANGE($A$2, CONCATENATE($A27,""!$B$5:$JB$48"")),FO$1,0)"),"")</f>
        <v/>
      </c>
      <c r="FP27" s="35" t="str">
        <f>IFERROR(__xludf.DUMMYFUNCTION("VLOOKUP($A$1,IMPORTRANGE($A$2, CONCATENATE($A27,""!$B$5:$JB$48"")),FP$1,0)"),"")</f>
        <v/>
      </c>
      <c r="FQ27" s="35" t="str">
        <f>IFERROR(__xludf.DUMMYFUNCTION("VLOOKUP($A$1,IMPORTRANGE($A$2, CONCATENATE($A27,""!$B$5:$JB$48"")),FQ$1,0)"),"")</f>
        <v/>
      </c>
      <c r="FR27" s="35" t="str">
        <f>IFERROR(__xludf.DUMMYFUNCTION("VLOOKUP($A$1,IMPORTRANGE($A$2, CONCATENATE($A27,""!$B$5:$JB$48"")),FR$1,0)"),"")</f>
        <v/>
      </c>
      <c r="FS27" s="35" t="str">
        <f>IFERROR(__xludf.DUMMYFUNCTION("VLOOKUP($A$1,IMPORTRANGE($A$2, CONCATENATE($A27,""!$B$5:$JB$48"")),FS$1,0)"),"")</f>
        <v/>
      </c>
      <c r="FT27" s="35" t="str">
        <f>IFERROR(__xludf.DUMMYFUNCTION("VLOOKUP($A$1,IMPORTRANGE($A$2, CONCATENATE($A27,""!$B$5:$JB$48"")),FT$1,0)"),"")</f>
        <v/>
      </c>
      <c r="FU27" s="35" t="str">
        <f>IFERROR(__xludf.DUMMYFUNCTION("VLOOKUP($A$1,IMPORTRANGE($A$2, CONCATENATE($A27,""!$B$5:$JB$48"")),FU$1,0)"),"")</f>
        <v/>
      </c>
      <c r="FV27" s="35" t="str">
        <f>IFERROR(__xludf.DUMMYFUNCTION("VLOOKUP($A$1,IMPORTRANGE($A$2, CONCATENATE($A27,""!$B$5:$JB$48"")),FV$1,0)"),"")</f>
        <v/>
      </c>
      <c r="FW27" s="35" t="str">
        <f>IFERROR(__xludf.DUMMYFUNCTION("VLOOKUP($A$1,IMPORTRANGE($A$2, CONCATENATE($A27,""!$B$5:$JB$48"")),FW$1,0)"),"")</f>
        <v/>
      </c>
      <c r="FX27" s="35" t="str">
        <f>IFERROR(__xludf.DUMMYFUNCTION("VLOOKUP($A$1,IMPORTRANGE($A$2, CONCATENATE($A27,""!$B$5:$JB$48"")),FX$1,0)"),"")</f>
        <v/>
      </c>
      <c r="FY27" s="35" t="str">
        <f>IFERROR(__xludf.DUMMYFUNCTION("VLOOKUP($A$1,IMPORTRANGE($A$2, CONCATENATE($A27,""!$B$5:$JB$48"")),FY$1,0)"),"")</f>
        <v/>
      </c>
      <c r="FZ27" s="35" t="str">
        <f>IFERROR(__xludf.DUMMYFUNCTION("VLOOKUP($A$1,IMPORTRANGE($A$2, CONCATENATE($A27,""!$B$5:$JB$48"")),FZ$1,0)"),"")</f>
        <v/>
      </c>
      <c r="GA27" s="35" t="str">
        <f>IFERROR(__xludf.DUMMYFUNCTION("VLOOKUP($A$1,IMPORTRANGE($A$2, CONCATENATE($A27,""!$B$5:$JB$48"")),GA$1,0)"),"")</f>
        <v/>
      </c>
      <c r="GB27" s="35" t="str">
        <f>IFERROR(__xludf.DUMMYFUNCTION("VLOOKUP($A$1,IMPORTRANGE($A$2, CONCATENATE($A27,""!$B$5:$JB$48"")),GB$1,0)"),"")</f>
        <v/>
      </c>
      <c r="GC27" s="35" t="str">
        <f>IFERROR(__xludf.DUMMYFUNCTION("VLOOKUP($A$1,IMPORTRANGE($A$2, CONCATENATE($A27,""!$B$5:$JB$48"")),GC$1,0)"),"")</f>
        <v/>
      </c>
      <c r="GD27" s="35" t="str">
        <f>IFERROR(__xludf.DUMMYFUNCTION("VLOOKUP($A$1,IMPORTRANGE($A$2, CONCATENATE($A27,""!$B$5:$JB$48"")),GD$1,0)"),"")</f>
        <v/>
      </c>
      <c r="GE27" s="35" t="str">
        <f>IFERROR(__xludf.DUMMYFUNCTION("VLOOKUP($A$1,IMPORTRANGE($A$2, CONCATENATE($A27,""!$B$5:$JB$48"")),GE$1,0)"),"")</f>
        <v/>
      </c>
      <c r="GF27" s="35" t="str">
        <f>IFERROR(__xludf.DUMMYFUNCTION("VLOOKUP($A$1,IMPORTRANGE($A$2, CONCATENATE($A27,""!$B$5:$JB$48"")),GF$1,0)"),"")</f>
        <v/>
      </c>
      <c r="GG27" s="35" t="str">
        <f>IFERROR(__xludf.DUMMYFUNCTION("VLOOKUP($A$1,IMPORTRANGE($A$2, CONCATENATE($A27,""!$B$5:$JB$48"")),GG$1,0)"),"")</f>
        <v/>
      </c>
      <c r="GH27" s="35" t="str">
        <f>IFERROR(__xludf.DUMMYFUNCTION("VLOOKUP($A$1,IMPORTRANGE($A$2, CONCATENATE($A27,""!$B$5:$JB$48"")),GH$1,0)"),"")</f>
        <v/>
      </c>
      <c r="GI27" s="35" t="str">
        <f>IFERROR(__xludf.DUMMYFUNCTION("VLOOKUP($A$1,IMPORTRANGE($A$2, CONCATENATE($A27,""!$B$5:$JB$48"")),GI$1,0)"),"")</f>
        <v/>
      </c>
      <c r="GJ27" s="35" t="str">
        <f>IFERROR(__xludf.DUMMYFUNCTION("VLOOKUP($A$1,IMPORTRANGE($A$2, CONCATENATE($A27,""!$B$5:$JB$48"")),GJ$1,0)"),"")</f>
        <v/>
      </c>
      <c r="GK27" s="35" t="str">
        <f>IFERROR(__xludf.DUMMYFUNCTION("VLOOKUP($A$1,IMPORTRANGE($A$2, CONCATENATE($A27,""!$B$5:$JB$48"")),GK$1,0)"),"")</f>
        <v/>
      </c>
      <c r="GL27" s="35" t="str">
        <f>IFERROR(__xludf.DUMMYFUNCTION("VLOOKUP($A$1,IMPORTRANGE($A$2, CONCATENATE($A27,""!$B$5:$JB$48"")),GL$1,0)"),"")</f>
        <v/>
      </c>
      <c r="GM27" s="35" t="str">
        <f>IFERROR(__xludf.DUMMYFUNCTION("VLOOKUP($A$1,IMPORTRANGE($A$2, CONCATENATE($A27,""!$B$5:$JB$48"")),GM$1,0)"),"")</f>
        <v/>
      </c>
      <c r="GN27" s="35" t="str">
        <f>IFERROR(__xludf.DUMMYFUNCTION("VLOOKUP($A$1,IMPORTRANGE($A$2, CONCATENATE($A27,""!$B$5:$JB$48"")),GN$1,0)"),"")</f>
        <v/>
      </c>
      <c r="GO27" s="35" t="str">
        <f>IFERROR(__xludf.DUMMYFUNCTION("VLOOKUP($A$1,IMPORTRANGE($A$2, CONCATENATE($A27,""!$B$5:$JB$48"")),GO$1,0)"),"")</f>
        <v/>
      </c>
      <c r="GP27" s="35" t="str">
        <f>IFERROR(__xludf.DUMMYFUNCTION("VLOOKUP($A$1,IMPORTRANGE($A$2, CONCATENATE($A27,""!$B$5:$JB$48"")),GP$1,0)"),"")</f>
        <v/>
      </c>
      <c r="GQ27" s="35" t="str">
        <f>IFERROR(__xludf.DUMMYFUNCTION("VLOOKUP($A$1,IMPORTRANGE($A$2, CONCATENATE($A27,""!$B$5:$JB$48"")),GQ$1,0)"),"")</f>
        <v/>
      </c>
      <c r="GR27" s="35" t="str">
        <f>IFERROR(__xludf.DUMMYFUNCTION("VLOOKUP($A$1,IMPORTRANGE($A$2, CONCATENATE($A27,""!$B$5:$JB$48"")),GR$1,0)"),"")</f>
        <v/>
      </c>
      <c r="GS27" s="35" t="str">
        <f>IFERROR(__xludf.DUMMYFUNCTION("VLOOKUP($A$1,IMPORTRANGE($A$2, CONCATENATE($A27,""!$B$5:$JB$48"")),GS$1,0)"),"")</f>
        <v/>
      </c>
      <c r="GT27" s="35" t="str">
        <f>IFERROR(__xludf.DUMMYFUNCTION("VLOOKUP($A$1,IMPORTRANGE($A$2, CONCATENATE($A27,""!$B$5:$JB$48"")),GT$1,0)"),"")</f>
        <v/>
      </c>
      <c r="GU27" s="35" t="str">
        <f>IFERROR(__xludf.DUMMYFUNCTION("VLOOKUP($A$1,IMPORTRANGE($A$2, CONCATENATE($A27,""!$B$5:$JB$48"")),GU$1,0)"),"")</f>
        <v/>
      </c>
      <c r="GV27" s="35" t="str">
        <f>IFERROR(__xludf.DUMMYFUNCTION("VLOOKUP($A$1,IMPORTRANGE($A$2, CONCATENATE($A27,""!$B$5:$JB$48"")),GV$1,0)"),"")</f>
        <v/>
      </c>
      <c r="GW27" s="35" t="str">
        <f>IFERROR(__xludf.DUMMYFUNCTION("VLOOKUP($A$1,IMPORTRANGE($A$2, CONCATENATE($A27,""!$B$5:$JB$48"")),GW$1,0)"),"")</f>
        <v/>
      </c>
      <c r="GX27" s="35" t="str">
        <f>IFERROR(__xludf.DUMMYFUNCTION("VLOOKUP($A$1,IMPORTRANGE($A$2, CONCATENATE($A27,""!$B$5:$JB$48"")),GX$1,0)"),"")</f>
        <v/>
      </c>
      <c r="GY27" s="35" t="str">
        <f>IFERROR(__xludf.DUMMYFUNCTION("VLOOKUP($A$1,IMPORTRANGE($A$2, CONCATENATE($A27,""!$B$5:$JB$48"")),GY$1,0)"),"")</f>
        <v/>
      </c>
      <c r="GZ27" s="35" t="str">
        <f>IFERROR(__xludf.DUMMYFUNCTION("VLOOKUP($A$1,IMPORTRANGE($A$2, CONCATENATE($A27,""!$B$5:$JB$48"")),GZ$1,0)"),"")</f>
        <v/>
      </c>
      <c r="HA27" s="35" t="str">
        <f>IFERROR(__xludf.DUMMYFUNCTION("VLOOKUP($A$1,IMPORTRANGE($A$2, CONCATENATE($A27,""!$B$5:$JB$48"")),HA$1,0)"),"")</f>
        <v/>
      </c>
      <c r="HB27" s="35" t="str">
        <f>IFERROR(__xludf.DUMMYFUNCTION("VLOOKUP($A$1,IMPORTRANGE($A$2, CONCATENATE($A27,""!$B$5:$JB$48"")),HB$1,0)"),"")</f>
        <v/>
      </c>
      <c r="HC27" s="35" t="str">
        <f>IFERROR(__xludf.DUMMYFUNCTION("VLOOKUP($A$1,IMPORTRANGE($A$2, CONCATENATE($A27,""!$B$5:$JB$48"")),HC$1,0)"),"")</f>
        <v/>
      </c>
      <c r="HD27" s="35" t="str">
        <f>IFERROR(__xludf.DUMMYFUNCTION("VLOOKUP($A$1,IMPORTRANGE($A$2, CONCATENATE($A27,""!$B$5:$JB$48"")),HD$1,0)"),"")</f>
        <v/>
      </c>
      <c r="HE27" s="35" t="str">
        <f>IFERROR(__xludf.DUMMYFUNCTION("VLOOKUP($A$1,IMPORTRANGE($A$2, CONCATENATE($A27,""!$B$5:$JB$48"")),HE$1,0)"),"")</f>
        <v/>
      </c>
      <c r="HF27" s="35" t="str">
        <f>IFERROR(__xludf.DUMMYFUNCTION("VLOOKUP($A$1,IMPORTRANGE($A$2, CONCATENATE($A27,""!$B$5:$JB$48"")),HF$1,0)"),"")</f>
        <v/>
      </c>
      <c r="HG27" s="35" t="str">
        <f>IFERROR(__xludf.DUMMYFUNCTION("VLOOKUP($A$1,IMPORTRANGE($A$2, CONCATENATE($A27,""!$B$5:$JB$48"")),HG$1,0)"),"")</f>
        <v/>
      </c>
      <c r="HH27" s="35" t="str">
        <f>IFERROR(__xludf.DUMMYFUNCTION("VLOOKUP($A$1,IMPORTRANGE($A$2, CONCATENATE($A27,""!$B$5:$JB$48"")),HH$1,0)"),"")</f>
        <v/>
      </c>
      <c r="HI27" s="35" t="str">
        <f>IFERROR(__xludf.DUMMYFUNCTION("VLOOKUP($A$1,IMPORTRANGE($A$2, CONCATENATE($A27,""!$B$5:$JB$48"")),HI$1,0)"),"")</f>
        <v/>
      </c>
      <c r="HJ27" s="35" t="str">
        <f>IFERROR(__xludf.DUMMYFUNCTION("VLOOKUP($A$1,IMPORTRANGE($A$2, CONCATENATE($A27,""!$B$5:$JB$48"")),HJ$1,0)"),"")</f>
        <v/>
      </c>
      <c r="HK27" s="35" t="str">
        <f>IFERROR(__xludf.DUMMYFUNCTION("VLOOKUP($A$1,IMPORTRANGE($A$2, CONCATENATE($A27,""!$B$5:$JB$48"")),HK$1,0)"),"")</f>
        <v/>
      </c>
      <c r="HL27" s="35" t="str">
        <f>IFERROR(__xludf.DUMMYFUNCTION("VLOOKUP($A$1,IMPORTRANGE($A$2, CONCATENATE($A27,""!$B$5:$JB$48"")),HL$1,0)"),"")</f>
        <v/>
      </c>
      <c r="HM27" s="35" t="str">
        <f>IFERROR(__xludf.DUMMYFUNCTION("VLOOKUP($A$1,IMPORTRANGE($A$2, CONCATENATE($A27,""!$B$5:$JB$48"")),HM$1,0)"),"")</f>
        <v/>
      </c>
      <c r="HN27" s="35" t="str">
        <f>IFERROR(__xludf.DUMMYFUNCTION("VLOOKUP($A$1,IMPORTRANGE($A$2, CONCATENATE($A27,""!$B$5:$JB$48"")),HN$1,0)"),"")</f>
        <v/>
      </c>
      <c r="HO27" s="35" t="str">
        <f>IFERROR(__xludf.DUMMYFUNCTION("VLOOKUP($A$1,IMPORTRANGE($A$2, CONCATENATE($A27,""!$B$5:$JB$48"")),HO$1,0)"),"")</f>
        <v/>
      </c>
      <c r="HP27" s="35" t="str">
        <f>IFERROR(__xludf.DUMMYFUNCTION("VLOOKUP($A$1,IMPORTRANGE($A$2, CONCATENATE($A27,""!$B$5:$JB$48"")),HP$1,0)"),"")</f>
        <v/>
      </c>
      <c r="HQ27" s="35" t="str">
        <f>IFERROR(__xludf.DUMMYFUNCTION("VLOOKUP($A$1,IMPORTRANGE($A$2, CONCATENATE($A27,""!$B$5:$JB$48"")),HQ$1,0)"),"")</f>
        <v/>
      </c>
      <c r="HR27" s="35" t="str">
        <f>IFERROR(__xludf.DUMMYFUNCTION("VLOOKUP($A$1,IMPORTRANGE($A$2, CONCATENATE($A27,""!$B$5:$JB$48"")),HR$1,0)"),"")</f>
        <v/>
      </c>
      <c r="HS27" s="35" t="str">
        <f>IFERROR(__xludf.DUMMYFUNCTION("VLOOKUP($A$1,IMPORTRANGE($A$2, CONCATENATE($A27,""!$B$5:$JB$48"")),HS$1,0)"),"")</f>
        <v/>
      </c>
      <c r="HT27" s="35" t="str">
        <f>IFERROR(__xludf.DUMMYFUNCTION("VLOOKUP($A$1,IMPORTRANGE($A$2, CONCATENATE($A27,""!$B$5:$JB$48"")),HT$1,0)"),"")</f>
        <v/>
      </c>
      <c r="HU27" s="35" t="str">
        <f>IFERROR(__xludf.DUMMYFUNCTION("VLOOKUP($A$1,IMPORTRANGE($A$2, CONCATENATE($A27,""!$B$5:$JB$48"")),HU$1,0)"),"")</f>
        <v/>
      </c>
      <c r="HV27" s="35" t="str">
        <f>IFERROR(__xludf.DUMMYFUNCTION("VLOOKUP($A$1,IMPORTRANGE($A$2, CONCATENATE($A27,""!$B$5:$JB$48"")),HV$1,0)"),"")</f>
        <v/>
      </c>
      <c r="HW27" s="35" t="str">
        <f>IFERROR(__xludf.DUMMYFUNCTION("VLOOKUP($A$1,IMPORTRANGE($A$2, CONCATENATE($A27,""!$B$5:$JB$48"")),HW$1,0)"),"")</f>
        <v/>
      </c>
      <c r="HX27" s="35" t="str">
        <f>IFERROR(__xludf.DUMMYFUNCTION("VLOOKUP($A$1,IMPORTRANGE($A$2, CONCATENATE($A27,""!$B$5:$JB$48"")),HX$1,0)"),"")</f>
        <v/>
      </c>
      <c r="HY27" s="35" t="str">
        <f>IFERROR(__xludf.DUMMYFUNCTION("VLOOKUP($A$1,IMPORTRANGE($A$2, CONCATENATE($A27,""!$B$5:$JB$48"")),HY$1,0)"),"")</f>
        <v/>
      </c>
      <c r="HZ27" s="35" t="str">
        <f>IFERROR(__xludf.DUMMYFUNCTION("VLOOKUP($A$1,IMPORTRANGE($A$2, CONCATENATE($A27,""!$B$5:$JB$48"")),HZ$1,0)"),"")</f>
        <v/>
      </c>
      <c r="IA27" s="35" t="str">
        <f>IFERROR(__xludf.DUMMYFUNCTION("VLOOKUP($A$1,IMPORTRANGE($A$2, CONCATENATE($A27,""!$B$5:$JB$48"")),IA$1,0)"),"")</f>
        <v/>
      </c>
      <c r="IB27" s="35" t="str">
        <f>IFERROR(__xludf.DUMMYFUNCTION("VLOOKUP($A$1,IMPORTRANGE($A$2, CONCATENATE($A27,""!$B$5:$JB$48"")),IB$1,0)"),"")</f>
        <v/>
      </c>
      <c r="IC27" s="35" t="str">
        <f>IFERROR(__xludf.DUMMYFUNCTION("VLOOKUP($A$1,IMPORTRANGE($A$2, CONCATENATE($A27,""!$B$5:$JB$48"")),IC$1,0)"),"")</f>
        <v/>
      </c>
      <c r="ID27" s="35" t="str">
        <f>IFERROR(__xludf.DUMMYFUNCTION("VLOOKUP($A$1,IMPORTRANGE($A$2, CONCATENATE($A27,""!$B$5:$JB$48"")),ID$1,0)"),"")</f>
        <v/>
      </c>
      <c r="IE27" s="35" t="str">
        <f>IFERROR(__xludf.DUMMYFUNCTION("VLOOKUP($A$1,IMPORTRANGE($A$2, CONCATENATE($A27,""!$B$5:$JB$48"")),IE$1,0)"),"")</f>
        <v/>
      </c>
      <c r="IF27" s="35" t="str">
        <f>IFERROR(__xludf.DUMMYFUNCTION("VLOOKUP($A$1,IMPORTRANGE($A$2, CONCATENATE($A27,""!$B$5:$JB$48"")),IF$1,0)"),"")</f>
        <v/>
      </c>
      <c r="IG27" s="35" t="str">
        <f>IFERROR(__xludf.DUMMYFUNCTION("VLOOKUP($A$1,IMPORTRANGE($A$2, CONCATENATE($A27,""!$B$5:$JB$48"")),IG$1,0)"),"")</f>
        <v/>
      </c>
      <c r="IH27" s="35" t="str">
        <f>IFERROR(__xludf.DUMMYFUNCTION("VLOOKUP($A$1,IMPORTRANGE($A$2, CONCATENATE($A27,""!$B$5:$JB$48"")),IH$1,0)"),"")</f>
        <v/>
      </c>
      <c r="II27" s="35" t="str">
        <f>IFERROR(__xludf.DUMMYFUNCTION("VLOOKUP($A$1,IMPORTRANGE($A$2, CONCATENATE($A27,""!$B$5:$JB$48"")),II$1,0)"),"")</f>
        <v/>
      </c>
      <c r="IJ27" s="35" t="str">
        <f>IFERROR(__xludf.DUMMYFUNCTION("VLOOKUP($A$1,IMPORTRANGE($A$2, CONCATENATE($A27,""!$B$5:$JB$48"")),IJ$1,0)"),"")</f>
        <v/>
      </c>
      <c r="IK27" s="35" t="str">
        <f>IFERROR(__xludf.DUMMYFUNCTION("VLOOKUP($A$1,IMPORTRANGE($A$2, CONCATENATE($A27,""!$B$5:$JB$48"")),IK$1,0)"),"")</f>
        <v/>
      </c>
      <c r="IL27" s="35" t="str">
        <f>IFERROR(__xludf.DUMMYFUNCTION("VLOOKUP($A$1,IMPORTRANGE($A$2, CONCATENATE($A27,""!$B$5:$JB$48"")),IL$1,0)"),"")</f>
        <v/>
      </c>
      <c r="IM27" s="35" t="str">
        <f>IFERROR(__xludf.DUMMYFUNCTION("VLOOKUP($A$1,IMPORTRANGE($A$2, CONCATENATE($A27,""!$B$5:$JB$48"")),IM$1,0)"),"")</f>
        <v/>
      </c>
      <c r="IN27" s="35" t="str">
        <f>IFERROR(__xludf.DUMMYFUNCTION("VLOOKUP($A$1,IMPORTRANGE($A$2, CONCATENATE($A27,""!$B$5:$JB$48"")),IN$1,0)"),"")</f>
        <v/>
      </c>
      <c r="IO27" s="35" t="str">
        <f>IFERROR(__xludf.DUMMYFUNCTION("VLOOKUP($A$1,IMPORTRANGE($A$2, CONCATENATE($A27,""!$B$5:$JB$48"")),IO$1,0)"),"")</f>
        <v/>
      </c>
      <c r="IP27" s="35" t="str">
        <f>IFERROR(__xludf.DUMMYFUNCTION("VLOOKUP($A$1,IMPORTRANGE($A$2, CONCATENATE($A27,""!$B$5:$JB$48"")),IP$1,0)"),"")</f>
        <v/>
      </c>
      <c r="IQ27" s="35" t="str">
        <f>IFERROR(__xludf.DUMMYFUNCTION("VLOOKUP($A$1,IMPORTRANGE($A$2, CONCATENATE($A27,""!$B$5:$JB$48"")),IQ$1,0)"),"")</f>
        <v/>
      </c>
      <c r="IR27" s="35" t="str">
        <f>IFERROR(__xludf.DUMMYFUNCTION("VLOOKUP($A$1,IMPORTRANGE($A$2, CONCATENATE($A27,""!$B$5:$JB$48"")),IR$1,0)"),"")</f>
        <v/>
      </c>
      <c r="IS27" s="35" t="str">
        <f>IFERROR(__xludf.DUMMYFUNCTION("VLOOKUP($A$1,IMPORTRANGE($A$2, CONCATENATE($A27,""!$B$5:$JB$48"")),IS$1,0)"),"")</f>
        <v/>
      </c>
      <c r="IT27" s="35" t="str">
        <f>IFERROR(__xludf.DUMMYFUNCTION("VLOOKUP($A$1,IMPORTRANGE($A$2, CONCATENATE($A27,""!$B$5:$JB$48"")),IT$1,0)"),"")</f>
        <v/>
      </c>
      <c r="IU27" s="35" t="str">
        <f>IFERROR(__xludf.DUMMYFUNCTION("VLOOKUP($A$1,IMPORTRANGE($A$2, CONCATENATE($A27,""!$B$5:$JB$48"")),IU$1,0)"),"")</f>
        <v/>
      </c>
      <c r="IV27" s="35" t="str">
        <f>IFERROR(__xludf.DUMMYFUNCTION("VLOOKUP($A$1,IMPORTRANGE($A$2, CONCATENATE($A27,""!$B$5:$JB$48"")),IV$1,0)"),"")</f>
        <v/>
      </c>
      <c r="IW27" s="35">
        <f>IFERROR(__xludf.DUMMYFUNCTION("VLOOKUP($A$1,IMPORTRANGE($A$2, CONCATENATE($A27,""!$B$5:$JB$48"")),IW$1,0)"),4.0)</f>
        <v>4</v>
      </c>
      <c r="IX27" s="35" t="str">
        <f>IFERROR(__xludf.DUMMYFUNCTION("VLOOKUP($A$1,IMPORTRANGE($A$2, CONCATENATE($A27,""!$B$5:$JB$48"")),IX$1,0)"),"")</f>
        <v/>
      </c>
      <c r="IY27" s="35" t="str">
        <f>IFERROR(__xludf.DUMMYFUNCTION("VLOOKUP($A$1,IMPORTRANGE($A$2, CONCATENATE($A27,""!$B$5:$JB$48"")),IY$1,0)"),"")</f>
        <v/>
      </c>
      <c r="IZ27" s="35" t="str">
        <f>IFERROR(__xludf.DUMMYFUNCTION("VLOOKUP($A$1,IMPORTRANGE($A$2, CONCATENATE($A27,""!$B$5:$JB$48"")),IZ$1,0)"),"")</f>
        <v/>
      </c>
      <c r="JA27" s="35" t="str">
        <f>IFERROR(__xludf.DUMMYFUNCTION("VLOOKUP($A$1,IMPORTRANGE($A$2, CONCATENATE($A27,""!$B$5:$JB$48"")),JA$1,0)"),"")</f>
        <v/>
      </c>
      <c r="JB27" s="35"/>
      <c r="JC27" s="35"/>
      <c r="JD27" s="35"/>
      <c r="JE27" s="35"/>
    </row>
    <row r="28">
      <c r="A28" s="41"/>
      <c r="B28" s="29"/>
      <c r="C28" s="37"/>
      <c r="D28" s="38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</row>
    <row r="29">
      <c r="A29" s="39"/>
      <c r="B29" s="32">
        <f>IFERROR(__xludf.DUMMYFUNCTION("IMPORTRANGE($A$2, CONCATENATE($A30,""!C4:JB4""))"),45908.0)</f>
        <v>45908</v>
      </c>
      <c r="C29" s="32"/>
      <c r="D29" s="32"/>
      <c r="E29" s="32"/>
      <c r="F29" s="32"/>
      <c r="G29" s="32"/>
      <c r="H29" s="32"/>
      <c r="I29" s="32">
        <f>IFERROR(__xludf.DUMMYFUNCTION("""COMPUTED_VALUE"""),45915.0)</f>
        <v>45915</v>
      </c>
      <c r="J29" s="32"/>
      <c r="K29" s="32"/>
      <c r="L29" s="32"/>
      <c r="M29" s="32"/>
      <c r="N29" s="32"/>
      <c r="O29" s="32"/>
      <c r="P29" s="32">
        <f>IFERROR(__xludf.DUMMYFUNCTION("""COMPUTED_VALUE"""),45922.0)</f>
        <v>45922</v>
      </c>
      <c r="Q29" s="32"/>
      <c r="R29" s="32"/>
      <c r="S29" s="32"/>
      <c r="T29" s="32"/>
      <c r="U29" s="32"/>
      <c r="V29" s="32"/>
      <c r="W29" s="32">
        <f>IFERROR(__xludf.DUMMYFUNCTION("""COMPUTED_VALUE"""),45929.0)</f>
        <v>45929</v>
      </c>
      <c r="X29" s="32"/>
      <c r="Y29" s="32"/>
      <c r="Z29" s="32"/>
      <c r="AA29" s="32"/>
      <c r="AB29" s="32"/>
      <c r="AC29" s="32"/>
      <c r="AD29" s="32">
        <f>IFERROR(__xludf.DUMMYFUNCTION("""COMPUTED_VALUE"""),45936.0)</f>
        <v>45936</v>
      </c>
      <c r="AE29" s="32"/>
      <c r="AF29" s="32"/>
      <c r="AG29" s="32"/>
      <c r="AH29" s="32"/>
      <c r="AI29" s="32"/>
      <c r="AJ29" s="32"/>
      <c r="AK29" s="32">
        <f>IFERROR(__xludf.DUMMYFUNCTION("""COMPUTED_VALUE"""),45943.0)</f>
        <v>45943</v>
      </c>
      <c r="AL29" s="32"/>
      <c r="AM29" s="32"/>
      <c r="AN29" s="32"/>
      <c r="AO29" s="32"/>
      <c r="AP29" s="32"/>
      <c r="AQ29" s="32"/>
      <c r="AR29" s="32">
        <f>IFERROR(__xludf.DUMMYFUNCTION("""COMPUTED_VALUE"""),45950.0)</f>
        <v>45950</v>
      </c>
      <c r="AS29" s="32">
        <f>IFERROR(__xludf.DUMMYFUNCTION("""COMPUTED_VALUE"""),45957.0)</f>
        <v>45957</v>
      </c>
      <c r="AT29" s="32">
        <f>IFERROR(__xludf.DUMMYFUNCTION("""COMPUTED_VALUE"""),45971.0)</f>
        <v>45971</v>
      </c>
      <c r="AU29" s="32">
        <f>IFERROR(__xludf.DUMMYFUNCTION("""COMPUTED_VALUE"""),45978.0)</f>
        <v>45978</v>
      </c>
      <c r="AV29" s="32">
        <f>IFERROR(__xludf.DUMMYFUNCTION("""COMPUTED_VALUE"""),45985.0)</f>
        <v>45985</v>
      </c>
      <c r="AW29" s="32">
        <f>IFERROR(__xludf.DUMMYFUNCTION("""COMPUTED_VALUE"""),45992.0)</f>
        <v>45992</v>
      </c>
      <c r="AX29" s="32">
        <f>IFERROR(__xludf.DUMMYFUNCTION("""COMPUTED_VALUE"""),46000.0)</f>
        <v>46000</v>
      </c>
      <c r="AY29" s="32">
        <f>IFERROR(__xludf.DUMMYFUNCTION("""COMPUTED_VALUE"""),46006.0)</f>
        <v>46006</v>
      </c>
      <c r="AZ29" s="32">
        <f>IFERROR(__xludf.DUMMYFUNCTION("""COMPUTED_VALUE"""),46006.0)</f>
        <v>46006</v>
      </c>
      <c r="BA29" s="32">
        <f>IFERROR(__xludf.DUMMYFUNCTION("""COMPUTED_VALUE"""),46013.0)</f>
        <v>46013</v>
      </c>
      <c r="BB29" s="32" t="str">
        <f>IFERROR(__xludf.DUMMYFUNCTION("""COMPUTED_VALUE"""),"1 полугодие")</f>
        <v>1 полугодие</v>
      </c>
      <c r="BC29" s="32">
        <f>IFERROR(__xludf.DUMMYFUNCTION("""COMPUTED_VALUE"""),46039.0)</f>
        <v>46039</v>
      </c>
      <c r="BD29" s="32">
        <f>IFERROR(__xludf.DUMMYFUNCTION("""COMPUTED_VALUE"""),46046.0)</f>
        <v>46046</v>
      </c>
      <c r="BE29" s="32">
        <f>IFERROR(__xludf.DUMMYFUNCTION("""COMPUTED_VALUE"""),46053.0)</f>
        <v>46053</v>
      </c>
      <c r="BF29" s="32">
        <f>IFERROR(__xludf.DUMMYFUNCTION("""COMPUTED_VALUE"""),46060.0)</f>
        <v>46060</v>
      </c>
      <c r="BG29" s="32">
        <f>IFERROR(__xludf.DUMMYFUNCTION("""COMPUTED_VALUE"""),46067.0)</f>
        <v>46067</v>
      </c>
      <c r="BH29" s="32">
        <f>IFERROR(__xludf.DUMMYFUNCTION("""COMPUTED_VALUE"""),46074.0)</f>
        <v>46074</v>
      </c>
      <c r="BI29" s="32">
        <f>IFERROR(__xludf.DUMMYFUNCTION("""COMPUTED_VALUE"""),46081.0)</f>
        <v>46081</v>
      </c>
      <c r="BJ29" s="32"/>
      <c r="BK29" s="32">
        <f>IFERROR(__xludf.DUMMYFUNCTION("""COMPUTED_VALUE"""),46095.0)</f>
        <v>46095</v>
      </c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  <c r="IG29" s="32"/>
      <c r="IH29" s="32"/>
      <c r="II29" s="32"/>
      <c r="IJ29" s="32"/>
      <c r="IK29" s="32"/>
      <c r="IL29" s="32" t="str">
        <f>IFERROR(__xludf.DUMMYFUNCTION("""COMPUTED_VALUE"""),"2 полугодие")</f>
        <v>2 полугодие</v>
      </c>
      <c r="IM29" s="32" t="str">
        <f>IFERROR(__xludf.DUMMYFUNCTION("""COMPUTED_VALUE"""),"год")</f>
        <v>год</v>
      </c>
      <c r="IN29" s="32" t="str">
        <f>IFERROR(__xludf.DUMMYFUNCTION("""COMPUTED_VALUE"""),"рейтинг")</f>
        <v>рейтинг</v>
      </c>
      <c r="IO29" s="32"/>
      <c r="IP29" s="32"/>
      <c r="IQ29" s="32" t="str">
        <f>IFERROR(__xludf.DUMMYFUNCTION("""COMPUTED_VALUE"""),"Дата")</f>
        <v>Дата</v>
      </c>
      <c r="IR29" s="32" t="str">
        <f>IFERROR(__xludf.DUMMYFUNCTION("""COMPUTED_VALUE"""),"Тема урока")</f>
        <v>Тема урока</v>
      </c>
      <c r="IS29" s="32" t="str">
        <f>IFERROR(__xludf.DUMMYFUNCTION("""COMPUTED_VALUE"""),"Домашнее задание")</f>
        <v>Домашнее задание</v>
      </c>
      <c r="IT29" s="32" t="str">
        <f>IFERROR(__xludf.DUMMYFUNCTION("""COMPUTED_VALUE"""),"Дата")</f>
        <v>Дата</v>
      </c>
      <c r="IU29" s="32" t="str">
        <f>IFERROR(__xludf.DUMMYFUNCTION("""COMPUTED_VALUE"""),"Тема урока")</f>
        <v>Тема урока</v>
      </c>
      <c r="IV29" s="32" t="str">
        <f>IFERROR(__xludf.DUMMYFUNCTION("""COMPUTED_VALUE"""),"Домашнее задание")</f>
        <v>Домашнее задание</v>
      </c>
      <c r="IW29" s="32" t="str">
        <f>IFERROR(__xludf.DUMMYFUNCTION("""COMPUTED_VALUE"""),"Дата")</f>
        <v>Дата</v>
      </c>
      <c r="IX29" s="32" t="str">
        <f>IFERROR(__xludf.DUMMYFUNCTION("""COMPUTED_VALUE"""),"Тема урока")</f>
        <v>Тема урока</v>
      </c>
      <c r="IY29" s="32" t="str">
        <f>IFERROR(__xludf.DUMMYFUNCTION("""COMPUTED_VALUE"""),"Домашнее задание")</f>
        <v>Домашнее задание</v>
      </c>
      <c r="IZ29" s="32" t="str">
        <f>IFERROR(__xludf.DUMMYFUNCTION("""COMPUTED_VALUE"""),"Дата")</f>
        <v>Дата</v>
      </c>
      <c r="JA29" s="32" t="str">
        <f>IFERROR(__xludf.DUMMYFUNCTION("""COMPUTED_VALUE"""),"Тема урока")</f>
        <v>Тема урока</v>
      </c>
      <c r="JB29" s="32"/>
      <c r="JC29" s="32"/>
      <c r="JD29" s="32"/>
      <c r="JE29" s="32"/>
    </row>
    <row r="30">
      <c r="A30" s="42" t="s">
        <v>286</v>
      </c>
      <c r="B30" s="35">
        <f>IFERROR(__xludf.DUMMYFUNCTION("VLOOKUP($A$1,IMPORTRANGE($A$2, CONCATENATE($A30,""!$B$5:$JB$48"")),B$1,0)"),4.0)</f>
        <v>4</v>
      </c>
      <c r="C30" s="35" t="str">
        <f>IFERROR(__xludf.DUMMYFUNCTION("VLOOKUP($A$1,IMPORTRANGE($A$2, CONCATENATE($A30,""!$B$5:$JB$48"")),C$1,0)"),"")</f>
        <v/>
      </c>
      <c r="D30" s="35" t="str">
        <f>IFERROR(__xludf.DUMMYFUNCTION("VLOOKUP($A$1,IMPORTRANGE($A$2, CONCATENATE($A30,""!$B$5:$JB$48"")),D$1,0)"),"")</f>
        <v/>
      </c>
      <c r="E30" s="35" t="str">
        <f>IFERROR(__xludf.DUMMYFUNCTION("VLOOKUP($A$1,IMPORTRANGE($A$2, CONCATENATE($A30,""!$B$5:$JB$48"")),E$1,0)"),"")</f>
        <v/>
      </c>
      <c r="F30" s="35" t="str">
        <f>IFERROR(__xludf.DUMMYFUNCTION("VLOOKUP($A$1,IMPORTRANGE($A$2, CONCATENATE($A30,""!$B$5:$JB$48"")),F$1,0)"),"")</f>
        <v/>
      </c>
      <c r="G30" s="35" t="str">
        <f>IFERROR(__xludf.DUMMYFUNCTION("VLOOKUP($A$1,IMPORTRANGE($A$2, CONCATENATE($A30,""!$B$5:$JB$48"")),G$1,0)"),"")</f>
        <v/>
      </c>
      <c r="H30" s="35" t="str">
        <f>IFERROR(__xludf.DUMMYFUNCTION("VLOOKUP($A$1,IMPORTRANGE($A$2, CONCATENATE($A30,""!$B$5:$JB$48"")),H$1,0)"),"")</f>
        <v/>
      </c>
      <c r="I30" s="35" t="str">
        <f>IFERROR(__xludf.DUMMYFUNCTION("VLOOKUP($A$1,IMPORTRANGE($A$2, CONCATENATE($A30,""!$B$5:$JB$48"")),I$1,0)"),"")</f>
        <v/>
      </c>
      <c r="J30" s="35" t="str">
        <f>IFERROR(__xludf.DUMMYFUNCTION("VLOOKUP($A$1,IMPORTRANGE($A$2, CONCATENATE($A30,""!$B$5:$JB$48"")),J$1,0)"),"")</f>
        <v/>
      </c>
      <c r="K30" s="35" t="str">
        <f>IFERROR(__xludf.DUMMYFUNCTION("VLOOKUP($A$1,IMPORTRANGE($A$2, CONCATENATE($A30,""!$B$5:$JB$48"")),K$1,0)"),"")</f>
        <v/>
      </c>
      <c r="L30" s="35" t="str">
        <f>IFERROR(__xludf.DUMMYFUNCTION("VLOOKUP($A$1,IMPORTRANGE($A$2, CONCATENATE($A30,""!$B$5:$JB$48"")),L$1,0)"),"")</f>
        <v/>
      </c>
      <c r="M30" s="35" t="str">
        <f>IFERROR(__xludf.DUMMYFUNCTION("VLOOKUP($A$1,IMPORTRANGE($A$2, CONCATENATE($A30,""!$B$5:$JB$48"")),M$1,0)"),"")</f>
        <v/>
      </c>
      <c r="N30" s="35" t="str">
        <f>IFERROR(__xludf.DUMMYFUNCTION("VLOOKUP($A$1,IMPORTRANGE($A$2, CONCATENATE($A30,""!$B$5:$JB$48"")),N$1,0)"),"")</f>
        <v/>
      </c>
      <c r="O30" s="35" t="str">
        <f>IFERROR(__xludf.DUMMYFUNCTION("VLOOKUP($A$1,IMPORTRANGE($A$2, CONCATENATE($A30,""!$B$5:$JB$48"")),O$1,0)"),"")</f>
        <v/>
      </c>
      <c r="P30" s="35" t="str">
        <f>IFERROR(__xludf.DUMMYFUNCTION("VLOOKUP($A$1,IMPORTRANGE($A$2, CONCATENATE($A30,""!$B$5:$JB$48"")),P$1,0)"),"")</f>
        <v/>
      </c>
      <c r="Q30" s="35" t="str">
        <f>IFERROR(__xludf.DUMMYFUNCTION("VLOOKUP($A$1,IMPORTRANGE($A$2, CONCATENATE($A30,""!$B$5:$JB$48"")),Q$1,0)"),"")</f>
        <v/>
      </c>
      <c r="R30" s="35" t="str">
        <f>IFERROR(__xludf.DUMMYFUNCTION("VLOOKUP($A$1,IMPORTRANGE($A$2, CONCATENATE($A30,""!$B$5:$JB$48"")),R$1,0)"),"")</f>
        <v/>
      </c>
      <c r="S30" s="35" t="str">
        <f>IFERROR(__xludf.DUMMYFUNCTION("VLOOKUP($A$1,IMPORTRANGE($A$2, CONCATENATE($A30,""!$B$5:$JB$48"")),S$1,0)"),"")</f>
        <v/>
      </c>
      <c r="T30" s="35" t="str">
        <f>IFERROR(__xludf.DUMMYFUNCTION("VLOOKUP($A$1,IMPORTRANGE($A$2, CONCATENATE($A30,""!$B$5:$JB$48"")),T$1,0)"),"")</f>
        <v/>
      </c>
      <c r="U30" s="35" t="str">
        <f>IFERROR(__xludf.DUMMYFUNCTION("VLOOKUP($A$1,IMPORTRANGE($A$2, CONCATENATE($A30,""!$B$5:$JB$48"")),U$1,0)"),"")</f>
        <v/>
      </c>
      <c r="V30" s="35" t="str">
        <f>IFERROR(__xludf.DUMMYFUNCTION("VLOOKUP($A$1,IMPORTRANGE($A$2, CONCATENATE($A30,""!$B$5:$JB$48"")),V$1,0)"),"")</f>
        <v/>
      </c>
      <c r="W30" s="35" t="str">
        <f>IFERROR(__xludf.DUMMYFUNCTION("VLOOKUP($A$1,IMPORTRANGE($A$2, CONCATENATE($A30,""!$B$5:$JB$48"")),W$1,0)"),"")</f>
        <v/>
      </c>
      <c r="X30" s="35" t="str">
        <f>IFERROR(__xludf.DUMMYFUNCTION("VLOOKUP($A$1,IMPORTRANGE($A$2, CONCATENATE($A30,""!$B$5:$JB$48"")),X$1,0)"),"")</f>
        <v/>
      </c>
      <c r="Y30" s="35" t="str">
        <f>IFERROR(__xludf.DUMMYFUNCTION("VLOOKUP($A$1,IMPORTRANGE($A$2, CONCATENATE($A30,""!$B$5:$JB$48"")),Y$1,0)"),"")</f>
        <v/>
      </c>
      <c r="Z30" s="35" t="str">
        <f>IFERROR(__xludf.DUMMYFUNCTION("VLOOKUP($A$1,IMPORTRANGE($A$2, CONCATENATE($A30,""!$B$5:$JB$48"")),Z$1,0)"),"")</f>
        <v/>
      </c>
      <c r="AA30" s="35" t="str">
        <f>IFERROR(__xludf.DUMMYFUNCTION("VLOOKUP($A$1,IMPORTRANGE($A$2, CONCATENATE($A30,""!$B$5:$JB$48"")),AA$1,0)"),"")</f>
        <v/>
      </c>
      <c r="AB30" s="35" t="str">
        <f>IFERROR(__xludf.DUMMYFUNCTION("VLOOKUP($A$1,IMPORTRANGE($A$2, CONCATENATE($A30,""!$B$5:$JB$48"")),AB$1,0)"),"")</f>
        <v/>
      </c>
      <c r="AC30" s="35" t="str">
        <f>IFERROR(__xludf.DUMMYFUNCTION("VLOOKUP($A$1,IMPORTRANGE($A$2, CONCATENATE($A30,""!$B$5:$JB$48"")),AC$1,0)"),"")</f>
        <v/>
      </c>
      <c r="AD30" s="35" t="str">
        <f>IFERROR(__xludf.DUMMYFUNCTION("VLOOKUP($A$1,IMPORTRANGE($A$2, CONCATENATE($A30,""!$B$5:$JB$48"")),AD$1,0)"),"")</f>
        <v/>
      </c>
      <c r="AE30" s="35" t="str">
        <f>IFERROR(__xludf.DUMMYFUNCTION("VLOOKUP($A$1,IMPORTRANGE($A$2, CONCATENATE($A30,""!$B$5:$JB$48"")),AE$1,0)"),"")</f>
        <v/>
      </c>
      <c r="AF30" s="35" t="str">
        <f>IFERROR(__xludf.DUMMYFUNCTION("VLOOKUP($A$1,IMPORTRANGE($A$2, CONCATENATE($A30,""!$B$5:$JB$48"")),AF$1,0)"),"")</f>
        <v/>
      </c>
      <c r="AG30" s="35" t="str">
        <f>IFERROR(__xludf.DUMMYFUNCTION("VLOOKUP($A$1,IMPORTRANGE($A$2, CONCATENATE($A30,""!$B$5:$JB$48"")),AG$1,0)"),"")</f>
        <v/>
      </c>
      <c r="AH30" s="35" t="str">
        <f>IFERROR(__xludf.DUMMYFUNCTION("VLOOKUP($A$1,IMPORTRANGE($A$2, CONCATENATE($A30,""!$B$5:$JB$48"")),AH$1,0)"),"")</f>
        <v/>
      </c>
      <c r="AI30" s="35" t="str">
        <f>IFERROR(__xludf.DUMMYFUNCTION("VLOOKUP($A$1,IMPORTRANGE($A$2, CONCATENATE($A30,""!$B$5:$JB$48"")),AI$1,0)"),"")</f>
        <v/>
      </c>
      <c r="AJ30" s="35" t="str">
        <f>IFERROR(__xludf.DUMMYFUNCTION("VLOOKUP($A$1,IMPORTRANGE($A$2, CONCATENATE($A30,""!$B$5:$JB$48"")),AJ$1,0)"),"")</f>
        <v/>
      </c>
      <c r="AK30" s="35">
        <f>IFERROR(__xludf.DUMMYFUNCTION("VLOOKUP($A$1,IMPORTRANGE($A$2, CONCATENATE($A30,""!$B$5:$JB$48"")),AK$1,0)"),5.0)</f>
        <v>5</v>
      </c>
      <c r="AL30" s="35" t="str">
        <f>IFERROR(__xludf.DUMMYFUNCTION("VLOOKUP($A$1,IMPORTRANGE($A$2, CONCATENATE($A30,""!$B$5:$JB$48"")),AL$1,0)"),"")</f>
        <v/>
      </c>
      <c r="AM30" s="35" t="str">
        <f>IFERROR(__xludf.DUMMYFUNCTION("VLOOKUP($A$1,IMPORTRANGE($A$2, CONCATENATE($A30,""!$B$5:$JB$48"")),AM$1,0)"),"")</f>
        <v/>
      </c>
      <c r="AN30" s="35" t="str">
        <f>IFERROR(__xludf.DUMMYFUNCTION("VLOOKUP($A$1,IMPORTRANGE($A$2, CONCATENATE($A30,""!$B$5:$JB$48"")),AN$1,0)"),"")</f>
        <v/>
      </c>
      <c r="AO30" s="35" t="str">
        <f>IFERROR(__xludf.DUMMYFUNCTION("VLOOKUP($A$1,IMPORTRANGE($A$2, CONCATENATE($A30,""!$B$5:$JB$48"")),AO$1,0)"),"")</f>
        <v/>
      </c>
      <c r="AP30" s="35" t="str">
        <f>IFERROR(__xludf.DUMMYFUNCTION("VLOOKUP($A$1,IMPORTRANGE($A$2, CONCATENATE($A30,""!$B$5:$JB$48"")),AP$1,0)"),"")</f>
        <v/>
      </c>
      <c r="AQ30" s="35" t="str">
        <f>IFERROR(__xludf.DUMMYFUNCTION("VLOOKUP($A$1,IMPORTRANGE($A$2, CONCATENATE($A30,""!$B$5:$JB$48"")),AQ$1,0)"),"")</f>
        <v/>
      </c>
      <c r="AR30" s="35" t="str">
        <f>IFERROR(__xludf.DUMMYFUNCTION("VLOOKUP($A$1,IMPORTRANGE($A$2, CONCATENATE($A30,""!$B$5:$JB$48"")),AR$1,0)"),"")</f>
        <v/>
      </c>
      <c r="AS30" s="35" t="str">
        <f>IFERROR(__xludf.DUMMYFUNCTION("VLOOKUP($A$1,IMPORTRANGE($A$2, CONCATENATE($A30,""!$B$5:$JB$48"")),AS$1,0)"),"")</f>
        <v/>
      </c>
      <c r="AT30" s="35" t="str">
        <f>IFERROR(__xludf.DUMMYFUNCTION("VLOOKUP($A$1,IMPORTRANGE($A$2, CONCATENATE($A30,""!$B$5:$JB$48"")),AT$1,0)"),"")</f>
        <v/>
      </c>
      <c r="AU30" s="35" t="str">
        <f>IFERROR(__xludf.DUMMYFUNCTION("VLOOKUP($A$1,IMPORTRANGE($A$2, CONCATENATE($A30,""!$B$5:$JB$48"")),AU$1,0)"),"н")</f>
        <v>н</v>
      </c>
      <c r="AV30" s="35" t="str">
        <f>IFERROR(__xludf.DUMMYFUNCTION("VLOOKUP($A$1,IMPORTRANGE($A$2, CONCATENATE($A30,""!$B$5:$JB$48"")),AV$1,0)"),"")</f>
        <v/>
      </c>
      <c r="AW30" s="35" t="str">
        <f>IFERROR(__xludf.DUMMYFUNCTION("VLOOKUP($A$1,IMPORTRANGE($A$2, CONCATENATE($A30,""!$B$5:$JB$48"")),AW$1,0)"),"н")</f>
        <v>н</v>
      </c>
      <c r="AX30" s="35" t="str">
        <f>IFERROR(__xludf.DUMMYFUNCTION("VLOOKUP($A$1,IMPORTRANGE($A$2, CONCATENATE($A30,""!$B$5:$JB$48"")),AX$1,0)"),"")</f>
        <v/>
      </c>
      <c r="AY30" s="35">
        <f>IFERROR(__xludf.DUMMYFUNCTION("VLOOKUP($A$1,IMPORTRANGE($A$2, CONCATENATE($A30,""!$B$5:$JB$48"")),AY$1,0)"),5.0)</f>
        <v>5</v>
      </c>
      <c r="AZ30" s="35">
        <f>IFERROR(__xludf.DUMMYFUNCTION("VLOOKUP($A$1,IMPORTRANGE($A$2, CONCATENATE($A30,""!$B$5:$JB$48"")),AZ$1,0)"),4.0)</f>
        <v>4</v>
      </c>
      <c r="BA30" s="35" t="str">
        <f>IFERROR(__xludf.DUMMYFUNCTION("VLOOKUP($A$1,IMPORTRANGE($A$2, CONCATENATE($A30,""!$B$5:$JB$48"")),BA$1,0)"),"")</f>
        <v/>
      </c>
      <c r="BB30" s="35">
        <f>IFERROR(__xludf.DUMMYFUNCTION("VLOOKUP($A$1,IMPORTRANGE($A$2, CONCATENATE($A30,""!$B$5:$JB$48"")),BB$1,0)"),5.0)</f>
        <v>5</v>
      </c>
      <c r="BC30" s="35" t="str">
        <f>IFERROR(__xludf.DUMMYFUNCTION("VLOOKUP($A$1,IMPORTRANGE($A$2, CONCATENATE($A30,""!$B$5:$JB$48"")),BC$1,0)"),"")</f>
        <v/>
      </c>
      <c r="BD30" s="35" t="str">
        <f>IFERROR(__xludf.DUMMYFUNCTION("VLOOKUP($A$1,IMPORTRANGE($A$2, CONCATENATE($A30,""!$B$5:$JB$48"")),BD$1,0)"),"")</f>
        <v/>
      </c>
      <c r="BE30" s="35" t="str">
        <f>IFERROR(__xludf.DUMMYFUNCTION("VLOOKUP($A$1,IMPORTRANGE($A$2, CONCATENATE($A30,""!$B$5:$JB$48"")),BE$1,0)"),"н")</f>
        <v>н</v>
      </c>
      <c r="BF30" s="35" t="str">
        <f>IFERROR(__xludf.DUMMYFUNCTION("VLOOKUP($A$1,IMPORTRANGE($A$2, CONCATENATE($A30,""!$B$5:$JB$48"")),BF$1,0)"),"")</f>
        <v/>
      </c>
      <c r="BG30" s="35" t="str">
        <f>IFERROR(__xludf.DUMMYFUNCTION("VLOOKUP($A$1,IMPORTRANGE($A$2, CONCATENATE($A30,""!$B$5:$JB$48"")),BG$1,0)"),"")</f>
        <v/>
      </c>
      <c r="BH30" s="35" t="str">
        <f>IFERROR(__xludf.DUMMYFUNCTION("VLOOKUP($A$1,IMPORTRANGE($A$2, CONCATENATE($A30,""!$B$5:$JB$48"")),BH$1,0)"),"")</f>
        <v/>
      </c>
      <c r="BI30" s="35" t="str">
        <f>IFERROR(__xludf.DUMMYFUNCTION("VLOOKUP($A$1,IMPORTRANGE($A$2, CONCATENATE($A30,""!$B$5:$JB$48"")),BI$1,0)"),"")</f>
        <v/>
      </c>
      <c r="BJ30" s="35" t="str">
        <f>IFERROR(__xludf.DUMMYFUNCTION("VLOOKUP($A$1,IMPORTRANGE($A$2, CONCATENATE($A30,""!$B$5:$JB$48"")),BJ$1,0)"),"")</f>
        <v/>
      </c>
      <c r="BK30" s="35" t="str">
        <f>IFERROR(__xludf.DUMMYFUNCTION("VLOOKUP($A$1,IMPORTRANGE($A$2, CONCATENATE($A30,""!$B$5:$JB$48"")),BK$1,0)"),"н")</f>
        <v>н</v>
      </c>
      <c r="BL30" s="35" t="str">
        <f>IFERROR(__xludf.DUMMYFUNCTION("VLOOKUP($A$1,IMPORTRANGE($A$2, CONCATENATE($A30,""!$B$5:$JB$48"")),BL$1,0)"),"")</f>
        <v/>
      </c>
      <c r="BM30" s="35" t="str">
        <f>IFERROR(__xludf.DUMMYFUNCTION("VLOOKUP($A$1,IMPORTRANGE($A$2, CONCATENATE($A30,""!$B$5:$JB$48"")),BM$1,0)"),"")</f>
        <v/>
      </c>
      <c r="BN30" s="35" t="str">
        <f>IFERROR(__xludf.DUMMYFUNCTION("VLOOKUP($A$1,IMPORTRANGE($A$2, CONCATENATE($A30,""!$B$5:$JB$48"")),BN$1,0)"),"")</f>
        <v/>
      </c>
      <c r="BO30" s="35" t="str">
        <f>IFERROR(__xludf.DUMMYFUNCTION("VLOOKUP($A$1,IMPORTRANGE($A$2, CONCATENATE($A30,""!$B$5:$JB$48"")),BO$1,0)"),"")</f>
        <v/>
      </c>
      <c r="BP30" s="35" t="str">
        <f>IFERROR(__xludf.DUMMYFUNCTION("VLOOKUP($A$1,IMPORTRANGE($A$2, CONCATENATE($A30,""!$B$5:$JB$48"")),BP$1,0)"),"")</f>
        <v/>
      </c>
      <c r="BQ30" s="35" t="str">
        <f>IFERROR(__xludf.DUMMYFUNCTION("VLOOKUP($A$1,IMPORTRANGE($A$2, CONCATENATE($A30,""!$B$5:$JB$48"")),BQ$1,0)"),"")</f>
        <v/>
      </c>
      <c r="BR30" s="35" t="str">
        <f>IFERROR(__xludf.DUMMYFUNCTION("VLOOKUP($A$1,IMPORTRANGE($A$2, CONCATENATE($A30,""!$B$5:$JB$48"")),BR$1,0)"),"")</f>
        <v/>
      </c>
      <c r="BS30" s="35" t="str">
        <f>IFERROR(__xludf.DUMMYFUNCTION("VLOOKUP($A$1,IMPORTRANGE($A$2, CONCATENATE($A30,""!$B$5:$JB$48"")),BS$1,0)"),"")</f>
        <v/>
      </c>
      <c r="BT30" s="35" t="str">
        <f>IFERROR(__xludf.DUMMYFUNCTION("VLOOKUP($A$1,IMPORTRANGE($A$2, CONCATENATE($A30,""!$B$5:$JB$48"")),BT$1,0)"),"")</f>
        <v/>
      </c>
      <c r="BU30" s="35" t="str">
        <f>IFERROR(__xludf.DUMMYFUNCTION("VLOOKUP($A$1,IMPORTRANGE($A$2, CONCATENATE($A30,""!$B$5:$JB$48"")),BU$1,0)"),"")</f>
        <v/>
      </c>
      <c r="BV30" s="35" t="str">
        <f>IFERROR(__xludf.DUMMYFUNCTION("VLOOKUP($A$1,IMPORTRANGE($A$2, CONCATENATE($A30,""!$B$5:$JB$48"")),BV$1,0)"),"")</f>
        <v/>
      </c>
      <c r="BW30" s="35" t="str">
        <f>IFERROR(__xludf.DUMMYFUNCTION("VLOOKUP($A$1,IMPORTRANGE($A$2, CONCATENATE($A30,""!$B$5:$JB$48"")),BW$1,0)"),"")</f>
        <v/>
      </c>
      <c r="BX30" s="35" t="str">
        <f>IFERROR(__xludf.DUMMYFUNCTION("VLOOKUP($A$1,IMPORTRANGE($A$2, CONCATENATE($A30,""!$B$5:$JB$48"")),BX$1,0)"),"")</f>
        <v/>
      </c>
      <c r="BY30" s="35" t="str">
        <f>IFERROR(__xludf.DUMMYFUNCTION("VLOOKUP($A$1,IMPORTRANGE($A$2, CONCATENATE($A30,""!$B$5:$JB$48"")),BY$1,0)"),"")</f>
        <v/>
      </c>
      <c r="BZ30" s="35" t="str">
        <f>IFERROR(__xludf.DUMMYFUNCTION("VLOOKUP($A$1,IMPORTRANGE($A$2, CONCATENATE($A30,""!$B$5:$JB$48"")),BZ$1,0)"),"")</f>
        <v/>
      </c>
      <c r="CA30" s="35" t="str">
        <f>IFERROR(__xludf.DUMMYFUNCTION("VLOOKUP($A$1,IMPORTRANGE($A$2, CONCATENATE($A30,""!$B$5:$JB$48"")),CA$1,0)"),"")</f>
        <v/>
      </c>
      <c r="CB30" s="35" t="str">
        <f>IFERROR(__xludf.DUMMYFUNCTION("VLOOKUP($A$1,IMPORTRANGE($A$2, CONCATENATE($A30,""!$B$5:$JB$48"")),CB$1,0)"),"")</f>
        <v/>
      </c>
      <c r="CC30" s="35" t="str">
        <f>IFERROR(__xludf.DUMMYFUNCTION("VLOOKUP($A$1,IMPORTRANGE($A$2, CONCATENATE($A30,""!$B$5:$JB$48"")),CC$1,0)"),"")</f>
        <v/>
      </c>
      <c r="CD30" s="35" t="str">
        <f>IFERROR(__xludf.DUMMYFUNCTION("VLOOKUP($A$1,IMPORTRANGE($A$2, CONCATENATE($A30,""!$B$5:$JB$48"")),CD$1,0)"),"")</f>
        <v/>
      </c>
      <c r="CE30" s="35" t="str">
        <f>IFERROR(__xludf.DUMMYFUNCTION("VLOOKUP($A$1,IMPORTRANGE($A$2, CONCATENATE($A30,""!$B$5:$JB$48"")),CE$1,0)"),"")</f>
        <v/>
      </c>
      <c r="CF30" s="35" t="str">
        <f>IFERROR(__xludf.DUMMYFUNCTION("VLOOKUP($A$1,IMPORTRANGE($A$2, CONCATENATE($A30,""!$B$5:$JB$48"")),CF$1,0)"),"")</f>
        <v/>
      </c>
      <c r="CG30" s="35" t="str">
        <f>IFERROR(__xludf.DUMMYFUNCTION("VLOOKUP($A$1,IMPORTRANGE($A$2, CONCATENATE($A30,""!$B$5:$JB$48"")),CG$1,0)"),"")</f>
        <v/>
      </c>
      <c r="CH30" s="35" t="str">
        <f>IFERROR(__xludf.DUMMYFUNCTION("VLOOKUP($A$1,IMPORTRANGE($A$2, CONCATENATE($A30,""!$B$5:$JB$48"")),CH$1,0)"),"")</f>
        <v/>
      </c>
      <c r="CI30" s="35" t="str">
        <f>IFERROR(__xludf.DUMMYFUNCTION("VLOOKUP($A$1,IMPORTRANGE($A$2, CONCATENATE($A30,""!$B$5:$JB$48"")),CI$1,0)"),"")</f>
        <v/>
      </c>
      <c r="CJ30" s="35" t="str">
        <f>IFERROR(__xludf.DUMMYFUNCTION("VLOOKUP($A$1,IMPORTRANGE($A$2, CONCATENATE($A30,""!$B$5:$JB$48"")),CJ$1,0)"),"")</f>
        <v/>
      </c>
      <c r="CK30" s="35" t="str">
        <f>IFERROR(__xludf.DUMMYFUNCTION("VLOOKUP($A$1,IMPORTRANGE($A$2, CONCATENATE($A30,""!$B$5:$JB$48"")),CK$1,0)"),"")</f>
        <v/>
      </c>
      <c r="CL30" s="35" t="str">
        <f>IFERROR(__xludf.DUMMYFUNCTION("VLOOKUP($A$1,IMPORTRANGE($A$2, CONCATENATE($A30,""!$B$5:$JB$48"")),CL$1,0)"),"")</f>
        <v/>
      </c>
      <c r="CM30" s="35" t="str">
        <f>IFERROR(__xludf.DUMMYFUNCTION("VLOOKUP($A$1,IMPORTRANGE($A$2, CONCATENATE($A30,""!$B$5:$JB$48"")),CM$1,0)"),"")</f>
        <v/>
      </c>
      <c r="CN30" s="35" t="str">
        <f>IFERROR(__xludf.DUMMYFUNCTION("VLOOKUP($A$1,IMPORTRANGE($A$2, CONCATENATE($A30,""!$B$5:$JB$48"")),CN$1,0)"),"")</f>
        <v/>
      </c>
      <c r="CO30" s="35" t="str">
        <f>IFERROR(__xludf.DUMMYFUNCTION("VLOOKUP($A$1,IMPORTRANGE($A$2, CONCATENATE($A30,""!$B$5:$JB$48"")),CO$1,0)"),"")</f>
        <v/>
      </c>
      <c r="CP30" s="35" t="str">
        <f>IFERROR(__xludf.DUMMYFUNCTION("VLOOKUP($A$1,IMPORTRANGE($A$2, CONCATENATE($A30,""!$B$5:$JB$48"")),CP$1,0)"),"")</f>
        <v/>
      </c>
      <c r="CQ30" s="35" t="str">
        <f>IFERROR(__xludf.DUMMYFUNCTION("VLOOKUP($A$1,IMPORTRANGE($A$2, CONCATENATE($A30,""!$B$5:$JB$48"")),CQ$1,0)"),"")</f>
        <v/>
      </c>
      <c r="CR30" s="35" t="str">
        <f>IFERROR(__xludf.DUMMYFUNCTION("VLOOKUP($A$1,IMPORTRANGE($A$2, CONCATENATE($A30,""!$B$5:$JB$48"")),CR$1,0)"),"")</f>
        <v/>
      </c>
      <c r="CS30" s="35" t="str">
        <f>IFERROR(__xludf.DUMMYFUNCTION("VLOOKUP($A$1,IMPORTRANGE($A$2, CONCATENATE($A30,""!$B$5:$JB$48"")),CS$1,0)"),"")</f>
        <v/>
      </c>
      <c r="CT30" s="35" t="str">
        <f>IFERROR(__xludf.DUMMYFUNCTION("VLOOKUP($A$1,IMPORTRANGE($A$2, CONCATENATE($A30,""!$B$5:$JB$48"")),CT$1,0)"),"")</f>
        <v/>
      </c>
      <c r="CU30" s="35" t="str">
        <f>IFERROR(__xludf.DUMMYFUNCTION("VLOOKUP($A$1,IMPORTRANGE($A$2, CONCATENATE($A30,""!$B$5:$JB$48"")),CU$1,0)"),"")</f>
        <v/>
      </c>
      <c r="CV30" s="35" t="str">
        <f>IFERROR(__xludf.DUMMYFUNCTION("VLOOKUP($A$1,IMPORTRANGE($A$2, CONCATENATE($A30,""!$B$5:$JB$48"")),CV$1,0)"),"")</f>
        <v/>
      </c>
      <c r="CW30" s="35" t="str">
        <f>IFERROR(__xludf.DUMMYFUNCTION("VLOOKUP($A$1,IMPORTRANGE($A$2, CONCATENATE($A30,""!$B$5:$JB$48"")),CW$1,0)"),"")</f>
        <v/>
      </c>
      <c r="CX30" s="35" t="str">
        <f>IFERROR(__xludf.DUMMYFUNCTION("VLOOKUP($A$1,IMPORTRANGE($A$2, CONCATENATE($A30,""!$B$5:$JB$48"")),CX$1,0)"),"")</f>
        <v/>
      </c>
      <c r="CY30" s="35" t="str">
        <f>IFERROR(__xludf.DUMMYFUNCTION("VLOOKUP($A$1,IMPORTRANGE($A$2, CONCATENATE($A30,""!$B$5:$JB$48"")),CY$1,0)"),"")</f>
        <v/>
      </c>
      <c r="CZ30" s="35" t="str">
        <f>IFERROR(__xludf.DUMMYFUNCTION("VLOOKUP($A$1,IMPORTRANGE($A$2, CONCATENATE($A30,""!$B$5:$JB$48"")),CZ$1,0)"),"")</f>
        <v/>
      </c>
      <c r="DA30" s="35" t="str">
        <f>IFERROR(__xludf.DUMMYFUNCTION("VLOOKUP($A$1,IMPORTRANGE($A$2, CONCATENATE($A30,""!$B$5:$JB$48"")),DA$1,0)"),"")</f>
        <v/>
      </c>
      <c r="DB30" s="35" t="str">
        <f>IFERROR(__xludf.DUMMYFUNCTION("VLOOKUP($A$1,IMPORTRANGE($A$2, CONCATENATE($A30,""!$B$5:$JB$48"")),DB$1,0)"),"")</f>
        <v/>
      </c>
      <c r="DC30" s="35" t="str">
        <f>IFERROR(__xludf.DUMMYFUNCTION("VLOOKUP($A$1,IMPORTRANGE($A$2, CONCATENATE($A30,""!$B$5:$JB$48"")),DC$1,0)"),"")</f>
        <v/>
      </c>
      <c r="DD30" s="35" t="str">
        <f>IFERROR(__xludf.DUMMYFUNCTION("VLOOKUP($A$1,IMPORTRANGE($A$2, CONCATENATE($A30,""!$B$5:$JB$48"")),DD$1,0)"),"")</f>
        <v/>
      </c>
      <c r="DE30" s="35" t="str">
        <f>IFERROR(__xludf.DUMMYFUNCTION("VLOOKUP($A$1,IMPORTRANGE($A$2, CONCATENATE($A30,""!$B$5:$JB$48"")),DE$1,0)"),"")</f>
        <v/>
      </c>
      <c r="DF30" s="35" t="str">
        <f>IFERROR(__xludf.DUMMYFUNCTION("VLOOKUP($A$1,IMPORTRANGE($A$2, CONCATENATE($A30,""!$B$5:$JB$48"")),DF$1,0)"),"")</f>
        <v/>
      </c>
      <c r="DG30" s="35" t="str">
        <f>IFERROR(__xludf.DUMMYFUNCTION("VLOOKUP($A$1,IMPORTRANGE($A$2, CONCATENATE($A30,""!$B$5:$JB$48"")),DG$1,0)"),"")</f>
        <v/>
      </c>
      <c r="DH30" s="35" t="str">
        <f>IFERROR(__xludf.DUMMYFUNCTION("VLOOKUP($A$1,IMPORTRANGE($A$2, CONCATENATE($A30,""!$B$5:$JB$48"")),DH$1,0)"),"")</f>
        <v/>
      </c>
      <c r="DI30" s="35" t="str">
        <f>IFERROR(__xludf.DUMMYFUNCTION("VLOOKUP($A$1,IMPORTRANGE($A$2, CONCATENATE($A30,""!$B$5:$JB$48"")),DI$1,0)"),"")</f>
        <v/>
      </c>
      <c r="DJ30" s="35" t="str">
        <f>IFERROR(__xludf.DUMMYFUNCTION("VLOOKUP($A$1,IMPORTRANGE($A$2, CONCATENATE($A30,""!$B$5:$JB$48"")),DJ$1,0)"),"")</f>
        <v/>
      </c>
      <c r="DK30" s="35" t="str">
        <f>IFERROR(__xludf.DUMMYFUNCTION("VLOOKUP($A$1,IMPORTRANGE($A$2, CONCATENATE($A30,""!$B$5:$JB$48"")),DK$1,0)"),"")</f>
        <v/>
      </c>
      <c r="DL30" s="35" t="str">
        <f>IFERROR(__xludf.DUMMYFUNCTION("VLOOKUP($A$1,IMPORTRANGE($A$2, CONCATENATE($A30,""!$B$5:$JB$48"")),DL$1,0)"),"")</f>
        <v/>
      </c>
      <c r="DM30" s="35" t="str">
        <f>IFERROR(__xludf.DUMMYFUNCTION("VLOOKUP($A$1,IMPORTRANGE($A$2, CONCATENATE($A30,""!$B$5:$JB$48"")),DM$1,0)"),"")</f>
        <v/>
      </c>
      <c r="DN30" s="35" t="str">
        <f>IFERROR(__xludf.DUMMYFUNCTION("VLOOKUP($A$1,IMPORTRANGE($A$2, CONCATENATE($A30,""!$B$5:$JB$48"")),DN$1,0)"),"")</f>
        <v/>
      </c>
      <c r="DO30" s="35" t="str">
        <f>IFERROR(__xludf.DUMMYFUNCTION("VLOOKUP($A$1,IMPORTRANGE($A$2, CONCATENATE($A30,""!$B$5:$JB$48"")),DO$1,0)"),"")</f>
        <v/>
      </c>
      <c r="DP30" s="35" t="str">
        <f>IFERROR(__xludf.DUMMYFUNCTION("VLOOKUP($A$1,IMPORTRANGE($A$2, CONCATENATE($A30,""!$B$5:$JB$48"")),DP$1,0)"),"")</f>
        <v/>
      </c>
      <c r="DQ30" s="35" t="str">
        <f>IFERROR(__xludf.DUMMYFUNCTION("VLOOKUP($A$1,IMPORTRANGE($A$2, CONCATENATE($A30,""!$B$5:$JB$48"")),DQ$1,0)"),"")</f>
        <v/>
      </c>
      <c r="DR30" s="35" t="str">
        <f>IFERROR(__xludf.DUMMYFUNCTION("VLOOKUP($A$1,IMPORTRANGE($A$2, CONCATENATE($A30,""!$B$5:$JB$48"")),DR$1,0)"),"")</f>
        <v/>
      </c>
      <c r="DS30" s="35" t="str">
        <f>IFERROR(__xludf.DUMMYFUNCTION("VLOOKUP($A$1,IMPORTRANGE($A$2, CONCATENATE($A30,""!$B$5:$JB$48"")),DS$1,0)"),"")</f>
        <v/>
      </c>
      <c r="DT30" s="35" t="str">
        <f>IFERROR(__xludf.DUMMYFUNCTION("VLOOKUP($A$1,IMPORTRANGE($A$2, CONCATENATE($A30,""!$B$5:$JB$48"")),DT$1,0)"),"")</f>
        <v/>
      </c>
      <c r="DU30" s="35" t="str">
        <f>IFERROR(__xludf.DUMMYFUNCTION("VLOOKUP($A$1,IMPORTRANGE($A$2, CONCATENATE($A30,""!$B$5:$JB$48"")),DU$1,0)"),"")</f>
        <v/>
      </c>
      <c r="DV30" s="35" t="str">
        <f>IFERROR(__xludf.DUMMYFUNCTION("VLOOKUP($A$1,IMPORTRANGE($A$2, CONCATENATE($A30,""!$B$5:$JB$48"")),DV$1,0)"),"")</f>
        <v/>
      </c>
      <c r="DW30" s="35" t="str">
        <f>IFERROR(__xludf.DUMMYFUNCTION("VLOOKUP($A$1,IMPORTRANGE($A$2, CONCATENATE($A30,""!$B$5:$JB$48"")),DW$1,0)"),"")</f>
        <v/>
      </c>
      <c r="DX30" s="35" t="str">
        <f>IFERROR(__xludf.DUMMYFUNCTION("VLOOKUP($A$1,IMPORTRANGE($A$2, CONCATENATE($A30,""!$B$5:$JB$48"")),DX$1,0)"),"")</f>
        <v/>
      </c>
      <c r="DY30" s="35" t="str">
        <f>IFERROR(__xludf.DUMMYFUNCTION("VLOOKUP($A$1,IMPORTRANGE($A$2, CONCATENATE($A30,""!$B$5:$JB$48"")),DY$1,0)"),"")</f>
        <v/>
      </c>
      <c r="DZ30" s="35" t="str">
        <f>IFERROR(__xludf.DUMMYFUNCTION("VLOOKUP($A$1,IMPORTRANGE($A$2, CONCATENATE($A30,""!$B$5:$JB$48"")),DZ$1,0)"),"")</f>
        <v/>
      </c>
      <c r="EA30" s="35" t="str">
        <f>IFERROR(__xludf.DUMMYFUNCTION("VLOOKUP($A$1,IMPORTRANGE($A$2, CONCATENATE($A30,""!$B$5:$JB$48"")),EA$1,0)"),"")</f>
        <v/>
      </c>
      <c r="EB30" s="35" t="str">
        <f>IFERROR(__xludf.DUMMYFUNCTION("VLOOKUP($A$1,IMPORTRANGE($A$2, CONCATENATE($A30,""!$B$5:$JB$48"")),EB$1,0)"),"")</f>
        <v/>
      </c>
      <c r="EC30" s="35" t="str">
        <f>IFERROR(__xludf.DUMMYFUNCTION("VLOOKUP($A$1,IMPORTRANGE($A$2, CONCATENATE($A30,""!$B$5:$JB$48"")),EC$1,0)"),"")</f>
        <v/>
      </c>
      <c r="ED30" s="35" t="str">
        <f>IFERROR(__xludf.DUMMYFUNCTION("VLOOKUP($A$1,IMPORTRANGE($A$2, CONCATENATE($A30,""!$B$5:$JB$48"")),ED$1,0)"),"")</f>
        <v/>
      </c>
      <c r="EE30" s="35" t="str">
        <f>IFERROR(__xludf.DUMMYFUNCTION("VLOOKUP($A$1,IMPORTRANGE($A$2, CONCATENATE($A30,""!$B$5:$JB$48"")),EE$1,0)"),"")</f>
        <v/>
      </c>
      <c r="EF30" s="35" t="str">
        <f>IFERROR(__xludf.DUMMYFUNCTION("VLOOKUP($A$1,IMPORTRANGE($A$2, CONCATENATE($A30,""!$B$5:$JB$48"")),EF$1,0)"),"")</f>
        <v/>
      </c>
      <c r="EG30" s="35" t="str">
        <f>IFERROR(__xludf.DUMMYFUNCTION("VLOOKUP($A$1,IMPORTRANGE($A$2, CONCATENATE($A30,""!$B$5:$JB$48"")),EG$1,0)"),"")</f>
        <v/>
      </c>
      <c r="EH30" s="35" t="str">
        <f>IFERROR(__xludf.DUMMYFUNCTION("VLOOKUP($A$1,IMPORTRANGE($A$2, CONCATENATE($A30,""!$B$5:$JB$48"")),EH$1,0)"),"")</f>
        <v/>
      </c>
      <c r="EI30" s="35" t="str">
        <f>IFERROR(__xludf.DUMMYFUNCTION("VLOOKUP($A$1,IMPORTRANGE($A$2, CONCATENATE($A30,""!$B$5:$JB$48"")),EI$1,0)"),"")</f>
        <v/>
      </c>
      <c r="EJ30" s="35" t="str">
        <f>IFERROR(__xludf.DUMMYFUNCTION("VLOOKUP($A$1,IMPORTRANGE($A$2, CONCATENATE($A30,""!$B$5:$JB$48"")),EJ$1,0)"),"")</f>
        <v/>
      </c>
      <c r="EK30" s="35" t="str">
        <f>IFERROR(__xludf.DUMMYFUNCTION("VLOOKUP($A$1,IMPORTRANGE($A$2, CONCATENATE($A30,""!$B$5:$JB$48"")),EK$1,0)"),"")</f>
        <v/>
      </c>
      <c r="EL30" s="35" t="str">
        <f>IFERROR(__xludf.DUMMYFUNCTION("VLOOKUP($A$1,IMPORTRANGE($A$2, CONCATENATE($A30,""!$B$5:$JB$48"")),EL$1,0)"),"")</f>
        <v/>
      </c>
      <c r="EM30" s="35" t="str">
        <f>IFERROR(__xludf.DUMMYFUNCTION("VLOOKUP($A$1,IMPORTRANGE($A$2, CONCATENATE($A30,""!$B$5:$JB$48"")),EM$1,0)"),"")</f>
        <v/>
      </c>
      <c r="EN30" s="35" t="str">
        <f>IFERROR(__xludf.DUMMYFUNCTION("VLOOKUP($A$1,IMPORTRANGE($A$2, CONCATENATE($A30,""!$B$5:$JB$48"")),EN$1,0)"),"")</f>
        <v/>
      </c>
      <c r="EO30" s="35" t="str">
        <f>IFERROR(__xludf.DUMMYFUNCTION("VLOOKUP($A$1,IMPORTRANGE($A$2, CONCATENATE($A30,""!$B$5:$JB$48"")),EO$1,0)"),"")</f>
        <v/>
      </c>
      <c r="EP30" s="35" t="str">
        <f>IFERROR(__xludf.DUMMYFUNCTION("VLOOKUP($A$1,IMPORTRANGE($A$2, CONCATENATE($A30,""!$B$5:$JB$48"")),EP$1,0)"),"")</f>
        <v/>
      </c>
      <c r="EQ30" s="35" t="str">
        <f>IFERROR(__xludf.DUMMYFUNCTION("VLOOKUP($A$1,IMPORTRANGE($A$2, CONCATENATE($A30,""!$B$5:$JB$48"")),EQ$1,0)"),"")</f>
        <v/>
      </c>
      <c r="ER30" s="35" t="str">
        <f>IFERROR(__xludf.DUMMYFUNCTION("VLOOKUP($A$1,IMPORTRANGE($A$2, CONCATENATE($A30,""!$B$5:$JB$48"")),ER$1,0)"),"")</f>
        <v/>
      </c>
      <c r="ES30" s="35" t="str">
        <f>IFERROR(__xludf.DUMMYFUNCTION("VLOOKUP($A$1,IMPORTRANGE($A$2, CONCATENATE($A30,""!$B$5:$JB$48"")),ES$1,0)"),"")</f>
        <v/>
      </c>
      <c r="ET30" s="35" t="str">
        <f>IFERROR(__xludf.DUMMYFUNCTION("VLOOKUP($A$1,IMPORTRANGE($A$2, CONCATENATE($A30,""!$B$5:$JB$48"")),ET$1,0)"),"")</f>
        <v/>
      </c>
      <c r="EU30" s="35" t="str">
        <f>IFERROR(__xludf.DUMMYFUNCTION("VLOOKUP($A$1,IMPORTRANGE($A$2, CONCATENATE($A30,""!$B$5:$JB$48"")),EU$1,0)"),"")</f>
        <v/>
      </c>
      <c r="EV30" s="35" t="str">
        <f>IFERROR(__xludf.DUMMYFUNCTION("VLOOKUP($A$1,IMPORTRANGE($A$2, CONCATENATE($A30,""!$B$5:$JB$48"")),EV$1,0)"),"")</f>
        <v/>
      </c>
      <c r="EW30" s="35" t="str">
        <f>IFERROR(__xludf.DUMMYFUNCTION("VLOOKUP($A$1,IMPORTRANGE($A$2, CONCATENATE($A30,""!$B$5:$JB$48"")),EW$1,0)"),"")</f>
        <v/>
      </c>
      <c r="EX30" s="35" t="str">
        <f>IFERROR(__xludf.DUMMYFUNCTION("VLOOKUP($A$1,IMPORTRANGE($A$2, CONCATENATE($A30,""!$B$5:$JB$48"")),EX$1,0)"),"")</f>
        <v/>
      </c>
      <c r="EY30" s="35" t="str">
        <f>IFERROR(__xludf.DUMMYFUNCTION("VLOOKUP($A$1,IMPORTRANGE($A$2, CONCATENATE($A30,""!$B$5:$JB$48"")),EY$1,0)"),"")</f>
        <v/>
      </c>
      <c r="EZ30" s="35" t="str">
        <f>IFERROR(__xludf.DUMMYFUNCTION("VLOOKUP($A$1,IMPORTRANGE($A$2, CONCATENATE($A30,""!$B$5:$JB$48"")),EZ$1,0)"),"")</f>
        <v/>
      </c>
      <c r="FA30" s="35" t="str">
        <f>IFERROR(__xludf.DUMMYFUNCTION("VLOOKUP($A$1,IMPORTRANGE($A$2, CONCATENATE($A30,""!$B$5:$JB$48"")),FA$1,0)"),"")</f>
        <v/>
      </c>
      <c r="FB30" s="35" t="str">
        <f>IFERROR(__xludf.DUMMYFUNCTION("VLOOKUP($A$1,IMPORTRANGE($A$2, CONCATENATE($A30,""!$B$5:$JB$48"")),FB$1,0)"),"")</f>
        <v/>
      </c>
      <c r="FC30" s="35" t="str">
        <f>IFERROR(__xludf.DUMMYFUNCTION("VLOOKUP($A$1,IMPORTRANGE($A$2, CONCATENATE($A30,""!$B$5:$JB$48"")),FC$1,0)"),"")</f>
        <v/>
      </c>
      <c r="FD30" s="35" t="str">
        <f>IFERROR(__xludf.DUMMYFUNCTION("VLOOKUP($A$1,IMPORTRANGE($A$2, CONCATENATE($A30,""!$B$5:$JB$48"")),FD$1,0)"),"")</f>
        <v/>
      </c>
      <c r="FE30" s="35" t="str">
        <f>IFERROR(__xludf.DUMMYFUNCTION("VLOOKUP($A$1,IMPORTRANGE($A$2, CONCATENATE($A30,""!$B$5:$JB$48"")),FE$1,0)"),"")</f>
        <v/>
      </c>
      <c r="FF30" s="35" t="str">
        <f>IFERROR(__xludf.DUMMYFUNCTION("VLOOKUP($A$1,IMPORTRANGE($A$2, CONCATENATE($A30,""!$B$5:$JB$48"")),FF$1,0)"),"")</f>
        <v/>
      </c>
      <c r="FG30" s="35" t="str">
        <f>IFERROR(__xludf.DUMMYFUNCTION("VLOOKUP($A$1,IMPORTRANGE($A$2, CONCATENATE($A30,""!$B$5:$JB$48"")),FG$1,0)"),"")</f>
        <v/>
      </c>
      <c r="FH30" s="35" t="str">
        <f>IFERROR(__xludf.DUMMYFUNCTION("VLOOKUP($A$1,IMPORTRANGE($A$2, CONCATENATE($A30,""!$B$5:$JB$48"")),FH$1,0)"),"")</f>
        <v/>
      </c>
      <c r="FI30" s="35" t="str">
        <f>IFERROR(__xludf.DUMMYFUNCTION("VLOOKUP($A$1,IMPORTRANGE($A$2, CONCATENATE($A30,""!$B$5:$JB$48"")),FI$1,0)"),"")</f>
        <v/>
      </c>
      <c r="FJ30" s="35" t="str">
        <f>IFERROR(__xludf.DUMMYFUNCTION("VLOOKUP($A$1,IMPORTRANGE($A$2, CONCATENATE($A30,""!$B$5:$JB$48"")),FJ$1,0)"),"")</f>
        <v/>
      </c>
      <c r="FK30" s="35" t="str">
        <f>IFERROR(__xludf.DUMMYFUNCTION("VLOOKUP($A$1,IMPORTRANGE($A$2, CONCATENATE($A30,""!$B$5:$JB$48"")),FK$1,0)"),"")</f>
        <v/>
      </c>
      <c r="FL30" s="35" t="str">
        <f>IFERROR(__xludf.DUMMYFUNCTION("VLOOKUP($A$1,IMPORTRANGE($A$2, CONCATENATE($A30,""!$B$5:$JB$48"")),FL$1,0)"),"")</f>
        <v/>
      </c>
      <c r="FM30" s="35" t="str">
        <f>IFERROR(__xludf.DUMMYFUNCTION("VLOOKUP($A$1,IMPORTRANGE($A$2, CONCATENATE($A30,""!$B$5:$JB$48"")),FM$1,0)"),"")</f>
        <v/>
      </c>
      <c r="FN30" s="35" t="str">
        <f>IFERROR(__xludf.DUMMYFUNCTION("VLOOKUP($A$1,IMPORTRANGE($A$2, CONCATENATE($A30,""!$B$5:$JB$48"")),FN$1,0)"),"")</f>
        <v/>
      </c>
      <c r="FO30" s="35" t="str">
        <f>IFERROR(__xludf.DUMMYFUNCTION("VLOOKUP($A$1,IMPORTRANGE($A$2, CONCATENATE($A30,""!$B$5:$JB$48"")),FO$1,0)"),"")</f>
        <v/>
      </c>
      <c r="FP30" s="35" t="str">
        <f>IFERROR(__xludf.DUMMYFUNCTION("VLOOKUP($A$1,IMPORTRANGE($A$2, CONCATENATE($A30,""!$B$5:$JB$48"")),FP$1,0)"),"")</f>
        <v/>
      </c>
      <c r="FQ30" s="35" t="str">
        <f>IFERROR(__xludf.DUMMYFUNCTION("VLOOKUP($A$1,IMPORTRANGE($A$2, CONCATENATE($A30,""!$B$5:$JB$48"")),FQ$1,0)"),"")</f>
        <v/>
      </c>
      <c r="FR30" s="35" t="str">
        <f>IFERROR(__xludf.DUMMYFUNCTION("VLOOKUP($A$1,IMPORTRANGE($A$2, CONCATENATE($A30,""!$B$5:$JB$48"")),FR$1,0)"),"")</f>
        <v/>
      </c>
      <c r="FS30" s="35" t="str">
        <f>IFERROR(__xludf.DUMMYFUNCTION("VLOOKUP($A$1,IMPORTRANGE($A$2, CONCATENATE($A30,""!$B$5:$JB$48"")),FS$1,0)"),"")</f>
        <v/>
      </c>
      <c r="FT30" s="35" t="str">
        <f>IFERROR(__xludf.DUMMYFUNCTION("VLOOKUP($A$1,IMPORTRANGE($A$2, CONCATENATE($A30,""!$B$5:$JB$48"")),FT$1,0)"),"")</f>
        <v/>
      </c>
      <c r="FU30" s="35" t="str">
        <f>IFERROR(__xludf.DUMMYFUNCTION("VLOOKUP($A$1,IMPORTRANGE($A$2, CONCATENATE($A30,""!$B$5:$JB$48"")),FU$1,0)"),"")</f>
        <v/>
      </c>
      <c r="FV30" s="35" t="str">
        <f>IFERROR(__xludf.DUMMYFUNCTION("VLOOKUP($A$1,IMPORTRANGE($A$2, CONCATENATE($A30,""!$B$5:$JB$48"")),FV$1,0)"),"")</f>
        <v/>
      </c>
      <c r="FW30" s="35" t="str">
        <f>IFERROR(__xludf.DUMMYFUNCTION("VLOOKUP($A$1,IMPORTRANGE($A$2, CONCATENATE($A30,""!$B$5:$JB$48"")),FW$1,0)"),"")</f>
        <v/>
      </c>
      <c r="FX30" s="35" t="str">
        <f>IFERROR(__xludf.DUMMYFUNCTION("VLOOKUP($A$1,IMPORTRANGE($A$2, CONCATENATE($A30,""!$B$5:$JB$48"")),FX$1,0)"),"")</f>
        <v/>
      </c>
      <c r="FY30" s="35" t="str">
        <f>IFERROR(__xludf.DUMMYFUNCTION("VLOOKUP($A$1,IMPORTRANGE($A$2, CONCATENATE($A30,""!$B$5:$JB$48"")),FY$1,0)"),"")</f>
        <v/>
      </c>
      <c r="FZ30" s="35" t="str">
        <f>IFERROR(__xludf.DUMMYFUNCTION("VLOOKUP($A$1,IMPORTRANGE($A$2, CONCATENATE($A30,""!$B$5:$JB$48"")),FZ$1,0)"),"")</f>
        <v/>
      </c>
      <c r="GA30" s="35" t="str">
        <f>IFERROR(__xludf.DUMMYFUNCTION("VLOOKUP($A$1,IMPORTRANGE($A$2, CONCATENATE($A30,""!$B$5:$JB$48"")),GA$1,0)"),"")</f>
        <v/>
      </c>
      <c r="GB30" s="35" t="str">
        <f>IFERROR(__xludf.DUMMYFUNCTION("VLOOKUP($A$1,IMPORTRANGE($A$2, CONCATENATE($A30,""!$B$5:$JB$48"")),GB$1,0)"),"")</f>
        <v/>
      </c>
      <c r="GC30" s="35" t="str">
        <f>IFERROR(__xludf.DUMMYFUNCTION("VLOOKUP($A$1,IMPORTRANGE($A$2, CONCATENATE($A30,""!$B$5:$JB$48"")),GC$1,0)"),"")</f>
        <v/>
      </c>
      <c r="GD30" s="35" t="str">
        <f>IFERROR(__xludf.DUMMYFUNCTION("VLOOKUP($A$1,IMPORTRANGE($A$2, CONCATENATE($A30,""!$B$5:$JB$48"")),GD$1,0)"),"")</f>
        <v/>
      </c>
      <c r="GE30" s="35" t="str">
        <f>IFERROR(__xludf.DUMMYFUNCTION("VLOOKUP($A$1,IMPORTRANGE($A$2, CONCATENATE($A30,""!$B$5:$JB$48"")),GE$1,0)"),"")</f>
        <v/>
      </c>
      <c r="GF30" s="35" t="str">
        <f>IFERROR(__xludf.DUMMYFUNCTION("VLOOKUP($A$1,IMPORTRANGE($A$2, CONCATENATE($A30,""!$B$5:$JB$48"")),GF$1,0)"),"")</f>
        <v/>
      </c>
      <c r="GG30" s="35" t="str">
        <f>IFERROR(__xludf.DUMMYFUNCTION("VLOOKUP($A$1,IMPORTRANGE($A$2, CONCATENATE($A30,""!$B$5:$JB$48"")),GG$1,0)"),"")</f>
        <v/>
      </c>
      <c r="GH30" s="35" t="str">
        <f>IFERROR(__xludf.DUMMYFUNCTION("VLOOKUP($A$1,IMPORTRANGE($A$2, CONCATENATE($A30,""!$B$5:$JB$48"")),GH$1,0)"),"")</f>
        <v/>
      </c>
      <c r="GI30" s="35" t="str">
        <f>IFERROR(__xludf.DUMMYFUNCTION("VLOOKUP($A$1,IMPORTRANGE($A$2, CONCATENATE($A30,""!$B$5:$JB$48"")),GI$1,0)"),"")</f>
        <v/>
      </c>
      <c r="GJ30" s="35" t="str">
        <f>IFERROR(__xludf.DUMMYFUNCTION("VLOOKUP($A$1,IMPORTRANGE($A$2, CONCATENATE($A30,""!$B$5:$JB$48"")),GJ$1,0)"),"")</f>
        <v/>
      </c>
      <c r="GK30" s="35" t="str">
        <f>IFERROR(__xludf.DUMMYFUNCTION("VLOOKUP($A$1,IMPORTRANGE($A$2, CONCATENATE($A30,""!$B$5:$JB$48"")),GK$1,0)"),"")</f>
        <v/>
      </c>
      <c r="GL30" s="35" t="str">
        <f>IFERROR(__xludf.DUMMYFUNCTION("VLOOKUP($A$1,IMPORTRANGE($A$2, CONCATENATE($A30,""!$B$5:$JB$48"")),GL$1,0)"),"")</f>
        <v/>
      </c>
      <c r="GM30" s="35" t="str">
        <f>IFERROR(__xludf.DUMMYFUNCTION("VLOOKUP($A$1,IMPORTRANGE($A$2, CONCATENATE($A30,""!$B$5:$JB$48"")),GM$1,0)"),"")</f>
        <v/>
      </c>
      <c r="GN30" s="35" t="str">
        <f>IFERROR(__xludf.DUMMYFUNCTION("VLOOKUP($A$1,IMPORTRANGE($A$2, CONCATENATE($A30,""!$B$5:$JB$48"")),GN$1,0)"),"")</f>
        <v/>
      </c>
      <c r="GO30" s="35" t="str">
        <f>IFERROR(__xludf.DUMMYFUNCTION("VLOOKUP($A$1,IMPORTRANGE($A$2, CONCATENATE($A30,""!$B$5:$JB$48"")),GO$1,0)"),"")</f>
        <v/>
      </c>
      <c r="GP30" s="35" t="str">
        <f>IFERROR(__xludf.DUMMYFUNCTION("VLOOKUP($A$1,IMPORTRANGE($A$2, CONCATENATE($A30,""!$B$5:$JB$48"")),GP$1,0)"),"")</f>
        <v/>
      </c>
      <c r="GQ30" s="35" t="str">
        <f>IFERROR(__xludf.DUMMYFUNCTION("VLOOKUP($A$1,IMPORTRANGE($A$2, CONCATENATE($A30,""!$B$5:$JB$48"")),GQ$1,0)"),"")</f>
        <v/>
      </c>
      <c r="GR30" s="35" t="str">
        <f>IFERROR(__xludf.DUMMYFUNCTION("VLOOKUP($A$1,IMPORTRANGE($A$2, CONCATENATE($A30,""!$B$5:$JB$48"")),GR$1,0)"),"")</f>
        <v/>
      </c>
      <c r="GS30" s="35" t="str">
        <f>IFERROR(__xludf.DUMMYFUNCTION("VLOOKUP($A$1,IMPORTRANGE($A$2, CONCATENATE($A30,""!$B$5:$JB$48"")),GS$1,0)"),"")</f>
        <v/>
      </c>
      <c r="GT30" s="35" t="str">
        <f>IFERROR(__xludf.DUMMYFUNCTION("VLOOKUP($A$1,IMPORTRANGE($A$2, CONCATENATE($A30,""!$B$5:$JB$48"")),GT$1,0)"),"")</f>
        <v/>
      </c>
      <c r="GU30" s="35" t="str">
        <f>IFERROR(__xludf.DUMMYFUNCTION("VLOOKUP($A$1,IMPORTRANGE($A$2, CONCATENATE($A30,""!$B$5:$JB$48"")),GU$1,0)"),"")</f>
        <v/>
      </c>
      <c r="GV30" s="35" t="str">
        <f>IFERROR(__xludf.DUMMYFUNCTION("VLOOKUP($A$1,IMPORTRANGE($A$2, CONCATENATE($A30,""!$B$5:$JB$48"")),GV$1,0)"),"")</f>
        <v/>
      </c>
      <c r="GW30" s="35" t="str">
        <f>IFERROR(__xludf.DUMMYFUNCTION("VLOOKUP($A$1,IMPORTRANGE($A$2, CONCATENATE($A30,""!$B$5:$JB$48"")),GW$1,0)"),"")</f>
        <v/>
      </c>
      <c r="GX30" s="35" t="str">
        <f>IFERROR(__xludf.DUMMYFUNCTION("VLOOKUP($A$1,IMPORTRANGE($A$2, CONCATENATE($A30,""!$B$5:$JB$48"")),GX$1,0)"),"")</f>
        <v/>
      </c>
      <c r="GY30" s="35" t="str">
        <f>IFERROR(__xludf.DUMMYFUNCTION("VLOOKUP($A$1,IMPORTRANGE($A$2, CONCATENATE($A30,""!$B$5:$JB$48"")),GY$1,0)"),"")</f>
        <v/>
      </c>
      <c r="GZ30" s="35" t="str">
        <f>IFERROR(__xludf.DUMMYFUNCTION("VLOOKUP($A$1,IMPORTRANGE($A$2, CONCATENATE($A30,""!$B$5:$JB$48"")),GZ$1,0)"),"")</f>
        <v/>
      </c>
      <c r="HA30" s="35" t="str">
        <f>IFERROR(__xludf.DUMMYFUNCTION("VLOOKUP($A$1,IMPORTRANGE($A$2, CONCATENATE($A30,""!$B$5:$JB$48"")),HA$1,0)"),"")</f>
        <v/>
      </c>
      <c r="HB30" s="35" t="str">
        <f>IFERROR(__xludf.DUMMYFUNCTION("VLOOKUP($A$1,IMPORTRANGE($A$2, CONCATENATE($A30,""!$B$5:$JB$48"")),HB$1,0)"),"")</f>
        <v/>
      </c>
      <c r="HC30" s="35" t="str">
        <f>IFERROR(__xludf.DUMMYFUNCTION("VLOOKUP($A$1,IMPORTRANGE($A$2, CONCATENATE($A30,""!$B$5:$JB$48"")),HC$1,0)"),"")</f>
        <v/>
      </c>
      <c r="HD30" s="35" t="str">
        <f>IFERROR(__xludf.DUMMYFUNCTION("VLOOKUP($A$1,IMPORTRANGE($A$2, CONCATENATE($A30,""!$B$5:$JB$48"")),HD$1,0)"),"")</f>
        <v/>
      </c>
      <c r="HE30" s="35" t="str">
        <f>IFERROR(__xludf.DUMMYFUNCTION("VLOOKUP($A$1,IMPORTRANGE($A$2, CONCATENATE($A30,""!$B$5:$JB$48"")),HE$1,0)"),"")</f>
        <v/>
      </c>
      <c r="HF30" s="35" t="str">
        <f>IFERROR(__xludf.DUMMYFUNCTION("VLOOKUP($A$1,IMPORTRANGE($A$2, CONCATENATE($A30,""!$B$5:$JB$48"")),HF$1,0)"),"")</f>
        <v/>
      </c>
      <c r="HG30" s="35" t="str">
        <f>IFERROR(__xludf.DUMMYFUNCTION("VLOOKUP($A$1,IMPORTRANGE($A$2, CONCATENATE($A30,""!$B$5:$JB$48"")),HG$1,0)"),"")</f>
        <v/>
      </c>
      <c r="HH30" s="35" t="str">
        <f>IFERROR(__xludf.DUMMYFUNCTION("VLOOKUP($A$1,IMPORTRANGE($A$2, CONCATENATE($A30,""!$B$5:$JB$48"")),HH$1,0)"),"")</f>
        <v/>
      </c>
      <c r="HI30" s="35" t="str">
        <f>IFERROR(__xludf.DUMMYFUNCTION("VLOOKUP($A$1,IMPORTRANGE($A$2, CONCATENATE($A30,""!$B$5:$JB$48"")),HI$1,0)"),"")</f>
        <v/>
      </c>
      <c r="HJ30" s="35" t="str">
        <f>IFERROR(__xludf.DUMMYFUNCTION("VLOOKUP($A$1,IMPORTRANGE($A$2, CONCATENATE($A30,""!$B$5:$JB$48"")),HJ$1,0)"),"")</f>
        <v/>
      </c>
      <c r="HK30" s="35" t="str">
        <f>IFERROR(__xludf.DUMMYFUNCTION("VLOOKUP($A$1,IMPORTRANGE($A$2, CONCATENATE($A30,""!$B$5:$JB$48"")),HK$1,0)"),"")</f>
        <v/>
      </c>
      <c r="HL30" s="35" t="str">
        <f>IFERROR(__xludf.DUMMYFUNCTION("VLOOKUP($A$1,IMPORTRANGE($A$2, CONCATENATE($A30,""!$B$5:$JB$48"")),HL$1,0)"),"")</f>
        <v/>
      </c>
      <c r="HM30" s="35" t="str">
        <f>IFERROR(__xludf.DUMMYFUNCTION("VLOOKUP($A$1,IMPORTRANGE($A$2, CONCATENATE($A30,""!$B$5:$JB$48"")),HM$1,0)"),"")</f>
        <v/>
      </c>
      <c r="HN30" s="35" t="str">
        <f>IFERROR(__xludf.DUMMYFUNCTION("VLOOKUP($A$1,IMPORTRANGE($A$2, CONCATENATE($A30,""!$B$5:$JB$48"")),HN$1,0)"),"")</f>
        <v/>
      </c>
      <c r="HO30" s="35" t="str">
        <f>IFERROR(__xludf.DUMMYFUNCTION("VLOOKUP($A$1,IMPORTRANGE($A$2, CONCATENATE($A30,""!$B$5:$JB$48"")),HO$1,0)"),"")</f>
        <v/>
      </c>
      <c r="HP30" s="35" t="str">
        <f>IFERROR(__xludf.DUMMYFUNCTION("VLOOKUP($A$1,IMPORTRANGE($A$2, CONCATENATE($A30,""!$B$5:$JB$48"")),HP$1,0)"),"")</f>
        <v/>
      </c>
      <c r="HQ30" s="35" t="str">
        <f>IFERROR(__xludf.DUMMYFUNCTION("VLOOKUP($A$1,IMPORTRANGE($A$2, CONCATENATE($A30,""!$B$5:$JB$48"")),HQ$1,0)"),"")</f>
        <v/>
      </c>
      <c r="HR30" s="35" t="str">
        <f>IFERROR(__xludf.DUMMYFUNCTION("VLOOKUP($A$1,IMPORTRANGE($A$2, CONCATENATE($A30,""!$B$5:$JB$48"")),HR$1,0)"),"")</f>
        <v/>
      </c>
      <c r="HS30" s="35" t="str">
        <f>IFERROR(__xludf.DUMMYFUNCTION("VLOOKUP($A$1,IMPORTRANGE($A$2, CONCATENATE($A30,""!$B$5:$JB$48"")),HS$1,0)"),"")</f>
        <v/>
      </c>
      <c r="HT30" s="35" t="str">
        <f>IFERROR(__xludf.DUMMYFUNCTION("VLOOKUP($A$1,IMPORTRANGE($A$2, CONCATENATE($A30,""!$B$5:$JB$48"")),HT$1,0)"),"")</f>
        <v/>
      </c>
      <c r="HU30" s="35" t="str">
        <f>IFERROR(__xludf.DUMMYFUNCTION("VLOOKUP($A$1,IMPORTRANGE($A$2, CONCATENATE($A30,""!$B$5:$JB$48"")),HU$1,0)"),"")</f>
        <v/>
      </c>
      <c r="HV30" s="35" t="str">
        <f>IFERROR(__xludf.DUMMYFUNCTION("VLOOKUP($A$1,IMPORTRANGE($A$2, CONCATENATE($A30,""!$B$5:$JB$48"")),HV$1,0)"),"")</f>
        <v/>
      </c>
      <c r="HW30" s="35" t="str">
        <f>IFERROR(__xludf.DUMMYFUNCTION("VLOOKUP($A$1,IMPORTRANGE($A$2, CONCATENATE($A30,""!$B$5:$JB$48"")),HW$1,0)"),"")</f>
        <v/>
      </c>
      <c r="HX30" s="35" t="str">
        <f>IFERROR(__xludf.DUMMYFUNCTION("VLOOKUP($A$1,IMPORTRANGE($A$2, CONCATENATE($A30,""!$B$5:$JB$48"")),HX$1,0)"),"")</f>
        <v/>
      </c>
      <c r="HY30" s="35" t="str">
        <f>IFERROR(__xludf.DUMMYFUNCTION("VLOOKUP($A$1,IMPORTRANGE($A$2, CONCATENATE($A30,""!$B$5:$JB$48"")),HY$1,0)"),"")</f>
        <v/>
      </c>
      <c r="HZ30" s="35" t="str">
        <f>IFERROR(__xludf.DUMMYFUNCTION("VLOOKUP($A$1,IMPORTRANGE($A$2, CONCATENATE($A30,""!$B$5:$JB$48"")),HZ$1,0)"),"")</f>
        <v/>
      </c>
      <c r="IA30" s="35" t="str">
        <f>IFERROR(__xludf.DUMMYFUNCTION("VLOOKUP($A$1,IMPORTRANGE($A$2, CONCATENATE($A30,""!$B$5:$JB$48"")),IA$1,0)"),"")</f>
        <v/>
      </c>
      <c r="IB30" s="35" t="str">
        <f>IFERROR(__xludf.DUMMYFUNCTION("VLOOKUP($A$1,IMPORTRANGE($A$2, CONCATENATE($A30,""!$B$5:$JB$48"")),IB$1,0)"),"")</f>
        <v/>
      </c>
      <c r="IC30" s="35" t="str">
        <f>IFERROR(__xludf.DUMMYFUNCTION("VLOOKUP($A$1,IMPORTRANGE($A$2, CONCATENATE($A30,""!$B$5:$JB$48"")),IC$1,0)"),"")</f>
        <v/>
      </c>
      <c r="ID30" s="35" t="str">
        <f>IFERROR(__xludf.DUMMYFUNCTION("VLOOKUP($A$1,IMPORTRANGE($A$2, CONCATENATE($A30,""!$B$5:$JB$48"")),ID$1,0)"),"")</f>
        <v/>
      </c>
      <c r="IE30" s="35" t="str">
        <f>IFERROR(__xludf.DUMMYFUNCTION("VLOOKUP($A$1,IMPORTRANGE($A$2, CONCATENATE($A30,""!$B$5:$JB$48"")),IE$1,0)"),"")</f>
        <v/>
      </c>
      <c r="IF30" s="35" t="str">
        <f>IFERROR(__xludf.DUMMYFUNCTION("VLOOKUP($A$1,IMPORTRANGE($A$2, CONCATENATE($A30,""!$B$5:$JB$48"")),IF$1,0)"),"")</f>
        <v/>
      </c>
      <c r="IG30" s="35" t="str">
        <f>IFERROR(__xludf.DUMMYFUNCTION("VLOOKUP($A$1,IMPORTRANGE($A$2, CONCATENATE($A30,""!$B$5:$JB$48"")),IG$1,0)"),"")</f>
        <v/>
      </c>
      <c r="IH30" s="35" t="str">
        <f>IFERROR(__xludf.DUMMYFUNCTION("VLOOKUP($A$1,IMPORTRANGE($A$2, CONCATENATE($A30,""!$B$5:$JB$48"")),IH$1,0)"),"")</f>
        <v/>
      </c>
      <c r="II30" s="35" t="str">
        <f>IFERROR(__xludf.DUMMYFUNCTION("VLOOKUP($A$1,IMPORTRANGE($A$2, CONCATENATE($A30,""!$B$5:$JB$48"")),II$1,0)"),"")</f>
        <v/>
      </c>
      <c r="IJ30" s="35" t="str">
        <f>IFERROR(__xludf.DUMMYFUNCTION("VLOOKUP($A$1,IMPORTRANGE($A$2, CONCATENATE($A30,""!$B$5:$JB$48"")),IJ$1,0)"),"")</f>
        <v/>
      </c>
      <c r="IK30" s="35" t="str">
        <f>IFERROR(__xludf.DUMMYFUNCTION("VLOOKUP($A$1,IMPORTRANGE($A$2, CONCATENATE($A30,""!$B$5:$JB$48"")),IK$1,0)"),"")</f>
        <v/>
      </c>
      <c r="IL30" s="35" t="str">
        <f>IFERROR(__xludf.DUMMYFUNCTION("VLOOKUP($A$1,IMPORTRANGE($A$2, CONCATENATE($A30,""!$B$5:$JB$48"")),IL$1,0)"),"#DIV/0!")</f>
        <v>#DIV/0!</v>
      </c>
      <c r="IM30" s="35" t="str">
        <f>IFERROR(__xludf.DUMMYFUNCTION("VLOOKUP($A$1,IMPORTRANGE($A$2, CONCATENATE($A30,""!$B$5:$JB$48"")),IM$1,0)"),"")</f>
        <v/>
      </c>
      <c r="IN30" s="35" t="str">
        <f>IFERROR(__xludf.DUMMYFUNCTION("VLOOKUP($A$1,IMPORTRANGE($A$2, CONCATENATE($A30,""!$B$5:$JB$48"")),IN$1,0)"),"")</f>
        <v/>
      </c>
      <c r="IO30" s="35" t="str">
        <f>IFERROR(__xludf.DUMMYFUNCTION("VLOOKUP($A$1,IMPORTRANGE($A$2, CONCATENATE($A30,""!$B$5:$JB$48"")),IO$1,0)"),"")</f>
        <v/>
      </c>
      <c r="IP30" s="35" t="str">
        <f>IFERROR(__xludf.DUMMYFUNCTION("VLOOKUP($A$1,IMPORTRANGE($A$2, CONCATENATE($A30,""!$B$5:$JB$48"")),IP$1,0)"),"")</f>
        <v/>
      </c>
      <c r="IQ30" s="35">
        <f>IFERROR(__xludf.DUMMYFUNCTION("VLOOKUP($A$1,IMPORTRANGE($A$2, CONCATENATE($A30,""!$B$5:$JB$48"")),IQ$1,0)"),45922.0)</f>
        <v>45922</v>
      </c>
      <c r="IR30" s="35" t="str">
        <f>IFERROR(__xludf.DUMMYFUNCTION("VLOOKUP($A$1,IMPORTRANGE($A$2, CONCATENATE($A30,""!$B$5:$JB$48"")),IR$1,0)"),"Географические карты и координаты ")</f>
        <v>Географические карты и координаты </v>
      </c>
      <c r="IS30" s="35" t="str">
        <f>IFERROR(__xludf.DUMMYFUNCTION("VLOOKUP($A$1,IMPORTRANGE($A$2, CONCATENATE($A30,""!$B$5:$JB$48"")),IS$1,0)"),"Работа с картой")</f>
        <v>Работа с картой</v>
      </c>
      <c r="IT30" s="35">
        <f>IFERROR(__xludf.DUMMYFUNCTION("VLOOKUP($A$1,IMPORTRANGE($A$2, CONCATENATE($A30,""!$B$5:$JB$48"")),IT$1,0)"),46053.0)</f>
        <v>46053</v>
      </c>
      <c r="IU30" s="35" t="str">
        <f>IFERROR(__xludf.DUMMYFUNCTION("VLOOKUP($A$1,IMPORTRANGE($A$2, CONCATENATE($A30,""!$B$5:$JB$48"")),IU$1,0)"),"Геохронология Земли")</f>
        <v>Геохронология Земли</v>
      </c>
      <c r="IV30" s="35" t="str">
        <f>IFERROR(__xludf.DUMMYFUNCTION("VLOOKUP($A$1,IMPORTRANGE($A$2, CONCATENATE($A30,""!$B$5:$JB$48"")),IV$1,0)"),"презентация")</f>
        <v>презентация</v>
      </c>
      <c r="IW30" s="35" t="str">
        <f>IFERROR(__xludf.DUMMYFUNCTION("VLOOKUP($A$1,IMPORTRANGE($A$2, CONCATENATE($A30,""!$B$5:$JB$48"")),IW$1,0)"),"")</f>
        <v/>
      </c>
      <c r="IX30" s="35" t="str">
        <f>IFERROR(__xludf.DUMMYFUNCTION("VLOOKUP($A$1,IMPORTRANGE($A$2, CONCATENATE($A30,""!$B$5:$JB$48"")),IX$1,0)"),"")</f>
        <v/>
      </c>
      <c r="IY30" s="35" t="str">
        <f>IFERROR(__xludf.DUMMYFUNCTION("VLOOKUP($A$1,IMPORTRANGE($A$2, CONCATENATE($A30,""!$B$5:$JB$48"")),IY$1,0)"),"")</f>
        <v/>
      </c>
      <c r="IZ30" s="35" t="str">
        <f>IFERROR(__xludf.DUMMYFUNCTION("VLOOKUP($A$1,IMPORTRANGE($A$2, CONCATENATE($A30,""!$B$5:$JB$48"")),IZ$1,0)"),"")</f>
        <v/>
      </c>
      <c r="JA30" s="35" t="str">
        <f>IFERROR(__xludf.DUMMYFUNCTION("VLOOKUP($A$1,IMPORTRANGE($A$2, CONCATENATE($A30,""!$B$5:$JB$48"")),JA$1,0)"),"")</f>
        <v/>
      </c>
      <c r="JB30" s="35"/>
      <c r="JC30" s="35"/>
      <c r="JD30" s="35"/>
      <c r="JE30" s="35"/>
    </row>
    <row r="31">
      <c r="A31" s="41"/>
      <c r="B31" s="29"/>
      <c r="C31" s="37"/>
      <c r="D31" s="38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  <c r="IW31" s="37"/>
      <c r="IX31" s="37"/>
      <c r="IY31" s="37"/>
      <c r="IZ31" s="37"/>
      <c r="JA31" s="37"/>
      <c r="JB31" s="37"/>
      <c r="JC31" s="37"/>
      <c r="JD31" s="37"/>
      <c r="JE31" s="37"/>
    </row>
    <row r="32">
      <c r="A32" s="39"/>
      <c r="B32" s="32">
        <f>IFERROR(__xludf.DUMMYFUNCTION("IMPORTRANGE($A$2, CONCATENATE($A33,""!C4:JB4""))"),45902.0)</f>
        <v>45902</v>
      </c>
      <c r="C32" s="32"/>
      <c r="D32" s="32"/>
      <c r="E32" s="32"/>
      <c r="F32" s="32"/>
      <c r="G32" s="32"/>
      <c r="H32" s="32"/>
      <c r="I32" s="32">
        <f>IFERROR(__xludf.DUMMYFUNCTION("""COMPUTED_VALUE"""),45908.0)</f>
        <v>45908</v>
      </c>
      <c r="J32" s="32"/>
      <c r="K32" s="32"/>
      <c r="L32" s="32"/>
      <c r="M32" s="32"/>
      <c r="N32" s="32"/>
      <c r="O32" s="32"/>
      <c r="P32" s="32">
        <f>IFERROR(__xludf.DUMMYFUNCTION("""COMPUTED_VALUE"""),45915.0)</f>
        <v>45915</v>
      </c>
      <c r="Q32" s="32"/>
      <c r="R32" s="32"/>
      <c r="S32" s="32"/>
      <c r="T32" s="32"/>
      <c r="U32" s="32"/>
      <c r="V32" s="32"/>
      <c r="W32" s="32">
        <f>IFERROR(__xludf.DUMMYFUNCTION("""COMPUTED_VALUE"""),45922.0)</f>
        <v>45922</v>
      </c>
      <c r="X32" s="32"/>
      <c r="Y32" s="32"/>
      <c r="Z32" s="32"/>
      <c r="AA32" s="32"/>
      <c r="AB32" s="32"/>
      <c r="AC32" s="32"/>
      <c r="AD32" s="32">
        <f>IFERROR(__xludf.DUMMYFUNCTION("""COMPUTED_VALUE"""),45924.0)</f>
        <v>45924</v>
      </c>
      <c r="AE32" s="32"/>
      <c r="AF32" s="32"/>
      <c r="AG32" s="32"/>
      <c r="AH32" s="32"/>
      <c r="AI32" s="32"/>
      <c r="AJ32" s="32"/>
      <c r="AK32" s="32">
        <f>IFERROR(__xludf.DUMMYFUNCTION("""COMPUTED_VALUE"""),45938.0)</f>
        <v>45938</v>
      </c>
      <c r="AL32" s="32"/>
      <c r="AM32" s="32"/>
      <c r="AN32" s="32"/>
      <c r="AO32" s="32"/>
      <c r="AP32" s="32"/>
      <c r="AQ32" s="32"/>
      <c r="AR32" s="32">
        <f>IFERROR(__xludf.DUMMYFUNCTION("""COMPUTED_VALUE"""),45945.0)</f>
        <v>45945</v>
      </c>
      <c r="AS32" s="32"/>
      <c r="AT32" s="32"/>
      <c r="AU32" s="32"/>
      <c r="AV32" s="32"/>
      <c r="AW32" s="32"/>
      <c r="AX32" s="32"/>
      <c r="AY32" s="32">
        <f>IFERROR(__xludf.DUMMYFUNCTION("""COMPUTED_VALUE"""),45952.0)</f>
        <v>45952</v>
      </c>
      <c r="AZ32" s="32"/>
      <c r="BA32" s="32"/>
      <c r="BB32" s="32"/>
      <c r="BC32" s="32"/>
      <c r="BD32" s="32"/>
      <c r="BE32" s="32"/>
      <c r="BF32" s="32">
        <f>IFERROR(__xludf.DUMMYFUNCTION("""COMPUTED_VALUE"""),45957.0)</f>
        <v>45957</v>
      </c>
      <c r="BG32" s="32"/>
      <c r="BH32" s="32"/>
      <c r="BI32" s="32"/>
      <c r="BJ32" s="32"/>
      <c r="BK32" s="32"/>
      <c r="BL32" s="32"/>
      <c r="BM32" s="32"/>
      <c r="BN32" s="32">
        <f>IFERROR(__xludf.DUMMYFUNCTION("""COMPUTED_VALUE"""),45964.0)</f>
        <v>45964</v>
      </c>
      <c r="BO32" s="32"/>
      <c r="BP32" s="32"/>
      <c r="BQ32" s="32"/>
      <c r="BR32" s="32"/>
      <c r="BS32" s="32"/>
      <c r="BT32" s="32"/>
      <c r="BU32" s="32">
        <f>IFERROR(__xludf.DUMMYFUNCTION("""COMPUTED_VALUE"""),45971.0)</f>
        <v>45971</v>
      </c>
      <c r="BV32" s="32"/>
      <c r="BW32" s="32"/>
      <c r="BX32" s="32"/>
      <c r="BY32" s="32"/>
      <c r="BZ32" s="32"/>
      <c r="CA32" s="32">
        <f>IFERROR(__xludf.DUMMYFUNCTION("""COMPUTED_VALUE"""),45971.0)</f>
        <v>45971</v>
      </c>
      <c r="CB32" s="32"/>
      <c r="CC32" s="32"/>
      <c r="CD32" s="32"/>
      <c r="CE32" s="32"/>
      <c r="CF32" s="32"/>
      <c r="CG32" s="32"/>
      <c r="CH32" s="32">
        <f>IFERROR(__xludf.DUMMYFUNCTION("""COMPUTED_VALUE"""),45978.0)</f>
        <v>45978</v>
      </c>
      <c r="CI32" s="32"/>
      <c r="CJ32" s="32"/>
      <c r="CK32" s="32"/>
      <c r="CL32" s="32"/>
      <c r="CM32" s="32"/>
      <c r="CN32" s="32"/>
      <c r="CO32" s="32">
        <f>IFERROR(__xludf.DUMMYFUNCTION("""COMPUTED_VALUE"""),45985.0)</f>
        <v>45985</v>
      </c>
      <c r="CP32" s="32"/>
      <c r="CQ32" s="32"/>
      <c r="CR32" s="32"/>
      <c r="CS32" s="32"/>
      <c r="CT32" s="32"/>
      <c r="CU32" s="32"/>
      <c r="CV32" s="32">
        <f>IFERROR(__xludf.DUMMYFUNCTION("""COMPUTED_VALUE"""),46000.0)</f>
        <v>46000</v>
      </c>
      <c r="CW32" s="32"/>
      <c r="CX32" s="32"/>
      <c r="CY32" s="32"/>
      <c r="CZ32" s="32"/>
      <c r="DA32" s="32"/>
      <c r="DB32" s="32"/>
      <c r="DC32" s="32">
        <f>IFERROR(__xludf.DUMMYFUNCTION("""COMPUTED_VALUE"""),46006.0)</f>
        <v>46006</v>
      </c>
      <c r="DD32" s="32">
        <f>IFERROR(__xludf.DUMMYFUNCTION("""COMPUTED_VALUE"""),46013.0)</f>
        <v>46013</v>
      </c>
      <c r="DE32" s="32"/>
      <c r="DF32" s="32"/>
      <c r="DG32" s="32"/>
      <c r="DH32" s="32"/>
      <c r="DI32" s="32"/>
      <c r="DJ32" s="32"/>
      <c r="DK32" s="32">
        <f>IFERROR(__xludf.DUMMYFUNCTION("""COMPUTED_VALUE"""),46365.0)</f>
        <v>46365</v>
      </c>
      <c r="DL32" s="32">
        <f>IFERROR(__xludf.DUMMYFUNCTION("""COMPUTED_VALUE"""),46371.0)</f>
        <v>46371</v>
      </c>
      <c r="DM32" s="32">
        <f>IFERROR(__xludf.DUMMYFUNCTION("""COMPUTED_VALUE"""),46378.0)</f>
        <v>46378</v>
      </c>
      <c r="DN32" s="32" t="str">
        <f>IFERROR(__xludf.DUMMYFUNCTION("""COMPUTED_VALUE"""),"1 полугодие")</f>
        <v>1 полугодие</v>
      </c>
      <c r="DO32" s="32"/>
      <c r="DP32" s="32">
        <f>IFERROR(__xludf.DUMMYFUNCTION("""COMPUTED_VALUE"""),46034.0)</f>
        <v>46034</v>
      </c>
      <c r="DQ32" s="32">
        <f>IFERROR(__xludf.DUMMYFUNCTION("""COMPUTED_VALUE"""),46041.0)</f>
        <v>46041</v>
      </c>
      <c r="DR32" s="32">
        <f>IFERROR(__xludf.DUMMYFUNCTION("""COMPUTED_VALUE"""),46048.0)</f>
        <v>46048</v>
      </c>
      <c r="DS32" s="32">
        <f>IFERROR(__xludf.DUMMYFUNCTION("""COMPUTED_VALUE"""),46055.0)</f>
        <v>46055</v>
      </c>
      <c r="DT32" s="32"/>
      <c r="DU32" s="32"/>
      <c r="DV32" s="32"/>
      <c r="DW32" s="32"/>
      <c r="DX32" s="32"/>
      <c r="DY32" s="32"/>
      <c r="DZ32" s="32">
        <f>IFERROR(__xludf.DUMMYFUNCTION("""COMPUTED_VALUE"""),46062.0)</f>
        <v>46062</v>
      </c>
      <c r="EA32" s="32"/>
      <c r="EB32" s="32"/>
      <c r="EC32" s="32"/>
      <c r="ED32" s="32"/>
      <c r="EE32" s="32"/>
      <c r="EF32" s="32"/>
      <c r="EG32" s="32">
        <f>IFERROR(__xludf.DUMMYFUNCTION("""COMPUTED_VALUE"""),46069.0)</f>
        <v>46069</v>
      </c>
      <c r="EH32" s="32"/>
      <c r="EI32" s="32"/>
      <c r="EJ32" s="32"/>
      <c r="EK32" s="32"/>
      <c r="EL32" s="32"/>
      <c r="EM32" s="32"/>
      <c r="EN32" s="32">
        <f>IFERROR(__xludf.DUMMYFUNCTION("""COMPUTED_VALUE"""),46076.0)</f>
        <v>46076</v>
      </c>
      <c r="EO32" s="32"/>
      <c r="EP32" s="32"/>
      <c r="EQ32" s="32"/>
      <c r="ER32" s="32"/>
      <c r="ES32" s="32"/>
      <c r="ET32" s="32"/>
      <c r="EU32" s="32">
        <f>IFERROR(__xludf.DUMMYFUNCTION("""COMPUTED_VALUE"""),46083.0)</f>
        <v>46083</v>
      </c>
      <c r="EV32" s="32"/>
      <c r="EW32" s="32"/>
      <c r="EX32" s="32"/>
      <c r="EY32" s="32"/>
      <c r="EZ32" s="32"/>
      <c r="FA32" s="32"/>
      <c r="FB32" s="32">
        <f>IFERROR(__xludf.DUMMYFUNCTION("""COMPUTED_VALUE"""),46090.0)</f>
        <v>46090</v>
      </c>
      <c r="FC32" s="32"/>
      <c r="FD32" s="32"/>
      <c r="FE32" s="32"/>
      <c r="FF32" s="32"/>
      <c r="FG32" s="32"/>
      <c r="FH32" s="32"/>
      <c r="FI32" s="32">
        <f>IFERROR(__xludf.DUMMYFUNCTION("""COMPUTED_VALUE"""),46097.0)</f>
        <v>46097</v>
      </c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  <c r="IW32" s="32" t="str">
        <f>IFERROR(__xludf.DUMMYFUNCTION("""COMPUTED_VALUE"""),"2 полугодие")</f>
        <v>2 полугодие</v>
      </c>
      <c r="IX32" s="32" t="str">
        <f>IFERROR(__xludf.DUMMYFUNCTION("""COMPUTED_VALUE"""),"год")</f>
        <v>год</v>
      </c>
      <c r="IY32" s="32" t="str">
        <f>IFERROR(__xludf.DUMMYFUNCTION("""COMPUTED_VALUE"""),"рейтинг")</f>
        <v>рейтинг</v>
      </c>
      <c r="IZ32" s="32"/>
      <c r="JA32" s="32"/>
      <c r="JB32" s="32"/>
      <c r="JC32" s="32"/>
      <c r="JD32" s="32"/>
      <c r="JE32" s="32"/>
    </row>
    <row r="33">
      <c r="A33" s="42" t="s">
        <v>287</v>
      </c>
      <c r="B33" s="35" t="str">
        <f>IFERROR(__xludf.DUMMYFUNCTION("VLOOKUP($A$1,IMPORTRANGE($A$2, CONCATENATE($A33,""!$B$5:$JB$48"")),B$1,0)"),"")</f>
        <v/>
      </c>
      <c r="C33" s="35" t="str">
        <f>IFERROR(__xludf.DUMMYFUNCTION("VLOOKUP($A$1,IMPORTRANGE($A$2, CONCATENATE($A33,""!$B$5:$JB$48"")),C$1,0)"),"")</f>
        <v/>
      </c>
      <c r="D33" s="35" t="str">
        <f>IFERROR(__xludf.DUMMYFUNCTION("VLOOKUP($A$1,IMPORTRANGE($A$2, CONCATENATE($A33,""!$B$5:$JB$48"")),D$1,0)"),"")</f>
        <v/>
      </c>
      <c r="E33" s="35" t="str">
        <f>IFERROR(__xludf.DUMMYFUNCTION("VLOOKUP($A$1,IMPORTRANGE($A$2, CONCATENATE($A33,""!$B$5:$JB$48"")),E$1,0)"),"")</f>
        <v/>
      </c>
      <c r="F33" s="35" t="str">
        <f>IFERROR(__xludf.DUMMYFUNCTION("VLOOKUP($A$1,IMPORTRANGE($A$2, CONCATENATE($A33,""!$B$5:$JB$48"")),F$1,0)"),"")</f>
        <v/>
      </c>
      <c r="G33" s="35" t="str">
        <f>IFERROR(__xludf.DUMMYFUNCTION("VLOOKUP($A$1,IMPORTRANGE($A$2, CONCATENATE($A33,""!$B$5:$JB$48"")),G$1,0)"),"")</f>
        <v/>
      </c>
      <c r="H33" s="35" t="str">
        <f>IFERROR(__xludf.DUMMYFUNCTION("VLOOKUP($A$1,IMPORTRANGE($A$2, CONCATENATE($A33,""!$B$5:$JB$48"")),H$1,0)"),"")</f>
        <v/>
      </c>
      <c r="I33" s="35" t="str">
        <f>IFERROR(__xludf.DUMMYFUNCTION("VLOOKUP($A$1,IMPORTRANGE($A$2, CONCATENATE($A33,""!$B$5:$JB$48"")),I$1,0)"),"")</f>
        <v/>
      </c>
      <c r="J33" s="35" t="str">
        <f>IFERROR(__xludf.DUMMYFUNCTION("VLOOKUP($A$1,IMPORTRANGE($A$2, CONCATENATE($A33,""!$B$5:$JB$48"")),J$1,0)"),"")</f>
        <v/>
      </c>
      <c r="K33" s="35" t="str">
        <f>IFERROR(__xludf.DUMMYFUNCTION("VLOOKUP($A$1,IMPORTRANGE($A$2, CONCATENATE($A33,""!$B$5:$JB$48"")),K$1,0)"),"")</f>
        <v/>
      </c>
      <c r="L33" s="35" t="str">
        <f>IFERROR(__xludf.DUMMYFUNCTION("VLOOKUP($A$1,IMPORTRANGE($A$2, CONCATENATE($A33,""!$B$5:$JB$48"")),L$1,0)"),"")</f>
        <v/>
      </c>
      <c r="M33" s="35" t="str">
        <f>IFERROR(__xludf.DUMMYFUNCTION("VLOOKUP($A$1,IMPORTRANGE($A$2, CONCATENATE($A33,""!$B$5:$JB$48"")),M$1,0)"),"")</f>
        <v/>
      </c>
      <c r="N33" s="35" t="str">
        <f>IFERROR(__xludf.DUMMYFUNCTION("VLOOKUP($A$1,IMPORTRANGE($A$2, CONCATENATE($A33,""!$B$5:$JB$48"")),N$1,0)"),"")</f>
        <v/>
      </c>
      <c r="O33" s="35" t="str">
        <f>IFERROR(__xludf.DUMMYFUNCTION("VLOOKUP($A$1,IMPORTRANGE($A$2, CONCATENATE($A33,""!$B$5:$JB$48"")),O$1,0)"),"")</f>
        <v/>
      </c>
      <c r="P33" s="35" t="str">
        <f>IFERROR(__xludf.DUMMYFUNCTION("VLOOKUP($A$1,IMPORTRANGE($A$2, CONCATENATE($A33,""!$B$5:$JB$48"")),P$1,0)"),"")</f>
        <v/>
      </c>
      <c r="Q33" s="35" t="str">
        <f>IFERROR(__xludf.DUMMYFUNCTION("VLOOKUP($A$1,IMPORTRANGE($A$2, CONCATENATE($A33,""!$B$5:$JB$48"")),Q$1,0)"),"")</f>
        <v/>
      </c>
      <c r="R33" s="35" t="str">
        <f>IFERROR(__xludf.DUMMYFUNCTION("VLOOKUP($A$1,IMPORTRANGE($A$2, CONCATENATE($A33,""!$B$5:$JB$48"")),R$1,0)"),"")</f>
        <v/>
      </c>
      <c r="S33" s="35" t="str">
        <f>IFERROR(__xludf.DUMMYFUNCTION("VLOOKUP($A$1,IMPORTRANGE($A$2, CONCATENATE($A33,""!$B$5:$JB$48"")),S$1,0)"),"")</f>
        <v/>
      </c>
      <c r="T33" s="35" t="str">
        <f>IFERROR(__xludf.DUMMYFUNCTION("VLOOKUP($A$1,IMPORTRANGE($A$2, CONCATENATE($A33,""!$B$5:$JB$48"")),T$1,0)"),"")</f>
        <v/>
      </c>
      <c r="U33" s="35" t="str">
        <f>IFERROR(__xludf.DUMMYFUNCTION("VLOOKUP($A$1,IMPORTRANGE($A$2, CONCATENATE($A33,""!$B$5:$JB$48"")),U$1,0)"),"")</f>
        <v/>
      </c>
      <c r="V33" s="35" t="str">
        <f>IFERROR(__xludf.DUMMYFUNCTION("VLOOKUP($A$1,IMPORTRANGE($A$2, CONCATENATE($A33,""!$B$5:$JB$48"")),V$1,0)"),"")</f>
        <v/>
      </c>
      <c r="W33" s="35">
        <f>IFERROR(__xludf.DUMMYFUNCTION("VLOOKUP($A$1,IMPORTRANGE($A$2, CONCATENATE($A33,""!$B$5:$JB$48"")),W$1,0)"),5.0)</f>
        <v>5</v>
      </c>
      <c r="X33" s="35" t="str">
        <f>IFERROR(__xludf.DUMMYFUNCTION("VLOOKUP($A$1,IMPORTRANGE($A$2, CONCATENATE($A33,""!$B$5:$JB$48"")),X$1,0)"),"")</f>
        <v/>
      </c>
      <c r="Y33" s="35" t="str">
        <f>IFERROR(__xludf.DUMMYFUNCTION("VLOOKUP($A$1,IMPORTRANGE($A$2, CONCATENATE($A33,""!$B$5:$JB$48"")),Y$1,0)"),"")</f>
        <v/>
      </c>
      <c r="Z33" s="35" t="str">
        <f>IFERROR(__xludf.DUMMYFUNCTION("VLOOKUP($A$1,IMPORTRANGE($A$2, CONCATENATE($A33,""!$B$5:$JB$48"")),Z$1,0)"),"")</f>
        <v/>
      </c>
      <c r="AA33" s="35" t="str">
        <f>IFERROR(__xludf.DUMMYFUNCTION("VLOOKUP($A$1,IMPORTRANGE($A$2, CONCATENATE($A33,""!$B$5:$JB$48"")),AA$1,0)"),"")</f>
        <v/>
      </c>
      <c r="AB33" s="35" t="str">
        <f>IFERROR(__xludf.DUMMYFUNCTION("VLOOKUP($A$1,IMPORTRANGE($A$2, CONCATENATE($A33,""!$B$5:$JB$48"")),AB$1,0)"),"")</f>
        <v/>
      </c>
      <c r="AC33" s="35" t="str">
        <f>IFERROR(__xludf.DUMMYFUNCTION("VLOOKUP($A$1,IMPORTRANGE($A$2, CONCATENATE($A33,""!$B$5:$JB$48"")),AC$1,0)"),"")</f>
        <v/>
      </c>
      <c r="AD33" s="35" t="str">
        <f>IFERROR(__xludf.DUMMYFUNCTION("VLOOKUP($A$1,IMPORTRANGE($A$2, CONCATENATE($A33,""!$B$5:$JB$48"")),AD$1,0)"),"")</f>
        <v/>
      </c>
      <c r="AE33" s="35" t="str">
        <f>IFERROR(__xludf.DUMMYFUNCTION("VLOOKUP($A$1,IMPORTRANGE($A$2, CONCATENATE($A33,""!$B$5:$JB$48"")),AE$1,0)"),"")</f>
        <v/>
      </c>
      <c r="AF33" s="35" t="str">
        <f>IFERROR(__xludf.DUMMYFUNCTION("VLOOKUP($A$1,IMPORTRANGE($A$2, CONCATENATE($A33,""!$B$5:$JB$48"")),AF$1,0)"),"")</f>
        <v/>
      </c>
      <c r="AG33" s="35" t="str">
        <f>IFERROR(__xludf.DUMMYFUNCTION("VLOOKUP($A$1,IMPORTRANGE($A$2, CONCATENATE($A33,""!$B$5:$JB$48"")),AG$1,0)"),"")</f>
        <v/>
      </c>
      <c r="AH33" s="35" t="str">
        <f>IFERROR(__xludf.DUMMYFUNCTION("VLOOKUP($A$1,IMPORTRANGE($A$2, CONCATENATE($A33,""!$B$5:$JB$48"")),AH$1,0)"),"")</f>
        <v/>
      </c>
      <c r="AI33" s="35" t="str">
        <f>IFERROR(__xludf.DUMMYFUNCTION("VLOOKUP($A$1,IMPORTRANGE($A$2, CONCATENATE($A33,""!$B$5:$JB$48"")),AI$1,0)"),"")</f>
        <v/>
      </c>
      <c r="AJ33" s="35" t="str">
        <f>IFERROR(__xludf.DUMMYFUNCTION("VLOOKUP($A$1,IMPORTRANGE($A$2, CONCATENATE($A33,""!$B$5:$JB$48"")),AJ$1,0)"),"")</f>
        <v/>
      </c>
      <c r="AK33" s="35">
        <f>IFERROR(__xludf.DUMMYFUNCTION("VLOOKUP($A$1,IMPORTRANGE($A$2, CONCATENATE($A33,""!$B$5:$JB$48"")),AK$1,0)"),5.0)</f>
        <v>5</v>
      </c>
      <c r="AL33" s="35" t="str">
        <f>IFERROR(__xludf.DUMMYFUNCTION("VLOOKUP($A$1,IMPORTRANGE($A$2, CONCATENATE($A33,""!$B$5:$JB$48"")),AL$1,0)"),"")</f>
        <v/>
      </c>
      <c r="AM33" s="35" t="str">
        <f>IFERROR(__xludf.DUMMYFUNCTION("VLOOKUP($A$1,IMPORTRANGE($A$2, CONCATENATE($A33,""!$B$5:$JB$48"")),AM$1,0)"),"")</f>
        <v/>
      </c>
      <c r="AN33" s="35" t="str">
        <f>IFERROR(__xludf.DUMMYFUNCTION("VLOOKUP($A$1,IMPORTRANGE($A$2, CONCATENATE($A33,""!$B$5:$JB$48"")),AN$1,0)"),"")</f>
        <v/>
      </c>
      <c r="AO33" s="35" t="str">
        <f>IFERROR(__xludf.DUMMYFUNCTION("VLOOKUP($A$1,IMPORTRANGE($A$2, CONCATENATE($A33,""!$B$5:$JB$48"")),AO$1,0)"),"")</f>
        <v/>
      </c>
      <c r="AP33" s="35" t="str">
        <f>IFERROR(__xludf.DUMMYFUNCTION("VLOOKUP($A$1,IMPORTRANGE($A$2, CONCATENATE($A33,""!$B$5:$JB$48"")),AP$1,0)"),"")</f>
        <v/>
      </c>
      <c r="AQ33" s="35" t="str">
        <f>IFERROR(__xludf.DUMMYFUNCTION("VLOOKUP($A$1,IMPORTRANGE($A$2, CONCATENATE($A33,""!$B$5:$JB$48"")),AQ$1,0)"),"")</f>
        <v/>
      </c>
      <c r="AR33" s="35" t="str">
        <f>IFERROR(__xludf.DUMMYFUNCTION("VLOOKUP($A$1,IMPORTRANGE($A$2, CONCATENATE($A33,""!$B$5:$JB$48"")),AR$1,0)"),"")</f>
        <v/>
      </c>
      <c r="AS33" s="35" t="str">
        <f>IFERROR(__xludf.DUMMYFUNCTION("VLOOKUP($A$1,IMPORTRANGE($A$2, CONCATENATE($A33,""!$B$5:$JB$48"")),AS$1,0)"),"")</f>
        <v/>
      </c>
      <c r="AT33" s="35" t="str">
        <f>IFERROR(__xludf.DUMMYFUNCTION("VLOOKUP($A$1,IMPORTRANGE($A$2, CONCATENATE($A33,""!$B$5:$JB$48"")),AT$1,0)"),"")</f>
        <v/>
      </c>
      <c r="AU33" s="35" t="str">
        <f>IFERROR(__xludf.DUMMYFUNCTION("VLOOKUP($A$1,IMPORTRANGE($A$2, CONCATENATE($A33,""!$B$5:$JB$48"")),AU$1,0)"),"")</f>
        <v/>
      </c>
      <c r="AV33" s="35" t="str">
        <f>IFERROR(__xludf.DUMMYFUNCTION("VLOOKUP($A$1,IMPORTRANGE($A$2, CONCATENATE($A33,""!$B$5:$JB$48"")),AV$1,0)"),"")</f>
        <v/>
      </c>
      <c r="AW33" s="35" t="str">
        <f>IFERROR(__xludf.DUMMYFUNCTION("VLOOKUP($A$1,IMPORTRANGE($A$2, CONCATENATE($A33,""!$B$5:$JB$48"")),AW$1,0)"),"")</f>
        <v/>
      </c>
      <c r="AX33" s="35" t="str">
        <f>IFERROR(__xludf.DUMMYFUNCTION("VLOOKUP($A$1,IMPORTRANGE($A$2, CONCATENATE($A33,""!$B$5:$JB$48"")),AX$1,0)"),"")</f>
        <v/>
      </c>
      <c r="AY33" s="35" t="str">
        <f>IFERROR(__xludf.DUMMYFUNCTION("VLOOKUP($A$1,IMPORTRANGE($A$2, CONCATENATE($A33,""!$B$5:$JB$48"")),AY$1,0)"),"")</f>
        <v/>
      </c>
      <c r="AZ33" s="35" t="str">
        <f>IFERROR(__xludf.DUMMYFUNCTION("VLOOKUP($A$1,IMPORTRANGE($A$2, CONCATENATE($A33,""!$B$5:$JB$48"")),AZ$1,0)"),"")</f>
        <v/>
      </c>
      <c r="BA33" s="35" t="str">
        <f>IFERROR(__xludf.DUMMYFUNCTION("VLOOKUP($A$1,IMPORTRANGE($A$2, CONCATENATE($A33,""!$B$5:$JB$48"")),BA$1,0)"),"")</f>
        <v/>
      </c>
      <c r="BB33" s="35" t="str">
        <f>IFERROR(__xludf.DUMMYFUNCTION("VLOOKUP($A$1,IMPORTRANGE($A$2, CONCATENATE($A33,""!$B$5:$JB$48"")),BB$1,0)"),"")</f>
        <v/>
      </c>
      <c r="BC33" s="35" t="str">
        <f>IFERROR(__xludf.DUMMYFUNCTION("VLOOKUP($A$1,IMPORTRANGE($A$2, CONCATENATE($A33,""!$B$5:$JB$48"")),BC$1,0)"),"")</f>
        <v/>
      </c>
      <c r="BD33" s="35" t="str">
        <f>IFERROR(__xludf.DUMMYFUNCTION("VLOOKUP($A$1,IMPORTRANGE($A$2, CONCATENATE($A33,""!$B$5:$JB$48"")),BD$1,0)"),"")</f>
        <v/>
      </c>
      <c r="BE33" s="35" t="str">
        <f>IFERROR(__xludf.DUMMYFUNCTION("VLOOKUP($A$1,IMPORTRANGE($A$2, CONCATENATE($A33,""!$B$5:$JB$48"")),BE$1,0)"),"")</f>
        <v/>
      </c>
      <c r="BF33" s="35" t="str">
        <f>IFERROR(__xludf.DUMMYFUNCTION("VLOOKUP($A$1,IMPORTRANGE($A$2, CONCATENATE($A33,""!$B$5:$JB$48"")),BF$1,0)"),"")</f>
        <v/>
      </c>
      <c r="BG33" s="35" t="str">
        <f>IFERROR(__xludf.DUMMYFUNCTION("VLOOKUP($A$1,IMPORTRANGE($A$2, CONCATENATE($A33,""!$B$5:$JB$48"")),BG$1,0)"),"")</f>
        <v/>
      </c>
      <c r="BH33" s="35" t="str">
        <f>IFERROR(__xludf.DUMMYFUNCTION("VLOOKUP($A$1,IMPORTRANGE($A$2, CONCATENATE($A33,""!$B$5:$JB$48"")),BH$1,0)"),"")</f>
        <v/>
      </c>
      <c r="BI33" s="35" t="str">
        <f>IFERROR(__xludf.DUMMYFUNCTION("VLOOKUP($A$1,IMPORTRANGE($A$2, CONCATENATE($A33,""!$B$5:$JB$48"")),BI$1,0)"),"")</f>
        <v/>
      </c>
      <c r="BJ33" s="35" t="str">
        <f>IFERROR(__xludf.DUMMYFUNCTION("VLOOKUP($A$1,IMPORTRANGE($A$2, CONCATENATE($A33,""!$B$5:$JB$48"")),BJ$1,0)"),"")</f>
        <v/>
      </c>
      <c r="BK33" s="35" t="str">
        <f>IFERROR(__xludf.DUMMYFUNCTION("VLOOKUP($A$1,IMPORTRANGE($A$2, CONCATENATE($A33,""!$B$5:$JB$48"")),BK$1,0)"),"")</f>
        <v/>
      </c>
      <c r="BL33" s="35" t="str">
        <f>IFERROR(__xludf.DUMMYFUNCTION("VLOOKUP($A$1,IMPORTRANGE($A$2, CONCATENATE($A33,""!$B$5:$JB$48"")),BL$1,0)"),"")</f>
        <v/>
      </c>
      <c r="BM33" s="35" t="str">
        <f>IFERROR(__xludf.DUMMYFUNCTION("VLOOKUP($A$1,IMPORTRANGE($A$2, CONCATENATE($A33,""!$B$5:$JB$48"")),BM$1,0)"),"")</f>
        <v/>
      </c>
      <c r="BN33" s="35" t="str">
        <f>IFERROR(__xludf.DUMMYFUNCTION("VLOOKUP($A$1,IMPORTRANGE($A$2, CONCATENATE($A33,""!$B$5:$JB$48"")),BN$1,0)"),"")</f>
        <v/>
      </c>
      <c r="BO33" s="35" t="str">
        <f>IFERROR(__xludf.DUMMYFUNCTION("VLOOKUP($A$1,IMPORTRANGE($A$2, CONCATENATE($A33,""!$B$5:$JB$48"")),BO$1,0)"),"")</f>
        <v/>
      </c>
      <c r="BP33" s="35" t="str">
        <f>IFERROR(__xludf.DUMMYFUNCTION("VLOOKUP($A$1,IMPORTRANGE($A$2, CONCATENATE($A33,""!$B$5:$JB$48"")),BP$1,0)"),"")</f>
        <v/>
      </c>
      <c r="BQ33" s="35" t="str">
        <f>IFERROR(__xludf.DUMMYFUNCTION("VLOOKUP($A$1,IMPORTRANGE($A$2, CONCATENATE($A33,""!$B$5:$JB$48"")),BQ$1,0)"),"")</f>
        <v/>
      </c>
      <c r="BR33" s="35" t="str">
        <f>IFERROR(__xludf.DUMMYFUNCTION("VLOOKUP($A$1,IMPORTRANGE($A$2, CONCATENATE($A33,""!$B$5:$JB$48"")),BR$1,0)"),"")</f>
        <v/>
      </c>
      <c r="BS33" s="35" t="str">
        <f>IFERROR(__xludf.DUMMYFUNCTION("VLOOKUP($A$1,IMPORTRANGE($A$2, CONCATENATE($A33,""!$B$5:$JB$48"")),BS$1,0)"),"")</f>
        <v/>
      </c>
      <c r="BT33" s="35" t="str">
        <f>IFERROR(__xludf.DUMMYFUNCTION("VLOOKUP($A$1,IMPORTRANGE($A$2, CONCATENATE($A33,""!$B$5:$JB$48"")),BT$1,0)"),"")</f>
        <v/>
      </c>
      <c r="BU33" s="35" t="str">
        <f>IFERROR(__xludf.DUMMYFUNCTION("VLOOKUP($A$1,IMPORTRANGE($A$2, CONCATENATE($A33,""!$B$5:$JB$48"")),BU$1,0)"),"")</f>
        <v/>
      </c>
      <c r="BV33" s="35" t="str">
        <f>IFERROR(__xludf.DUMMYFUNCTION("VLOOKUP($A$1,IMPORTRANGE($A$2, CONCATENATE($A33,""!$B$5:$JB$48"")),BV$1,0)"),"")</f>
        <v/>
      </c>
      <c r="BW33" s="35" t="str">
        <f>IFERROR(__xludf.DUMMYFUNCTION("VLOOKUP($A$1,IMPORTRANGE($A$2, CONCATENATE($A33,""!$B$5:$JB$48"")),BW$1,0)"),"")</f>
        <v/>
      </c>
      <c r="BX33" s="35" t="str">
        <f>IFERROR(__xludf.DUMMYFUNCTION("VLOOKUP($A$1,IMPORTRANGE($A$2, CONCATENATE($A33,""!$B$5:$JB$48"")),BX$1,0)"),"")</f>
        <v/>
      </c>
      <c r="BY33" s="35" t="str">
        <f>IFERROR(__xludf.DUMMYFUNCTION("VLOOKUP($A$1,IMPORTRANGE($A$2, CONCATENATE($A33,""!$B$5:$JB$48"")),BY$1,0)"),"")</f>
        <v/>
      </c>
      <c r="BZ33" s="35" t="str">
        <f>IFERROR(__xludf.DUMMYFUNCTION("VLOOKUP($A$1,IMPORTRANGE($A$2, CONCATENATE($A33,""!$B$5:$JB$48"")),BZ$1,0)"),"")</f>
        <v/>
      </c>
      <c r="CA33" s="35" t="str">
        <f>IFERROR(__xludf.DUMMYFUNCTION("VLOOKUP($A$1,IMPORTRANGE($A$2, CONCATENATE($A33,""!$B$5:$JB$48"")),CA$1,0)"),"н")</f>
        <v>н</v>
      </c>
      <c r="CB33" s="35" t="str">
        <f>IFERROR(__xludf.DUMMYFUNCTION("VLOOKUP($A$1,IMPORTRANGE($A$2, CONCATENATE($A33,""!$B$5:$JB$48"")),CB$1,0)"),"")</f>
        <v/>
      </c>
      <c r="CC33" s="35" t="str">
        <f>IFERROR(__xludf.DUMMYFUNCTION("VLOOKUP($A$1,IMPORTRANGE($A$2, CONCATENATE($A33,""!$B$5:$JB$48"")),CC$1,0)"),"")</f>
        <v/>
      </c>
      <c r="CD33" s="35" t="str">
        <f>IFERROR(__xludf.DUMMYFUNCTION("VLOOKUP($A$1,IMPORTRANGE($A$2, CONCATENATE($A33,""!$B$5:$JB$48"")),CD$1,0)"),"")</f>
        <v/>
      </c>
      <c r="CE33" s="35" t="str">
        <f>IFERROR(__xludf.DUMMYFUNCTION("VLOOKUP($A$1,IMPORTRANGE($A$2, CONCATENATE($A33,""!$B$5:$JB$48"")),CE$1,0)"),"")</f>
        <v/>
      </c>
      <c r="CF33" s="35" t="str">
        <f>IFERROR(__xludf.DUMMYFUNCTION("VLOOKUP($A$1,IMPORTRANGE($A$2, CONCATENATE($A33,""!$B$5:$JB$48"")),CF$1,0)"),"")</f>
        <v/>
      </c>
      <c r="CG33" s="35" t="str">
        <f>IFERROR(__xludf.DUMMYFUNCTION("VLOOKUP($A$1,IMPORTRANGE($A$2, CONCATENATE($A33,""!$B$5:$JB$48"")),CG$1,0)"),"")</f>
        <v/>
      </c>
      <c r="CH33" s="35" t="str">
        <f>IFERROR(__xludf.DUMMYFUNCTION("VLOOKUP($A$1,IMPORTRANGE($A$2, CONCATENATE($A33,""!$B$5:$JB$48"")),CH$1,0)"),"")</f>
        <v/>
      </c>
      <c r="CI33" s="35" t="str">
        <f>IFERROR(__xludf.DUMMYFUNCTION("VLOOKUP($A$1,IMPORTRANGE($A$2, CONCATENATE($A33,""!$B$5:$JB$48"")),CI$1,0)"),"")</f>
        <v/>
      </c>
      <c r="CJ33" s="35" t="str">
        <f>IFERROR(__xludf.DUMMYFUNCTION("VLOOKUP($A$1,IMPORTRANGE($A$2, CONCATENATE($A33,""!$B$5:$JB$48"")),CJ$1,0)"),"")</f>
        <v/>
      </c>
      <c r="CK33" s="35" t="str">
        <f>IFERROR(__xludf.DUMMYFUNCTION("VLOOKUP($A$1,IMPORTRANGE($A$2, CONCATENATE($A33,""!$B$5:$JB$48"")),CK$1,0)"),"")</f>
        <v/>
      </c>
      <c r="CL33" s="35" t="str">
        <f>IFERROR(__xludf.DUMMYFUNCTION("VLOOKUP($A$1,IMPORTRANGE($A$2, CONCATENATE($A33,""!$B$5:$JB$48"")),CL$1,0)"),"")</f>
        <v/>
      </c>
      <c r="CM33" s="35" t="str">
        <f>IFERROR(__xludf.DUMMYFUNCTION("VLOOKUP($A$1,IMPORTRANGE($A$2, CONCATENATE($A33,""!$B$5:$JB$48"")),CM$1,0)"),"")</f>
        <v/>
      </c>
      <c r="CN33" s="35" t="str">
        <f>IFERROR(__xludf.DUMMYFUNCTION("VLOOKUP($A$1,IMPORTRANGE($A$2, CONCATENATE($A33,""!$B$5:$JB$48"")),CN$1,0)"),"")</f>
        <v/>
      </c>
      <c r="CO33" s="35" t="str">
        <f>IFERROR(__xludf.DUMMYFUNCTION("VLOOKUP($A$1,IMPORTRANGE($A$2, CONCATENATE($A33,""!$B$5:$JB$48"")),CO$1,0)"),"")</f>
        <v/>
      </c>
      <c r="CP33" s="35" t="str">
        <f>IFERROR(__xludf.DUMMYFUNCTION("VLOOKUP($A$1,IMPORTRANGE($A$2, CONCATENATE($A33,""!$B$5:$JB$48"")),CP$1,0)"),"")</f>
        <v/>
      </c>
      <c r="CQ33" s="35" t="str">
        <f>IFERROR(__xludf.DUMMYFUNCTION("VLOOKUP($A$1,IMPORTRANGE($A$2, CONCATENATE($A33,""!$B$5:$JB$48"")),CQ$1,0)"),"")</f>
        <v/>
      </c>
      <c r="CR33" s="35" t="str">
        <f>IFERROR(__xludf.DUMMYFUNCTION("VLOOKUP($A$1,IMPORTRANGE($A$2, CONCATENATE($A33,""!$B$5:$JB$48"")),CR$1,0)"),"")</f>
        <v/>
      </c>
      <c r="CS33" s="35" t="str">
        <f>IFERROR(__xludf.DUMMYFUNCTION("VLOOKUP($A$1,IMPORTRANGE($A$2, CONCATENATE($A33,""!$B$5:$JB$48"")),CS$1,0)"),"")</f>
        <v/>
      </c>
      <c r="CT33" s="35" t="str">
        <f>IFERROR(__xludf.DUMMYFUNCTION("VLOOKUP($A$1,IMPORTRANGE($A$2, CONCATENATE($A33,""!$B$5:$JB$48"")),CT$1,0)"),"")</f>
        <v/>
      </c>
      <c r="CU33" s="35" t="str">
        <f>IFERROR(__xludf.DUMMYFUNCTION("VLOOKUP($A$1,IMPORTRANGE($A$2, CONCATENATE($A33,""!$B$5:$JB$48"")),CU$1,0)"),"")</f>
        <v/>
      </c>
      <c r="CV33" s="35" t="str">
        <f>IFERROR(__xludf.DUMMYFUNCTION("VLOOKUP($A$1,IMPORTRANGE($A$2, CONCATENATE($A33,""!$B$5:$JB$48"")),CV$1,0)"),"")</f>
        <v/>
      </c>
      <c r="CW33" s="35" t="str">
        <f>IFERROR(__xludf.DUMMYFUNCTION("VLOOKUP($A$1,IMPORTRANGE($A$2, CONCATENATE($A33,""!$B$5:$JB$48"")),CW$1,0)"),"")</f>
        <v/>
      </c>
      <c r="CX33" s="35" t="str">
        <f>IFERROR(__xludf.DUMMYFUNCTION("VLOOKUP($A$1,IMPORTRANGE($A$2, CONCATENATE($A33,""!$B$5:$JB$48"")),CX$1,0)"),"")</f>
        <v/>
      </c>
      <c r="CY33" s="35" t="str">
        <f>IFERROR(__xludf.DUMMYFUNCTION("VLOOKUP($A$1,IMPORTRANGE($A$2, CONCATENATE($A33,""!$B$5:$JB$48"")),CY$1,0)"),"")</f>
        <v/>
      </c>
      <c r="CZ33" s="35" t="str">
        <f>IFERROR(__xludf.DUMMYFUNCTION("VLOOKUP($A$1,IMPORTRANGE($A$2, CONCATENATE($A33,""!$B$5:$JB$48"")),CZ$1,0)"),"")</f>
        <v/>
      </c>
      <c r="DA33" s="35" t="str">
        <f>IFERROR(__xludf.DUMMYFUNCTION("VLOOKUP($A$1,IMPORTRANGE($A$2, CONCATENATE($A33,""!$B$5:$JB$48"")),DA$1,0)"),"")</f>
        <v/>
      </c>
      <c r="DB33" s="35" t="str">
        <f>IFERROR(__xludf.DUMMYFUNCTION("VLOOKUP($A$1,IMPORTRANGE($A$2, CONCATENATE($A33,""!$B$5:$JB$48"")),DB$1,0)"),"")</f>
        <v/>
      </c>
      <c r="DC33" s="35" t="str">
        <f>IFERROR(__xludf.DUMMYFUNCTION("VLOOKUP($A$1,IMPORTRANGE($A$2, CONCATENATE($A33,""!$B$5:$JB$48"")),DC$1,0)"),"")</f>
        <v/>
      </c>
      <c r="DD33" s="35" t="str">
        <f>IFERROR(__xludf.DUMMYFUNCTION("VLOOKUP($A$1,IMPORTRANGE($A$2, CONCATENATE($A33,""!$B$5:$JB$48"")),DD$1,0)"),"")</f>
        <v/>
      </c>
      <c r="DE33" s="35" t="str">
        <f>IFERROR(__xludf.DUMMYFUNCTION("VLOOKUP($A$1,IMPORTRANGE($A$2, CONCATENATE($A33,""!$B$5:$JB$48"")),DE$1,0)"),"")</f>
        <v/>
      </c>
      <c r="DF33" s="35" t="str">
        <f>IFERROR(__xludf.DUMMYFUNCTION("VLOOKUP($A$1,IMPORTRANGE($A$2, CONCATENATE($A33,""!$B$5:$JB$48"")),DF$1,0)"),"")</f>
        <v/>
      </c>
      <c r="DG33" s="35" t="str">
        <f>IFERROR(__xludf.DUMMYFUNCTION("VLOOKUP($A$1,IMPORTRANGE($A$2, CONCATENATE($A33,""!$B$5:$JB$48"")),DG$1,0)"),"")</f>
        <v/>
      </c>
      <c r="DH33" s="35" t="str">
        <f>IFERROR(__xludf.DUMMYFUNCTION("VLOOKUP($A$1,IMPORTRANGE($A$2, CONCATENATE($A33,""!$B$5:$JB$48"")),DH$1,0)"),"")</f>
        <v/>
      </c>
      <c r="DI33" s="35" t="str">
        <f>IFERROR(__xludf.DUMMYFUNCTION("VLOOKUP($A$1,IMPORTRANGE($A$2, CONCATENATE($A33,""!$B$5:$JB$48"")),DI$1,0)"),"")</f>
        <v/>
      </c>
      <c r="DJ33" s="35" t="str">
        <f>IFERROR(__xludf.DUMMYFUNCTION("VLOOKUP($A$1,IMPORTRANGE($A$2, CONCATENATE($A33,""!$B$5:$JB$48"")),DJ$1,0)"),"")</f>
        <v/>
      </c>
      <c r="DK33" s="35">
        <f>IFERROR(__xludf.DUMMYFUNCTION("VLOOKUP($A$1,IMPORTRANGE($A$2, CONCATENATE($A33,""!$B$5:$JB$48"")),DK$1,0)"),5.0)</f>
        <v>5</v>
      </c>
      <c r="DL33" s="35" t="str">
        <f>IFERROR(__xludf.DUMMYFUNCTION("VLOOKUP($A$1,IMPORTRANGE($A$2, CONCATENATE($A33,""!$B$5:$JB$48"")),DL$1,0)"),"")</f>
        <v/>
      </c>
      <c r="DM33" s="35">
        <f>IFERROR(__xludf.DUMMYFUNCTION("VLOOKUP($A$1,IMPORTRANGE($A$2, CONCATENATE($A33,""!$B$5:$JB$48"")),DM$1,0)"),5.0)</f>
        <v>5</v>
      </c>
      <c r="DN33" s="35">
        <f>IFERROR(__xludf.DUMMYFUNCTION("VLOOKUP($A$1,IMPORTRANGE($A$2, CONCATENATE($A33,""!$B$5:$JB$48"")),DN$1,0)"),5.0)</f>
        <v>5</v>
      </c>
      <c r="DO33" s="35" t="str">
        <f>IFERROR(__xludf.DUMMYFUNCTION("VLOOKUP($A$1,IMPORTRANGE($A$2, CONCATENATE($A33,""!$B$5:$JB$48"")),DO$1,0)"),"")</f>
        <v/>
      </c>
      <c r="DP33" s="35">
        <f>IFERROR(__xludf.DUMMYFUNCTION("VLOOKUP($A$1,IMPORTRANGE($A$2, CONCATENATE($A33,""!$B$5:$JB$48"")),DP$1,0)"),5.0)</f>
        <v>5</v>
      </c>
      <c r="DQ33" s="35">
        <f>IFERROR(__xludf.DUMMYFUNCTION("VLOOKUP($A$1,IMPORTRANGE($A$2, CONCATENATE($A33,""!$B$5:$JB$48"")),DQ$1,0)"),5.0)</f>
        <v>5</v>
      </c>
      <c r="DR33" s="35" t="str">
        <f>IFERROR(__xludf.DUMMYFUNCTION("VLOOKUP($A$1,IMPORTRANGE($A$2, CONCATENATE($A33,""!$B$5:$JB$48"")),DR$1,0)"),"")</f>
        <v/>
      </c>
      <c r="DS33" s="35" t="str">
        <f>IFERROR(__xludf.DUMMYFUNCTION("VLOOKUP($A$1,IMPORTRANGE($A$2, CONCATENATE($A33,""!$B$5:$JB$48"")),DS$1,0)"),"")</f>
        <v/>
      </c>
      <c r="DT33" s="35" t="str">
        <f>IFERROR(__xludf.DUMMYFUNCTION("VLOOKUP($A$1,IMPORTRANGE($A$2, CONCATENATE($A33,""!$B$5:$JB$48"")),DT$1,0)"),"")</f>
        <v/>
      </c>
      <c r="DU33" s="35" t="str">
        <f>IFERROR(__xludf.DUMMYFUNCTION("VLOOKUP($A$1,IMPORTRANGE($A$2, CONCATENATE($A33,""!$B$5:$JB$48"")),DU$1,0)"),"")</f>
        <v/>
      </c>
      <c r="DV33" s="35" t="str">
        <f>IFERROR(__xludf.DUMMYFUNCTION("VLOOKUP($A$1,IMPORTRANGE($A$2, CONCATENATE($A33,""!$B$5:$JB$48"")),DV$1,0)"),"")</f>
        <v/>
      </c>
      <c r="DW33" s="35" t="str">
        <f>IFERROR(__xludf.DUMMYFUNCTION("VLOOKUP($A$1,IMPORTRANGE($A$2, CONCATENATE($A33,""!$B$5:$JB$48"")),DW$1,0)"),"")</f>
        <v/>
      </c>
      <c r="DX33" s="35" t="str">
        <f>IFERROR(__xludf.DUMMYFUNCTION("VLOOKUP($A$1,IMPORTRANGE($A$2, CONCATENATE($A33,""!$B$5:$JB$48"")),DX$1,0)"),"")</f>
        <v/>
      </c>
      <c r="DY33" s="35" t="str">
        <f>IFERROR(__xludf.DUMMYFUNCTION("VLOOKUP($A$1,IMPORTRANGE($A$2, CONCATENATE($A33,""!$B$5:$JB$48"")),DY$1,0)"),"")</f>
        <v/>
      </c>
      <c r="DZ33" s="35">
        <f>IFERROR(__xludf.DUMMYFUNCTION("VLOOKUP($A$1,IMPORTRANGE($A$2, CONCATENATE($A33,""!$B$5:$JB$48"")),DZ$1,0)"),5.0)</f>
        <v>5</v>
      </c>
      <c r="EA33" s="35" t="str">
        <f>IFERROR(__xludf.DUMMYFUNCTION("VLOOKUP($A$1,IMPORTRANGE($A$2, CONCATENATE($A33,""!$B$5:$JB$48"")),EA$1,0)"),"")</f>
        <v/>
      </c>
      <c r="EB33" s="35" t="str">
        <f>IFERROR(__xludf.DUMMYFUNCTION("VLOOKUP($A$1,IMPORTRANGE($A$2, CONCATENATE($A33,""!$B$5:$JB$48"")),EB$1,0)"),"")</f>
        <v/>
      </c>
      <c r="EC33" s="35" t="str">
        <f>IFERROR(__xludf.DUMMYFUNCTION("VLOOKUP($A$1,IMPORTRANGE($A$2, CONCATENATE($A33,""!$B$5:$JB$48"")),EC$1,0)"),"")</f>
        <v/>
      </c>
      <c r="ED33" s="35" t="str">
        <f>IFERROR(__xludf.DUMMYFUNCTION("VLOOKUP($A$1,IMPORTRANGE($A$2, CONCATENATE($A33,""!$B$5:$JB$48"")),ED$1,0)"),"")</f>
        <v/>
      </c>
      <c r="EE33" s="35" t="str">
        <f>IFERROR(__xludf.DUMMYFUNCTION("VLOOKUP($A$1,IMPORTRANGE($A$2, CONCATENATE($A33,""!$B$5:$JB$48"")),EE$1,0)"),"")</f>
        <v/>
      </c>
      <c r="EF33" s="35" t="str">
        <f>IFERROR(__xludf.DUMMYFUNCTION("VLOOKUP($A$1,IMPORTRANGE($A$2, CONCATENATE($A33,""!$B$5:$JB$48"")),EF$1,0)"),"")</f>
        <v/>
      </c>
      <c r="EG33" s="35" t="str">
        <f>IFERROR(__xludf.DUMMYFUNCTION("VLOOKUP($A$1,IMPORTRANGE($A$2, CONCATENATE($A33,""!$B$5:$JB$48"")),EG$1,0)"),"")</f>
        <v/>
      </c>
      <c r="EH33" s="35" t="str">
        <f>IFERROR(__xludf.DUMMYFUNCTION("VLOOKUP($A$1,IMPORTRANGE($A$2, CONCATENATE($A33,""!$B$5:$JB$48"")),EH$1,0)"),"")</f>
        <v/>
      </c>
      <c r="EI33" s="35" t="str">
        <f>IFERROR(__xludf.DUMMYFUNCTION("VLOOKUP($A$1,IMPORTRANGE($A$2, CONCATENATE($A33,""!$B$5:$JB$48"")),EI$1,0)"),"")</f>
        <v/>
      </c>
      <c r="EJ33" s="35" t="str">
        <f>IFERROR(__xludf.DUMMYFUNCTION("VLOOKUP($A$1,IMPORTRANGE($A$2, CONCATENATE($A33,""!$B$5:$JB$48"")),EJ$1,0)"),"")</f>
        <v/>
      </c>
      <c r="EK33" s="35" t="str">
        <f>IFERROR(__xludf.DUMMYFUNCTION("VLOOKUP($A$1,IMPORTRANGE($A$2, CONCATENATE($A33,""!$B$5:$JB$48"")),EK$1,0)"),"")</f>
        <v/>
      </c>
      <c r="EL33" s="35" t="str">
        <f>IFERROR(__xludf.DUMMYFUNCTION("VLOOKUP($A$1,IMPORTRANGE($A$2, CONCATENATE($A33,""!$B$5:$JB$48"")),EL$1,0)"),"")</f>
        <v/>
      </c>
      <c r="EM33" s="35" t="str">
        <f>IFERROR(__xludf.DUMMYFUNCTION("VLOOKUP($A$1,IMPORTRANGE($A$2, CONCATENATE($A33,""!$B$5:$JB$48"")),EM$1,0)"),"")</f>
        <v/>
      </c>
      <c r="EN33" s="35">
        <f>IFERROR(__xludf.DUMMYFUNCTION("VLOOKUP($A$1,IMPORTRANGE($A$2, CONCATENATE($A33,""!$B$5:$JB$48"")),EN$1,0)"),5.0)</f>
        <v>5</v>
      </c>
      <c r="EO33" s="35" t="str">
        <f>IFERROR(__xludf.DUMMYFUNCTION("VLOOKUP($A$1,IMPORTRANGE($A$2, CONCATENATE($A33,""!$B$5:$JB$48"")),EO$1,0)"),"")</f>
        <v/>
      </c>
      <c r="EP33" s="35" t="str">
        <f>IFERROR(__xludf.DUMMYFUNCTION("VLOOKUP($A$1,IMPORTRANGE($A$2, CONCATENATE($A33,""!$B$5:$JB$48"")),EP$1,0)"),"")</f>
        <v/>
      </c>
      <c r="EQ33" s="35" t="str">
        <f>IFERROR(__xludf.DUMMYFUNCTION("VLOOKUP($A$1,IMPORTRANGE($A$2, CONCATENATE($A33,""!$B$5:$JB$48"")),EQ$1,0)"),"")</f>
        <v/>
      </c>
      <c r="ER33" s="35" t="str">
        <f>IFERROR(__xludf.DUMMYFUNCTION("VLOOKUP($A$1,IMPORTRANGE($A$2, CONCATENATE($A33,""!$B$5:$JB$48"")),ER$1,0)"),"")</f>
        <v/>
      </c>
      <c r="ES33" s="35" t="str">
        <f>IFERROR(__xludf.DUMMYFUNCTION("VLOOKUP($A$1,IMPORTRANGE($A$2, CONCATENATE($A33,""!$B$5:$JB$48"")),ES$1,0)"),"")</f>
        <v/>
      </c>
      <c r="ET33" s="35" t="str">
        <f>IFERROR(__xludf.DUMMYFUNCTION("VLOOKUP($A$1,IMPORTRANGE($A$2, CONCATENATE($A33,""!$B$5:$JB$48"")),ET$1,0)"),"")</f>
        <v/>
      </c>
      <c r="EU33" s="35" t="str">
        <f>IFERROR(__xludf.DUMMYFUNCTION("VLOOKUP($A$1,IMPORTRANGE($A$2, CONCATENATE($A33,""!$B$5:$JB$48"")),EU$1,0)"),"")</f>
        <v/>
      </c>
      <c r="EV33" s="35" t="str">
        <f>IFERROR(__xludf.DUMMYFUNCTION("VLOOKUP($A$1,IMPORTRANGE($A$2, CONCATENATE($A33,""!$B$5:$JB$48"")),EV$1,0)"),"")</f>
        <v/>
      </c>
      <c r="EW33" s="35" t="str">
        <f>IFERROR(__xludf.DUMMYFUNCTION("VLOOKUP($A$1,IMPORTRANGE($A$2, CONCATENATE($A33,""!$B$5:$JB$48"")),EW$1,0)"),"")</f>
        <v/>
      </c>
      <c r="EX33" s="35" t="str">
        <f>IFERROR(__xludf.DUMMYFUNCTION("VLOOKUP($A$1,IMPORTRANGE($A$2, CONCATENATE($A33,""!$B$5:$JB$48"")),EX$1,0)"),"")</f>
        <v/>
      </c>
      <c r="EY33" s="35" t="str">
        <f>IFERROR(__xludf.DUMMYFUNCTION("VLOOKUP($A$1,IMPORTRANGE($A$2, CONCATENATE($A33,""!$B$5:$JB$48"")),EY$1,0)"),"")</f>
        <v/>
      </c>
      <c r="EZ33" s="35" t="str">
        <f>IFERROR(__xludf.DUMMYFUNCTION("VLOOKUP($A$1,IMPORTRANGE($A$2, CONCATENATE($A33,""!$B$5:$JB$48"")),EZ$1,0)"),"")</f>
        <v/>
      </c>
      <c r="FA33" s="35" t="str">
        <f>IFERROR(__xludf.DUMMYFUNCTION("VLOOKUP($A$1,IMPORTRANGE($A$2, CONCATENATE($A33,""!$B$5:$JB$48"")),FA$1,0)"),"")</f>
        <v/>
      </c>
      <c r="FB33" s="35" t="str">
        <f>IFERROR(__xludf.DUMMYFUNCTION("VLOOKUP($A$1,IMPORTRANGE($A$2, CONCATENATE($A33,""!$B$5:$JB$48"")),FB$1,0)"),"")</f>
        <v/>
      </c>
      <c r="FC33" s="35" t="str">
        <f>IFERROR(__xludf.DUMMYFUNCTION("VLOOKUP($A$1,IMPORTRANGE($A$2, CONCATENATE($A33,""!$B$5:$JB$48"")),FC$1,0)"),"")</f>
        <v/>
      </c>
      <c r="FD33" s="35" t="str">
        <f>IFERROR(__xludf.DUMMYFUNCTION("VLOOKUP($A$1,IMPORTRANGE($A$2, CONCATENATE($A33,""!$B$5:$JB$48"")),FD$1,0)"),"")</f>
        <v/>
      </c>
      <c r="FE33" s="35" t="str">
        <f>IFERROR(__xludf.DUMMYFUNCTION("VLOOKUP($A$1,IMPORTRANGE($A$2, CONCATENATE($A33,""!$B$5:$JB$48"")),FE$1,0)"),"")</f>
        <v/>
      </c>
      <c r="FF33" s="35" t="str">
        <f>IFERROR(__xludf.DUMMYFUNCTION("VLOOKUP($A$1,IMPORTRANGE($A$2, CONCATENATE($A33,""!$B$5:$JB$48"")),FF$1,0)"),"")</f>
        <v/>
      </c>
      <c r="FG33" s="35" t="str">
        <f>IFERROR(__xludf.DUMMYFUNCTION("VLOOKUP($A$1,IMPORTRANGE($A$2, CONCATENATE($A33,""!$B$5:$JB$48"")),FG$1,0)"),"")</f>
        <v/>
      </c>
      <c r="FH33" s="35" t="str">
        <f>IFERROR(__xludf.DUMMYFUNCTION("VLOOKUP($A$1,IMPORTRANGE($A$2, CONCATENATE($A33,""!$B$5:$JB$48"")),FH$1,0)"),"")</f>
        <v/>
      </c>
      <c r="FI33" s="35" t="str">
        <f>IFERROR(__xludf.DUMMYFUNCTION("VLOOKUP($A$1,IMPORTRANGE($A$2, CONCATENATE($A33,""!$B$5:$JB$48"")),FI$1,0)"),"")</f>
        <v/>
      </c>
      <c r="FJ33" s="35" t="str">
        <f>IFERROR(__xludf.DUMMYFUNCTION("VLOOKUP($A$1,IMPORTRANGE($A$2, CONCATENATE($A33,""!$B$5:$JB$48"")),FJ$1,0)"),"")</f>
        <v/>
      </c>
      <c r="FK33" s="35" t="str">
        <f>IFERROR(__xludf.DUMMYFUNCTION("VLOOKUP($A$1,IMPORTRANGE($A$2, CONCATENATE($A33,""!$B$5:$JB$48"")),FK$1,0)"),"")</f>
        <v/>
      </c>
      <c r="FL33" s="35" t="str">
        <f>IFERROR(__xludf.DUMMYFUNCTION("VLOOKUP($A$1,IMPORTRANGE($A$2, CONCATENATE($A33,""!$B$5:$JB$48"")),FL$1,0)"),"")</f>
        <v/>
      </c>
      <c r="FM33" s="35" t="str">
        <f>IFERROR(__xludf.DUMMYFUNCTION("VLOOKUP($A$1,IMPORTRANGE($A$2, CONCATENATE($A33,""!$B$5:$JB$48"")),FM$1,0)"),"")</f>
        <v/>
      </c>
      <c r="FN33" s="35" t="str">
        <f>IFERROR(__xludf.DUMMYFUNCTION("VLOOKUP($A$1,IMPORTRANGE($A$2, CONCATENATE($A33,""!$B$5:$JB$48"")),FN$1,0)"),"")</f>
        <v/>
      </c>
      <c r="FO33" s="35" t="str">
        <f>IFERROR(__xludf.DUMMYFUNCTION("VLOOKUP($A$1,IMPORTRANGE($A$2, CONCATENATE($A33,""!$B$5:$JB$48"")),FO$1,0)"),"")</f>
        <v/>
      </c>
      <c r="FP33" s="35" t="str">
        <f>IFERROR(__xludf.DUMMYFUNCTION("VLOOKUP($A$1,IMPORTRANGE($A$2, CONCATENATE($A33,""!$B$5:$JB$48"")),FP$1,0)"),"")</f>
        <v/>
      </c>
      <c r="FQ33" s="35" t="str">
        <f>IFERROR(__xludf.DUMMYFUNCTION("VLOOKUP($A$1,IMPORTRANGE($A$2, CONCATENATE($A33,""!$B$5:$JB$48"")),FQ$1,0)"),"")</f>
        <v/>
      </c>
      <c r="FR33" s="35" t="str">
        <f>IFERROR(__xludf.DUMMYFUNCTION("VLOOKUP($A$1,IMPORTRANGE($A$2, CONCATENATE($A33,""!$B$5:$JB$48"")),FR$1,0)"),"")</f>
        <v/>
      </c>
      <c r="FS33" s="35" t="str">
        <f>IFERROR(__xludf.DUMMYFUNCTION("VLOOKUP($A$1,IMPORTRANGE($A$2, CONCATENATE($A33,""!$B$5:$JB$48"")),FS$1,0)"),"")</f>
        <v/>
      </c>
      <c r="FT33" s="35" t="str">
        <f>IFERROR(__xludf.DUMMYFUNCTION("VLOOKUP($A$1,IMPORTRANGE($A$2, CONCATENATE($A33,""!$B$5:$JB$48"")),FT$1,0)"),"")</f>
        <v/>
      </c>
      <c r="FU33" s="35" t="str">
        <f>IFERROR(__xludf.DUMMYFUNCTION("VLOOKUP($A$1,IMPORTRANGE($A$2, CONCATENATE($A33,""!$B$5:$JB$48"")),FU$1,0)"),"")</f>
        <v/>
      </c>
      <c r="FV33" s="35" t="str">
        <f>IFERROR(__xludf.DUMMYFUNCTION("VLOOKUP($A$1,IMPORTRANGE($A$2, CONCATENATE($A33,""!$B$5:$JB$48"")),FV$1,0)"),"")</f>
        <v/>
      </c>
      <c r="FW33" s="35" t="str">
        <f>IFERROR(__xludf.DUMMYFUNCTION("VLOOKUP($A$1,IMPORTRANGE($A$2, CONCATENATE($A33,""!$B$5:$JB$48"")),FW$1,0)"),"")</f>
        <v/>
      </c>
      <c r="FX33" s="35" t="str">
        <f>IFERROR(__xludf.DUMMYFUNCTION("VLOOKUP($A$1,IMPORTRANGE($A$2, CONCATENATE($A33,""!$B$5:$JB$48"")),FX$1,0)"),"")</f>
        <v/>
      </c>
      <c r="FY33" s="35" t="str">
        <f>IFERROR(__xludf.DUMMYFUNCTION("VLOOKUP($A$1,IMPORTRANGE($A$2, CONCATENATE($A33,""!$B$5:$JB$48"")),FY$1,0)"),"")</f>
        <v/>
      </c>
      <c r="FZ33" s="35" t="str">
        <f>IFERROR(__xludf.DUMMYFUNCTION("VLOOKUP($A$1,IMPORTRANGE($A$2, CONCATENATE($A33,""!$B$5:$JB$48"")),FZ$1,0)"),"")</f>
        <v/>
      </c>
      <c r="GA33" s="35" t="str">
        <f>IFERROR(__xludf.DUMMYFUNCTION("VLOOKUP($A$1,IMPORTRANGE($A$2, CONCATENATE($A33,""!$B$5:$JB$48"")),GA$1,0)"),"")</f>
        <v/>
      </c>
      <c r="GB33" s="35" t="str">
        <f>IFERROR(__xludf.DUMMYFUNCTION("VLOOKUP($A$1,IMPORTRANGE($A$2, CONCATENATE($A33,""!$B$5:$JB$48"")),GB$1,0)"),"")</f>
        <v/>
      </c>
      <c r="GC33" s="35" t="str">
        <f>IFERROR(__xludf.DUMMYFUNCTION("VLOOKUP($A$1,IMPORTRANGE($A$2, CONCATENATE($A33,""!$B$5:$JB$48"")),GC$1,0)"),"")</f>
        <v/>
      </c>
      <c r="GD33" s="35" t="str">
        <f>IFERROR(__xludf.DUMMYFUNCTION("VLOOKUP($A$1,IMPORTRANGE($A$2, CONCATENATE($A33,""!$B$5:$JB$48"")),GD$1,0)"),"")</f>
        <v/>
      </c>
      <c r="GE33" s="35" t="str">
        <f>IFERROR(__xludf.DUMMYFUNCTION("VLOOKUP($A$1,IMPORTRANGE($A$2, CONCATENATE($A33,""!$B$5:$JB$48"")),GE$1,0)"),"")</f>
        <v/>
      </c>
      <c r="GF33" s="35" t="str">
        <f>IFERROR(__xludf.DUMMYFUNCTION("VLOOKUP($A$1,IMPORTRANGE($A$2, CONCATENATE($A33,""!$B$5:$JB$48"")),GF$1,0)"),"")</f>
        <v/>
      </c>
      <c r="GG33" s="35" t="str">
        <f>IFERROR(__xludf.DUMMYFUNCTION("VLOOKUP($A$1,IMPORTRANGE($A$2, CONCATENATE($A33,""!$B$5:$JB$48"")),GG$1,0)"),"")</f>
        <v/>
      </c>
      <c r="GH33" s="35" t="str">
        <f>IFERROR(__xludf.DUMMYFUNCTION("VLOOKUP($A$1,IMPORTRANGE($A$2, CONCATENATE($A33,""!$B$5:$JB$48"")),GH$1,0)"),"")</f>
        <v/>
      </c>
      <c r="GI33" s="35" t="str">
        <f>IFERROR(__xludf.DUMMYFUNCTION("VLOOKUP($A$1,IMPORTRANGE($A$2, CONCATENATE($A33,""!$B$5:$JB$48"")),GI$1,0)"),"")</f>
        <v/>
      </c>
      <c r="GJ33" s="35" t="str">
        <f>IFERROR(__xludf.DUMMYFUNCTION("VLOOKUP($A$1,IMPORTRANGE($A$2, CONCATENATE($A33,""!$B$5:$JB$48"")),GJ$1,0)"),"")</f>
        <v/>
      </c>
      <c r="GK33" s="35" t="str">
        <f>IFERROR(__xludf.DUMMYFUNCTION("VLOOKUP($A$1,IMPORTRANGE($A$2, CONCATENATE($A33,""!$B$5:$JB$48"")),GK$1,0)"),"")</f>
        <v/>
      </c>
      <c r="GL33" s="35" t="str">
        <f>IFERROR(__xludf.DUMMYFUNCTION("VLOOKUP($A$1,IMPORTRANGE($A$2, CONCATENATE($A33,""!$B$5:$JB$48"")),GL$1,0)"),"")</f>
        <v/>
      </c>
      <c r="GM33" s="35" t="str">
        <f>IFERROR(__xludf.DUMMYFUNCTION("VLOOKUP($A$1,IMPORTRANGE($A$2, CONCATENATE($A33,""!$B$5:$JB$48"")),GM$1,0)"),"")</f>
        <v/>
      </c>
      <c r="GN33" s="35" t="str">
        <f>IFERROR(__xludf.DUMMYFUNCTION("VLOOKUP($A$1,IMPORTRANGE($A$2, CONCATENATE($A33,""!$B$5:$JB$48"")),GN$1,0)"),"")</f>
        <v/>
      </c>
      <c r="GO33" s="35" t="str">
        <f>IFERROR(__xludf.DUMMYFUNCTION("VLOOKUP($A$1,IMPORTRANGE($A$2, CONCATENATE($A33,""!$B$5:$JB$48"")),GO$1,0)"),"")</f>
        <v/>
      </c>
      <c r="GP33" s="35" t="str">
        <f>IFERROR(__xludf.DUMMYFUNCTION("VLOOKUP($A$1,IMPORTRANGE($A$2, CONCATENATE($A33,""!$B$5:$JB$48"")),GP$1,0)"),"")</f>
        <v/>
      </c>
      <c r="GQ33" s="35" t="str">
        <f>IFERROR(__xludf.DUMMYFUNCTION("VLOOKUP($A$1,IMPORTRANGE($A$2, CONCATENATE($A33,""!$B$5:$JB$48"")),GQ$1,0)"),"")</f>
        <v/>
      </c>
      <c r="GR33" s="35" t="str">
        <f>IFERROR(__xludf.DUMMYFUNCTION("VLOOKUP($A$1,IMPORTRANGE($A$2, CONCATENATE($A33,""!$B$5:$JB$48"")),GR$1,0)"),"")</f>
        <v/>
      </c>
      <c r="GS33" s="35" t="str">
        <f>IFERROR(__xludf.DUMMYFUNCTION("VLOOKUP($A$1,IMPORTRANGE($A$2, CONCATENATE($A33,""!$B$5:$JB$48"")),GS$1,0)"),"")</f>
        <v/>
      </c>
      <c r="GT33" s="35" t="str">
        <f>IFERROR(__xludf.DUMMYFUNCTION("VLOOKUP($A$1,IMPORTRANGE($A$2, CONCATENATE($A33,""!$B$5:$JB$48"")),GT$1,0)"),"")</f>
        <v/>
      </c>
      <c r="GU33" s="35" t="str">
        <f>IFERROR(__xludf.DUMMYFUNCTION("VLOOKUP($A$1,IMPORTRANGE($A$2, CONCATENATE($A33,""!$B$5:$JB$48"")),GU$1,0)"),"")</f>
        <v/>
      </c>
      <c r="GV33" s="35" t="str">
        <f>IFERROR(__xludf.DUMMYFUNCTION("VLOOKUP($A$1,IMPORTRANGE($A$2, CONCATENATE($A33,""!$B$5:$JB$48"")),GV$1,0)"),"")</f>
        <v/>
      </c>
      <c r="GW33" s="35" t="str">
        <f>IFERROR(__xludf.DUMMYFUNCTION("VLOOKUP($A$1,IMPORTRANGE($A$2, CONCATENATE($A33,""!$B$5:$JB$48"")),GW$1,0)"),"")</f>
        <v/>
      </c>
      <c r="GX33" s="35" t="str">
        <f>IFERROR(__xludf.DUMMYFUNCTION("VLOOKUP($A$1,IMPORTRANGE($A$2, CONCATENATE($A33,""!$B$5:$JB$48"")),GX$1,0)"),"")</f>
        <v/>
      </c>
      <c r="GY33" s="35" t="str">
        <f>IFERROR(__xludf.DUMMYFUNCTION("VLOOKUP($A$1,IMPORTRANGE($A$2, CONCATENATE($A33,""!$B$5:$JB$48"")),GY$1,0)"),"")</f>
        <v/>
      </c>
      <c r="GZ33" s="35" t="str">
        <f>IFERROR(__xludf.DUMMYFUNCTION("VLOOKUP($A$1,IMPORTRANGE($A$2, CONCATENATE($A33,""!$B$5:$JB$48"")),GZ$1,0)"),"")</f>
        <v/>
      </c>
      <c r="HA33" s="35" t="str">
        <f>IFERROR(__xludf.DUMMYFUNCTION("VLOOKUP($A$1,IMPORTRANGE($A$2, CONCATENATE($A33,""!$B$5:$JB$48"")),HA$1,0)"),"")</f>
        <v/>
      </c>
      <c r="HB33" s="35" t="str">
        <f>IFERROR(__xludf.DUMMYFUNCTION("VLOOKUP($A$1,IMPORTRANGE($A$2, CONCATENATE($A33,""!$B$5:$JB$48"")),HB$1,0)"),"")</f>
        <v/>
      </c>
      <c r="HC33" s="35" t="str">
        <f>IFERROR(__xludf.DUMMYFUNCTION("VLOOKUP($A$1,IMPORTRANGE($A$2, CONCATENATE($A33,""!$B$5:$JB$48"")),HC$1,0)"),"")</f>
        <v/>
      </c>
      <c r="HD33" s="35" t="str">
        <f>IFERROR(__xludf.DUMMYFUNCTION("VLOOKUP($A$1,IMPORTRANGE($A$2, CONCATENATE($A33,""!$B$5:$JB$48"")),HD$1,0)"),"")</f>
        <v/>
      </c>
      <c r="HE33" s="35" t="str">
        <f>IFERROR(__xludf.DUMMYFUNCTION("VLOOKUP($A$1,IMPORTRANGE($A$2, CONCATENATE($A33,""!$B$5:$JB$48"")),HE$1,0)"),"")</f>
        <v/>
      </c>
      <c r="HF33" s="35" t="str">
        <f>IFERROR(__xludf.DUMMYFUNCTION("VLOOKUP($A$1,IMPORTRANGE($A$2, CONCATENATE($A33,""!$B$5:$JB$48"")),HF$1,0)"),"")</f>
        <v/>
      </c>
      <c r="HG33" s="35" t="str">
        <f>IFERROR(__xludf.DUMMYFUNCTION("VLOOKUP($A$1,IMPORTRANGE($A$2, CONCATENATE($A33,""!$B$5:$JB$48"")),HG$1,0)"),"")</f>
        <v/>
      </c>
      <c r="HH33" s="35" t="str">
        <f>IFERROR(__xludf.DUMMYFUNCTION("VLOOKUP($A$1,IMPORTRANGE($A$2, CONCATENATE($A33,""!$B$5:$JB$48"")),HH$1,0)"),"")</f>
        <v/>
      </c>
      <c r="HI33" s="35" t="str">
        <f>IFERROR(__xludf.DUMMYFUNCTION("VLOOKUP($A$1,IMPORTRANGE($A$2, CONCATENATE($A33,""!$B$5:$JB$48"")),HI$1,0)"),"")</f>
        <v/>
      </c>
      <c r="HJ33" s="35" t="str">
        <f>IFERROR(__xludf.DUMMYFUNCTION("VLOOKUP($A$1,IMPORTRANGE($A$2, CONCATENATE($A33,""!$B$5:$JB$48"")),HJ$1,0)"),"")</f>
        <v/>
      </c>
      <c r="HK33" s="35" t="str">
        <f>IFERROR(__xludf.DUMMYFUNCTION("VLOOKUP($A$1,IMPORTRANGE($A$2, CONCATENATE($A33,""!$B$5:$JB$48"")),HK$1,0)"),"")</f>
        <v/>
      </c>
      <c r="HL33" s="35" t="str">
        <f>IFERROR(__xludf.DUMMYFUNCTION("VLOOKUP($A$1,IMPORTRANGE($A$2, CONCATENATE($A33,""!$B$5:$JB$48"")),HL$1,0)"),"")</f>
        <v/>
      </c>
      <c r="HM33" s="35" t="str">
        <f>IFERROR(__xludf.DUMMYFUNCTION("VLOOKUP($A$1,IMPORTRANGE($A$2, CONCATENATE($A33,""!$B$5:$JB$48"")),HM$1,0)"),"")</f>
        <v/>
      </c>
      <c r="HN33" s="35" t="str">
        <f>IFERROR(__xludf.DUMMYFUNCTION("VLOOKUP($A$1,IMPORTRANGE($A$2, CONCATENATE($A33,""!$B$5:$JB$48"")),HN$1,0)"),"")</f>
        <v/>
      </c>
      <c r="HO33" s="35" t="str">
        <f>IFERROR(__xludf.DUMMYFUNCTION("VLOOKUP($A$1,IMPORTRANGE($A$2, CONCATENATE($A33,""!$B$5:$JB$48"")),HO$1,0)"),"")</f>
        <v/>
      </c>
      <c r="HP33" s="35" t="str">
        <f>IFERROR(__xludf.DUMMYFUNCTION("VLOOKUP($A$1,IMPORTRANGE($A$2, CONCATENATE($A33,""!$B$5:$JB$48"")),HP$1,0)"),"")</f>
        <v/>
      </c>
      <c r="HQ33" s="35" t="str">
        <f>IFERROR(__xludf.DUMMYFUNCTION("VLOOKUP($A$1,IMPORTRANGE($A$2, CONCATENATE($A33,""!$B$5:$JB$48"")),HQ$1,0)"),"")</f>
        <v/>
      </c>
      <c r="HR33" s="35" t="str">
        <f>IFERROR(__xludf.DUMMYFUNCTION("VLOOKUP($A$1,IMPORTRANGE($A$2, CONCATENATE($A33,""!$B$5:$JB$48"")),HR$1,0)"),"")</f>
        <v/>
      </c>
      <c r="HS33" s="35" t="str">
        <f>IFERROR(__xludf.DUMMYFUNCTION("VLOOKUP($A$1,IMPORTRANGE($A$2, CONCATENATE($A33,""!$B$5:$JB$48"")),HS$1,0)"),"")</f>
        <v/>
      </c>
      <c r="HT33" s="35" t="str">
        <f>IFERROR(__xludf.DUMMYFUNCTION("VLOOKUP($A$1,IMPORTRANGE($A$2, CONCATENATE($A33,""!$B$5:$JB$48"")),HT$1,0)"),"")</f>
        <v/>
      </c>
      <c r="HU33" s="35" t="str">
        <f>IFERROR(__xludf.DUMMYFUNCTION("VLOOKUP($A$1,IMPORTRANGE($A$2, CONCATENATE($A33,""!$B$5:$JB$48"")),HU$1,0)"),"")</f>
        <v/>
      </c>
      <c r="HV33" s="35" t="str">
        <f>IFERROR(__xludf.DUMMYFUNCTION("VLOOKUP($A$1,IMPORTRANGE($A$2, CONCATENATE($A33,""!$B$5:$JB$48"")),HV$1,0)"),"")</f>
        <v/>
      </c>
      <c r="HW33" s="35" t="str">
        <f>IFERROR(__xludf.DUMMYFUNCTION("VLOOKUP($A$1,IMPORTRANGE($A$2, CONCATENATE($A33,""!$B$5:$JB$48"")),HW$1,0)"),"")</f>
        <v/>
      </c>
      <c r="HX33" s="35" t="str">
        <f>IFERROR(__xludf.DUMMYFUNCTION("VLOOKUP($A$1,IMPORTRANGE($A$2, CONCATENATE($A33,""!$B$5:$JB$48"")),HX$1,0)"),"")</f>
        <v/>
      </c>
      <c r="HY33" s="35" t="str">
        <f>IFERROR(__xludf.DUMMYFUNCTION("VLOOKUP($A$1,IMPORTRANGE($A$2, CONCATENATE($A33,""!$B$5:$JB$48"")),HY$1,0)"),"")</f>
        <v/>
      </c>
      <c r="HZ33" s="35" t="str">
        <f>IFERROR(__xludf.DUMMYFUNCTION("VLOOKUP($A$1,IMPORTRANGE($A$2, CONCATENATE($A33,""!$B$5:$JB$48"")),HZ$1,0)"),"")</f>
        <v/>
      </c>
      <c r="IA33" s="35" t="str">
        <f>IFERROR(__xludf.DUMMYFUNCTION("VLOOKUP($A$1,IMPORTRANGE($A$2, CONCATENATE($A33,""!$B$5:$JB$48"")),IA$1,0)"),"")</f>
        <v/>
      </c>
      <c r="IB33" s="35" t="str">
        <f>IFERROR(__xludf.DUMMYFUNCTION("VLOOKUP($A$1,IMPORTRANGE($A$2, CONCATENATE($A33,""!$B$5:$JB$48"")),IB$1,0)"),"")</f>
        <v/>
      </c>
      <c r="IC33" s="35" t="str">
        <f>IFERROR(__xludf.DUMMYFUNCTION("VLOOKUP($A$1,IMPORTRANGE($A$2, CONCATENATE($A33,""!$B$5:$JB$48"")),IC$1,0)"),"")</f>
        <v/>
      </c>
      <c r="ID33" s="35" t="str">
        <f>IFERROR(__xludf.DUMMYFUNCTION("VLOOKUP($A$1,IMPORTRANGE($A$2, CONCATENATE($A33,""!$B$5:$JB$48"")),ID$1,0)"),"")</f>
        <v/>
      </c>
      <c r="IE33" s="35" t="str">
        <f>IFERROR(__xludf.DUMMYFUNCTION("VLOOKUP($A$1,IMPORTRANGE($A$2, CONCATENATE($A33,""!$B$5:$JB$48"")),IE$1,0)"),"")</f>
        <v/>
      </c>
      <c r="IF33" s="35" t="str">
        <f>IFERROR(__xludf.DUMMYFUNCTION("VLOOKUP($A$1,IMPORTRANGE($A$2, CONCATENATE($A33,""!$B$5:$JB$48"")),IF$1,0)"),"")</f>
        <v/>
      </c>
      <c r="IG33" s="35" t="str">
        <f>IFERROR(__xludf.DUMMYFUNCTION("VLOOKUP($A$1,IMPORTRANGE($A$2, CONCATENATE($A33,""!$B$5:$JB$48"")),IG$1,0)"),"")</f>
        <v/>
      </c>
      <c r="IH33" s="35" t="str">
        <f>IFERROR(__xludf.DUMMYFUNCTION("VLOOKUP($A$1,IMPORTRANGE($A$2, CONCATENATE($A33,""!$B$5:$JB$48"")),IH$1,0)"),"")</f>
        <v/>
      </c>
      <c r="II33" s="35" t="str">
        <f>IFERROR(__xludf.DUMMYFUNCTION("VLOOKUP($A$1,IMPORTRANGE($A$2, CONCATENATE($A33,""!$B$5:$JB$48"")),II$1,0)"),"")</f>
        <v/>
      </c>
      <c r="IJ33" s="35" t="str">
        <f>IFERROR(__xludf.DUMMYFUNCTION("VLOOKUP($A$1,IMPORTRANGE($A$2, CONCATENATE($A33,""!$B$5:$JB$48"")),IJ$1,0)"),"")</f>
        <v/>
      </c>
      <c r="IK33" s="35" t="str">
        <f>IFERROR(__xludf.DUMMYFUNCTION("VLOOKUP($A$1,IMPORTRANGE($A$2, CONCATENATE($A33,""!$B$5:$JB$48"")),IK$1,0)"),"")</f>
        <v/>
      </c>
      <c r="IL33" s="35" t="str">
        <f>IFERROR(__xludf.DUMMYFUNCTION("VLOOKUP($A$1,IMPORTRANGE($A$2, CONCATENATE($A33,""!$B$5:$JB$48"")),IL$1,0)"),"")</f>
        <v/>
      </c>
      <c r="IM33" s="35" t="str">
        <f>IFERROR(__xludf.DUMMYFUNCTION("VLOOKUP($A$1,IMPORTRANGE($A$2, CONCATENATE($A33,""!$B$5:$JB$48"")),IM$1,0)"),"")</f>
        <v/>
      </c>
      <c r="IN33" s="35" t="str">
        <f>IFERROR(__xludf.DUMMYFUNCTION("VLOOKUP($A$1,IMPORTRANGE($A$2, CONCATENATE($A33,""!$B$5:$JB$48"")),IN$1,0)"),"")</f>
        <v/>
      </c>
      <c r="IO33" s="35" t="str">
        <f>IFERROR(__xludf.DUMMYFUNCTION("VLOOKUP($A$1,IMPORTRANGE($A$2, CONCATENATE($A33,""!$B$5:$JB$48"")),IO$1,0)"),"")</f>
        <v/>
      </c>
      <c r="IP33" s="35" t="str">
        <f>IFERROR(__xludf.DUMMYFUNCTION("VLOOKUP($A$1,IMPORTRANGE($A$2, CONCATENATE($A33,""!$B$5:$JB$48"")),IP$1,0)"),"")</f>
        <v/>
      </c>
      <c r="IQ33" s="35" t="str">
        <f>IFERROR(__xludf.DUMMYFUNCTION("VLOOKUP($A$1,IMPORTRANGE($A$2, CONCATENATE($A33,""!$B$5:$JB$48"")),IQ$1,0)"),"")</f>
        <v/>
      </c>
      <c r="IR33" s="35" t="str">
        <f>IFERROR(__xludf.DUMMYFUNCTION("VLOOKUP($A$1,IMPORTRANGE($A$2, CONCATENATE($A33,""!$B$5:$JB$48"")),IR$1,0)"),"")</f>
        <v/>
      </c>
      <c r="IS33" s="35" t="str">
        <f>IFERROR(__xludf.DUMMYFUNCTION("VLOOKUP($A$1,IMPORTRANGE($A$2, CONCATENATE($A33,""!$B$5:$JB$48"")),IS$1,0)"),"")</f>
        <v/>
      </c>
      <c r="IT33" s="35" t="str">
        <f>IFERROR(__xludf.DUMMYFUNCTION("VLOOKUP($A$1,IMPORTRANGE($A$2, CONCATENATE($A33,""!$B$5:$JB$48"")),IT$1,0)"),"")</f>
        <v/>
      </c>
      <c r="IU33" s="35" t="str">
        <f>IFERROR(__xludf.DUMMYFUNCTION("VLOOKUP($A$1,IMPORTRANGE($A$2, CONCATENATE($A33,""!$B$5:$JB$48"")),IU$1,0)"),"")</f>
        <v/>
      </c>
      <c r="IV33" s="35" t="str">
        <f>IFERROR(__xludf.DUMMYFUNCTION("VLOOKUP($A$1,IMPORTRANGE($A$2, CONCATENATE($A33,""!$B$5:$JB$48"")),IV$1,0)"),"")</f>
        <v/>
      </c>
      <c r="IW33" s="35" t="str">
        <f>IFERROR(__xludf.DUMMYFUNCTION("VLOOKUP($A$1,IMPORTRANGE($A$2, CONCATENATE($A33,""!$B$5:$JB$48"")),IW$1,0)"),"")</f>
        <v/>
      </c>
      <c r="IX33" s="35" t="str">
        <f>IFERROR(__xludf.DUMMYFUNCTION("VLOOKUP($A$1,IMPORTRANGE($A$2, CONCATENATE($A33,""!$B$5:$JB$48"")),IX$1,0)"),"")</f>
        <v/>
      </c>
      <c r="IY33" s="35" t="str">
        <f>IFERROR(__xludf.DUMMYFUNCTION("VLOOKUP($A$1,IMPORTRANGE($A$2, CONCATENATE($A33,""!$B$5:$JB$48"")),IY$1,0)"),"")</f>
        <v/>
      </c>
      <c r="IZ33" s="35" t="str">
        <f>IFERROR(__xludf.DUMMYFUNCTION("VLOOKUP($A$1,IMPORTRANGE($A$2, CONCATENATE($A33,""!$B$5:$JB$48"")),IZ$1,0)"),"")</f>
        <v/>
      </c>
      <c r="JA33" s="35" t="str">
        <f>IFERROR(__xludf.DUMMYFUNCTION("VLOOKUP($A$1,IMPORTRANGE($A$2, CONCATENATE($A33,""!$B$5:$JB$48"")),JA$1,0)"),"")</f>
        <v/>
      </c>
      <c r="JB33" s="35"/>
      <c r="JC33" s="35"/>
      <c r="JD33" s="35"/>
      <c r="JE33" s="35"/>
    </row>
    <row r="34">
      <c r="A34" s="41"/>
      <c r="B34" s="29"/>
      <c r="C34" s="37"/>
      <c r="D34" s="38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  <c r="IX34" s="37"/>
      <c r="IY34" s="37"/>
      <c r="IZ34" s="37"/>
      <c r="JA34" s="37"/>
      <c r="JB34" s="37"/>
      <c r="JC34" s="37"/>
      <c r="JD34" s="37"/>
      <c r="JE34" s="37"/>
    </row>
    <row r="35">
      <c r="A35" s="39"/>
      <c r="B35" s="32" t="str">
        <f>IFERROR(__xludf.DUMMYFUNCTION("IMPORTRANGE($A$2, CONCATENATE($A36,""!C4:JB4""))"),"")</f>
        <v/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>
        <f>IFERROR(__xludf.DUMMYFUNCTION("""COMPUTED_VALUE"""),45905.0)</f>
        <v>45905</v>
      </c>
      <c r="BV35" s="32"/>
      <c r="BW35" s="32"/>
      <c r="BX35" s="32"/>
      <c r="BY35" s="32"/>
      <c r="BZ35" s="32"/>
      <c r="CA35" s="32"/>
      <c r="CB35" s="32">
        <f>IFERROR(__xludf.DUMMYFUNCTION("""COMPUTED_VALUE"""),45912.0)</f>
        <v>45912</v>
      </c>
      <c r="CC35" s="32"/>
      <c r="CD35" s="32"/>
      <c r="CE35" s="32"/>
      <c r="CF35" s="32"/>
      <c r="CG35" s="32"/>
      <c r="CH35" s="32"/>
      <c r="CI35" s="32">
        <f>IFERROR(__xludf.DUMMYFUNCTION("""COMPUTED_VALUE"""),45919.0)</f>
        <v>45919</v>
      </c>
      <c r="CJ35" s="32"/>
      <c r="CK35" s="32"/>
      <c r="CL35" s="32"/>
      <c r="CM35" s="32"/>
      <c r="CN35" s="32"/>
      <c r="CO35" s="32"/>
      <c r="CP35" s="32">
        <f>IFERROR(__xludf.DUMMYFUNCTION("""COMPUTED_VALUE"""),45926.0)</f>
        <v>45926</v>
      </c>
      <c r="CQ35" s="32"/>
      <c r="CR35" s="32"/>
      <c r="CS35" s="32"/>
      <c r="CT35" s="32"/>
      <c r="CU35" s="32"/>
      <c r="CV35" s="32"/>
      <c r="CW35" s="32">
        <f>IFERROR(__xludf.DUMMYFUNCTION("""COMPUTED_VALUE"""),45933.0)</f>
        <v>45933</v>
      </c>
      <c r="CX35" s="32"/>
      <c r="CY35" s="32"/>
      <c r="CZ35" s="32"/>
      <c r="DA35" s="32"/>
      <c r="DB35" s="32"/>
      <c r="DC35" s="32"/>
      <c r="DD35" s="32">
        <f>IFERROR(__xludf.DUMMYFUNCTION("""COMPUTED_VALUE"""),45940.0)</f>
        <v>45940</v>
      </c>
      <c r="DE35" s="32"/>
      <c r="DF35" s="32"/>
      <c r="DG35" s="32"/>
      <c r="DH35" s="32"/>
      <c r="DI35" s="32"/>
      <c r="DJ35" s="32"/>
      <c r="DK35" s="32">
        <f>IFERROR(__xludf.DUMMYFUNCTION("""COMPUTED_VALUE"""),45947.0)</f>
        <v>45947</v>
      </c>
      <c r="DL35" s="32">
        <f>IFERROR(__xludf.DUMMYFUNCTION("""COMPUTED_VALUE"""),45954.0)</f>
        <v>45954</v>
      </c>
      <c r="DM35" s="32">
        <f>IFERROR(__xludf.DUMMYFUNCTION("""COMPUTED_VALUE"""),45961.0)</f>
        <v>45961</v>
      </c>
      <c r="DN35" s="32">
        <f>IFERROR(__xludf.DUMMYFUNCTION("""COMPUTED_VALUE"""),45975.0)</f>
        <v>45975</v>
      </c>
      <c r="DO35" s="32">
        <f>IFERROR(__xludf.DUMMYFUNCTION("""COMPUTED_VALUE"""),45982.0)</f>
        <v>45982</v>
      </c>
      <c r="DP35" s="32">
        <f>IFERROR(__xludf.DUMMYFUNCTION("""COMPUTED_VALUE"""),45989.0)</f>
        <v>45989</v>
      </c>
      <c r="DQ35" s="32">
        <f>IFERROR(__xludf.DUMMYFUNCTION("""COMPUTED_VALUE"""),45996.0)</f>
        <v>45996</v>
      </c>
      <c r="DR35" s="32">
        <f>IFERROR(__xludf.DUMMYFUNCTION("""COMPUTED_VALUE"""),46003.0)</f>
        <v>46003</v>
      </c>
      <c r="DS35" s="32">
        <f>IFERROR(__xludf.DUMMYFUNCTION("""COMPUTED_VALUE"""),46010.0)</f>
        <v>46010</v>
      </c>
      <c r="DT35" s="32"/>
      <c r="DU35" s="32"/>
      <c r="DV35" s="32"/>
      <c r="DW35" s="32"/>
      <c r="DX35" s="32"/>
      <c r="DY35" s="32"/>
      <c r="DZ35" s="32">
        <f>IFERROR(__xludf.DUMMYFUNCTION("""COMPUTED_VALUE"""),46017.0)</f>
        <v>46017</v>
      </c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 t="str">
        <f>IFERROR(__xludf.DUMMYFUNCTION("""COMPUTED_VALUE"""),"1 полугодие")</f>
        <v>1 полугодие</v>
      </c>
      <c r="IC35" s="32"/>
      <c r="ID35" s="32"/>
      <c r="IE35" s="32"/>
      <c r="IF35" s="32"/>
      <c r="IG35" s="32"/>
      <c r="IH35" s="32"/>
      <c r="II35" s="32">
        <f>IFERROR(__xludf.DUMMYFUNCTION("""COMPUTED_VALUE"""),46034.0)</f>
        <v>46034</v>
      </c>
      <c r="IJ35" s="32"/>
      <c r="IK35" s="32"/>
      <c r="IL35" s="32"/>
      <c r="IM35" s="32"/>
      <c r="IN35" s="32"/>
      <c r="IO35" s="32"/>
      <c r="IP35" s="32">
        <f>IFERROR(__xludf.DUMMYFUNCTION("""COMPUTED_VALUE"""),46034.0)</f>
        <v>46034</v>
      </c>
      <c r="IQ35" s="32"/>
      <c r="IR35" s="32"/>
      <c r="IS35" s="32"/>
      <c r="IT35" s="32"/>
      <c r="IU35" s="32"/>
      <c r="IV35" s="32"/>
      <c r="IW35" s="32">
        <f>IFERROR(__xludf.DUMMYFUNCTION("""COMPUTED_VALUE"""),46048.0)</f>
        <v>46048</v>
      </c>
      <c r="IX35" s="32">
        <f>IFERROR(__xludf.DUMMYFUNCTION("""COMPUTED_VALUE"""),46048.0)</f>
        <v>46048</v>
      </c>
      <c r="IY35" s="32">
        <f>IFERROR(__xludf.DUMMYFUNCTION("""COMPUTED_VALUE"""),46062.0)</f>
        <v>46062</v>
      </c>
      <c r="IZ35" s="32">
        <f>IFERROR(__xludf.DUMMYFUNCTION("""COMPUTED_VALUE"""),46062.0)</f>
        <v>46062</v>
      </c>
      <c r="JA35" s="32">
        <f>IFERROR(__xludf.DUMMYFUNCTION("""COMPUTED_VALUE"""),46069.0)</f>
        <v>46069</v>
      </c>
      <c r="JB35" s="32"/>
      <c r="JC35" s="32"/>
      <c r="JD35" s="32"/>
      <c r="JE35" s="32"/>
    </row>
    <row r="36">
      <c r="A36" s="42" t="s">
        <v>288</v>
      </c>
      <c r="B36" s="35" t="str">
        <f>IFERROR(__xludf.DUMMYFUNCTION("VLOOKUP($A$1,IMPORTRANGE($A$2, CONCATENATE($A36,""!$B$5:$JB$48"")),B$1,0)"),"")</f>
        <v/>
      </c>
      <c r="C36" s="35" t="str">
        <f>IFERROR(__xludf.DUMMYFUNCTION("VLOOKUP($A$1,IMPORTRANGE($A$2, CONCATENATE($A36,""!$B$5:$JB$48"")),C$1,0)"),"")</f>
        <v/>
      </c>
      <c r="D36" s="35" t="str">
        <f>IFERROR(__xludf.DUMMYFUNCTION("VLOOKUP($A$1,IMPORTRANGE($A$2, CONCATENATE($A36,""!$B$5:$JB$48"")),D$1,0)"),"")</f>
        <v/>
      </c>
      <c r="E36" s="35" t="str">
        <f>IFERROR(__xludf.DUMMYFUNCTION("VLOOKUP($A$1,IMPORTRANGE($A$2, CONCATENATE($A36,""!$B$5:$JB$48"")),E$1,0)"),"")</f>
        <v/>
      </c>
      <c r="F36" s="35" t="str">
        <f>IFERROR(__xludf.DUMMYFUNCTION("VLOOKUP($A$1,IMPORTRANGE($A$2, CONCATENATE($A36,""!$B$5:$JB$48"")),F$1,0)"),"")</f>
        <v/>
      </c>
      <c r="G36" s="35" t="str">
        <f>IFERROR(__xludf.DUMMYFUNCTION("VLOOKUP($A$1,IMPORTRANGE($A$2, CONCATENATE($A36,""!$B$5:$JB$48"")),G$1,0)"),"")</f>
        <v/>
      </c>
      <c r="H36" s="35" t="str">
        <f>IFERROR(__xludf.DUMMYFUNCTION("VLOOKUP($A$1,IMPORTRANGE($A$2, CONCATENATE($A36,""!$B$5:$JB$48"")),H$1,0)"),"")</f>
        <v/>
      </c>
      <c r="I36" s="35" t="str">
        <f>IFERROR(__xludf.DUMMYFUNCTION("VLOOKUP($A$1,IMPORTRANGE($A$2, CONCATENATE($A36,""!$B$5:$JB$48"")),I$1,0)"),"")</f>
        <v/>
      </c>
      <c r="J36" s="35" t="str">
        <f>IFERROR(__xludf.DUMMYFUNCTION("VLOOKUP($A$1,IMPORTRANGE($A$2, CONCATENATE($A36,""!$B$5:$JB$48"")),J$1,0)"),"")</f>
        <v/>
      </c>
      <c r="K36" s="35" t="str">
        <f>IFERROR(__xludf.DUMMYFUNCTION("VLOOKUP($A$1,IMPORTRANGE($A$2, CONCATENATE($A36,""!$B$5:$JB$48"")),K$1,0)"),"")</f>
        <v/>
      </c>
      <c r="L36" s="35" t="str">
        <f>IFERROR(__xludf.DUMMYFUNCTION("VLOOKUP($A$1,IMPORTRANGE($A$2, CONCATENATE($A36,""!$B$5:$JB$48"")),L$1,0)"),"")</f>
        <v/>
      </c>
      <c r="M36" s="35" t="str">
        <f>IFERROR(__xludf.DUMMYFUNCTION("VLOOKUP($A$1,IMPORTRANGE($A$2, CONCATENATE($A36,""!$B$5:$JB$48"")),M$1,0)"),"")</f>
        <v/>
      </c>
      <c r="N36" s="35" t="str">
        <f>IFERROR(__xludf.DUMMYFUNCTION("VLOOKUP($A$1,IMPORTRANGE($A$2, CONCATENATE($A36,""!$B$5:$JB$48"")),N$1,0)"),"")</f>
        <v/>
      </c>
      <c r="O36" s="35" t="str">
        <f>IFERROR(__xludf.DUMMYFUNCTION("VLOOKUP($A$1,IMPORTRANGE($A$2, CONCATENATE($A36,""!$B$5:$JB$48"")),O$1,0)"),"")</f>
        <v/>
      </c>
      <c r="P36" s="35" t="str">
        <f>IFERROR(__xludf.DUMMYFUNCTION("VLOOKUP($A$1,IMPORTRANGE($A$2, CONCATENATE($A36,""!$B$5:$JB$48"")),P$1,0)"),"")</f>
        <v/>
      </c>
      <c r="Q36" s="35" t="str">
        <f>IFERROR(__xludf.DUMMYFUNCTION("VLOOKUP($A$1,IMPORTRANGE($A$2, CONCATENATE($A36,""!$B$5:$JB$48"")),Q$1,0)"),"")</f>
        <v/>
      </c>
      <c r="R36" s="35" t="str">
        <f>IFERROR(__xludf.DUMMYFUNCTION("VLOOKUP($A$1,IMPORTRANGE($A$2, CONCATENATE($A36,""!$B$5:$JB$48"")),R$1,0)"),"")</f>
        <v/>
      </c>
      <c r="S36" s="35" t="str">
        <f>IFERROR(__xludf.DUMMYFUNCTION("VLOOKUP($A$1,IMPORTRANGE($A$2, CONCATENATE($A36,""!$B$5:$JB$48"")),S$1,0)"),"")</f>
        <v/>
      </c>
      <c r="T36" s="35" t="str">
        <f>IFERROR(__xludf.DUMMYFUNCTION("VLOOKUP($A$1,IMPORTRANGE($A$2, CONCATENATE($A36,""!$B$5:$JB$48"")),T$1,0)"),"")</f>
        <v/>
      </c>
      <c r="U36" s="35" t="str">
        <f>IFERROR(__xludf.DUMMYFUNCTION("VLOOKUP($A$1,IMPORTRANGE($A$2, CONCATENATE($A36,""!$B$5:$JB$48"")),U$1,0)"),"")</f>
        <v/>
      </c>
      <c r="V36" s="35" t="str">
        <f>IFERROR(__xludf.DUMMYFUNCTION("VLOOKUP($A$1,IMPORTRANGE($A$2, CONCATENATE($A36,""!$B$5:$JB$48"")),V$1,0)"),"")</f>
        <v/>
      </c>
      <c r="W36" s="35">
        <f>IFERROR(__xludf.DUMMYFUNCTION("VLOOKUP($A$1,IMPORTRANGE($A$2, CONCATENATE($A36,""!$B$5:$JB$48"")),W$1,0)"),3.0)</f>
        <v>3</v>
      </c>
      <c r="X36" s="35" t="str">
        <f>IFERROR(__xludf.DUMMYFUNCTION("VLOOKUP($A$1,IMPORTRANGE($A$2, CONCATENATE($A36,""!$B$5:$JB$48"")),X$1,0)"),"")</f>
        <v/>
      </c>
      <c r="Y36" s="35" t="str">
        <f>IFERROR(__xludf.DUMMYFUNCTION("VLOOKUP($A$1,IMPORTRANGE($A$2, CONCATENATE($A36,""!$B$5:$JB$48"")),Y$1,0)"),"")</f>
        <v/>
      </c>
      <c r="Z36" s="35" t="str">
        <f>IFERROR(__xludf.DUMMYFUNCTION("VLOOKUP($A$1,IMPORTRANGE($A$2, CONCATENATE($A36,""!$B$5:$JB$48"")),Z$1,0)"),"")</f>
        <v/>
      </c>
      <c r="AA36" s="35" t="str">
        <f>IFERROR(__xludf.DUMMYFUNCTION("VLOOKUP($A$1,IMPORTRANGE($A$2, CONCATENATE($A36,""!$B$5:$JB$48"")),AA$1,0)"),"")</f>
        <v/>
      </c>
      <c r="AB36" s="35" t="str">
        <f>IFERROR(__xludf.DUMMYFUNCTION("VLOOKUP($A$1,IMPORTRANGE($A$2, CONCATENATE($A36,""!$B$5:$JB$48"")),AB$1,0)"),"")</f>
        <v/>
      </c>
      <c r="AC36" s="35" t="str">
        <f>IFERROR(__xludf.DUMMYFUNCTION("VLOOKUP($A$1,IMPORTRANGE($A$2, CONCATENATE($A36,""!$B$5:$JB$48"")),AC$1,0)"),"")</f>
        <v/>
      </c>
      <c r="AD36" s="35" t="str">
        <f>IFERROR(__xludf.DUMMYFUNCTION("VLOOKUP($A$1,IMPORTRANGE($A$2, CONCATENATE($A36,""!$B$5:$JB$48"")),AD$1,0)"),"")</f>
        <v/>
      </c>
      <c r="AE36" s="35" t="str">
        <f>IFERROR(__xludf.DUMMYFUNCTION("VLOOKUP($A$1,IMPORTRANGE($A$2, CONCATENATE($A36,""!$B$5:$JB$48"")),AE$1,0)"),"")</f>
        <v/>
      </c>
      <c r="AF36" s="35" t="str">
        <f>IFERROR(__xludf.DUMMYFUNCTION("VLOOKUP($A$1,IMPORTRANGE($A$2, CONCATENATE($A36,""!$B$5:$JB$48"")),AF$1,0)"),"")</f>
        <v/>
      </c>
      <c r="AG36" s="35" t="str">
        <f>IFERROR(__xludf.DUMMYFUNCTION("VLOOKUP($A$1,IMPORTRANGE($A$2, CONCATENATE($A36,""!$B$5:$JB$48"")),AG$1,0)"),"")</f>
        <v/>
      </c>
      <c r="AH36" s="35" t="str">
        <f>IFERROR(__xludf.DUMMYFUNCTION("VLOOKUP($A$1,IMPORTRANGE($A$2, CONCATENATE($A36,""!$B$5:$JB$48"")),AH$1,0)"),"")</f>
        <v/>
      </c>
      <c r="AI36" s="35" t="str">
        <f>IFERROR(__xludf.DUMMYFUNCTION("VLOOKUP($A$1,IMPORTRANGE($A$2, CONCATENATE($A36,""!$B$5:$JB$48"")),AI$1,0)"),"")</f>
        <v/>
      </c>
      <c r="AJ36" s="35" t="str">
        <f>IFERROR(__xludf.DUMMYFUNCTION("VLOOKUP($A$1,IMPORTRANGE($A$2, CONCATENATE($A36,""!$B$5:$JB$48"")),AJ$1,0)"),"")</f>
        <v/>
      </c>
      <c r="AK36" s="35" t="str">
        <f>IFERROR(__xludf.DUMMYFUNCTION("VLOOKUP($A$1,IMPORTRANGE($A$2, CONCATENATE($A36,""!$B$5:$JB$48"")),AK$1,0)"),"")</f>
        <v/>
      </c>
      <c r="AL36" s="35" t="str">
        <f>IFERROR(__xludf.DUMMYFUNCTION("VLOOKUP($A$1,IMPORTRANGE($A$2, CONCATENATE($A36,""!$B$5:$JB$48"")),AL$1,0)"),"")</f>
        <v/>
      </c>
      <c r="AM36" s="35" t="str">
        <f>IFERROR(__xludf.DUMMYFUNCTION("VLOOKUP($A$1,IMPORTRANGE($A$2, CONCATENATE($A36,""!$B$5:$JB$48"")),AM$1,0)"),"")</f>
        <v/>
      </c>
      <c r="AN36" s="35" t="str">
        <f>IFERROR(__xludf.DUMMYFUNCTION("VLOOKUP($A$1,IMPORTRANGE($A$2, CONCATENATE($A36,""!$B$5:$JB$48"")),AN$1,0)"),"")</f>
        <v/>
      </c>
      <c r="AO36" s="35" t="str">
        <f>IFERROR(__xludf.DUMMYFUNCTION("VLOOKUP($A$1,IMPORTRANGE($A$2, CONCATENATE($A36,""!$B$5:$JB$48"")),AO$1,0)"),"")</f>
        <v/>
      </c>
      <c r="AP36" s="35" t="str">
        <f>IFERROR(__xludf.DUMMYFUNCTION("VLOOKUP($A$1,IMPORTRANGE($A$2, CONCATENATE($A36,""!$B$5:$JB$48"")),AP$1,0)"),"")</f>
        <v/>
      </c>
      <c r="AQ36" s="35" t="str">
        <f>IFERROR(__xludf.DUMMYFUNCTION("VLOOKUP($A$1,IMPORTRANGE($A$2, CONCATENATE($A36,""!$B$5:$JB$48"")),AQ$1,0)"),"")</f>
        <v/>
      </c>
      <c r="AR36" s="35" t="str">
        <f>IFERROR(__xludf.DUMMYFUNCTION("VLOOKUP($A$1,IMPORTRANGE($A$2, CONCATENATE($A36,""!$B$5:$JB$48"")),AR$1,0)"),"")</f>
        <v/>
      </c>
      <c r="AS36" s="35" t="str">
        <f>IFERROR(__xludf.DUMMYFUNCTION("VLOOKUP($A$1,IMPORTRANGE($A$2, CONCATENATE($A36,""!$B$5:$JB$48"")),AS$1,0)"),"")</f>
        <v/>
      </c>
      <c r="AT36" s="35" t="str">
        <f>IFERROR(__xludf.DUMMYFUNCTION("VLOOKUP($A$1,IMPORTRANGE($A$2, CONCATENATE($A36,""!$B$5:$JB$48"")),AT$1,0)"),"")</f>
        <v/>
      </c>
      <c r="AU36" s="35" t="str">
        <f>IFERROR(__xludf.DUMMYFUNCTION("VLOOKUP($A$1,IMPORTRANGE($A$2, CONCATENATE($A36,""!$B$5:$JB$48"")),AU$1,0)"),"")</f>
        <v/>
      </c>
      <c r="AV36" s="35" t="str">
        <f>IFERROR(__xludf.DUMMYFUNCTION("VLOOKUP($A$1,IMPORTRANGE($A$2, CONCATENATE($A36,""!$B$5:$JB$48"")),AV$1,0)"),"")</f>
        <v/>
      </c>
      <c r="AW36" s="35" t="str">
        <f>IFERROR(__xludf.DUMMYFUNCTION("VLOOKUP($A$1,IMPORTRANGE($A$2, CONCATENATE($A36,""!$B$5:$JB$48"")),AW$1,0)"),"")</f>
        <v/>
      </c>
      <c r="AX36" s="35" t="str">
        <f>IFERROR(__xludf.DUMMYFUNCTION("VLOOKUP($A$1,IMPORTRANGE($A$2, CONCATENATE($A36,""!$B$5:$JB$48"")),AX$1,0)"),"")</f>
        <v/>
      </c>
      <c r="AY36" s="35">
        <f>IFERROR(__xludf.DUMMYFUNCTION("VLOOKUP($A$1,IMPORTRANGE($A$2, CONCATENATE($A36,""!$B$5:$JB$48"")),AY$1,0)"),3.0)</f>
        <v>3</v>
      </c>
      <c r="AZ36" s="35" t="str">
        <f>IFERROR(__xludf.DUMMYFUNCTION("VLOOKUP($A$1,IMPORTRANGE($A$2, CONCATENATE($A36,""!$B$5:$JB$48"")),AZ$1,0)"),"")</f>
        <v/>
      </c>
      <c r="BA36" s="35" t="str">
        <f>IFERROR(__xludf.DUMMYFUNCTION("VLOOKUP($A$1,IMPORTRANGE($A$2, CONCATENATE($A36,""!$B$5:$JB$48"")),BA$1,0)"),"")</f>
        <v/>
      </c>
      <c r="BB36" s="35" t="str">
        <f>IFERROR(__xludf.DUMMYFUNCTION("VLOOKUP($A$1,IMPORTRANGE($A$2, CONCATENATE($A36,""!$B$5:$JB$48"")),BB$1,0)"),"")</f>
        <v/>
      </c>
      <c r="BC36" s="35" t="str">
        <f>IFERROR(__xludf.DUMMYFUNCTION("VLOOKUP($A$1,IMPORTRANGE($A$2, CONCATENATE($A36,""!$B$5:$JB$48"")),BC$1,0)"),"")</f>
        <v/>
      </c>
      <c r="BD36" s="35" t="str">
        <f>IFERROR(__xludf.DUMMYFUNCTION("VLOOKUP($A$1,IMPORTRANGE($A$2, CONCATENATE($A36,""!$B$5:$JB$48"")),BD$1,0)"),"")</f>
        <v/>
      </c>
      <c r="BE36" s="35" t="str">
        <f>IFERROR(__xludf.DUMMYFUNCTION("VLOOKUP($A$1,IMPORTRANGE($A$2, CONCATENATE($A36,""!$B$5:$JB$48"")),BE$1,0)"),"")</f>
        <v/>
      </c>
      <c r="BF36" s="35" t="str">
        <f>IFERROR(__xludf.DUMMYFUNCTION("VLOOKUP($A$1,IMPORTRANGE($A$2, CONCATENATE($A36,""!$B$5:$JB$48"")),BF$1,0)"),"")</f>
        <v/>
      </c>
      <c r="BG36" s="35" t="str">
        <f>IFERROR(__xludf.DUMMYFUNCTION("VLOOKUP($A$1,IMPORTRANGE($A$2, CONCATENATE($A36,""!$B$5:$JB$48"")),BG$1,0)"),"")</f>
        <v/>
      </c>
      <c r="BH36" s="35" t="str">
        <f>IFERROR(__xludf.DUMMYFUNCTION("VLOOKUP($A$1,IMPORTRANGE($A$2, CONCATENATE($A36,""!$B$5:$JB$48"")),BH$1,0)"),"")</f>
        <v/>
      </c>
      <c r="BI36" s="35" t="str">
        <f>IFERROR(__xludf.DUMMYFUNCTION("VLOOKUP($A$1,IMPORTRANGE($A$2, CONCATENATE($A36,""!$B$5:$JB$48"")),BI$1,0)"),"")</f>
        <v/>
      </c>
      <c r="BJ36" s="35" t="str">
        <f>IFERROR(__xludf.DUMMYFUNCTION("VLOOKUP($A$1,IMPORTRANGE($A$2, CONCATENATE($A36,""!$B$5:$JB$48"")),BJ$1,0)"),"")</f>
        <v/>
      </c>
      <c r="BK36" s="35" t="str">
        <f>IFERROR(__xludf.DUMMYFUNCTION("VLOOKUP($A$1,IMPORTRANGE($A$2, CONCATENATE($A36,""!$B$5:$JB$48"")),BK$1,0)"),"")</f>
        <v/>
      </c>
      <c r="BL36" s="35" t="str">
        <f>IFERROR(__xludf.DUMMYFUNCTION("VLOOKUP($A$1,IMPORTRANGE($A$2, CONCATENATE($A36,""!$B$5:$JB$48"")),BL$1,0)"),"")</f>
        <v/>
      </c>
      <c r="BM36" s="35" t="str">
        <f>IFERROR(__xludf.DUMMYFUNCTION("VLOOKUP($A$1,IMPORTRANGE($A$2, CONCATENATE($A36,""!$B$5:$JB$48"")),BM$1,0)"),"")</f>
        <v/>
      </c>
      <c r="BN36" s="35" t="str">
        <f>IFERROR(__xludf.DUMMYFUNCTION("VLOOKUP($A$1,IMPORTRANGE($A$2, CONCATENATE($A36,""!$B$5:$JB$48"")),BN$1,0)"),"")</f>
        <v/>
      </c>
      <c r="BO36" s="35" t="str">
        <f>IFERROR(__xludf.DUMMYFUNCTION("VLOOKUP($A$1,IMPORTRANGE($A$2, CONCATENATE($A36,""!$B$5:$JB$48"")),BO$1,0)"),"")</f>
        <v/>
      </c>
      <c r="BP36" s="35" t="str">
        <f>IFERROR(__xludf.DUMMYFUNCTION("VLOOKUP($A$1,IMPORTRANGE($A$2, CONCATENATE($A36,""!$B$5:$JB$48"")),BP$1,0)"),"")</f>
        <v/>
      </c>
      <c r="BQ36" s="35" t="str">
        <f>IFERROR(__xludf.DUMMYFUNCTION("VLOOKUP($A$1,IMPORTRANGE($A$2, CONCATENATE($A36,""!$B$5:$JB$48"")),BQ$1,0)"),"")</f>
        <v/>
      </c>
      <c r="BR36" s="35" t="str">
        <f>IFERROR(__xludf.DUMMYFUNCTION("VLOOKUP($A$1,IMPORTRANGE($A$2, CONCATENATE($A36,""!$B$5:$JB$48"")),BR$1,0)"),"")</f>
        <v/>
      </c>
      <c r="BS36" s="35" t="str">
        <f>IFERROR(__xludf.DUMMYFUNCTION("VLOOKUP($A$1,IMPORTRANGE($A$2, CONCATENATE($A36,""!$B$5:$JB$48"")),BS$1,0)"),"")</f>
        <v/>
      </c>
      <c r="BT36" s="35" t="str">
        <f>IFERROR(__xludf.DUMMYFUNCTION("VLOOKUP($A$1,IMPORTRANGE($A$2, CONCATENATE($A36,""!$B$5:$JB$48"")),BT$1,0)"),"")</f>
        <v/>
      </c>
      <c r="BU36" s="35" t="str">
        <f>IFERROR(__xludf.DUMMYFUNCTION("VLOOKUP($A$1,IMPORTRANGE($A$2, CONCATENATE($A36,""!$B$5:$JB$48"")),BU$1,0)"),"")</f>
        <v/>
      </c>
      <c r="BV36" s="35" t="str">
        <f>IFERROR(__xludf.DUMMYFUNCTION("VLOOKUP($A$1,IMPORTRANGE($A$2, CONCATENATE($A36,""!$B$5:$JB$48"")),BV$1,0)"),"")</f>
        <v/>
      </c>
      <c r="BW36" s="35" t="str">
        <f>IFERROR(__xludf.DUMMYFUNCTION("VLOOKUP($A$1,IMPORTRANGE($A$2, CONCATENATE($A36,""!$B$5:$JB$48"")),BW$1,0)"),"")</f>
        <v/>
      </c>
      <c r="BX36" s="35" t="str">
        <f>IFERROR(__xludf.DUMMYFUNCTION("VLOOKUP($A$1,IMPORTRANGE($A$2, CONCATENATE($A36,""!$B$5:$JB$48"")),BX$1,0)"),"")</f>
        <v/>
      </c>
      <c r="BY36" s="35" t="str">
        <f>IFERROR(__xludf.DUMMYFUNCTION("VLOOKUP($A$1,IMPORTRANGE($A$2, CONCATENATE($A36,""!$B$5:$JB$48"")),BY$1,0)"),"")</f>
        <v/>
      </c>
      <c r="BZ36" s="35" t="str">
        <f>IFERROR(__xludf.DUMMYFUNCTION("VLOOKUP($A$1,IMPORTRANGE($A$2, CONCATENATE($A36,""!$B$5:$JB$48"")),BZ$1,0)"),"")</f>
        <v/>
      </c>
      <c r="CA36" s="35" t="str">
        <f>IFERROR(__xludf.DUMMYFUNCTION("VLOOKUP($A$1,IMPORTRANGE($A$2, CONCATENATE($A36,""!$B$5:$JB$48"")),CA$1,0)"),"")</f>
        <v/>
      </c>
      <c r="CB36" s="35">
        <f>IFERROR(__xludf.DUMMYFUNCTION("VLOOKUP($A$1,IMPORTRANGE($A$2, CONCATENATE($A36,""!$B$5:$JB$48"")),CB$1,0)"),5.0)</f>
        <v>5</v>
      </c>
      <c r="CC36" s="35" t="str">
        <f>IFERROR(__xludf.DUMMYFUNCTION("VLOOKUP($A$1,IMPORTRANGE($A$2, CONCATENATE($A36,""!$B$5:$JB$48"")),CC$1,0)"),"")</f>
        <v/>
      </c>
      <c r="CD36" s="35" t="str">
        <f>IFERROR(__xludf.DUMMYFUNCTION("VLOOKUP($A$1,IMPORTRANGE($A$2, CONCATENATE($A36,""!$B$5:$JB$48"")),CD$1,0)"),"")</f>
        <v/>
      </c>
      <c r="CE36" s="35" t="str">
        <f>IFERROR(__xludf.DUMMYFUNCTION("VLOOKUP($A$1,IMPORTRANGE($A$2, CONCATENATE($A36,""!$B$5:$JB$48"")),CE$1,0)"),"")</f>
        <v/>
      </c>
      <c r="CF36" s="35" t="str">
        <f>IFERROR(__xludf.DUMMYFUNCTION("VLOOKUP($A$1,IMPORTRANGE($A$2, CONCATENATE($A36,""!$B$5:$JB$48"")),CF$1,0)"),"")</f>
        <v/>
      </c>
      <c r="CG36" s="35" t="str">
        <f>IFERROR(__xludf.DUMMYFUNCTION("VLOOKUP($A$1,IMPORTRANGE($A$2, CONCATENATE($A36,""!$B$5:$JB$48"")),CG$1,0)"),"")</f>
        <v/>
      </c>
      <c r="CH36" s="35" t="str">
        <f>IFERROR(__xludf.DUMMYFUNCTION("VLOOKUP($A$1,IMPORTRANGE($A$2, CONCATENATE($A36,""!$B$5:$JB$48"")),CH$1,0)"),"")</f>
        <v/>
      </c>
      <c r="CI36" s="35">
        <f>IFERROR(__xludf.DUMMYFUNCTION("VLOOKUP($A$1,IMPORTRANGE($A$2, CONCATENATE($A36,""!$B$5:$JB$48"")),CI$1,0)"),2.0)</f>
        <v>2</v>
      </c>
      <c r="CJ36" s="35" t="str">
        <f>IFERROR(__xludf.DUMMYFUNCTION("VLOOKUP($A$1,IMPORTRANGE($A$2, CONCATENATE($A36,""!$B$5:$JB$48"")),CJ$1,0)"),"")</f>
        <v/>
      </c>
      <c r="CK36" s="35" t="str">
        <f>IFERROR(__xludf.DUMMYFUNCTION("VLOOKUP($A$1,IMPORTRANGE($A$2, CONCATENATE($A36,""!$B$5:$JB$48"")),CK$1,0)"),"")</f>
        <v/>
      </c>
      <c r="CL36" s="35" t="str">
        <f>IFERROR(__xludf.DUMMYFUNCTION("VLOOKUP($A$1,IMPORTRANGE($A$2, CONCATENATE($A36,""!$B$5:$JB$48"")),CL$1,0)"),"")</f>
        <v/>
      </c>
      <c r="CM36" s="35" t="str">
        <f>IFERROR(__xludf.DUMMYFUNCTION("VLOOKUP($A$1,IMPORTRANGE($A$2, CONCATENATE($A36,""!$B$5:$JB$48"")),CM$1,0)"),"")</f>
        <v/>
      </c>
      <c r="CN36" s="35" t="str">
        <f>IFERROR(__xludf.DUMMYFUNCTION("VLOOKUP($A$1,IMPORTRANGE($A$2, CONCATENATE($A36,""!$B$5:$JB$48"")),CN$1,0)"),"")</f>
        <v/>
      </c>
      <c r="CO36" s="35" t="str">
        <f>IFERROR(__xludf.DUMMYFUNCTION("VLOOKUP($A$1,IMPORTRANGE($A$2, CONCATENATE($A36,""!$B$5:$JB$48"")),CO$1,0)"),"")</f>
        <v/>
      </c>
      <c r="CP36" s="35">
        <f>IFERROR(__xludf.DUMMYFUNCTION("VLOOKUP($A$1,IMPORTRANGE($A$2, CONCATENATE($A36,""!$B$5:$JB$48"")),CP$1,0)"),5.0)</f>
        <v>5</v>
      </c>
      <c r="CQ36" s="35" t="str">
        <f>IFERROR(__xludf.DUMMYFUNCTION("VLOOKUP($A$1,IMPORTRANGE($A$2, CONCATENATE($A36,""!$B$5:$JB$48"")),CQ$1,0)"),"")</f>
        <v/>
      </c>
      <c r="CR36" s="35" t="str">
        <f>IFERROR(__xludf.DUMMYFUNCTION("VLOOKUP($A$1,IMPORTRANGE($A$2, CONCATENATE($A36,""!$B$5:$JB$48"")),CR$1,0)"),"")</f>
        <v/>
      </c>
      <c r="CS36" s="35" t="str">
        <f>IFERROR(__xludf.DUMMYFUNCTION("VLOOKUP($A$1,IMPORTRANGE($A$2, CONCATENATE($A36,""!$B$5:$JB$48"")),CS$1,0)"),"")</f>
        <v/>
      </c>
      <c r="CT36" s="35" t="str">
        <f>IFERROR(__xludf.DUMMYFUNCTION("VLOOKUP($A$1,IMPORTRANGE($A$2, CONCATENATE($A36,""!$B$5:$JB$48"")),CT$1,0)"),"")</f>
        <v/>
      </c>
      <c r="CU36" s="35" t="str">
        <f>IFERROR(__xludf.DUMMYFUNCTION("VLOOKUP($A$1,IMPORTRANGE($A$2, CONCATENATE($A36,""!$B$5:$JB$48"")),CU$1,0)"),"")</f>
        <v/>
      </c>
      <c r="CV36" s="35" t="str">
        <f>IFERROR(__xludf.DUMMYFUNCTION("VLOOKUP($A$1,IMPORTRANGE($A$2, CONCATENATE($A36,""!$B$5:$JB$48"")),CV$1,0)"),"")</f>
        <v/>
      </c>
      <c r="CW36" s="35" t="str">
        <f>IFERROR(__xludf.DUMMYFUNCTION("VLOOKUP($A$1,IMPORTRANGE($A$2, CONCATENATE($A36,""!$B$5:$JB$48"")),CW$1,0)"),"")</f>
        <v/>
      </c>
      <c r="CX36" s="35" t="str">
        <f>IFERROR(__xludf.DUMMYFUNCTION("VLOOKUP($A$1,IMPORTRANGE($A$2, CONCATENATE($A36,""!$B$5:$JB$48"")),CX$1,0)"),"")</f>
        <v/>
      </c>
      <c r="CY36" s="35" t="str">
        <f>IFERROR(__xludf.DUMMYFUNCTION("VLOOKUP($A$1,IMPORTRANGE($A$2, CONCATENATE($A36,""!$B$5:$JB$48"")),CY$1,0)"),"")</f>
        <v/>
      </c>
      <c r="CZ36" s="35" t="str">
        <f>IFERROR(__xludf.DUMMYFUNCTION("VLOOKUP($A$1,IMPORTRANGE($A$2, CONCATENATE($A36,""!$B$5:$JB$48"")),CZ$1,0)"),"")</f>
        <v/>
      </c>
      <c r="DA36" s="35" t="str">
        <f>IFERROR(__xludf.DUMMYFUNCTION("VLOOKUP($A$1,IMPORTRANGE($A$2, CONCATENATE($A36,""!$B$5:$JB$48"")),DA$1,0)"),"")</f>
        <v/>
      </c>
      <c r="DB36" s="35" t="str">
        <f>IFERROR(__xludf.DUMMYFUNCTION("VLOOKUP($A$1,IMPORTRANGE($A$2, CONCATENATE($A36,""!$B$5:$JB$48"")),DB$1,0)"),"")</f>
        <v/>
      </c>
      <c r="DC36" s="35" t="str">
        <f>IFERROR(__xludf.DUMMYFUNCTION("VLOOKUP($A$1,IMPORTRANGE($A$2, CONCATENATE($A36,""!$B$5:$JB$48"")),DC$1,0)"),"")</f>
        <v/>
      </c>
      <c r="DD36" s="35">
        <f>IFERROR(__xludf.DUMMYFUNCTION("VLOOKUP($A$1,IMPORTRANGE($A$2, CONCATENATE($A36,""!$B$5:$JB$48"")),DD$1,0)"),5.0)</f>
        <v>5</v>
      </c>
      <c r="DE36" s="35" t="str">
        <f>IFERROR(__xludf.DUMMYFUNCTION("VLOOKUP($A$1,IMPORTRANGE($A$2, CONCATENATE($A36,""!$B$5:$JB$48"")),DE$1,0)"),"")</f>
        <v/>
      </c>
      <c r="DF36" s="35" t="str">
        <f>IFERROR(__xludf.DUMMYFUNCTION("VLOOKUP($A$1,IMPORTRANGE($A$2, CONCATENATE($A36,""!$B$5:$JB$48"")),DF$1,0)"),"")</f>
        <v/>
      </c>
      <c r="DG36" s="35" t="str">
        <f>IFERROR(__xludf.DUMMYFUNCTION("VLOOKUP($A$1,IMPORTRANGE($A$2, CONCATENATE($A36,""!$B$5:$JB$48"")),DG$1,0)"),"")</f>
        <v/>
      </c>
      <c r="DH36" s="35" t="str">
        <f>IFERROR(__xludf.DUMMYFUNCTION("VLOOKUP($A$1,IMPORTRANGE($A$2, CONCATENATE($A36,""!$B$5:$JB$48"")),DH$1,0)"),"")</f>
        <v/>
      </c>
      <c r="DI36" s="35" t="str">
        <f>IFERROR(__xludf.DUMMYFUNCTION("VLOOKUP($A$1,IMPORTRANGE($A$2, CONCATENATE($A36,""!$B$5:$JB$48"")),DI$1,0)"),"")</f>
        <v/>
      </c>
      <c r="DJ36" s="35" t="str">
        <f>IFERROR(__xludf.DUMMYFUNCTION("VLOOKUP($A$1,IMPORTRANGE($A$2, CONCATENATE($A36,""!$B$5:$JB$48"")),DJ$1,0)"),"")</f>
        <v/>
      </c>
      <c r="DK36" s="35" t="str">
        <f>IFERROR(__xludf.DUMMYFUNCTION("VLOOKUP($A$1,IMPORTRANGE($A$2, CONCATENATE($A36,""!$B$5:$JB$48"")),DK$1,0)"),"")</f>
        <v/>
      </c>
      <c r="DL36" s="35" t="str">
        <f>IFERROR(__xludf.DUMMYFUNCTION("VLOOKUP($A$1,IMPORTRANGE($A$2, CONCATENATE($A36,""!$B$5:$JB$48"")),DL$1,0)"),"")</f>
        <v/>
      </c>
      <c r="DM36" s="35" t="str">
        <f>IFERROR(__xludf.DUMMYFUNCTION("VLOOKUP($A$1,IMPORTRANGE($A$2, CONCATENATE($A36,""!$B$5:$JB$48"")),DM$1,0)"),"н")</f>
        <v>н</v>
      </c>
      <c r="DN36" s="35" t="str">
        <f>IFERROR(__xludf.DUMMYFUNCTION("VLOOKUP($A$1,IMPORTRANGE($A$2, CONCATENATE($A36,""!$B$5:$JB$48"")),DN$1,0)"),"")</f>
        <v/>
      </c>
      <c r="DO36" s="35" t="str">
        <f>IFERROR(__xludf.DUMMYFUNCTION("VLOOKUP($A$1,IMPORTRANGE($A$2, CONCATENATE($A36,""!$B$5:$JB$48"")),DO$1,0)"),"")</f>
        <v/>
      </c>
      <c r="DP36" s="35" t="str">
        <f>IFERROR(__xludf.DUMMYFUNCTION("VLOOKUP($A$1,IMPORTRANGE($A$2, CONCATENATE($A36,""!$B$5:$JB$48"")),DP$1,0)"),"")</f>
        <v/>
      </c>
      <c r="DQ36" s="35" t="str">
        <f>IFERROR(__xludf.DUMMYFUNCTION("VLOOKUP($A$1,IMPORTRANGE($A$2, CONCATENATE($A36,""!$B$5:$JB$48"")),DQ$1,0)"),"")</f>
        <v/>
      </c>
      <c r="DR36" s="35">
        <f>IFERROR(__xludf.DUMMYFUNCTION("VLOOKUP($A$1,IMPORTRANGE($A$2, CONCATENATE($A36,""!$B$5:$JB$48"")),DR$1,0)"),5.0)</f>
        <v>5</v>
      </c>
      <c r="DS36" s="35" t="str">
        <f>IFERROR(__xludf.DUMMYFUNCTION("VLOOKUP($A$1,IMPORTRANGE($A$2, CONCATENATE($A36,""!$B$5:$JB$48"")),DS$1,0)"),"")</f>
        <v/>
      </c>
      <c r="DT36" s="35" t="str">
        <f>IFERROR(__xludf.DUMMYFUNCTION("VLOOKUP($A$1,IMPORTRANGE($A$2, CONCATENATE($A36,""!$B$5:$JB$48"")),DT$1,0)"),"")</f>
        <v/>
      </c>
      <c r="DU36" s="35" t="str">
        <f>IFERROR(__xludf.DUMMYFUNCTION("VLOOKUP($A$1,IMPORTRANGE($A$2, CONCATENATE($A36,""!$B$5:$JB$48"")),DU$1,0)"),"")</f>
        <v/>
      </c>
      <c r="DV36" s="35" t="str">
        <f>IFERROR(__xludf.DUMMYFUNCTION("VLOOKUP($A$1,IMPORTRANGE($A$2, CONCATENATE($A36,""!$B$5:$JB$48"")),DV$1,0)"),"")</f>
        <v/>
      </c>
      <c r="DW36" s="35" t="str">
        <f>IFERROR(__xludf.DUMMYFUNCTION("VLOOKUP($A$1,IMPORTRANGE($A$2, CONCATENATE($A36,""!$B$5:$JB$48"")),DW$1,0)"),"")</f>
        <v/>
      </c>
      <c r="DX36" s="35" t="str">
        <f>IFERROR(__xludf.DUMMYFUNCTION("VLOOKUP($A$1,IMPORTRANGE($A$2, CONCATENATE($A36,""!$B$5:$JB$48"")),DX$1,0)"),"")</f>
        <v/>
      </c>
      <c r="DY36" s="35" t="str">
        <f>IFERROR(__xludf.DUMMYFUNCTION("VLOOKUP($A$1,IMPORTRANGE($A$2, CONCATENATE($A36,""!$B$5:$JB$48"")),DY$1,0)"),"")</f>
        <v/>
      </c>
      <c r="DZ36" s="35">
        <f>IFERROR(__xludf.DUMMYFUNCTION("VLOOKUP($A$1,IMPORTRANGE($A$2, CONCATENATE($A36,""!$B$5:$JB$48"")),DZ$1,0)"),5.0)</f>
        <v>5</v>
      </c>
      <c r="EA36" s="35" t="str">
        <f>IFERROR(__xludf.DUMMYFUNCTION("VLOOKUP($A$1,IMPORTRANGE($A$2, CONCATENATE($A36,""!$B$5:$JB$48"")),EA$1,0)"),"")</f>
        <v/>
      </c>
      <c r="EB36" s="35" t="str">
        <f>IFERROR(__xludf.DUMMYFUNCTION("VLOOKUP($A$1,IMPORTRANGE($A$2, CONCATENATE($A36,""!$B$5:$JB$48"")),EB$1,0)"),"")</f>
        <v/>
      </c>
      <c r="EC36" s="35" t="str">
        <f>IFERROR(__xludf.DUMMYFUNCTION("VLOOKUP($A$1,IMPORTRANGE($A$2, CONCATENATE($A36,""!$B$5:$JB$48"")),EC$1,0)"),"")</f>
        <v/>
      </c>
      <c r="ED36" s="35" t="str">
        <f>IFERROR(__xludf.DUMMYFUNCTION("VLOOKUP($A$1,IMPORTRANGE($A$2, CONCATENATE($A36,""!$B$5:$JB$48"")),ED$1,0)"),"")</f>
        <v/>
      </c>
      <c r="EE36" s="35" t="str">
        <f>IFERROR(__xludf.DUMMYFUNCTION("VLOOKUP($A$1,IMPORTRANGE($A$2, CONCATENATE($A36,""!$B$5:$JB$48"")),EE$1,0)"),"")</f>
        <v/>
      </c>
      <c r="EF36" s="35" t="str">
        <f>IFERROR(__xludf.DUMMYFUNCTION("VLOOKUP($A$1,IMPORTRANGE($A$2, CONCATENATE($A36,""!$B$5:$JB$48"")),EF$1,0)"),"")</f>
        <v/>
      </c>
      <c r="EG36" s="35">
        <f>IFERROR(__xludf.DUMMYFUNCTION("VLOOKUP($A$1,IMPORTRANGE($A$2, CONCATENATE($A36,""!$B$5:$JB$48"")),EG$1,0)"),5.0)</f>
        <v>5</v>
      </c>
      <c r="EH36" s="35" t="str">
        <f>IFERROR(__xludf.DUMMYFUNCTION("VLOOKUP($A$1,IMPORTRANGE($A$2, CONCATENATE($A36,""!$B$5:$JB$48"")),EH$1,0)"),"")</f>
        <v/>
      </c>
      <c r="EI36" s="35" t="str">
        <f>IFERROR(__xludf.DUMMYFUNCTION("VLOOKUP($A$1,IMPORTRANGE($A$2, CONCATENATE($A36,""!$B$5:$JB$48"")),EI$1,0)"),"")</f>
        <v/>
      </c>
      <c r="EJ36" s="35" t="str">
        <f>IFERROR(__xludf.DUMMYFUNCTION("VLOOKUP($A$1,IMPORTRANGE($A$2, CONCATENATE($A36,""!$B$5:$JB$48"")),EJ$1,0)"),"")</f>
        <v/>
      </c>
      <c r="EK36" s="35" t="str">
        <f>IFERROR(__xludf.DUMMYFUNCTION("VLOOKUP($A$1,IMPORTRANGE($A$2, CONCATENATE($A36,""!$B$5:$JB$48"")),EK$1,0)"),"")</f>
        <v/>
      </c>
      <c r="EL36" s="35" t="str">
        <f>IFERROR(__xludf.DUMMYFUNCTION("VLOOKUP($A$1,IMPORTRANGE($A$2, CONCATENATE($A36,""!$B$5:$JB$48"")),EL$1,0)"),"")</f>
        <v/>
      </c>
      <c r="EM36" s="35" t="str">
        <f>IFERROR(__xludf.DUMMYFUNCTION("VLOOKUP($A$1,IMPORTRANGE($A$2, CONCATENATE($A36,""!$B$5:$JB$48"")),EM$1,0)"),"")</f>
        <v/>
      </c>
      <c r="EN36" s="35" t="str">
        <f>IFERROR(__xludf.DUMMYFUNCTION("VLOOKUP($A$1,IMPORTRANGE($A$2, CONCATENATE($A36,""!$B$5:$JB$48"")),EN$1,0)"),"")</f>
        <v/>
      </c>
      <c r="EO36" s="35" t="str">
        <f>IFERROR(__xludf.DUMMYFUNCTION("VLOOKUP($A$1,IMPORTRANGE($A$2, CONCATENATE($A36,""!$B$5:$JB$48"")),EO$1,0)"),"")</f>
        <v/>
      </c>
      <c r="EP36" s="35" t="str">
        <f>IFERROR(__xludf.DUMMYFUNCTION("VLOOKUP($A$1,IMPORTRANGE($A$2, CONCATENATE($A36,""!$B$5:$JB$48"")),EP$1,0)"),"")</f>
        <v/>
      </c>
      <c r="EQ36" s="35" t="str">
        <f>IFERROR(__xludf.DUMMYFUNCTION("VLOOKUP($A$1,IMPORTRANGE($A$2, CONCATENATE($A36,""!$B$5:$JB$48"")),EQ$1,0)"),"")</f>
        <v/>
      </c>
      <c r="ER36" s="35" t="str">
        <f>IFERROR(__xludf.DUMMYFUNCTION("VLOOKUP($A$1,IMPORTRANGE($A$2, CONCATENATE($A36,""!$B$5:$JB$48"")),ER$1,0)"),"")</f>
        <v/>
      </c>
      <c r="ES36" s="35" t="str">
        <f>IFERROR(__xludf.DUMMYFUNCTION("VLOOKUP($A$1,IMPORTRANGE($A$2, CONCATENATE($A36,""!$B$5:$JB$48"")),ES$1,0)"),"")</f>
        <v/>
      </c>
      <c r="ET36" s="35" t="str">
        <f>IFERROR(__xludf.DUMMYFUNCTION("VLOOKUP($A$1,IMPORTRANGE($A$2, CONCATENATE($A36,""!$B$5:$JB$48"")),ET$1,0)"),"")</f>
        <v/>
      </c>
      <c r="EU36" s="35" t="str">
        <f>IFERROR(__xludf.DUMMYFUNCTION("VLOOKUP($A$1,IMPORTRANGE($A$2, CONCATENATE($A36,""!$B$5:$JB$48"")),EU$1,0)"),"")</f>
        <v/>
      </c>
      <c r="EV36" s="35" t="str">
        <f>IFERROR(__xludf.DUMMYFUNCTION("VLOOKUP($A$1,IMPORTRANGE($A$2, CONCATENATE($A36,""!$B$5:$JB$48"")),EV$1,0)"),"")</f>
        <v/>
      </c>
      <c r="EW36" s="35" t="str">
        <f>IFERROR(__xludf.DUMMYFUNCTION("VLOOKUP($A$1,IMPORTRANGE($A$2, CONCATENATE($A36,""!$B$5:$JB$48"")),EW$1,0)"),"")</f>
        <v/>
      </c>
      <c r="EX36" s="35" t="str">
        <f>IFERROR(__xludf.DUMMYFUNCTION("VLOOKUP($A$1,IMPORTRANGE($A$2, CONCATENATE($A36,""!$B$5:$JB$48"")),EX$1,0)"),"")</f>
        <v/>
      </c>
      <c r="EY36" s="35" t="str">
        <f>IFERROR(__xludf.DUMMYFUNCTION("VLOOKUP($A$1,IMPORTRANGE($A$2, CONCATENATE($A36,""!$B$5:$JB$48"")),EY$1,0)"),"")</f>
        <v/>
      </c>
      <c r="EZ36" s="35" t="str">
        <f>IFERROR(__xludf.DUMMYFUNCTION("VLOOKUP($A$1,IMPORTRANGE($A$2, CONCATENATE($A36,""!$B$5:$JB$48"")),EZ$1,0)"),"")</f>
        <v/>
      </c>
      <c r="FA36" s="35" t="str">
        <f>IFERROR(__xludf.DUMMYFUNCTION("VLOOKUP($A$1,IMPORTRANGE($A$2, CONCATENATE($A36,""!$B$5:$JB$48"")),FA$1,0)"),"")</f>
        <v/>
      </c>
      <c r="FB36" s="35" t="str">
        <f>IFERROR(__xludf.DUMMYFUNCTION("VLOOKUP($A$1,IMPORTRANGE($A$2, CONCATENATE($A36,""!$B$5:$JB$48"")),FB$1,0)"),"")</f>
        <v/>
      </c>
      <c r="FC36" s="35" t="str">
        <f>IFERROR(__xludf.DUMMYFUNCTION("VLOOKUP($A$1,IMPORTRANGE($A$2, CONCATENATE($A36,""!$B$5:$JB$48"")),FC$1,0)"),"")</f>
        <v/>
      </c>
      <c r="FD36" s="35" t="str">
        <f>IFERROR(__xludf.DUMMYFUNCTION("VLOOKUP($A$1,IMPORTRANGE($A$2, CONCATENATE($A36,""!$B$5:$JB$48"")),FD$1,0)"),"")</f>
        <v/>
      </c>
      <c r="FE36" s="35" t="str">
        <f>IFERROR(__xludf.DUMMYFUNCTION("VLOOKUP($A$1,IMPORTRANGE($A$2, CONCATENATE($A36,""!$B$5:$JB$48"")),FE$1,0)"),"")</f>
        <v/>
      </c>
      <c r="FF36" s="35" t="str">
        <f>IFERROR(__xludf.DUMMYFUNCTION("VLOOKUP($A$1,IMPORTRANGE($A$2, CONCATENATE($A36,""!$B$5:$JB$48"")),FF$1,0)"),"")</f>
        <v/>
      </c>
      <c r="FG36" s="35" t="str">
        <f>IFERROR(__xludf.DUMMYFUNCTION("VLOOKUP($A$1,IMPORTRANGE($A$2, CONCATENATE($A36,""!$B$5:$JB$48"")),FG$1,0)"),"")</f>
        <v/>
      </c>
      <c r="FH36" s="35" t="str">
        <f>IFERROR(__xludf.DUMMYFUNCTION("VLOOKUP($A$1,IMPORTRANGE($A$2, CONCATENATE($A36,""!$B$5:$JB$48"")),FH$1,0)"),"")</f>
        <v/>
      </c>
      <c r="FI36" s="35" t="str">
        <f>IFERROR(__xludf.DUMMYFUNCTION("VLOOKUP($A$1,IMPORTRANGE($A$2, CONCATENATE($A36,""!$B$5:$JB$48"")),FI$1,0)"),"")</f>
        <v/>
      </c>
      <c r="FJ36" s="35" t="str">
        <f>IFERROR(__xludf.DUMMYFUNCTION("VLOOKUP($A$1,IMPORTRANGE($A$2, CONCATENATE($A36,""!$B$5:$JB$48"")),FJ$1,0)"),"")</f>
        <v/>
      </c>
      <c r="FK36" s="35" t="str">
        <f>IFERROR(__xludf.DUMMYFUNCTION("VLOOKUP($A$1,IMPORTRANGE($A$2, CONCATENATE($A36,""!$B$5:$JB$48"")),FK$1,0)"),"")</f>
        <v/>
      </c>
      <c r="FL36" s="35" t="str">
        <f>IFERROR(__xludf.DUMMYFUNCTION("VLOOKUP($A$1,IMPORTRANGE($A$2, CONCATENATE($A36,""!$B$5:$JB$48"")),FL$1,0)"),"")</f>
        <v/>
      </c>
      <c r="FM36" s="35" t="str">
        <f>IFERROR(__xludf.DUMMYFUNCTION("VLOOKUP($A$1,IMPORTRANGE($A$2, CONCATENATE($A36,""!$B$5:$JB$48"")),FM$1,0)"),"")</f>
        <v/>
      </c>
      <c r="FN36" s="35" t="str">
        <f>IFERROR(__xludf.DUMMYFUNCTION("VLOOKUP($A$1,IMPORTRANGE($A$2, CONCATENATE($A36,""!$B$5:$JB$48"")),FN$1,0)"),"")</f>
        <v/>
      </c>
      <c r="FO36" s="35" t="str">
        <f>IFERROR(__xludf.DUMMYFUNCTION("VLOOKUP($A$1,IMPORTRANGE($A$2, CONCATENATE($A36,""!$B$5:$JB$48"")),FO$1,0)"),"")</f>
        <v/>
      </c>
      <c r="FP36" s="35" t="str">
        <f>IFERROR(__xludf.DUMMYFUNCTION("VLOOKUP($A$1,IMPORTRANGE($A$2, CONCATENATE($A36,""!$B$5:$JB$48"")),FP$1,0)"),"")</f>
        <v/>
      </c>
      <c r="FQ36" s="35" t="str">
        <f>IFERROR(__xludf.DUMMYFUNCTION("VLOOKUP($A$1,IMPORTRANGE($A$2, CONCATENATE($A36,""!$B$5:$JB$48"")),FQ$1,0)"),"")</f>
        <v/>
      </c>
      <c r="FR36" s="35" t="str">
        <f>IFERROR(__xludf.DUMMYFUNCTION("VLOOKUP($A$1,IMPORTRANGE($A$2, CONCATENATE($A36,""!$B$5:$JB$48"")),FR$1,0)"),"")</f>
        <v/>
      </c>
      <c r="FS36" s="35" t="str">
        <f>IFERROR(__xludf.DUMMYFUNCTION("VLOOKUP($A$1,IMPORTRANGE($A$2, CONCATENATE($A36,""!$B$5:$JB$48"")),FS$1,0)"),"")</f>
        <v/>
      </c>
      <c r="FT36" s="35" t="str">
        <f>IFERROR(__xludf.DUMMYFUNCTION("VLOOKUP($A$1,IMPORTRANGE($A$2, CONCATENATE($A36,""!$B$5:$JB$48"")),FT$1,0)"),"")</f>
        <v/>
      </c>
      <c r="FU36" s="35" t="str">
        <f>IFERROR(__xludf.DUMMYFUNCTION("VLOOKUP($A$1,IMPORTRANGE($A$2, CONCATENATE($A36,""!$B$5:$JB$48"")),FU$1,0)"),"")</f>
        <v/>
      </c>
      <c r="FV36" s="35" t="str">
        <f>IFERROR(__xludf.DUMMYFUNCTION("VLOOKUP($A$1,IMPORTRANGE($A$2, CONCATENATE($A36,""!$B$5:$JB$48"")),FV$1,0)"),"")</f>
        <v/>
      </c>
      <c r="FW36" s="35" t="str">
        <f>IFERROR(__xludf.DUMMYFUNCTION("VLOOKUP($A$1,IMPORTRANGE($A$2, CONCATENATE($A36,""!$B$5:$JB$48"")),FW$1,0)"),"")</f>
        <v/>
      </c>
      <c r="FX36" s="35" t="str">
        <f>IFERROR(__xludf.DUMMYFUNCTION("VLOOKUP($A$1,IMPORTRANGE($A$2, CONCATENATE($A36,""!$B$5:$JB$48"")),FX$1,0)"),"")</f>
        <v/>
      </c>
      <c r="FY36" s="35" t="str">
        <f>IFERROR(__xludf.DUMMYFUNCTION("VLOOKUP($A$1,IMPORTRANGE($A$2, CONCATENATE($A36,""!$B$5:$JB$48"")),FY$1,0)"),"")</f>
        <v/>
      </c>
      <c r="FZ36" s="35" t="str">
        <f>IFERROR(__xludf.DUMMYFUNCTION("VLOOKUP($A$1,IMPORTRANGE($A$2, CONCATENATE($A36,""!$B$5:$JB$48"")),FZ$1,0)"),"")</f>
        <v/>
      </c>
      <c r="GA36" s="35" t="str">
        <f>IFERROR(__xludf.DUMMYFUNCTION("VLOOKUP($A$1,IMPORTRANGE($A$2, CONCATENATE($A36,""!$B$5:$JB$48"")),GA$1,0)"),"")</f>
        <v/>
      </c>
      <c r="GB36" s="35" t="str">
        <f>IFERROR(__xludf.DUMMYFUNCTION("VLOOKUP($A$1,IMPORTRANGE($A$2, CONCATENATE($A36,""!$B$5:$JB$48"")),GB$1,0)"),"")</f>
        <v/>
      </c>
      <c r="GC36" s="35" t="str">
        <f>IFERROR(__xludf.DUMMYFUNCTION("VLOOKUP($A$1,IMPORTRANGE($A$2, CONCATENATE($A36,""!$B$5:$JB$48"")),GC$1,0)"),"")</f>
        <v/>
      </c>
      <c r="GD36" s="35" t="str">
        <f>IFERROR(__xludf.DUMMYFUNCTION("VLOOKUP($A$1,IMPORTRANGE($A$2, CONCATENATE($A36,""!$B$5:$JB$48"")),GD$1,0)"),"")</f>
        <v/>
      </c>
      <c r="GE36" s="35" t="str">
        <f>IFERROR(__xludf.DUMMYFUNCTION("VLOOKUP($A$1,IMPORTRANGE($A$2, CONCATENATE($A36,""!$B$5:$JB$48"")),GE$1,0)"),"")</f>
        <v/>
      </c>
      <c r="GF36" s="35" t="str">
        <f>IFERROR(__xludf.DUMMYFUNCTION("VLOOKUP($A$1,IMPORTRANGE($A$2, CONCATENATE($A36,""!$B$5:$JB$48"")),GF$1,0)"),"")</f>
        <v/>
      </c>
      <c r="GG36" s="35" t="str">
        <f>IFERROR(__xludf.DUMMYFUNCTION("VLOOKUP($A$1,IMPORTRANGE($A$2, CONCATENATE($A36,""!$B$5:$JB$48"")),GG$1,0)"),"")</f>
        <v/>
      </c>
      <c r="GH36" s="35" t="str">
        <f>IFERROR(__xludf.DUMMYFUNCTION("VLOOKUP($A$1,IMPORTRANGE($A$2, CONCATENATE($A36,""!$B$5:$JB$48"")),GH$1,0)"),"")</f>
        <v/>
      </c>
      <c r="GI36" s="35" t="str">
        <f>IFERROR(__xludf.DUMMYFUNCTION("VLOOKUP($A$1,IMPORTRANGE($A$2, CONCATENATE($A36,""!$B$5:$JB$48"")),GI$1,0)"),"")</f>
        <v/>
      </c>
      <c r="GJ36" s="35" t="str">
        <f>IFERROR(__xludf.DUMMYFUNCTION("VLOOKUP($A$1,IMPORTRANGE($A$2, CONCATENATE($A36,""!$B$5:$JB$48"")),GJ$1,0)"),"")</f>
        <v/>
      </c>
      <c r="GK36" s="35" t="str">
        <f>IFERROR(__xludf.DUMMYFUNCTION("VLOOKUP($A$1,IMPORTRANGE($A$2, CONCATENATE($A36,""!$B$5:$JB$48"")),GK$1,0)"),"")</f>
        <v/>
      </c>
      <c r="GL36" s="35" t="str">
        <f>IFERROR(__xludf.DUMMYFUNCTION("VLOOKUP($A$1,IMPORTRANGE($A$2, CONCATENATE($A36,""!$B$5:$JB$48"")),GL$1,0)"),"")</f>
        <v/>
      </c>
      <c r="GM36" s="35" t="str">
        <f>IFERROR(__xludf.DUMMYFUNCTION("VLOOKUP($A$1,IMPORTRANGE($A$2, CONCATENATE($A36,""!$B$5:$JB$48"")),GM$1,0)"),"")</f>
        <v/>
      </c>
      <c r="GN36" s="35" t="str">
        <f>IFERROR(__xludf.DUMMYFUNCTION("VLOOKUP($A$1,IMPORTRANGE($A$2, CONCATENATE($A36,""!$B$5:$JB$48"")),GN$1,0)"),"")</f>
        <v/>
      </c>
      <c r="GO36" s="35" t="str">
        <f>IFERROR(__xludf.DUMMYFUNCTION("VLOOKUP($A$1,IMPORTRANGE($A$2, CONCATENATE($A36,""!$B$5:$JB$48"")),GO$1,0)"),"")</f>
        <v/>
      </c>
      <c r="GP36" s="35" t="str">
        <f>IFERROR(__xludf.DUMMYFUNCTION("VLOOKUP($A$1,IMPORTRANGE($A$2, CONCATENATE($A36,""!$B$5:$JB$48"")),GP$1,0)"),"")</f>
        <v/>
      </c>
      <c r="GQ36" s="35" t="str">
        <f>IFERROR(__xludf.DUMMYFUNCTION("VLOOKUP($A$1,IMPORTRANGE($A$2, CONCATENATE($A36,""!$B$5:$JB$48"")),GQ$1,0)"),"")</f>
        <v/>
      </c>
      <c r="GR36" s="35" t="str">
        <f>IFERROR(__xludf.DUMMYFUNCTION("VLOOKUP($A$1,IMPORTRANGE($A$2, CONCATENATE($A36,""!$B$5:$JB$48"")),GR$1,0)"),"")</f>
        <v/>
      </c>
      <c r="GS36" s="35" t="str">
        <f>IFERROR(__xludf.DUMMYFUNCTION("VLOOKUP($A$1,IMPORTRANGE($A$2, CONCATENATE($A36,""!$B$5:$JB$48"")),GS$1,0)"),"")</f>
        <v/>
      </c>
      <c r="GT36" s="35" t="str">
        <f>IFERROR(__xludf.DUMMYFUNCTION("VLOOKUP($A$1,IMPORTRANGE($A$2, CONCATENATE($A36,""!$B$5:$JB$48"")),GT$1,0)"),"")</f>
        <v/>
      </c>
      <c r="GU36" s="35" t="str">
        <f>IFERROR(__xludf.DUMMYFUNCTION("VLOOKUP($A$1,IMPORTRANGE($A$2, CONCATENATE($A36,""!$B$5:$JB$48"")),GU$1,0)"),"")</f>
        <v/>
      </c>
      <c r="GV36" s="35" t="str">
        <f>IFERROR(__xludf.DUMMYFUNCTION("VLOOKUP($A$1,IMPORTRANGE($A$2, CONCATENATE($A36,""!$B$5:$JB$48"")),GV$1,0)"),"")</f>
        <v/>
      </c>
      <c r="GW36" s="35" t="str">
        <f>IFERROR(__xludf.DUMMYFUNCTION("VLOOKUP($A$1,IMPORTRANGE($A$2, CONCATENATE($A36,""!$B$5:$JB$48"")),GW$1,0)"),"")</f>
        <v/>
      </c>
      <c r="GX36" s="35" t="str">
        <f>IFERROR(__xludf.DUMMYFUNCTION("VLOOKUP($A$1,IMPORTRANGE($A$2, CONCATENATE($A36,""!$B$5:$JB$48"")),GX$1,0)"),"")</f>
        <v/>
      </c>
      <c r="GY36" s="35" t="str">
        <f>IFERROR(__xludf.DUMMYFUNCTION("VLOOKUP($A$1,IMPORTRANGE($A$2, CONCATENATE($A36,""!$B$5:$JB$48"")),GY$1,0)"),"")</f>
        <v/>
      </c>
      <c r="GZ36" s="35" t="str">
        <f>IFERROR(__xludf.DUMMYFUNCTION("VLOOKUP($A$1,IMPORTRANGE($A$2, CONCATENATE($A36,""!$B$5:$JB$48"")),GZ$1,0)"),"")</f>
        <v/>
      </c>
      <c r="HA36" s="35" t="str">
        <f>IFERROR(__xludf.DUMMYFUNCTION("VLOOKUP($A$1,IMPORTRANGE($A$2, CONCATENATE($A36,""!$B$5:$JB$48"")),HA$1,0)"),"")</f>
        <v/>
      </c>
      <c r="HB36" s="35" t="str">
        <f>IFERROR(__xludf.DUMMYFUNCTION("VLOOKUP($A$1,IMPORTRANGE($A$2, CONCATENATE($A36,""!$B$5:$JB$48"")),HB$1,0)"),"")</f>
        <v/>
      </c>
      <c r="HC36" s="35" t="str">
        <f>IFERROR(__xludf.DUMMYFUNCTION("VLOOKUP($A$1,IMPORTRANGE($A$2, CONCATENATE($A36,""!$B$5:$JB$48"")),HC$1,0)"),"")</f>
        <v/>
      </c>
      <c r="HD36" s="35" t="str">
        <f>IFERROR(__xludf.DUMMYFUNCTION("VLOOKUP($A$1,IMPORTRANGE($A$2, CONCATENATE($A36,""!$B$5:$JB$48"")),HD$1,0)"),"")</f>
        <v/>
      </c>
      <c r="HE36" s="35" t="str">
        <f>IFERROR(__xludf.DUMMYFUNCTION("VLOOKUP($A$1,IMPORTRANGE($A$2, CONCATENATE($A36,""!$B$5:$JB$48"")),HE$1,0)"),"")</f>
        <v/>
      </c>
      <c r="HF36" s="35" t="str">
        <f>IFERROR(__xludf.DUMMYFUNCTION("VLOOKUP($A$1,IMPORTRANGE($A$2, CONCATENATE($A36,""!$B$5:$JB$48"")),HF$1,0)"),"")</f>
        <v/>
      </c>
      <c r="HG36" s="35" t="str">
        <f>IFERROR(__xludf.DUMMYFUNCTION("VLOOKUP($A$1,IMPORTRANGE($A$2, CONCATENATE($A36,""!$B$5:$JB$48"")),HG$1,0)"),"")</f>
        <v/>
      </c>
      <c r="HH36" s="35" t="str">
        <f>IFERROR(__xludf.DUMMYFUNCTION("VLOOKUP($A$1,IMPORTRANGE($A$2, CONCATENATE($A36,""!$B$5:$JB$48"")),HH$1,0)"),"")</f>
        <v/>
      </c>
      <c r="HI36" s="35" t="str">
        <f>IFERROR(__xludf.DUMMYFUNCTION("VLOOKUP($A$1,IMPORTRANGE($A$2, CONCATENATE($A36,""!$B$5:$JB$48"")),HI$1,0)"),"")</f>
        <v/>
      </c>
      <c r="HJ36" s="35" t="str">
        <f>IFERROR(__xludf.DUMMYFUNCTION("VLOOKUP($A$1,IMPORTRANGE($A$2, CONCATENATE($A36,""!$B$5:$JB$48"")),HJ$1,0)"),"")</f>
        <v/>
      </c>
      <c r="HK36" s="35" t="str">
        <f>IFERROR(__xludf.DUMMYFUNCTION("VLOOKUP($A$1,IMPORTRANGE($A$2, CONCATENATE($A36,""!$B$5:$JB$48"")),HK$1,0)"),"")</f>
        <v/>
      </c>
      <c r="HL36" s="35" t="str">
        <f>IFERROR(__xludf.DUMMYFUNCTION("VLOOKUP($A$1,IMPORTRANGE($A$2, CONCATENATE($A36,""!$B$5:$JB$48"")),HL$1,0)"),"")</f>
        <v/>
      </c>
      <c r="HM36" s="35" t="str">
        <f>IFERROR(__xludf.DUMMYFUNCTION("VLOOKUP($A$1,IMPORTRANGE($A$2, CONCATENATE($A36,""!$B$5:$JB$48"")),HM$1,0)"),"")</f>
        <v/>
      </c>
      <c r="HN36" s="35" t="str">
        <f>IFERROR(__xludf.DUMMYFUNCTION("VLOOKUP($A$1,IMPORTRANGE($A$2, CONCATENATE($A36,""!$B$5:$JB$48"")),HN$1,0)"),"")</f>
        <v/>
      </c>
      <c r="HO36" s="35" t="str">
        <f>IFERROR(__xludf.DUMMYFUNCTION("VLOOKUP($A$1,IMPORTRANGE($A$2, CONCATENATE($A36,""!$B$5:$JB$48"")),HO$1,0)"),"")</f>
        <v/>
      </c>
      <c r="HP36" s="35" t="str">
        <f>IFERROR(__xludf.DUMMYFUNCTION("VLOOKUP($A$1,IMPORTRANGE($A$2, CONCATENATE($A36,""!$B$5:$JB$48"")),HP$1,0)"),"")</f>
        <v/>
      </c>
      <c r="HQ36" s="35" t="str">
        <f>IFERROR(__xludf.DUMMYFUNCTION("VLOOKUP($A$1,IMPORTRANGE($A$2, CONCATENATE($A36,""!$B$5:$JB$48"")),HQ$1,0)"),"")</f>
        <v/>
      </c>
      <c r="HR36" s="35" t="str">
        <f>IFERROR(__xludf.DUMMYFUNCTION("VLOOKUP($A$1,IMPORTRANGE($A$2, CONCATENATE($A36,""!$B$5:$JB$48"")),HR$1,0)"),"")</f>
        <v/>
      </c>
      <c r="HS36" s="35" t="str">
        <f>IFERROR(__xludf.DUMMYFUNCTION("VLOOKUP($A$1,IMPORTRANGE($A$2, CONCATENATE($A36,""!$B$5:$JB$48"")),HS$1,0)"),"")</f>
        <v/>
      </c>
      <c r="HT36" s="35" t="str">
        <f>IFERROR(__xludf.DUMMYFUNCTION("VLOOKUP($A$1,IMPORTRANGE($A$2, CONCATENATE($A36,""!$B$5:$JB$48"")),HT$1,0)"),"")</f>
        <v/>
      </c>
      <c r="HU36" s="35" t="str">
        <f>IFERROR(__xludf.DUMMYFUNCTION("VLOOKUP($A$1,IMPORTRANGE($A$2, CONCATENATE($A36,""!$B$5:$JB$48"")),HU$1,0)"),"")</f>
        <v/>
      </c>
      <c r="HV36" s="35" t="str">
        <f>IFERROR(__xludf.DUMMYFUNCTION("VLOOKUP($A$1,IMPORTRANGE($A$2, CONCATENATE($A36,""!$B$5:$JB$48"")),HV$1,0)"),"")</f>
        <v/>
      </c>
      <c r="HW36" s="35" t="str">
        <f>IFERROR(__xludf.DUMMYFUNCTION("VLOOKUP($A$1,IMPORTRANGE($A$2, CONCATENATE($A36,""!$B$5:$JB$48"")),HW$1,0)"),"")</f>
        <v/>
      </c>
      <c r="HX36" s="35" t="str">
        <f>IFERROR(__xludf.DUMMYFUNCTION("VLOOKUP($A$1,IMPORTRANGE($A$2, CONCATENATE($A36,""!$B$5:$JB$48"")),HX$1,0)"),"")</f>
        <v/>
      </c>
      <c r="HY36" s="35" t="str">
        <f>IFERROR(__xludf.DUMMYFUNCTION("VLOOKUP($A$1,IMPORTRANGE($A$2, CONCATENATE($A36,""!$B$5:$JB$48"")),HY$1,0)"),"")</f>
        <v/>
      </c>
      <c r="HZ36" s="35" t="str">
        <f>IFERROR(__xludf.DUMMYFUNCTION("VLOOKUP($A$1,IMPORTRANGE($A$2, CONCATENATE($A36,""!$B$5:$JB$48"")),HZ$1,0)"),"")</f>
        <v/>
      </c>
      <c r="IA36" s="35" t="str">
        <f>IFERROR(__xludf.DUMMYFUNCTION("VLOOKUP($A$1,IMPORTRANGE($A$2, CONCATENATE($A36,""!$B$5:$JB$48"")),IA$1,0)"),"")</f>
        <v/>
      </c>
      <c r="IB36" s="35">
        <f>IFERROR(__xludf.DUMMYFUNCTION("VLOOKUP($A$1,IMPORTRANGE($A$2, CONCATENATE($A36,""!$B$5:$JB$48"")),IB$1,0)"),5.0)</f>
        <v>5</v>
      </c>
      <c r="IC36" s="35" t="str">
        <f>IFERROR(__xludf.DUMMYFUNCTION("VLOOKUP($A$1,IMPORTRANGE($A$2, CONCATENATE($A36,""!$B$5:$JB$48"")),IC$1,0)"),"")</f>
        <v/>
      </c>
      <c r="ID36" s="35" t="str">
        <f>IFERROR(__xludf.DUMMYFUNCTION("VLOOKUP($A$1,IMPORTRANGE($A$2, CONCATENATE($A36,""!$B$5:$JB$48"")),ID$1,0)"),"")</f>
        <v/>
      </c>
      <c r="IE36" s="35" t="str">
        <f>IFERROR(__xludf.DUMMYFUNCTION("VLOOKUP($A$1,IMPORTRANGE($A$2, CONCATENATE($A36,""!$B$5:$JB$48"")),IE$1,0)"),"")</f>
        <v/>
      </c>
      <c r="IF36" s="35" t="str">
        <f>IFERROR(__xludf.DUMMYFUNCTION("VLOOKUP($A$1,IMPORTRANGE($A$2, CONCATENATE($A36,""!$B$5:$JB$48"")),IF$1,0)"),"")</f>
        <v/>
      </c>
      <c r="IG36" s="35" t="str">
        <f>IFERROR(__xludf.DUMMYFUNCTION("VLOOKUP($A$1,IMPORTRANGE($A$2, CONCATENATE($A36,""!$B$5:$JB$48"")),IG$1,0)"),"")</f>
        <v/>
      </c>
      <c r="IH36" s="35" t="str">
        <f>IFERROR(__xludf.DUMMYFUNCTION("VLOOKUP($A$1,IMPORTRANGE($A$2, CONCATENATE($A36,""!$B$5:$JB$48"")),IH$1,0)"),"")</f>
        <v/>
      </c>
      <c r="II36" s="35" t="str">
        <f>IFERROR(__xludf.DUMMYFUNCTION("VLOOKUP($A$1,IMPORTRANGE($A$2, CONCATENATE($A36,""!$B$5:$JB$48"")),II$1,0)"),"")</f>
        <v/>
      </c>
      <c r="IJ36" s="35" t="str">
        <f>IFERROR(__xludf.DUMMYFUNCTION("VLOOKUP($A$1,IMPORTRANGE($A$2, CONCATENATE($A36,""!$B$5:$JB$48"")),IJ$1,0)"),"")</f>
        <v/>
      </c>
      <c r="IK36" s="35" t="str">
        <f>IFERROR(__xludf.DUMMYFUNCTION("VLOOKUP($A$1,IMPORTRANGE($A$2, CONCATENATE($A36,""!$B$5:$JB$48"")),IK$1,0)"),"")</f>
        <v/>
      </c>
      <c r="IL36" s="35" t="str">
        <f>IFERROR(__xludf.DUMMYFUNCTION("VLOOKUP($A$1,IMPORTRANGE($A$2, CONCATENATE($A36,""!$B$5:$JB$48"")),IL$1,0)"),"")</f>
        <v/>
      </c>
      <c r="IM36" s="35" t="str">
        <f>IFERROR(__xludf.DUMMYFUNCTION("VLOOKUP($A$1,IMPORTRANGE($A$2, CONCATENATE($A36,""!$B$5:$JB$48"")),IM$1,0)"),"")</f>
        <v/>
      </c>
      <c r="IN36" s="35" t="str">
        <f>IFERROR(__xludf.DUMMYFUNCTION("VLOOKUP($A$1,IMPORTRANGE($A$2, CONCATENATE($A36,""!$B$5:$JB$48"")),IN$1,0)"),"")</f>
        <v/>
      </c>
      <c r="IO36" s="35" t="str">
        <f>IFERROR(__xludf.DUMMYFUNCTION("VLOOKUP($A$1,IMPORTRANGE($A$2, CONCATENATE($A36,""!$B$5:$JB$48"")),IO$1,0)"),"")</f>
        <v/>
      </c>
      <c r="IP36" s="35" t="str">
        <f>IFERROR(__xludf.DUMMYFUNCTION("VLOOKUP($A$1,IMPORTRANGE($A$2, CONCATENATE($A36,""!$B$5:$JB$48"")),IP$1,0)"),"")</f>
        <v/>
      </c>
      <c r="IQ36" s="35" t="str">
        <f>IFERROR(__xludf.DUMMYFUNCTION("VLOOKUP($A$1,IMPORTRANGE($A$2, CONCATENATE($A36,""!$B$5:$JB$48"")),IQ$1,0)"),"")</f>
        <v/>
      </c>
      <c r="IR36" s="35" t="str">
        <f>IFERROR(__xludf.DUMMYFUNCTION("VLOOKUP($A$1,IMPORTRANGE($A$2, CONCATENATE($A36,""!$B$5:$JB$48"")),IR$1,0)"),"")</f>
        <v/>
      </c>
      <c r="IS36" s="35" t="str">
        <f>IFERROR(__xludf.DUMMYFUNCTION("VLOOKUP($A$1,IMPORTRANGE($A$2, CONCATENATE($A36,""!$B$5:$JB$48"")),IS$1,0)"),"")</f>
        <v/>
      </c>
      <c r="IT36" s="35" t="str">
        <f>IFERROR(__xludf.DUMMYFUNCTION("VLOOKUP($A$1,IMPORTRANGE($A$2, CONCATENATE($A36,""!$B$5:$JB$48"")),IT$1,0)"),"")</f>
        <v/>
      </c>
      <c r="IU36" s="35" t="str">
        <f>IFERROR(__xludf.DUMMYFUNCTION("VLOOKUP($A$1,IMPORTRANGE($A$2, CONCATENATE($A36,""!$B$5:$JB$48"")),IU$1,0)"),"")</f>
        <v/>
      </c>
      <c r="IV36" s="35" t="str">
        <f>IFERROR(__xludf.DUMMYFUNCTION("VLOOKUP($A$1,IMPORTRANGE($A$2, CONCATENATE($A36,""!$B$5:$JB$48"")),IV$1,0)"),"")</f>
        <v/>
      </c>
      <c r="IW36" s="35" t="str">
        <f>IFERROR(__xludf.DUMMYFUNCTION("VLOOKUP($A$1,IMPORTRANGE($A$2, CONCATENATE($A36,""!$B$5:$JB$48"")),IW$1,0)"),"")</f>
        <v/>
      </c>
      <c r="IX36" s="35">
        <f>IFERROR(__xludf.DUMMYFUNCTION("VLOOKUP($A$1,IMPORTRANGE($A$2, CONCATENATE($A36,""!$B$5:$JB$48"")),IX$1,0)"),5.0)</f>
        <v>5</v>
      </c>
      <c r="IY36" s="35" t="str">
        <f>IFERROR(__xludf.DUMMYFUNCTION("VLOOKUP($A$1,IMPORTRANGE($A$2, CONCATENATE($A36,""!$B$5:$JB$48"")),IY$1,0)"),"")</f>
        <v/>
      </c>
      <c r="IZ36" s="35" t="str">
        <f>IFERROR(__xludf.DUMMYFUNCTION("VLOOKUP($A$1,IMPORTRANGE($A$2, CONCATENATE($A36,""!$B$5:$JB$48"")),IZ$1,0)"),"")</f>
        <v/>
      </c>
      <c r="JA36" s="35" t="str">
        <f>IFERROR(__xludf.DUMMYFUNCTION("VLOOKUP($A$1,IMPORTRANGE($A$2, CONCATENATE($A36,""!$B$5:$JB$48"")),JA$1,0)"),"")</f>
        <v/>
      </c>
      <c r="JB36" s="35"/>
      <c r="JC36" s="35"/>
      <c r="JD36" s="35"/>
      <c r="JE36" s="35"/>
    </row>
    <row r="37">
      <c r="A37" s="41"/>
      <c r="B37" s="29"/>
      <c r="C37" s="37"/>
      <c r="D37" s="38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  <c r="IW37" s="37"/>
      <c r="IX37" s="37"/>
      <c r="IY37" s="37"/>
      <c r="IZ37" s="37"/>
      <c r="JA37" s="37"/>
      <c r="JB37" s="37"/>
      <c r="JC37" s="37"/>
      <c r="JD37" s="37"/>
      <c r="JE37" s="37"/>
    </row>
    <row r="38">
      <c r="A38" s="39"/>
      <c r="B38" s="32">
        <f>IFERROR(__xludf.DUMMYFUNCTION("IMPORTRANGE($A$2, CONCATENATE($A39,""!C4:JB4""))"),45906.0)</f>
        <v>45906</v>
      </c>
      <c r="C38" s="32"/>
      <c r="D38" s="32"/>
      <c r="E38" s="32"/>
      <c r="F38" s="32"/>
      <c r="G38" s="32"/>
      <c r="H38" s="32"/>
      <c r="I38" s="32">
        <f>IFERROR(__xludf.DUMMYFUNCTION("""COMPUTED_VALUE"""),45908.0)</f>
        <v>45908</v>
      </c>
      <c r="J38" s="32"/>
      <c r="K38" s="32"/>
      <c r="L38" s="32"/>
      <c r="M38" s="32"/>
      <c r="N38" s="32"/>
      <c r="O38" s="32"/>
      <c r="P38" s="32">
        <f>IFERROR(__xludf.DUMMYFUNCTION("""COMPUTED_VALUE"""),45910.0)</f>
        <v>45910</v>
      </c>
      <c r="Q38" s="32"/>
      <c r="R38" s="32"/>
      <c r="S38" s="32"/>
      <c r="T38" s="32"/>
      <c r="U38" s="32"/>
      <c r="V38" s="32"/>
      <c r="W38" s="32">
        <f>IFERROR(__xludf.DUMMYFUNCTION("""COMPUTED_VALUE"""),45917.0)</f>
        <v>45917</v>
      </c>
      <c r="X38" s="32"/>
      <c r="Y38" s="32"/>
      <c r="Z38" s="32"/>
      <c r="AA38" s="32"/>
      <c r="AB38" s="32"/>
      <c r="AC38" s="32"/>
      <c r="AD38" s="32">
        <f>IFERROR(__xludf.DUMMYFUNCTION("""COMPUTED_VALUE"""),45924.0)</f>
        <v>45924</v>
      </c>
      <c r="AE38" s="32"/>
      <c r="AF38" s="32"/>
      <c r="AG38" s="32"/>
      <c r="AH38" s="32"/>
      <c r="AI38" s="32"/>
      <c r="AJ38" s="32"/>
      <c r="AK38" s="32">
        <f>IFERROR(__xludf.DUMMYFUNCTION("""COMPUTED_VALUE"""),45931.0)</f>
        <v>45931</v>
      </c>
      <c r="AL38" s="32"/>
      <c r="AM38" s="32"/>
      <c r="AN38" s="32"/>
      <c r="AO38" s="32"/>
      <c r="AP38" s="32"/>
      <c r="AQ38" s="32"/>
      <c r="AR38" s="32">
        <f>IFERROR(__xludf.DUMMYFUNCTION("""COMPUTED_VALUE"""),45938.0)</f>
        <v>45938</v>
      </c>
      <c r="AS38" s="32"/>
      <c r="AT38" s="32"/>
      <c r="AU38" s="32"/>
      <c r="AV38" s="32"/>
      <c r="AW38" s="32"/>
      <c r="AX38" s="32"/>
      <c r="AY38" s="32">
        <f>IFERROR(__xludf.DUMMYFUNCTION("""COMPUTED_VALUE"""),45945.0)</f>
        <v>45945</v>
      </c>
      <c r="AZ38" s="32"/>
      <c r="BA38" s="32"/>
      <c r="BB38" s="32"/>
      <c r="BC38" s="32"/>
      <c r="BD38" s="32"/>
      <c r="BE38" s="32"/>
      <c r="BF38" s="32">
        <f>IFERROR(__xludf.DUMMYFUNCTION("""COMPUTED_VALUE"""),45952.0)</f>
        <v>45952</v>
      </c>
      <c r="BG38" s="32"/>
      <c r="BH38" s="32"/>
      <c r="BI38" s="32"/>
      <c r="BJ38" s="32"/>
      <c r="BK38" s="32"/>
      <c r="BL38" s="32"/>
      <c r="BM38" s="32"/>
      <c r="BN38" s="32">
        <f>IFERROR(__xludf.DUMMYFUNCTION("""COMPUTED_VALUE"""),45959.0)</f>
        <v>45959</v>
      </c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>
        <f>IFERROR(__xludf.DUMMYFUNCTION("""COMPUTED_VALUE"""),45973.0)</f>
        <v>45973</v>
      </c>
      <c r="CB38" s="32"/>
      <c r="CC38" s="32"/>
      <c r="CD38" s="32"/>
      <c r="CE38" s="32"/>
      <c r="CF38" s="32"/>
      <c r="CG38" s="32"/>
      <c r="CH38" s="32">
        <f>IFERROR(__xludf.DUMMYFUNCTION("""COMPUTED_VALUE"""),45980.0)</f>
        <v>45980</v>
      </c>
      <c r="CI38" s="32"/>
      <c r="CJ38" s="32"/>
      <c r="CK38" s="32"/>
      <c r="CL38" s="32"/>
      <c r="CM38" s="32"/>
      <c r="CN38" s="32"/>
      <c r="CO38" s="32">
        <f>IFERROR(__xludf.DUMMYFUNCTION("""COMPUTED_VALUE"""),45987.0)</f>
        <v>45987</v>
      </c>
      <c r="CP38" s="32"/>
      <c r="CQ38" s="32"/>
      <c r="CR38" s="32"/>
      <c r="CS38" s="32"/>
      <c r="CT38" s="32"/>
      <c r="CU38" s="32"/>
      <c r="CV38" s="32">
        <f>IFERROR(__xludf.DUMMYFUNCTION("""COMPUTED_VALUE"""),45994.0)</f>
        <v>45994</v>
      </c>
      <c r="CW38" s="32"/>
      <c r="CX38" s="32"/>
      <c r="CY38" s="32"/>
      <c r="CZ38" s="32"/>
      <c r="DA38" s="32"/>
      <c r="DB38" s="32"/>
      <c r="DC38" s="32">
        <f>IFERROR(__xludf.DUMMYFUNCTION("""COMPUTED_VALUE"""),45997.0)</f>
        <v>45997</v>
      </c>
      <c r="DD38" s="32"/>
      <c r="DE38" s="32"/>
      <c r="DF38" s="32"/>
      <c r="DG38" s="32"/>
      <c r="DH38" s="32"/>
      <c r="DI38" s="32"/>
      <c r="DJ38" s="32">
        <f>IFERROR(__xludf.DUMMYFUNCTION("""COMPUTED_VALUE"""),46004.0)</f>
        <v>46004</v>
      </c>
      <c r="DK38" s="32">
        <f>IFERROR(__xludf.DUMMYFUNCTION("""COMPUTED_VALUE"""),46008.0)</f>
        <v>46008</v>
      </c>
      <c r="DL38" s="32">
        <f>IFERROR(__xludf.DUMMYFUNCTION("""COMPUTED_VALUE"""),46011.0)</f>
        <v>46011</v>
      </c>
      <c r="DM38" s="32">
        <f>IFERROR(__xludf.DUMMYFUNCTION("""COMPUTED_VALUE"""),46018.0)</f>
        <v>46018</v>
      </c>
      <c r="DN38" s="32"/>
      <c r="DO38" s="32"/>
      <c r="DP38" s="32"/>
      <c r="DQ38" s="32" t="str">
        <f>IFERROR(__xludf.DUMMYFUNCTION("""COMPUTED_VALUE"""),"1 полугодие")</f>
        <v>1 полугодие</v>
      </c>
      <c r="DR38" s="32">
        <f>IFERROR(__xludf.DUMMYFUNCTION("""COMPUTED_VALUE"""),46036.0)</f>
        <v>46036</v>
      </c>
      <c r="DS38" s="32"/>
      <c r="DT38" s="32"/>
      <c r="DU38" s="32"/>
      <c r="DV38" s="32"/>
      <c r="DW38" s="32"/>
      <c r="DX38" s="32"/>
      <c r="DY38" s="32">
        <f>IFERROR(__xludf.DUMMYFUNCTION("""COMPUTED_VALUE"""),46043.0)</f>
        <v>46043</v>
      </c>
      <c r="DZ38" s="32"/>
      <c r="EA38" s="32"/>
      <c r="EB38" s="32"/>
      <c r="EC38" s="32"/>
      <c r="ED38" s="32"/>
      <c r="EE38" s="32"/>
      <c r="EF38" s="32">
        <f>IFERROR(__xludf.DUMMYFUNCTION("""COMPUTED_VALUE"""),46050.0)</f>
        <v>46050</v>
      </c>
      <c r="EG38" s="32"/>
      <c r="EH38" s="32"/>
      <c r="EI38" s="32"/>
      <c r="EJ38" s="32"/>
      <c r="EK38" s="32"/>
      <c r="EL38" s="32"/>
      <c r="EM38" s="32">
        <f>IFERROR(__xludf.DUMMYFUNCTION("""COMPUTED_VALUE"""),46053.0)</f>
        <v>46053</v>
      </c>
      <c r="EN38" s="32"/>
      <c r="EO38" s="32"/>
      <c r="EP38" s="32"/>
      <c r="EQ38" s="32"/>
      <c r="ER38" s="32"/>
      <c r="ES38" s="32"/>
      <c r="ET38" s="32">
        <f>IFERROR(__xludf.DUMMYFUNCTION("""COMPUTED_VALUE"""),46057.0)</f>
        <v>46057</v>
      </c>
      <c r="EU38" s="32"/>
      <c r="EV38" s="32"/>
      <c r="EW38" s="32"/>
      <c r="EX38" s="32"/>
      <c r="EY38" s="32"/>
      <c r="EZ38" s="32"/>
      <c r="FA38" s="32">
        <f>IFERROR(__xludf.DUMMYFUNCTION("""COMPUTED_VALUE"""),46060.0)</f>
        <v>46060</v>
      </c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>
        <f>IFERROR(__xludf.DUMMYFUNCTION("""COMPUTED_VALUE"""),46064.0)</f>
        <v>46064</v>
      </c>
      <c r="FP38" s="32"/>
      <c r="FQ38" s="32"/>
      <c r="FR38" s="32"/>
      <c r="FS38" s="32"/>
      <c r="FT38" s="32"/>
      <c r="FU38" s="32"/>
      <c r="FV38" s="32">
        <f>IFERROR(__xludf.DUMMYFUNCTION("""COMPUTED_VALUE"""),46067.0)</f>
        <v>46067</v>
      </c>
      <c r="FW38" s="32"/>
      <c r="FX38" s="32"/>
      <c r="FY38" s="32"/>
      <c r="FZ38" s="32"/>
      <c r="GA38" s="32"/>
      <c r="GB38" s="32"/>
      <c r="GC38" s="32">
        <f>IFERROR(__xludf.DUMMYFUNCTION("""COMPUTED_VALUE"""),46071.0)</f>
        <v>46071</v>
      </c>
      <c r="GD38" s="32">
        <f>IFERROR(__xludf.DUMMYFUNCTION("""COMPUTED_VALUE"""),46074.0)</f>
        <v>46074</v>
      </c>
      <c r="GE38" s="32"/>
      <c r="GF38" s="32"/>
      <c r="GG38" s="32"/>
      <c r="GH38" s="32"/>
      <c r="GI38" s="32"/>
      <c r="GJ38" s="32"/>
      <c r="GK38" s="32"/>
      <c r="GL38" s="32">
        <f>IFERROR(__xludf.DUMMYFUNCTION("""COMPUTED_VALUE"""),46078.0)</f>
        <v>46078</v>
      </c>
      <c r="GM38" s="32"/>
      <c r="GN38" s="32"/>
      <c r="GO38" s="32"/>
      <c r="GP38" s="32"/>
      <c r="GQ38" s="32"/>
      <c r="GR38" s="32"/>
      <c r="GS38" s="32">
        <f>IFERROR(__xludf.DUMMYFUNCTION("""COMPUTED_VALUE"""),46081.0)</f>
        <v>46081</v>
      </c>
      <c r="GT38" s="32"/>
      <c r="GU38" s="32"/>
      <c r="GV38" s="32"/>
      <c r="GW38" s="32"/>
      <c r="GX38" s="32"/>
      <c r="GY38" s="32"/>
      <c r="GZ38" s="32">
        <f>IFERROR(__xludf.DUMMYFUNCTION("""COMPUTED_VALUE"""),46085.0)</f>
        <v>46085</v>
      </c>
      <c r="HA38" s="32"/>
      <c r="HB38" s="32"/>
      <c r="HC38" s="32"/>
      <c r="HD38" s="32"/>
      <c r="HE38" s="32"/>
      <c r="HF38" s="32"/>
      <c r="HG38" s="32">
        <f>IFERROR(__xludf.DUMMYFUNCTION("""COMPUTED_VALUE"""),46088.0)</f>
        <v>46088</v>
      </c>
      <c r="HH38" s="32"/>
      <c r="HI38" s="32"/>
      <c r="HJ38" s="32"/>
      <c r="HK38" s="32"/>
      <c r="HL38" s="32"/>
      <c r="HM38" s="32"/>
      <c r="HN38" s="32">
        <f>IFERROR(__xludf.DUMMYFUNCTION("""COMPUTED_VALUE"""),46092.0)</f>
        <v>46092</v>
      </c>
      <c r="HO38" s="32"/>
      <c r="HP38" s="32"/>
      <c r="HQ38" s="32"/>
      <c r="HR38" s="32"/>
      <c r="HS38" s="32"/>
      <c r="HT38" s="32"/>
      <c r="HU38" s="32">
        <f>IFERROR(__xludf.DUMMYFUNCTION("""COMPUTED_VALUE"""),46095.0)</f>
        <v>46095</v>
      </c>
      <c r="HV38" s="32"/>
      <c r="HW38" s="32"/>
      <c r="HX38" s="32"/>
      <c r="HY38" s="32"/>
      <c r="HZ38" s="32"/>
      <c r="IA38" s="32"/>
      <c r="IB38" s="32">
        <f>IFERROR(__xludf.DUMMYFUNCTION("""COMPUTED_VALUE"""),46099.0)</f>
        <v>46099</v>
      </c>
      <c r="IC38" s="32"/>
      <c r="ID38" s="32"/>
      <c r="IE38" s="32"/>
      <c r="IF38" s="32"/>
      <c r="IG38" s="32"/>
      <c r="IH38" s="32"/>
      <c r="II38" s="32"/>
      <c r="IJ38" s="32"/>
      <c r="IK38" s="32"/>
      <c r="IL38" s="32"/>
      <c r="IM38" s="32"/>
      <c r="IN38" s="32"/>
      <c r="IO38" s="32"/>
      <c r="IP38" s="32"/>
      <c r="IQ38" s="32"/>
      <c r="IR38" s="32"/>
      <c r="IS38" s="32"/>
      <c r="IT38" s="32"/>
      <c r="IU38" s="32"/>
      <c r="IV38" s="32" t="str">
        <f>IFERROR(__xludf.DUMMYFUNCTION("""COMPUTED_VALUE"""),"2 полугодие")</f>
        <v>2 полугодие</v>
      </c>
      <c r="IW38" s="32" t="str">
        <f>IFERROR(__xludf.DUMMYFUNCTION("""COMPUTED_VALUE"""),"год")</f>
        <v>год</v>
      </c>
      <c r="IX38" s="32" t="str">
        <f>IFERROR(__xludf.DUMMYFUNCTION("""COMPUTED_VALUE"""),"рейтинг")</f>
        <v>рейтинг</v>
      </c>
      <c r="IY38" s="32" t="str">
        <f>IFERROR(__xludf.DUMMYFUNCTION("""COMPUTED_VALUE"""),"скорость")</f>
        <v>скорость</v>
      </c>
      <c r="IZ38" s="32"/>
      <c r="JA38" s="32" t="str">
        <f>IFERROR(__xludf.DUMMYFUNCTION("""COMPUTED_VALUE"""),"Дата")</f>
        <v>Дата</v>
      </c>
      <c r="JB38" s="32"/>
      <c r="JC38" s="32"/>
      <c r="JD38" s="32"/>
      <c r="JE38" s="32"/>
    </row>
    <row r="39">
      <c r="A39" s="42" t="s">
        <v>289</v>
      </c>
      <c r="B39" s="35">
        <f>IFERROR(__xludf.DUMMYFUNCTION("VLOOKUP($A$1,IMPORTRANGE($A$2, CONCATENATE($A39,""!$B$5:$JB$48"")),B$1,0)"),5.0)</f>
        <v>5</v>
      </c>
      <c r="C39" s="35" t="str">
        <f>IFERROR(__xludf.DUMMYFUNCTION("VLOOKUP($A$1,IMPORTRANGE($A$2, CONCATENATE($A39,""!$B$5:$JB$48"")),C$1,0)"),"")</f>
        <v/>
      </c>
      <c r="D39" s="35" t="str">
        <f>IFERROR(__xludf.DUMMYFUNCTION("VLOOKUP($A$1,IMPORTRANGE($A$2, CONCATENATE($A39,""!$B$5:$JB$48"")),D$1,0)"),"")</f>
        <v/>
      </c>
      <c r="E39" s="35" t="str">
        <f>IFERROR(__xludf.DUMMYFUNCTION("VLOOKUP($A$1,IMPORTRANGE($A$2, CONCATENATE($A39,""!$B$5:$JB$48"")),E$1,0)"),"")</f>
        <v/>
      </c>
      <c r="F39" s="35" t="str">
        <f>IFERROR(__xludf.DUMMYFUNCTION("VLOOKUP($A$1,IMPORTRANGE($A$2, CONCATENATE($A39,""!$B$5:$JB$48"")),F$1,0)"),"")</f>
        <v/>
      </c>
      <c r="G39" s="35" t="str">
        <f>IFERROR(__xludf.DUMMYFUNCTION("VLOOKUP($A$1,IMPORTRANGE($A$2, CONCATENATE($A39,""!$B$5:$JB$48"")),G$1,0)"),"")</f>
        <v/>
      </c>
      <c r="H39" s="35" t="str">
        <f>IFERROR(__xludf.DUMMYFUNCTION("VLOOKUP($A$1,IMPORTRANGE($A$2, CONCATENATE($A39,""!$B$5:$JB$48"")),H$1,0)"),"")</f>
        <v/>
      </c>
      <c r="I39" s="35">
        <f>IFERROR(__xludf.DUMMYFUNCTION("VLOOKUP($A$1,IMPORTRANGE($A$2, CONCATENATE($A39,""!$B$5:$JB$48"")),I$1,0)"),5.0)</f>
        <v>5</v>
      </c>
      <c r="J39" s="35" t="str">
        <f>IFERROR(__xludf.DUMMYFUNCTION("VLOOKUP($A$1,IMPORTRANGE($A$2, CONCATENATE($A39,""!$B$5:$JB$48"")),J$1,0)"),"")</f>
        <v/>
      </c>
      <c r="K39" s="35" t="str">
        <f>IFERROR(__xludf.DUMMYFUNCTION("VLOOKUP($A$1,IMPORTRANGE($A$2, CONCATENATE($A39,""!$B$5:$JB$48"")),K$1,0)"),"")</f>
        <v/>
      </c>
      <c r="L39" s="35" t="str">
        <f>IFERROR(__xludf.DUMMYFUNCTION("VLOOKUP($A$1,IMPORTRANGE($A$2, CONCATENATE($A39,""!$B$5:$JB$48"")),L$1,0)"),"")</f>
        <v/>
      </c>
      <c r="M39" s="35" t="str">
        <f>IFERROR(__xludf.DUMMYFUNCTION("VLOOKUP($A$1,IMPORTRANGE($A$2, CONCATENATE($A39,""!$B$5:$JB$48"")),M$1,0)"),"")</f>
        <v/>
      </c>
      <c r="N39" s="35" t="str">
        <f>IFERROR(__xludf.DUMMYFUNCTION("VLOOKUP($A$1,IMPORTRANGE($A$2, CONCATENATE($A39,""!$B$5:$JB$48"")),N$1,0)"),"")</f>
        <v/>
      </c>
      <c r="O39" s="35" t="str">
        <f>IFERROR(__xludf.DUMMYFUNCTION("VLOOKUP($A$1,IMPORTRANGE($A$2, CONCATENATE($A39,""!$B$5:$JB$48"")),O$1,0)"),"")</f>
        <v/>
      </c>
      <c r="P39" s="35" t="str">
        <f>IFERROR(__xludf.DUMMYFUNCTION("VLOOKUP($A$1,IMPORTRANGE($A$2, CONCATENATE($A39,""!$B$5:$JB$48"")),P$1,0)"),"")</f>
        <v/>
      </c>
      <c r="Q39" s="35" t="str">
        <f>IFERROR(__xludf.DUMMYFUNCTION("VLOOKUP($A$1,IMPORTRANGE($A$2, CONCATENATE($A39,""!$B$5:$JB$48"")),Q$1,0)"),"")</f>
        <v/>
      </c>
      <c r="R39" s="35" t="str">
        <f>IFERROR(__xludf.DUMMYFUNCTION("VLOOKUP($A$1,IMPORTRANGE($A$2, CONCATENATE($A39,""!$B$5:$JB$48"")),R$1,0)"),"")</f>
        <v/>
      </c>
      <c r="S39" s="35" t="str">
        <f>IFERROR(__xludf.DUMMYFUNCTION("VLOOKUP($A$1,IMPORTRANGE($A$2, CONCATENATE($A39,""!$B$5:$JB$48"")),S$1,0)"),"")</f>
        <v/>
      </c>
      <c r="T39" s="35" t="str">
        <f>IFERROR(__xludf.DUMMYFUNCTION("VLOOKUP($A$1,IMPORTRANGE($A$2, CONCATENATE($A39,""!$B$5:$JB$48"")),T$1,0)"),"")</f>
        <v/>
      </c>
      <c r="U39" s="35" t="str">
        <f>IFERROR(__xludf.DUMMYFUNCTION("VLOOKUP($A$1,IMPORTRANGE($A$2, CONCATENATE($A39,""!$B$5:$JB$48"")),U$1,0)"),"")</f>
        <v/>
      </c>
      <c r="V39" s="35" t="str">
        <f>IFERROR(__xludf.DUMMYFUNCTION("VLOOKUP($A$1,IMPORTRANGE($A$2, CONCATENATE($A39,""!$B$5:$JB$48"")),V$1,0)"),"")</f>
        <v/>
      </c>
      <c r="W39" s="35">
        <f>IFERROR(__xludf.DUMMYFUNCTION("VLOOKUP($A$1,IMPORTRANGE($A$2, CONCATENATE($A39,""!$B$5:$JB$48"")),W$1,0)"),5.0)</f>
        <v>5</v>
      </c>
      <c r="X39" s="35" t="str">
        <f>IFERROR(__xludf.DUMMYFUNCTION("VLOOKUP($A$1,IMPORTRANGE($A$2, CONCATENATE($A39,""!$B$5:$JB$48"")),X$1,0)"),"")</f>
        <v/>
      </c>
      <c r="Y39" s="35" t="str">
        <f>IFERROR(__xludf.DUMMYFUNCTION("VLOOKUP($A$1,IMPORTRANGE($A$2, CONCATENATE($A39,""!$B$5:$JB$48"")),Y$1,0)"),"")</f>
        <v/>
      </c>
      <c r="Z39" s="35" t="str">
        <f>IFERROR(__xludf.DUMMYFUNCTION("VLOOKUP($A$1,IMPORTRANGE($A$2, CONCATENATE($A39,""!$B$5:$JB$48"")),Z$1,0)"),"")</f>
        <v/>
      </c>
      <c r="AA39" s="35" t="str">
        <f>IFERROR(__xludf.DUMMYFUNCTION("VLOOKUP($A$1,IMPORTRANGE($A$2, CONCATENATE($A39,""!$B$5:$JB$48"")),AA$1,0)"),"")</f>
        <v/>
      </c>
      <c r="AB39" s="35" t="str">
        <f>IFERROR(__xludf.DUMMYFUNCTION("VLOOKUP($A$1,IMPORTRANGE($A$2, CONCATENATE($A39,""!$B$5:$JB$48"")),AB$1,0)"),"")</f>
        <v/>
      </c>
      <c r="AC39" s="35" t="str">
        <f>IFERROR(__xludf.DUMMYFUNCTION("VLOOKUP($A$1,IMPORTRANGE($A$2, CONCATENATE($A39,""!$B$5:$JB$48"")),AC$1,0)"),"")</f>
        <v/>
      </c>
      <c r="AD39" s="35">
        <f>IFERROR(__xludf.DUMMYFUNCTION("VLOOKUP($A$1,IMPORTRANGE($A$2, CONCATENATE($A39,""!$B$5:$JB$48"")),AD$1,0)"),2.0)</f>
        <v>2</v>
      </c>
      <c r="AE39" s="35" t="str">
        <f>IFERROR(__xludf.DUMMYFUNCTION("VLOOKUP($A$1,IMPORTRANGE($A$2, CONCATENATE($A39,""!$B$5:$JB$48"")),AE$1,0)"),"")</f>
        <v/>
      </c>
      <c r="AF39" s="35" t="str">
        <f>IFERROR(__xludf.DUMMYFUNCTION("VLOOKUP($A$1,IMPORTRANGE($A$2, CONCATENATE($A39,""!$B$5:$JB$48"")),AF$1,0)"),"")</f>
        <v/>
      </c>
      <c r="AG39" s="35" t="str">
        <f>IFERROR(__xludf.DUMMYFUNCTION("VLOOKUP($A$1,IMPORTRANGE($A$2, CONCATENATE($A39,""!$B$5:$JB$48"")),AG$1,0)"),"")</f>
        <v/>
      </c>
      <c r="AH39" s="35" t="str">
        <f>IFERROR(__xludf.DUMMYFUNCTION("VLOOKUP($A$1,IMPORTRANGE($A$2, CONCATENATE($A39,""!$B$5:$JB$48"")),AH$1,0)"),"")</f>
        <v/>
      </c>
      <c r="AI39" s="35" t="str">
        <f>IFERROR(__xludf.DUMMYFUNCTION("VLOOKUP($A$1,IMPORTRANGE($A$2, CONCATENATE($A39,""!$B$5:$JB$48"")),AI$1,0)"),"")</f>
        <v/>
      </c>
      <c r="AJ39" s="35" t="str">
        <f>IFERROR(__xludf.DUMMYFUNCTION("VLOOKUP($A$1,IMPORTRANGE($A$2, CONCATENATE($A39,""!$B$5:$JB$48"")),AJ$1,0)"),"")</f>
        <v/>
      </c>
      <c r="AK39" s="35" t="str">
        <f>IFERROR(__xludf.DUMMYFUNCTION("VLOOKUP($A$1,IMPORTRANGE($A$2, CONCATENATE($A39,""!$B$5:$JB$48"")),AK$1,0)"),"")</f>
        <v/>
      </c>
      <c r="AL39" s="35" t="str">
        <f>IFERROR(__xludf.DUMMYFUNCTION("VLOOKUP($A$1,IMPORTRANGE($A$2, CONCATENATE($A39,""!$B$5:$JB$48"")),AL$1,0)"),"")</f>
        <v/>
      </c>
      <c r="AM39" s="35" t="str">
        <f>IFERROR(__xludf.DUMMYFUNCTION("VLOOKUP($A$1,IMPORTRANGE($A$2, CONCATENATE($A39,""!$B$5:$JB$48"")),AM$1,0)"),"")</f>
        <v/>
      </c>
      <c r="AN39" s="35" t="str">
        <f>IFERROR(__xludf.DUMMYFUNCTION("VLOOKUP($A$1,IMPORTRANGE($A$2, CONCATENATE($A39,""!$B$5:$JB$48"")),AN$1,0)"),"")</f>
        <v/>
      </c>
      <c r="AO39" s="35" t="str">
        <f>IFERROR(__xludf.DUMMYFUNCTION("VLOOKUP($A$1,IMPORTRANGE($A$2, CONCATENATE($A39,""!$B$5:$JB$48"")),AO$1,0)"),"")</f>
        <v/>
      </c>
      <c r="AP39" s="35" t="str">
        <f>IFERROR(__xludf.DUMMYFUNCTION("VLOOKUP($A$1,IMPORTRANGE($A$2, CONCATENATE($A39,""!$B$5:$JB$48"")),AP$1,0)"),"")</f>
        <v/>
      </c>
      <c r="AQ39" s="35" t="str">
        <f>IFERROR(__xludf.DUMMYFUNCTION("VLOOKUP($A$1,IMPORTRANGE($A$2, CONCATENATE($A39,""!$B$5:$JB$48"")),AQ$1,0)"),"")</f>
        <v/>
      </c>
      <c r="AR39" s="35">
        <f>IFERROR(__xludf.DUMMYFUNCTION("VLOOKUP($A$1,IMPORTRANGE($A$2, CONCATENATE($A39,""!$B$5:$JB$48"")),AR$1,0)"),5.0)</f>
        <v>5</v>
      </c>
      <c r="AS39" s="35" t="str">
        <f>IFERROR(__xludf.DUMMYFUNCTION("VLOOKUP($A$1,IMPORTRANGE($A$2, CONCATENATE($A39,""!$B$5:$JB$48"")),AS$1,0)"),"")</f>
        <v/>
      </c>
      <c r="AT39" s="35" t="str">
        <f>IFERROR(__xludf.DUMMYFUNCTION("VLOOKUP($A$1,IMPORTRANGE($A$2, CONCATENATE($A39,""!$B$5:$JB$48"")),AT$1,0)"),"")</f>
        <v/>
      </c>
      <c r="AU39" s="35" t="str">
        <f>IFERROR(__xludf.DUMMYFUNCTION("VLOOKUP($A$1,IMPORTRANGE($A$2, CONCATENATE($A39,""!$B$5:$JB$48"")),AU$1,0)"),"")</f>
        <v/>
      </c>
      <c r="AV39" s="35" t="str">
        <f>IFERROR(__xludf.DUMMYFUNCTION("VLOOKUP($A$1,IMPORTRANGE($A$2, CONCATENATE($A39,""!$B$5:$JB$48"")),AV$1,0)"),"")</f>
        <v/>
      </c>
      <c r="AW39" s="35" t="str">
        <f>IFERROR(__xludf.DUMMYFUNCTION("VLOOKUP($A$1,IMPORTRANGE($A$2, CONCATENATE($A39,""!$B$5:$JB$48"")),AW$1,0)"),"")</f>
        <v/>
      </c>
      <c r="AX39" s="35" t="str">
        <f>IFERROR(__xludf.DUMMYFUNCTION("VLOOKUP($A$1,IMPORTRANGE($A$2, CONCATENATE($A39,""!$B$5:$JB$48"")),AX$1,0)"),"")</f>
        <v/>
      </c>
      <c r="AY39" s="35" t="str">
        <f>IFERROR(__xludf.DUMMYFUNCTION("VLOOKUP($A$1,IMPORTRANGE($A$2, CONCATENATE($A39,""!$B$5:$JB$48"")),AY$1,0)"),"")</f>
        <v/>
      </c>
      <c r="AZ39" s="35" t="str">
        <f>IFERROR(__xludf.DUMMYFUNCTION("VLOOKUP($A$1,IMPORTRANGE($A$2, CONCATENATE($A39,""!$B$5:$JB$48"")),AZ$1,0)"),"")</f>
        <v/>
      </c>
      <c r="BA39" s="35" t="str">
        <f>IFERROR(__xludf.DUMMYFUNCTION("VLOOKUP($A$1,IMPORTRANGE($A$2, CONCATENATE($A39,""!$B$5:$JB$48"")),BA$1,0)"),"")</f>
        <v/>
      </c>
      <c r="BB39" s="35" t="str">
        <f>IFERROR(__xludf.DUMMYFUNCTION("VLOOKUP($A$1,IMPORTRANGE($A$2, CONCATENATE($A39,""!$B$5:$JB$48"")),BB$1,0)"),"")</f>
        <v/>
      </c>
      <c r="BC39" s="35" t="str">
        <f>IFERROR(__xludf.DUMMYFUNCTION("VLOOKUP($A$1,IMPORTRANGE($A$2, CONCATENATE($A39,""!$B$5:$JB$48"")),BC$1,0)"),"")</f>
        <v/>
      </c>
      <c r="BD39" s="35" t="str">
        <f>IFERROR(__xludf.DUMMYFUNCTION("VLOOKUP($A$1,IMPORTRANGE($A$2, CONCATENATE($A39,""!$B$5:$JB$48"")),BD$1,0)"),"")</f>
        <v/>
      </c>
      <c r="BE39" s="35" t="str">
        <f>IFERROR(__xludf.DUMMYFUNCTION("VLOOKUP($A$1,IMPORTRANGE($A$2, CONCATENATE($A39,""!$B$5:$JB$48"")),BE$1,0)"),"")</f>
        <v/>
      </c>
      <c r="BF39" s="35" t="str">
        <f>IFERROR(__xludf.DUMMYFUNCTION("VLOOKUP($A$1,IMPORTRANGE($A$2, CONCATENATE($A39,""!$B$5:$JB$48"")),BF$1,0)"),"")</f>
        <v/>
      </c>
      <c r="BG39" s="35" t="str">
        <f>IFERROR(__xludf.DUMMYFUNCTION("VLOOKUP($A$1,IMPORTRANGE($A$2, CONCATENATE($A39,""!$B$5:$JB$48"")),BG$1,0)"),"")</f>
        <v/>
      </c>
      <c r="BH39" s="35" t="str">
        <f>IFERROR(__xludf.DUMMYFUNCTION("VLOOKUP($A$1,IMPORTRANGE($A$2, CONCATENATE($A39,""!$B$5:$JB$48"")),BH$1,0)"),"")</f>
        <v/>
      </c>
      <c r="BI39" s="35" t="str">
        <f>IFERROR(__xludf.DUMMYFUNCTION("VLOOKUP($A$1,IMPORTRANGE($A$2, CONCATENATE($A39,""!$B$5:$JB$48"")),BI$1,0)"),"")</f>
        <v/>
      </c>
      <c r="BJ39" s="35" t="str">
        <f>IFERROR(__xludf.DUMMYFUNCTION("VLOOKUP($A$1,IMPORTRANGE($A$2, CONCATENATE($A39,""!$B$5:$JB$48"")),BJ$1,0)"),"")</f>
        <v/>
      </c>
      <c r="BK39" s="35" t="str">
        <f>IFERROR(__xludf.DUMMYFUNCTION("VLOOKUP($A$1,IMPORTRANGE($A$2, CONCATENATE($A39,""!$B$5:$JB$48"")),BK$1,0)"),"")</f>
        <v/>
      </c>
      <c r="BL39" s="35" t="str">
        <f>IFERROR(__xludf.DUMMYFUNCTION("VLOOKUP($A$1,IMPORTRANGE($A$2, CONCATENATE($A39,""!$B$5:$JB$48"")),BL$1,0)"),"")</f>
        <v/>
      </c>
      <c r="BM39" s="35" t="str">
        <f>IFERROR(__xludf.DUMMYFUNCTION("VLOOKUP($A$1,IMPORTRANGE($A$2, CONCATENATE($A39,""!$B$5:$JB$48"")),BM$1,0)"),"")</f>
        <v/>
      </c>
      <c r="BN39" s="35" t="str">
        <f>IFERROR(__xludf.DUMMYFUNCTION("VLOOKUP($A$1,IMPORTRANGE($A$2, CONCATENATE($A39,""!$B$5:$JB$48"")),BN$1,0)"),"")</f>
        <v/>
      </c>
      <c r="BO39" s="35" t="str">
        <f>IFERROR(__xludf.DUMMYFUNCTION("VLOOKUP($A$1,IMPORTRANGE($A$2, CONCATENATE($A39,""!$B$5:$JB$48"")),BO$1,0)"),"")</f>
        <v/>
      </c>
      <c r="BP39" s="35" t="str">
        <f>IFERROR(__xludf.DUMMYFUNCTION("VLOOKUP($A$1,IMPORTRANGE($A$2, CONCATENATE($A39,""!$B$5:$JB$48"")),BP$1,0)"),"")</f>
        <v/>
      </c>
      <c r="BQ39" s="35" t="str">
        <f>IFERROR(__xludf.DUMMYFUNCTION("VLOOKUP($A$1,IMPORTRANGE($A$2, CONCATENATE($A39,""!$B$5:$JB$48"")),BQ$1,0)"),"")</f>
        <v/>
      </c>
      <c r="BR39" s="35" t="str">
        <f>IFERROR(__xludf.DUMMYFUNCTION("VLOOKUP($A$1,IMPORTRANGE($A$2, CONCATENATE($A39,""!$B$5:$JB$48"")),BR$1,0)"),"")</f>
        <v/>
      </c>
      <c r="BS39" s="35" t="str">
        <f>IFERROR(__xludf.DUMMYFUNCTION("VLOOKUP($A$1,IMPORTRANGE($A$2, CONCATENATE($A39,""!$B$5:$JB$48"")),BS$1,0)"),"")</f>
        <v/>
      </c>
      <c r="BT39" s="35" t="str">
        <f>IFERROR(__xludf.DUMMYFUNCTION("VLOOKUP($A$1,IMPORTRANGE($A$2, CONCATENATE($A39,""!$B$5:$JB$48"")),BT$1,0)"),"")</f>
        <v/>
      </c>
      <c r="BU39" s="35" t="str">
        <f>IFERROR(__xludf.DUMMYFUNCTION("VLOOKUP($A$1,IMPORTRANGE($A$2, CONCATENATE($A39,""!$B$5:$JB$48"")),BU$1,0)"),"")</f>
        <v/>
      </c>
      <c r="BV39" s="35" t="str">
        <f>IFERROR(__xludf.DUMMYFUNCTION("VLOOKUP($A$1,IMPORTRANGE($A$2, CONCATENATE($A39,""!$B$5:$JB$48"")),BV$1,0)"),"")</f>
        <v/>
      </c>
      <c r="BW39" s="35" t="str">
        <f>IFERROR(__xludf.DUMMYFUNCTION("VLOOKUP($A$1,IMPORTRANGE($A$2, CONCATENATE($A39,""!$B$5:$JB$48"")),BW$1,0)"),"")</f>
        <v/>
      </c>
      <c r="BX39" s="35" t="str">
        <f>IFERROR(__xludf.DUMMYFUNCTION("VLOOKUP($A$1,IMPORTRANGE($A$2, CONCATENATE($A39,""!$B$5:$JB$48"")),BX$1,0)"),"")</f>
        <v/>
      </c>
      <c r="BY39" s="35" t="str">
        <f>IFERROR(__xludf.DUMMYFUNCTION("VLOOKUP($A$1,IMPORTRANGE($A$2, CONCATENATE($A39,""!$B$5:$JB$48"")),BY$1,0)"),"")</f>
        <v/>
      </c>
      <c r="BZ39" s="35" t="str">
        <f>IFERROR(__xludf.DUMMYFUNCTION("VLOOKUP($A$1,IMPORTRANGE($A$2, CONCATENATE($A39,""!$B$5:$JB$48"")),BZ$1,0)"),"")</f>
        <v/>
      </c>
      <c r="CA39" s="35" t="str">
        <f>IFERROR(__xludf.DUMMYFUNCTION("VLOOKUP($A$1,IMPORTRANGE($A$2, CONCATENATE($A39,""!$B$5:$JB$48"")),CA$1,0)"),"")</f>
        <v/>
      </c>
      <c r="CB39" s="35" t="str">
        <f>IFERROR(__xludf.DUMMYFUNCTION("VLOOKUP($A$1,IMPORTRANGE($A$2, CONCATENATE($A39,""!$B$5:$JB$48"")),CB$1,0)"),"")</f>
        <v/>
      </c>
      <c r="CC39" s="35" t="str">
        <f>IFERROR(__xludf.DUMMYFUNCTION("VLOOKUP($A$1,IMPORTRANGE($A$2, CONCATENATE($A39,""!$B$5:$JB$48"")),CC$1,0)"),"")</f>
        <v/>
      </c>
      <c r="CD39" s="35" t="str">
        <f>IFERROR(__xludf.DUMMYFUNCTION("VLOOKUP($A$1,IMPORTRANGE($A$2, CONCATENATE($A39,""!$B$5:$JB$48"")),CD$1,0)"),"")</f>
        <v/>
      </c>
      <c r="CE39" s="35" t="str">
        <f>IFERROR(__xludf.DUMMYFUNCTION("VLOOKUP($A$1,IMPORTRANGE($A$2, CONCATENATE($A39,""!$B$5:$JB$48"")),CE$1,0)"),"")</f>
        <v/>
      </c>
      <c r="CF39" s="35" t="str">
        <f>IFERROR(__xludf.DUMMYFUNCTION("VLOOKUP($A$1,IMPORTRANGE($A$2, CONCATENATE($A39,""!$B$5:$JB$48"")),CF$1,0)"),"")</f>
        <v/>
      </c>
      <c r="CG39" s="35" t="str">
        <f>IFERROR(__xludf.DUMMYFUNCTION("VLOOKUP($A$1,IMPORTRANGE($A$2, CONCATENATE($A39,""!$B$5:$JB$48"")),CG$1,0)"),"")</f>
        <v/>
      </c>
      <c r="CH39" s="35" t="str">
        <f>IFERROR(__xludf.DUMMYFUNCTION("VLOOKUP($A$1,IMPORTRANGE($A$2, CONCATENATE($A39,""!$B$5:$JB$48"")),CH$1,0)"),"")</f>
        <v/>
      </c>
      <c r="CI39" s="35" t="str">
        <f>IFERROR(__xludf.DUMMYFUNCTION("VLOOKUP($A$1,IMPORTRANGE($A$2, CONCATENATE($A39,""!$B$5:$JB$48"")),CI$1,0)"),"")</f>
        <v/>
      </c>
      <c r="CJ39" s="35" t="str">
        <f>IFERROR(__xludf.DUMMYFUNCTION("VLOOKUP($A$1,IMPORTRANGE($A$2, CONCATENATE($A39,""!$B$5:$JB$48"")),CJ$1,0)"),"")</f>
        <v/>
      </c>
      <c r="CK39" s="35" t="str">
        <f>IFERROR(__xludf.DUMMYFUNCTION("VLOOKUP($A$1,IMPORTRANGE($A$2, CONCATENATE($A39,""!$B$5:$JB$48"")),CK$1,0)"),"")</f>
        <v/>
      </c>
      <c r="CL39" s="35" t="str">
        <f>IFERROR(__xludf.DUMMYFUNCTION("VLOOKUP($A$1,IMPORTRANGE($A$2, CONCATENATE($A39,""!$B$5:$JB$48"")),CL$1,0)"),"")</f>
        <v/>
      </c>
      <c r="CM39" s="35" t="str">
        <f>IFERROR(__xludf.DUMMYFUNCTION("VLOOKUP($A$1,IMPORTRANGE($A$2, CONCATENATE($A39,""!$B$5:$JB$48"")),CM$1,0)"),"")</f>
        <v/>
      </c>
      <c r="CN39" s="35" t="str">
        <f>IFERROR(__xludf.DUMMYFUNCTION("VLOOKUP($A$1,IMPORTRANGE($A$2, CONCATENATE($A39,""!$B$5:$JB$48"")),CN$1,0)"),"")</f>
        <v/>
      </c>
      <c r="CO39" s="35">
        <f>IFERROR(__xludf.DUMMYFUNCTION("VLOOKUP($A$1,IMPORTRANGE($A$2, CONCATENATE($A39,""!$B$5:$JB$48"")),CO$1,0)"),5.0)</f>
        <v>5</v>
      </c>
      <c r="CP39" s="35" t="str">
        <f>IFERROR(__xludf.DUMMYFUNCTION("VLOOKUP($A$1,IMPORTRANGE($A$2, CONCATENATE($A39,""!$B$5:$JB$48"")),CP$1,0)"),"")</f>
        <v/>
      </c>
      <c r="CQ39" s="35" t="str">
        <f>IFERROR(__xludf.DUMMYFUNCTION("VLOOKUP($A$1,IMPORTRANGE($A$2, CONCATENATE($A39,""!$B$5:$JB$48"")),CQ$1,0)"),"")</f>
        <v/>
      </c>
      <c r="CR39" s="35" t="str">
        <f>IFERROR(__xludf.DUMMYFUNCTION("VLOOKUP($A$1,IMPORTRANGE($A$2, CONCATENATE($A39,""!$B$5:$JB$48"")),CR$1,0)"),"")</f>
        <v/>
      </c>
      <c r="CS39" s="35" t="str">
        <f>IFERROR(__xludf.DUMMYFUNCTION("VLOOKUP($A$1,IMPORTRANGE($A$2, CONCATENATE($A39,""!$B$5:$JB$48"")),CS$1,0)"),"")</f>
        <v/>
      </c>
      <c r="CT39" s="35" t="str">
        <f>IFERROR(__xludf.DUMMYFUNCTION("VLOOKUP($A$1,IMPORTRANGE($A$2, CONCATENATE($A39,""!$B$5:$JB$48"")),CT$1,0)"),"")</f>
        <v/>
      </c>
      <c r="CU39" s="35" t="str">
        <f>IFERROR(__xludf.DUMMYFUNCTION("VLOOKUP($A$1,IMPORTRANGE($A$2, CONCATENATE($A39,""!$B$5:$JB$48"")),CU$1,0)"),"")</f>
        <v/>
      </c>
      <c r="CV39" s="35">
        <f>IFERROR(__xludf.DUMMYFUNCTION("VLOOKUP($A$1,IMPORTRANGE($A$2, CONCATENATE($A39,""!$B$5:$JB$48"")),CV$1,0)"),5.0)</f>
        <v>5</v>
      </c>
      <c r="CW39" s="35" t="str">
        <f>IFERROR(__xludf.DUMMYFUNCTION("VLOOKUP($A$1,IMPORTRANGE($A$2, CONCATENATE($A39,""!$B$5:$JB$48"")),CW$1,0)"),"")</f>
        <v/>
      </c>
      <c r="CX39" s="35" t="str">
        <f>IFERROR(__xludf.DUMMYFUNCTION("VLOOKUP($A$1,IMPORTRANGE($A$2, CONCATENATE($A39,""!$B$5:$JB$48"")),CX$1,0)"),"")</f>
        <v/>
      </c>
      <c r="CY39" s="35" t="str">
        <f>IFERROR(__xludf.DUMMYFUNCTION("VLOOKUP($A$1,IMPORTRANGE($A$2, CONCATENATE($A39,""!$B$5:$JB$48"")),CY$1,0)"),"")</f>
        <v/>
      </c>
      <c r="CZ39" s="35" t="str">
        <f>IFERROR(__xludf.DUMMYFUNCTION("VLOOKUP($A$1,IMPORTRANGE($A$2, CONCATENATE($A39,""!$B$5:$JB$48"")),CZ$1,0)"),"")</f>
        <v/>
      </c>
      <c r="DA39" s="35" t="str">
        <f>IFERROR(__xludf.DUMMYFUNCTION("VLOOKUP($A$1,IMPORTRANGE($A$2, CONCATENATE($A39,""!$B$5:$JB$48"")),DA$1,0)"),"")</f>
        <v/>
      </c>
      <c r="DB39" s="35" t="str">
        <f>IFERROR(__xludf.DUMMYFUNCTION("VLOOKUP($A$1,IMPORTRANGE($A$2, CONCATENATE($A39,""!$B$5:$JB$48"")),DB$1,0)"),"")</f>
        <v/>
      </c>
      <c r="DC39" s="35" t="str">
        <f>IFERROR(__xludf.DUMMYFUNCTION("VLOOKUP($A$1,IMPORTRANGE($A$2, CONCATENATE($A39,""!$B$5:$JB$48"")),DC$1,0)"),"")</f>
        <v/>
      </c>
      <c r="DD39" s="35" t="str">
        <f>IFERROR(__xludf.DUMMYFUNCTION("VLOOKUP($A$1,IMPORTRANGE($A$2, CONCATENATE($A39,""!$B$5:$JB$48"")),DD$1,0)"),"")</f>
        <v/>
      </c>
      <c r="DE39" s="35" t="str">
        <f>IFERROR(__xludf.DUMMYFUNCTION("VLOOKUP($A$1,IMPORTRANGE($A$2, CONCATENATE($A39,""!$B$5:$JB$48"")),DE$1,0)"),"")</f>
        <v/>
      </c>
      <c r="DF39" s="35" t="str">
        <f>IFERROR(__xludf.DUMMYFUNCTION("VLOOKUP($A$1,IMPORTRANGE($A$2, CONCATENATE($A39,""!$B$5:$JB$48"")),DF$1,0)"),"")</f>
        <v/>
      </c>
      <c r="DG39" s="35" t="str">
        <f>IFERROR(__xludf.DUMMYFUNCTION("VLOOKUP($A$1,IMPORTRANGE($A$2, CONCATENATE($A39,""!$B$5:$JB$48"")),DG$1,0)"),"")</f>
        <v/>
      </c>
      <c r="DH39" s="35" t="str">
        <f>IFERROR(__xludf.DUMMYFUNCTION("VLOOKUP($A$1,IMPORTRANGE($A$2, CONCATENATE($A39,""!$B$5:$JB$48"")),DH$1,0)"),"")</f>
        <v/>
      </c>
      <c r="DI39" s="35" t="str">
        <f>IFERROR(__xludf.DUMMYFUNCTION("VLOOKUP($A$1,IMPORTRANGE($A$2, CONCATENATE($A39,""!$B$5:$JB$48"")),DI$1,0)"),"")</f>
        <v/>
      </c>
      <c r="DJ39" s="35" t="str">
        <f>IFERROR(__xludf.DUMMYFUNCTION("VLOOKUP($A$1,IMPORTRANGE($A$2, CONCATENATE($A39,""!$B$5:$JB$48"")),DJ$1,0)"),"н")</f>
        <v>н</v>
      </c>
      <c r="DK39" s="35" t="str">
        <f>IFERROR(__xludf.DUMMYFUNCTION("VLOOKUP($A$1,IMPORTRANGE($A$2, CONCATENATE($A39,""!$B$5:$JB$48"")),DK$1,0)"),"")</f>
        <v/>
      </c>
      <c r="DL39" s="35" t="str">
        <f>IFERROR(__xludf.DUMMYFUNCTION("VLOOKUP($A$1,IMPORTRANGE($A$2, CONCATENATE($A39,""!$B$5:$JB$48"")),DL$1,0)"),"")</f>
        <v/>
      </c>
      <c r="DM39" s="35">
        <f>IFERROR(__xludf.DUMMYFUNCTION("VLOOKUP($A$1,IMPORTRANGE($A$2, CONCATENATE($A39,""!$B$5:$JB$48"")),DM$1,0)"),5.0)</f>
        <v>5</v>
      </c>
      <c r="DN39" s="35" t="str">
        <f>IFERROR(__xludf.DUMMYFUNCTION("VLOOKUP($A$1,IMPORTRANGE($A$2, CONCATENATE($A39,""!$B$5:$JB$48"")),DN$1,0)"),"")</f>
        <v/>
      </c>
      <c r="DO39" s="35" t="str">
        <f>IFERROR(__xludf.DUMMYFUNCTION("VLOOKUP($A$1,IMPORTRANGE($A$2, CONCATENATE($A39,""!$B$5:$JB$48"")),DO$1,0)"),"")</f>
        <v/>
      </c>
      <c r="DP39" s="35" t="str">
        <f>IFERROR(__xludf.DUMMYFUNCTION("VLOOKUP($A$1,IMPORTRANGE($A$2, CONCATENATE($A39,""!$B$5:$JB$48"")),DP$1,0)"),"")</f>
        <v/>
      </c>
      <c r="DQ39" s="35">
        <f>IFERROR(__xludf.DUMMYFUNCTION("VLOOKUP($A$1,IMPORTRANGE($A$2, CONCATENATE($A39,""!$B$5:$JB$48"")),DQ$1,0)"),5.0)</f>
        <v>5</v>
      </c>
      <c r="DR39" s="35" t="str">
        <f>IFERROR(__xludf.DUMMYFUNCTION("VLOOKUP($A$1,IMPORTRANGE($A$2, CONCATENATE($A39,""!$B$5:$JB$48"")),DR$1,0)"),"")</f>
        <v/>
      </c>
      <c r="DS39" s="35" t="str">
        <f>IFERROR(__xludf.DUMMYFUNCTION("VLOOKUP($A$1,IMPORTRANGE($A$2, CONCATENATE($A39,""!$B$5:$JB$48"")),DS$1,0)"),"")</f>
        <v/>
      </c>
      <c r="DT39" s="35" t="str">
        <f>IFERROR(__xludf.DUMMYFUNCTION("VLOOKUP($A$1,IMPORTRANGE($A$2, CONCATENATE($A39,""!$B$5:$JB$48"")),DT$1,0)"),"")</f>
        <v/>
      </c>
      <c r="DU39" s="35" t="str">
        <f>IFERROR(__xludf.DUMMYFUNCTION("VLOOKUP($A$1,IMPORTRANGE($A$2, CONCATENATE($A39,""!$B$5:$JB$48"")),DU$1,0)"),"")</f>
        <v/>
      </c>
      <c r="DV39" s="35" t="str">
        <f>IFERROR(__xludf.DUMMYFUNCTION("VLOOKUP($A$1,IMPORTRANGE($A$2, CONCATENATE($A39,""!$B$5:$JB$48"")),DV$1,0)"),"")</f>
        <v/>
      </c>
      <c r="DW39" s="35" t="str">
        <f>IFERROR(__xludf.DUMMYFUNCTION("VLOOKUP($A$1,IMPORTRANGE($A$2, CONCATENATE($A39,""!$B$5:$JB$48"")),DW$1,0)"),"")</f>
        <v/>
      </c>
      <c r="DX39" s="35" t="str">
        <f>IFERROR(__xludf.DUMMYFUNCTION("VLOOKUP($A$1,IMPORTRANGE($A$2, CONCATENATE($A39,""!$B$5:$JB$48"")),DX$1,0)"),"")</f>
        <v/>
      </c>
      <c r="DY39" s="35">
        <f>IFERROR(__xludf.DUMMYFUNCTION("VLOOKUP($A$1,IMPORTRANGE($A$2, CONCATENATE($A39,""!$B$5:$JB$48"")),DY$1,0)"),5.0)</f>
        <v>5</v>
      </c>
      <c r="DZ39" s="35" t="str">
        <f>IFERROR(__xludf.DUMMYFUNCTION("VLOOKUP($A$1,IMPORTRANGE($A$2, CONCATENATE($A39,""!$B$5:$JB$48"")),DZ$1,0)"),"")</f>
        <v/>
      </c>
      <c r="EA39" s="35" t="str">
        <f>IFERROR(__xludf.DUMMYFUNCTION("VLOOKUP($A$1,IMPORTRANGE($A$2, CONCATENATE($A39,""!$B$5:$JB$48"")),EA$1,0)"),"")</f>
        <v/>
      </c>
      <c r="EB39" s="35" t="str">
        <f>IFERROR(__xludf.DUMMYFUNCTION("VLOOKUP($A$1,IMPORTRANGE($A$2, CONCATENATE($A39,""!$B$5:$JB$48"")),EB$1,0)"),"")</f>
        <v/>
      </c>
      <c r="EC39" s="35" t="str">
        <f>IFERROR(__xludf.DUMMYFUNCTION("VLOOKUP($A$1,IMPORTRANGE($A$2, CONCATENATE($A39,""!$B$5:$JB$48"")),EC$1,0)"),"")</f>
        <v/>
      </c>
      <c r="ED39" s="35" t="str">
        <f>IFERROR(__xludf.DUMMYFUNCTION("VLOOKUP($A$1,IMPORTRANGE($A$2, CONCATENATE($A39,""!$B$5:$JB$48"")),ED$1,0)"),"")</f>
        <v/>
      </c>
      <c r="EE39" s="35" t="str">
        <f>IFERROR(__xludf.DUMMYFUNCTION("VLOOKUP($A$1,IMPORTRANGE($A$2, CONCATENATE($A39,""!$B$5:$JB$48"")),EE$1,0)"),"")</f>
        <v/>
      </c>
      <c r="EF39" s="35" t="str">
        <f>IFERROR(__xludf.DUMMYFUNCTION("VLOOKUP($A$1,IMPORTRANGE($A$2, CONCATENATE($A39,""!$B$5:$JB$48"")),EF$1,0)"),"")</f>
        <v/>
      </c>
      <c r="EG39" s="35" t="str">
        <f>IFERROR(__xludf.DUMMYFUNCTION("VLOOKUP($A$1,IMPORTRANGE($A$2, CONCATENATE($A39,""!$B$5:$JB$48"")),EG$1,0)"),"")</f>
        <v/>
      </c>
      <c r="EH39" s="35" t="str">
        <f>IFERROR(__xludf.DUMMYFUNCTION("VLOOKUP($A$1,IMPORTRANGE($A$2, CONCATENATE($A39,""!$B$5:$JB$48"")),EH$1,0)"),"")</f>
        <v/>
      </c>
      <c r="EI39" s="35" t="str">
        <f>IFERROR(__xludf.DUMMYFUNCTION("VLOOKUP($A$1,IMPORTRANGE($A$2, CONCATENATE($A39,""!$B$5:$JB$48"")),EI$1,0)"),"")</f>
        <v/>
      </c>
      <c r="EJ39" s="35" t="str">
        <f>IFERROR(__xludf.DUMMYFUNCTION("VLOOKUP($A$1,IMPORTRANGE($A$2, CONCATENATE($A39,""!$B$5:$JB$48"")),EJ$1,0)"),"")</f>
        <v/>
      </c>
      <c r="EK39" s="35" t="str">
        <f>IFERROR(__xludf.DUMMYFUNCTION("VLOOKUP($A$1,IMPORTRANGE($A$2, CONCATENATE($A39,""!$B$5:$JB$48"")),EK$1,0)"),"")</f>
        <v/>
      </c>
      <c r="EL39" s="35" t="str">
        <f>IFERROR(__xludf.DUMMYFUNCTION("VLOOKUP($A$1,IMPORTRANGE($A$2, CONCATENATE($A39,""!$B$5:$JB$48"")),EL$1,0)"),"")</f>
        <v/>
      </c>
      <c r="EM39" s="35" t="str">
        <f>IFERROR(__xludf.DUMMYFUNCTION("VLOOKUP($A$1,IMPORTRANGE($A$2, CONCATENATE($A39,""!$B$5:$JB$48"")),EM$1,0)"),"н")</f>
        <v>н</v>
      </c>
      <c r="EN39" s="35" t="str">
        <f>IFERROR(__xludf.DUMMYFUNCTION("VLOOKUP($A$1,IMPORTRANGE($A$2, CONCATENATE($A39,""!$B$5:$JB$48"")),EN$1,0)"),"")</f>
        <v/>
      </c>
      <c r="EO39" s="35" t="str">
        <f>IFERROR(__xludf.DUMMYFUNCTION("VLOOKUP($A$1,IMPORTRANGE($A$2, CONCATENATE($A39,""!$B$5:$JB$48"")),EO$1,0)"),"")</f>
        <v/>
      </c>
      <c r="EP39" s="35" t="str">
        <f>IFERROR(__xludf.DUMMYFUNCTION("VLOOKUP($A$1,IMPORTRANGE($A$2, CONCATENATE($A39,""!$B$5:$JB$48"")),EP$1,0)"),"")</f>
        <v/>
      </c>
      <c r="EQ39" s="35" t="str">
        <f>IFERROR(__xludf.DUMMYFUNCTION("VLOOKUP($A$1,IMPORTRANGE($A$2, CONCATENATE($A39,""!$B$5:$JB$48"")),EQ$1,0)"),"")</f>
        <v/>
      </c>
      <c r="ER39" s="35" t="str">
        <f>IFERROR(__xludf.DUMMYFUNCTION("VLOOKUP($A$1,IMPORTRANGE($A$2, CONCATENATE($A39,""!$B$5:$JB$48"")),ER$1,0)"),"")</f>
        <v/>
      </c>
      <c r="ES39" s="35" t="str">
        <f>IFERROR(__xludf.DUMMYFUNCTION("VLOOKUP($A$1,IMPORTRANGE($A$2, CONCATENATE($A39,""!$B$5:$JB$48"")),ES$1,0)"),"")</f>
        <v/>
      </c>
      <c r="ET39" s="35" t="str">
        <f>IFERROR(__xludf.DUMMYFUNCTION("VLOOKUP($A$1,IMPORTRANGE($A$2, CONCATENATE($A39,""!$B$5:$JB$48"")),ET$1,0)"),"")</f>
        <v/>
      </c>
      <c r="EU39" s="35" t="str">
        <f>IFERROR(__xludf.DUMMYFUNCTION("VLOOKUP($A$1,IMPORTRANGE($A$2, CONCATENATE($A39,""!$B$5:$JB$48"")),EU$1,0)"),"")</f>
        <v/>
      </c>
      <c r="EV39" s="35" t="str">
        <f>IFERROR(__xludf.DUMMYFUNCTION("VLOOKUP($A$1,IMPORTRANGE($A$2, CONCATENATE($A39,""!$B$5:$JB$48"")),EV$1,0)"),"")</f>
        <v/>
      </c>
      <c r="EW39" s="35" t="str">
        <f>IFERROR(__xludf.DUMMYFUNCTION("VLOOKUP($A$1,IMPORTRANGE($A$2, CONCATENATE($A39,""!$B$5:$JB$48"")),EW$1,0)"),"")</f>
        <v/>
      </c>
      <c r="EX39" s="35" t="str">
        <f>IFERROR(__xludf.DUMMYFUNCTION("VLOOKUP($A$1,IMPORTRANGE($A$2, CONCATENATE($A39,""!$B$5:$JB$48"")),EX$1,0)"),"")</f>
        <v/>
      </c>
      <c r="EY39" s="35" t="str">
        <f>IFERROR(__xludf.DUMMYFUNCTION("VLOOKUP($A$1,IMPORTRANGE($A$2, CONCATENATE($A39,""!$B$5:$JB$48"")),EY$1,0)"),"")</f>
        <v/>
      </c>
      <c r="EZ39" s="35" t="str">
        <f>IFERROR(__xludf.DUMMYFUNCTION("VLOOKUP($A$1,IMPORTRANGE($A$2, CONCATENATE($A39,""!$B$5:$JB$48"")),EZ$1,0)"),"")</f>
        <v/>
      </c>
      <c r="FA39" s="35">
        <f>IFERROR(__xludf.DUMMYFUNCTION("VLOOKUP($A$1,IMPORTRANGE($A$2, CONCATENATE($A39,""!$B$5:$JB$48"")),FA$1,0)"),4.0)</f>
        <v>4</v>
      </c>
      <c r="FB39" s="35" t="str">
        <f>IFERROR(__xludf.DUMMYFUNCTION("VLOOKUP($A$1,IMPORTRANGE($A$2, CONCATENATE($A39,""!$B$5:$JB$48"")),FB$1,0)"),"")</f>
        <v/>
      </c>
      <c r="FC39" s="35" t="str">
        <f>IFERROR(__xludf.DUMMYFUNCTION("VLOOKUP($A$1,IMPORTRANGE($A$2, CONCATENATE($A39,""!$B$5:$JB$48"")),FC$1,0)"),"")</f>
        <v/>
      </c>
      <c r="FD39" s="35" t="str">
        <f>IFERROR(__xludf.DUMMYFUNCTION("VLOOKUP($A$1,IMPORTRANGE($A$2, CONCATENATE($A39,""!$B$5:$JB$48"")),FD$1,0)"),"")</f>
        <v/>
      </c>
      <c r="FE39" s="35" t="str">
        <f>IFERROR(__xludf.DUMMYFUNCTION("VLOOKUP($A$1,IMPORTRANGE($A$2, CONCATENATE($A39,""!$B$5:$JB$48"")),FE$1,0)"),"")</f>
        <v/>
      </c>
      <c r="FF39" s="35" t="str">
        <f>IFERROR(__xludf.DUMMYFUNCTION("VLOOKUP($A$1,IMPORTRANGE($A$2, CONCATENATE($A39,""!$B$5:$JB$48"")),FF$1,0)"),"")</f>
        <v/>
      </c>
      <c r="FG39" s="35" t="str">
        <f>IFERROR(__xludf.DUMMYFUNCTION("VLOOKUP($A$1,IMPORTRANGE($A$2, CONCATENATE($A39,""!$B$5:$JB$48"")),FG$1,0)"),"")</f>
        <v/>
      </c>
      <c r="FH39" s="35" t="str">
        <f>IFERROR(__xludf.DUMMYFUNCTION("VLOOKUP($A$1,IMPORTRANGE($A$2, CONCATENATE($A39,""!$B$5:$JB$48"")),FH$1,0)"),"")</f>
        <v/>
      </c>
      <c r="FI39" s="35" t="str">
        <f>IFERROR(__xludf.DUMMYFUNCTION("VLOOKUP($A$1,IMPORTRANGE($A$2, CONCATENATE($A39,""!$B$5:$JB$48"")),FI$1,0)"),"")</f>
        <v/>
      </c>
      <c r="FJ39" s="35" t="str">
        <f>IFERROR(__xludf.DUMMYFUNCTION("VLOOKUP($A$1,IMPORTRANGE($A$2, CONCATENATE($A39,""!$B$5:$JB$48"")),FJ$1,0)"),"")</f>
        <v/>
      </c>
      <c r="FK39" s="35" t="str">
        <f>IFERROR(__xludf.DUMMYFUNCTION("VLOOKUP($A$1,IMPORTRANGE($A$2, CONCATENATE($A39,""!$B$5:$JB$48"")),FK$1,0)"),"")</f>
        <v/>
      </c>
      <c r="FL39" s="35" t="str">
        <f>IFERROR(__xludf.DUMMYFUNCTION("VLOOKUP($A$1,IMPORTRANGE($A$2, CONCATENATE($A39,""!$B$5:$JB$48"")),FL$1,0)"),"")</f>
        <v/>
      </c>
      <c r="FM39" s="35" t="str">
        <f>IFERROR(__xludf.DUMMYFUNCTION("VLOOKUP($A$1,IMPORTRANGE($A$2, CONCATENATE($A39,""!$B$5:$JB$48"")),FM$1,0)"),"")</f>
        <v/>
      </c>
      <c r="FN39" s="35" t="str">
        <f>IFERROR(__xludf.DUMMYFUNCTION("VLOOKUP($A$1,IMPORTRANGE($A$2, CONCATENATE($A39,""!$B$5:$JB$48"")),FN$1,0)"),"")</f>
        <v/>
      </c>
      <c r="FO39" s="35" t="str">
        <f>IFERROR(__xludf.DUMMYFUNCTION("VLOOKUP($A$1,IMPORTRANGE($A$2, CONCATENATE($A39,""!$B$5:$JB$48"")),FO$1,0)"),"")</f>
        <v/>
      </c>
      <c r="FP39" s="35" t="str">
        <f>IFERROR(__xludf.DUMMYFUNCTION("VLOOKUP($A$1,IMPORTRANGE($A$2, CONCATENATE($A39,""!$B$5:$JB$48"")),FP$1,0)"),"")</f>
        <v/>
      </c>
      <c r="FQ39" s="35" t="str">
        <f>IFERROR(__xludf.DUMMYFUNCTION("VLOOKUP($A$1,IMPORTRANGE($A$2, CONCATENATE($A39,""!$B$5:$JB$48"")),FQ$1,0)"),"")</f>
        <v/>
      </c>
      <c r="FR39" s="35" t="str">
        <f>IFERROR(__xludf.DUMMYFUNCTION("VLOOKUP($A$1,IMPORTRANGE($A$2, CONCATENATE($A39,""!$B$5:$JB$48"")),FR$1,0)"),"")</f>
        <v/>
      </c>
      <c r="FS39" s="35" t="str">
        <f>IFERROR(__xludf.DUMMYFUNCTION("VLOOKUP($A$1,IMPORTRANGE($A$2, CONCATENATE($A39,""!$B$5:$JB$48"")),FS$1,0)"),"")</f>
        <v/>
      </c>
      <c r="FT39" s="35" t="str">
        <f>IFERROR(__xludf.DUMMYFUNCTION("VLOOKUP($A$1,IMPORTRANGE($A$2, CONCATENATE($A39,""!$B$5:$JB$48"")),FT$1,0)"),"")</f>
        <v/>
      </c>
      <c r="FU39" s="35" t="str">
        <f>IFERROR(__xludf.DUMMYFUNCTION("VLOOKUP($A$1,IMPORTRANGE($A$2, CONCATENATE($A39,""!$B$5:$JB$48"")),FU$1,0)"),"")</f>
        <v/>
      </c>
      <c r="FV39" s="35" t="str">
        <f>IFERROR(__xludf.DUMMYFUNCTION("VLOOKUP($A$1,IMPORTRANGE($A$2, CONCATENATE($A39,""!$B$5:$JB$48"")),FV$1,0)"),"")</f>
        <v/>
      </c>
      <c r="FW39" s="35" t="str">
        <f>IFERROR(__xludf.DUMMYFUNCTION("VLOOKUP($A$1,IMPORTRANGE($A$2, CONCATENATE($A39,""!$B$5:$JB$48"")),FW$1,0)"),"")</f>
        <v/>
      </c>
      <c r="FX39" s="35" t="str">
        <f>IFERROR(__xludf.DUMMYFUNCTION("VLOOKUP($A$1,IMPORTRANGE($A$2, CONCATENATE($A39,""!$B$5:$JB$48"")),FX$1,0)"),"")</f>
        <v/>
      </c>
      <c r="FY39" s="35" t="str">
        <f>IFERROR(__xludf.DUMMYFUNCTION("VLOOKUP($A$1,IMPORTRANGE($A$2, CONCATENATE($A39,""!$B$5:$JB$48"")),FY$1,0)"),"")</f>
        <v/>
      </c>
      <c r="FZ39" s="35" t="str">
        <f>IFERROR(__xludf.DUMMYFUNCTION("VLOOKUP($A$1,IMPORTRANGE($A$2, CONCATENATE($A39,""!$B$5:$JB$48"")),FZ$1,0)"),"")</f>
        <v/>
      </c>
      <c r="GA39" s="35" t="str">
        <f>IFERROR(__xludf.DUMMYFUNCTION("VLOOKUP($A$1,IMPORTRANGE($A$2, CONCATENATE($A39,""!$B$5:$JB$48"")),GA$1,0)"),"")</f>
        <v/>
      </c>
      <c r="GB39" s="35" t="str">
        <f>IFERROR(__xludf.DUMMYFUNCTION("VLOOKUP($A$1,IMPORTRANGE($A$2, CONCATENATE($A39,""!$B$5:$JB$48"")),GB$1,0)"),"")</f>
        <v/>
      </c>
      <c r="GC39" s="35" t="str">
        <f>IFERROR(__xludf.DUMMYFUNCTION("VLOOKUP($A$1,IMPORTRANGE($A$2, CONCATENATE($A39,""!$B$5:$JB$48"")),GC$1,0)"),"")</f>
        <v/>
      </c>
      <c r="GD39" s="35" t="str">
        <f>IFERROR(__xludf.DUMMYFUNCTION("VLOOKUP($A$1,IMPORTRANGE($A$2, CONCATENATE($A39,""!$B$5:$JB$48"")),GD$1,0)"),"")</f>
        <v/>
      </c>
      <c r="GE39" s="35" t="str">
        <f>IFERROR(__xludf.DUMMYFUNCTION("VLOOKUP($A$1,IMPORTRANGE($A$2, CONCATENATE($A39,""!$B$5:$JB$48"")),GE$1,0)"),"")</f>
        <v/>
      </c>
      <c r="GF39" s="35" t="str">
        <f>IFERROR(__xludf.DUMMYFUNCTION("VLOOKUP($A$1,IMPORTRANGE($A$2, CONCATENATE($A39,""!$B$5:$JB$48"")),GF$1,0)"),"")</f>
        <v/>
      </c>
      <c r="GG39" s="35" t="str">
        <f>IFERROR(__xludf.DUMMYFUNCTION("VLOOKUP($A$1,IMPORTRANGE($A$2, CONCATENATE($A39,""!$B$5:$JB$48"")),GG$1,0)"),"")</f>
        <v/>
      </c>
      <c r="GH39" s="35" t="str">
        <f>IFERROR(__xludf.DUMMYFUNCTION("VLOOKUP($A$1,IMPORTRANGE($A$2, CONCATENATE($A39,""!$B$5:$JB$48"")),GH$1,0)"),"")</f>
        <v/>
      </c>
      <c r="GI39" s="35" t="str">
        <f>IFERROR(__xludf.DUMMYFUNCTION("VLOOKUP($A$1,IMPORTRANGE($A$2, CONCATENATE($A39,""!$B$5:$JB$48"")),GI$1,0)"),"")</f>
        <v/>
      </c>
      <c r="GJ39" s="35" t="str">
        <f>IFERROR(__xludf.DUMMYFUNCTION("VLOOKUP($A$1,IMPORTRANGE($A$2, CONCATENATE($A39,""!$B$5:$JB$48"")),GJ$1,0)"),"")</f>
        <v/>
      </c>
      <c r="GK39" s="35" t="str">
        <f>IFERROR(__xludf.DUMMYFUNCTION("VLOOKUP($A$1,IMPORTRANGE($A$2, CONCATENATE($A39,""!$B$5:$JB$48"")),GK$1,0)"),"")</f>
        <v/>
      </c>
      <c r="GL39" s="35" t="str">
        <f>IFERROR(__xludf.DUMMYFUNCTION("VLOOKUP($A$1,IMPORTRANGE($A$2, CONCATENATE($A39,""!$B$5:$JB$48"")),GL$1,0)"),"")</f>
        <v/>
      </c>
      <c r="GM39" s="35" t="str">
        <f>IFERROR(__xludf.DUMMYFUNCTION("VLOOKUP($A$1,IMPORTRANGE($A$2, CONCATENATE($A39,""!$B$5:$JB$48"")),GM$1,0)"),"")</f>
        <v/>
      </c>
      <c r="GN39" s="35" t="str">
        <f>IFERROR(__xludf.DUMMYFUNCTION("VLOOKUP($A$1,IMPORTRANGE($A$2, CONCATENATE($A39,""!$B$5:$JB$48"")),GN$1,0)"),"")</f>
        <v/>
      </c>
      <c r="GO39" s="35" t="str">
        <f>IFERROR(__xludf.DUMMYFUNCTION("VLOOKUP($A$1,IMPORTRANGE($A$2, CONCATENATE($A39,""!$B$5:$JB$48"")),GO$1,0)"),"")</f>
        <v/>
      </c>
      <c r="GP39" s="35" t="str">
        <f>IFERROR(__xludf.DUMMYFUNCTION("VLOOKUP($A$1,IMPORTRANGE($A$2, CONCATENATE($A39,""!$B$5:$JB$48"")),GP$1,0)"),"")</f>
        <v/>
      </c>
      <c r="GQ39" s="35" t="str">
        <f>IFERROR(__xludf.DUMMYFUNCTION("VLOOKUP($A$1,IMPORTRANGE($A$2, CONCATENATE($A39,""!$B$5:$JB$48"")),GQ$1,0)"),"")</f>
        <v/>
      </c>
      <c r="GR39" s="35" t="str">
        <f>IFERROR(__xludf.DUMMYFUNCTION("VLOOKUP($A$1,IMPORTRANGE($A$2, CONCATENATE($A39,""!$B$5:$JB$48"")),GR$1,0)"),"")</f>
        <v/>
      </c>
      <c r="GS39" s="35" t="str">
        <f>IFERROR(__xludf.DUMMYFUNCTION("VLOOKUP($A$1,IMPORTRANGE($A$2, CONCATENATE($A39,""!$B$5:$JB$48"")),GS$1,0)"),"")</f>
        <v/>
      </c>
      <c r="GT39" s="35" t="str">
        <f>IFERROR(__xludf.DUMMYFUNCTION("VLOOKUP($A$1,IMPORTRANGE($A$2, CONCATENATE($A39,""!$B$5:$JB$48"")),GT$1,0)"),"")</f>
        <v/>
      </c>
      <c r="GU39" s="35" t="str">
        <f>IFERROR(__xludf.DUMMYFUNCTION("VLOOKUP($A$1,IMPORTRANGE($A$2, CONCATENATE($A39,""!$B$5:$JB$48"")),GU$1,0)"),"")</f>
        <v/>
      </c>
      <c r="GV39" s="35" t="str">
        <f>IFERROR(__xludf.DUMMYFUNCTION("VLOOKUP($A$1,IMPORTRANGE($A$2, CONCATENATE($A39,""!$B$5:$JB$48"")),GV$1,0)"),"")</f>
        <v/>
      </c>
      <c r="GW39" s="35" t="str">
        <f>IFERROR(__xludf.DUMMYFUNCTION("VLOOKUP($A$1,IMPORTRANGE($A$2, CONCATENATE($A39,""!$B$5:$JB$48"")),GW$1,0)"),"")</f>
        <v/>
      </c>
      <c r="GX39" s="35" t="str">
        <f>IFERROR(__xludf.DUMMYFUNCTION("VLOOKUP($A$1,IMPORTRANGE($A$2, CONCATENATE($A39,""!$B$5:$JB$48"")),GX$1,0)"),"")</f>
        <v/>
      </c>
      <c r="GY39" s="35" t="str">
        <f>IFERROR(__xludf.DUMMYFUNCTION("VLOOKUP($A$1,IMPORTRANGE($A$2, CONCATENATE($A39,""!$B$5:$JB$48"")),GY$1,0)"),"")</f>
        <v/>
      </c>
      <c r="GZ39" s="35">
        <f>IFERROR(__xludf.DUMMYFUNCTION("VLOOKUP($A$1,IMPORTRANGE($A$2, CONCATENATE($A39,""!$B$5:$JB$48"")),GZ$1,0)"),4.0)</f>
        <v>4</v>
      </c>
      <c r="HA39" s="35" t="str">
        <f>IFERROR(__xludf.DUMMYFUNCTION("VLOOKUP($A$1,IMPORTRANGE($A$2, CONCATENATE($A39,""!$B$5:$JB$48"")),HA$1,0)"),"")</f>
        <v/>
      </c>
      <c r="HB39" s="35" t="str">
        <f>IFERROR(__xludf.DUMMYFUNCTION("VLOOKUP($A$1,IMPORTRANGE($A$2, CONCATENATE($A39,""!$B$5:$JB$48"")),HB$1,0)"),"")</f>
        <v/>
      </c>
      <c r="HC39" s="35" t="str">
        <f>IFERROR(__xludf.DUMMYFUNCTION("VLOOKUP($A$1,IMPORTRANGE($A$2, CONCATENATE($A39,""!$B$5:$JB$48"")),HC$1,0)"),"")</f>
        <v/>
      </c>
      <c r="HD39" s="35" t="str">
        <f>IFERROR(__xludf.DUMMYFUNCTION("VLOOKUP($A$1,IMPORTRANGE($A$2, CONCATENATE($A39,""!$B$5:$JB$48"")),HD$1,0)"),"")</f>
        <v/>
      </c>
      <c r="HE39" s="35" t="str">
        <f>IFERROR(__xludf.DUMMYFUNCTION("VLOOKUP($A$1,IMPORTRANGE($A$2, CONCATENATE($A39,""!$B$5:$JB$48"")),HE$1,0)"),"")</f>
        <v/>
      </c>
      <c r="HF39" s="35" t="str">
        <f>IFERROR(__xludf.DUMMYFUNCTION("VLOOKUP($A$1,IMPORTRANGE($A$2, CONCATENATE($A39,""!$B$5:$JB$48"")),HF$1,0)"),"")</f>
        <v/>
      </c>
      <c r="HG39" s="35" t="str">
        <f>IFERROR(__xludf.DUMMYFUNCTION("VLOOKUP($A$1,IMPORTRANGE($A$2, CONCATENATE($A39,""!$B$5:$JB$48"")),HG$1,0)"),"")</f>
        <v/>
      </c>
      <c r="HH39" s="35" t="str">
        <f>IFERROR(__xludf.DUMMYFUNCTION("VLOOKUP($A$1,IMPORTRANGE($A$2, CONCATENATE($A39,""!$B$5:$JB$48"")),HH$1,0)"),"")</f>
        <v/>
      </c>
      <c r="HI39" s="35" t="str">
        <f>IFERROR(__xludf.DUMMYFUNCTION("VLOOKUP($A$1,IMPORTRANGE($A$2, CONCATENATE($A39,""!$B$5:$JB$48"")),HI$1,0)"),"")</f>
        <v/>
      </c>
      <c r="HJ39" s="35" t="str">
        <f>IFERROR(__xludf.DUMMYFUNCTION("VLOOKUP($A$1,IMPORTRANGE($A$2, CONCATENATE($A39,""!$B$5:$JB$48"")),HJ$1,0)"),"")</f>
        <v/>
      </c>
      <c r="HK39" s="35" t="str">
        <f>IFERROR(__xludf.DUMMYFUNCTION("VLOOKUP($A$1,IMPORTRANGE($A$2, CONCATENATE($A39,""!$B$5:$JB$48"")),HK$1,0)"),"")</f>
        <v/>
      </c>
      <c r="HL39" s="35" t="str">
        <f>IFERROR(__xludf.DUMMYFUNCTION("VLOOKUP($A$1,IMPORTRANGE($A$2, CONCATENATE($A39,""!$B$5:$JB$48"")),HL$1,0)"),"")</f>
        <v/>
      </c>
      <c r="HM39" s="35" t="str">
        <f>IFERROR(__xludf.DUMMYFUNCTION("VLOOKUP($A$1,IMPORTRANGE($A$2, CONCATENATE($A39,""!$B$5:$JB$48"")),HM$1,0)"),"")</f>
        <v/>
      </c>
      <c r="HN39" s="35" t="str">
        <f>IFERROR(__xludf.DUMMYFUNCTION("VLOOKUP($A$1,IMPORTRANGE($A$2, CONCATENATE($A39,""!$B$5:$JB$48"")),HN$1,0)"),"")</f>
        <v/>
      </c>
      <c r="HO39" s="35" t="str">
        <f>IFERROR(__xludf.DUMMYFUNCTION("VLOOKUP($A$1,IMPORTRANGE($A$2, CONCATENATE($A39,""!$B$5:$JB$48"")),HO$1,0)"),"")</f>
        <v/>
      </c>
      <c r="HP39" s="35" t="str">
        <f>IFERROR(__xludf.DUMMYFUNCTION("VLOOKUP($A$1,IMPORTRANGE($A$2, CONCATENATE($A39,""!$B$5:$JB$48"")),HP$1,0)"),"")</f>
        <v/>
      </c>
      <c r="HQ39" s="35" t="str">
        <f>IFERROR(__xludf.DUMMYFUNCTION("VLOOKUP($A$1,IMPORTRANGE($A$2, CONCATENATE($A39,""!$B$5:$JB$48"")),HQ$1,0)"),"")</f>
        <v/>
      </c>
      <c r="HR39" s="35" t="str">
        <f>IFERROR(__xludf.DUMMYFUNCTION("VLOOKUP($A$1,IMPORTRANGE($A$2, CONCATENATE($A39,""!$B$5:$JB$48"")),HR$1,0)"),"")</f>
        <v/>
      </c>
      <c r="HS39" s="35" t="str">
        <f>IFERROR(__xludf.DUMMYFUNCTION("VLOOKUP($A$1,IMPORTRANGE($A$2, CONCATENATE($A39,""!$B$5:$JB$48"")),HS$1,0)"),"")</f>
        <v/>
      </c>
      <c r="HT39" s="35" t="str">
        <f>IFERROR(__xludf.DUMMYFUNCTION("VLOOKUP($A$1,IMPORTRANGE($A$2, CONCATENATE($A39,""!$B$5:$JB$48"")),HT$1,0)"),"")</f>
        <v/>
      </c>
      <c r="HU39" s="35" t="str">
        <f>IFERROR(__xludf.DUMMYFUNCTION("VLOOKUP($A$1,IMPORTRANGE($A$2, CONCATENATE($A39,""!$B$5:$JB$48"")),HU$1,0)"),"")</f>
        <v/>
      </c>
      <c r="HV39" s="35" t="str">
        <f>IFERROR(__xludf.DUMMYFUNCTION("VLOOKUP($A$1,IMPORTRANGE($A$2, CONCATENATE($A39,""!$B$5:$JB$48"")),HV$1,0)"),"")</f>
        <v/>
      </c>
      <c r="HW39" s="35" t="str">
        <f>IFERROR(__xludf.DUMMYFUNCTION("VLOOKUP($A$1,IMPORTRANGE($A$2, CONCATENATE($A39,""!$B$5:$JB$48"")),HW$1,0)"),"")</f>
        <v/>
      </c>
      <c r="HX39" s="35" t="str">
        <f>IFERROR(__xludf.DUMMYFUNCTION("VLOOKUP($A$1,IMPORTRANGE($A$2, CONCATENATE($A39,""!$B$5:$JB$48"")),HX$1,0)"),"")</f>
        <v/>
      </c>
      <c r="HY39" s="35" t="str">
        <f>IFERROR(__xludf.DUMMYFUNCTION("VLOOKUP($A$1,IMPORTRANGE($A$2, CONCATENATE($A39,""!$B$5:$JB$48"")),HY$1,0)"),"")</f>
        <v/>
      </c>
      <c r="HZ39" s="35" t="str">
        <f>IFERROR(__xludf.DUMMYFUNCTION("VLOOKUP($A$1,IMPORTRANGE($A$2, CONCATENATE($A39,""!$B$5:$JB$48"")),HZ$1,0)"),"")</f>
        <v/>
      </c>
      <c r="IA39" s="35" t="str">
        <f>IFERROR(__xludf.DUMMYFUNCTION("VLOOKUP($A$1,IMPORTRANGE($A$2, CONCATENATE($A39,""!$B$5:$JB$48"")),IA$1,0)"),"")</f>
        <v/>
      </c>
      <c r="IB39" s="35" t="str">
        <f>IFERROR(__xludf.DUMMYFUNCTION("VLOOKUP($A$1,IMPORTRANGE($A$2, CONCATENATE($A39,""!$B$5:$JB$48"")),IB$1,0)"),"")</f>
        <v/>
      </c>
      <c r="IC39" s="35" t="str">
        <f>IFERROR(__xludf.DUMMYFUNCTION("VLOOKUP($A$1,IMPORTRANGE($A$2, CONCATENATE($A39,""!$B$5:$JB$48"")),IC$1,0)"),"")</f>
        <v/>
      </c>
      <c r="ID39" s="35" t="str">
        <f>IFERROR(__xludf.DUMMYFUNCTION("VLOOKUP($A$1,IMPORTRANGE($A$2, CONCATENATE($A39,""!$B$5:$JB$48"")),ID$1,0)"),"")</f>
        <v/>
      </c>
      <c r="IE39" s="35" t="str">
        <f>IFERROR(__xludf.DUMMYFUNCTION("VLOOKUP($A$1,IMPORTRANGE($A$2, CONCATENATE($A39,""!$B$5:$JB$48"")),IE$1,0)"),"")</f>
        <v/>
      </c>
      <c r="IF39" s="35" t="str">
        <f>IFERROR(__xludf.DUMMYFUNCTION("VLOOKUP($A$1,IMPORTRANGE($A$2, CONCATENATE($A39,""!$B$5:$JB$48"")),IF$1,0)"),"")</f>
        <v/>
      </c>
      <c r="IG39" s="35" t="str">
        <f>IFERROR(__xludf.DUMMYFUNCTION("VLOOKUP($A$1,IMPORTRANGE($A$2, CONCATENATE($A39,""!$B$5:$JB$48"")),IG$1,0)"),"")</f>
        <v/>
      </c>
      <c r="IH39" s="35" t="str">
        <f>IFERROR(__xludf.DUMMYFUNCTION("VLOOKUP($A$1,IMPORTRANGE($A$2, CONCATENATE($A39,""!$B$5:$JB$48"")),IH$1,0)"),"")</f>
        <v/>
      </c>
      <c r="II39" s="35" t="str">
        <f>IFERROR(__xludf.DUMMYFUNCTION("VLOOKUP($A$1,IMPORTRANGE($A$2, CONCATENATE($A39,""!$B$5:$JB$48"")),II$1,0)"),"")</f>
        <v/>
      </c>
      <c r="IJ39" s="35" t="str">
        <f>IFERROR(__xludf.DUMMYFUNCTION("VLOOKUP($A$1,IMPORTRANGE($A$2, CONCATENATE($A39,""!$B$5:$JB$48"")),IJ$1,0)"),"")</f>
        <v/>
      </c>
      <c r="IK39" s="35" t="str">
        <f>IFERROR(__xludf.DUMMYFUNCTION("VLOOKUP($A$1,IMPORTRANGE($A$2, CONCATENATE($A39,""!$B$5:$JB$48"")),IK$1,0)"),"")</f>
        <v/>
      </c>
      <c r="IL39" s="35" t="str">
        <f>IFERROR(__xludf.DUMMYFUNCTION("VLOOKUP($A$1,IMPORTRANGE($A$2, CONCATENATE($A39,""!$B$5:$JB$48"")),IL$1,0)"),"")</f>
        <v/>
      </c>
      <c r="IM39" s="35" t="str">
        <f>IFERROR(__xludf.DUMMYFUNCTION("VLOOKUP($A$1,IMPORTRANGE($A$2, CONCATENATE($A39,""!$B$5:$JB$48"")),IM$1,0)"),"")</f>
        <v/>
      </c>
      <c r="IN39" s="35" t="str">
        <f>IFERROR(__xludf.DUMMYFUNCTION("VLOOKUP($A$1,IMPORTRANGE($A$2, CONCATENATE($A39,""!$B$5:$JB$48"")),IN$1,0)"),"")</f>
        <v/>
      </c>
      <c r="IO39" s="35" t="str">
        <f>IFERROR(__xludf.DUMMYFUNCTION("VLOOKUP($A$1,IMPORTRANGE($A$2, CONCATENATE($A39,""!$B$5:$JB$48"")),IO$1,0)"),"")</f>
        <v/>
      </c>
      <c r="IP39" s="35" t="str">
        <f>IFERROR(__xludf.DUMMYFUNCTION("VLOOKUP($A$1,IMPORTRANGE($A$2, CONCATENATE($A39,""!$B$5:$JB$48"")),IP$1,0)"),"")</f>
        <v/>
      </c>
      <c r="IQ39" s="35" t="str">
        <f>IFERROR(__xludf.DUMMYFUNCTION("VLOOKUP($A$1,IMPORTRANGE($A$2, CONCATENATE($A39,""!$B$5:$JB$48"")),IQ$1,0)"),"")</f>
        <v/>
      </c>
      <c r="IR39" s="35" t="str">
        <f>IFERROR(__xludf.DUMMYFUNCTION("VLOOKUP($A$1,IMPORTRANGE($A$2, CONCATENATE($A39,""!$B$5:$JB$48"")),IR$1,0)"),"")</f>
        <v/>
      </c>
      <c r="IS39" s="35" t="str">
        <f>IFERROR(__xludf.DUMMYFUNCTION("VLOOKUP($A$1,IMPORTRANGE($A$2, CONCATENATE($A39,""!$B$5:$JB$48"")),IS$1,0)"),"")</f>
        <v/>
      </c>
      <c r="IT39" s="35" t="str">
        <f>IFERROR(__xludf.DUMMYFUNCTION("VLOOKUP($A$1,IMPORTRANGE($A$2, CONCATENATE($A39,""!$B$5:$JB$48"")),IT$1,0)"),"")</f>
        <v/>
      </c>
      <c r="IU39" s="35" t="str">
        <f>IFERROR(__xludf.DUMMYFUNCTION("VLOOKUP($A$1,IMPORTRANGE($A$2, CONCATENATE($A39,""!$B$5:$JB$48"")),IU$1,0)"),"")</f>
        <v/>
      </c>
      <c r="IV39" s="35">
        <f>IFERROR(__xludf.DUMMYFUNCTION("VLOOKUP($A$1,IMPORTRANGE($A$2, CONCATENATE($A39,""!$B$5:$JB$48"")),IV$1,0)"),4.0)</f>
        <v>4</v>
      </c>
      <c r="IW39" s="35">
        <f>IFERROR(__xludf.DUMMYFUNCTION("VLOOKUP($A$1,IMPORTRANGE($A$2, CONCATENATE($A39,""!$B$5:$JB$48"")),IW$1,0)"),4.5)</f>
        <v>4.5</v>
      </c>
      <c r="IX39" s="35" t="str">
        <f>IFERROR(__xludf.DUMMYFUNCTION("VLOOKUP($A$1,IMPORTRANGE($A$2, CONCATENATE($A39,""!$B$5:$JB$48"")),IX$1,0)"),"")</f>
        <v/>
      </c>
      <c r="IY39" s="35">
        <f>IFERROR(__xludf.DUMMYFUNCTION("VLOOKUP($A$1,IMPORTRANGE($A$2, CONCATENATE($A39,""!$B$5:$JB$48"")),IY$1,0)"),151.0)</f>
        <v>151</v>
      </c>
      <c r="IZ39" s="35" t="str">
        <f>IFERROR(__xludf.DUMMYFUNCTION("VLOOKUP($A$1,IMPORTRANGE($A$2, CONCATENATE($A39,""!$B$5:$JB$48"")),IZ$1,0)"),"")</f>
        <v/>
      </c>
      <c r="JA39" s="35">
        <f>IFERROR(__xludf.DUMMYFUNCTION("VLOOKUP($A$1,IMPORTRANGE($A$2, CONCATENATE($A39,""!$B$5:$JB$48"")),JA$1,0)"),45910.0)</f>
        <v>45910</v>
      </c>
      <c r="JB39" s="35"/>
      <c r="JC39" s="35"/>
      <c r="JD39" s="35"/>
      <c r="JE39" s="35"/>
    </row>
    <row r="40">
      <c r="A40" s="41"/>
      <c r="B40" s="29"/>
      <c r="C40" s="37"/>
      <c r="D40" s="38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  <c r="IL40" s="37"/>
      <c r="IM40" s="37"/>
      <c r="IN40" s="37"/>
      <c r="IO40" s="37"/>
      <c r="IP40" s="37"/>
      <c r="IQ40" s="37"/>
      <c r="IR40" s="37"/>
      <c r="IS40" s="37"/>
      <c r="IT40" s="37"/>
      <c r="IU40" s="37"/>
      <c r="IV40" s="37"/>
      <c r="IW40" s="37"/>
      <c r="IX40" s="37"/>
      <c r="IY40" s="37"/>
      <c r="IZ40" s="37"/>
      <c r="JA40" s="37"/>
      <c r="JB40" s="37"/>
      <c r="JC40" s="37"/>
      <c r="JD40" s="37"/>
      <c r="JE40" s="37"/>
    </row>
    <row r="41">
      <c r="A41" s="39"/>
      <c r="B41" s="32">
        <f>IFERROR(__xludf.DUMMYFUNCTION("IMPORTRANGE($A$2, CONCATENATE($A42,""!C4:JB4""))"),45902.0)</f>
        <v>45902</v>
      </c>
      <c r="C41" s="32"/>
      <c r="D41" s="32"/>
      <c r="E41" s="32"/>
      <c r="F41" s="32"/>
      <c r="G41" s="32"/>
      <c r="H41" s="32"/>
      <c r="I41" s="32">
        <f>IFERROR(__xludf.DUMMYFUNCTION("""COMPUTED_VALUE"""),45908.0)</f>
        <v>45908</v>
      </c>
      <c r="J41" s="32"/>
      <c r="K41" s="32"/>
      <c r="L41" s="32"/>
      <c r="M41" s="32"/>
      <c r="N41" s="32"/>
      <c r="O41" s="32"/>
      <c r="P41" s="32">
        <f>IFERROR(__xludf.DUMMYFUNCTION("""COMPUTED_VALUE"""),45915.0)</f>
        <v>45915</v>
      </c>
      <c r="Q41" s="32"/>
      <c r="R41" s="32"/>
      <c r="S41" s="32"/>
      <c r="T41" s="32"/>
      <c r="U41" s="32"/>
      <c r="V41" s="32"/>
      <c r="W41" s="32">
        <f>IFERROR(__xludf.DUMMYFUNCTION("""COMPUTED_VALUE"""),45922.0)</f>
        <v>45922</v>
      </c>
      <c r="X41" s="32"/>
      <c r="Y41" s="32"/>
      <c r="Z41" s="32"/>
      <c r="AA41" s="32"/>
      <c r="AB41" s="32"/>
      <c r="AC41" s="32"/>
      <c r="AD41" s="32">
        <f>IFERROR(__xludf.DUMMYFUNCTION("""COMPUTED_VALUE"""),45929.0)</f>
        <v>45929</v>
      </c>
      <c r="AE41" s="32"/>
      <c r="AF41" s="32"/>
      <c r="AG41" s="32"/>
      <c r="AH41" s="32"/>
      <c r="AI41" s="32"/>
      <c r="AJ41" s="32"/>
      <c r="AK41" s="32">
        <f>IFERROR(__xludf.DUMMYFUNCTION("""COMPUTED_VALUE"""),45936.0)</f>
        <v>45936</v>
      </c>
      <c r="AL41" s="32"/>
      <c r="AM41" s="32"/>
      <c r="AN41" s="32"/>
      <c r="AO41" s="32"/>
      <c r="AP41" s="32"/>
      <c r="AQ41" s="32"/>
      <c r="AR41" s="32">
        <f>IFERROR(__xludf.DUMMYFUNCTION("""COMPUTED_VALUE"""),45943.0)</f>
        <v>45943</v>
      </c>
      <c r="AS41" s="32"/>
      <c r="AT41" s="32"/>
      <c r="AU41" s="32"/>
      <c r="AV41" s="32"/>
      <c r="AW41" s="32"/>
      <c r="AX41" s="32"/>
      <c r="AY41" s="32">
        <f>IFERROR(__xludf.DUMMYFUNCTION("""COMPUTED_VALUE"""),45950.0)</f>
        <v>45950</v>
      </c>
      <c r="AZ41" s="32"/>
      <c r="BA41" s="32"/>
      <c r="BB41" s="32"/>
      <c r="BC41" s="32"/>
      <c r="BD41" s="32"/>
      <c r="BE41" s="32"/>
      <c r="BF41" s="32">
        <f>IFERROR(__xludf.DUMMYFUNCTION("""COMPUTED_VALUE"""),45957.0)</f>
        <v>45957</v>
      </c>
      <c r="BG41" s="32"/>
      <c r="BH41" s="32"/>
      <c r="BI41" s="32"/>
      <c r="BJ41" s="32"/>
      <c r="BK41" s="32"/>
      <c r="BL41" s="32"/>
      <c r="BM41" s="32"/>
      <c r="BN41" s="32">
        <f>IFERROR(__xludf.DUMMYFUNCTION("""COMPUTED_VALUE"""),45971.0)</f>
        <v>45971</v>
      </c>
      <c r="BO41" s="32"/>
      <c r="BP41" s="32"/>
      <c r="BQ41" s="32"/>
      <c r="BR41" s="32"/>
      <c r="BS41" s="32"/>
      <c r="BT41" s="32"/>
      <c r="BU41" s="32">
        <f>IFERROR(__xludf.DUMMYFUNCTION("""COMPUTED_VALUE"""),45978.0)</f>
        <v>45978</v>
      </c>
      <c r="BV41" s="32"/>
      <c r="BW41" s="32"/>
      <c r="BX41" s="32"/>
      <c r="BY41" s="32"/>
      <c r="BZ41" s="32"/>
      <c r="CA41" s="32"/>
      <c r="CB41" s="32">
        <f>IFERROR(__xludf.DUMMYFUNCTION("""COMPUTED_VALUE"""),45985.0)</f>
        <v>45985</v>
      </c>
      <c r="CC41" s="32"/>
      <c r="CD41" s="32"/>
      <c r="CE41" s="32"/>
      <c r="CF41" s="32"/>
      <c r="CG41" s="32"/>
      <c r="CH41" s="32"/>
      <c r="CI41" s="32">
        <f>IFERROR(__xludf.DUMMYFUNCTION("""COMPUTED_VALUE"""),45992.0)</f>
        <v>45992</v>
      </c>
      <c r="CJ41" s="32"/>
      <c r="CK41" s="32"/>
      <c r="CL41" s="32"/>
      <c r="CM41" s="32"/>
      <c r="CN41" s="32"/>
      <c r="CO41" s="32"/>
      <c r="CP41" s="32">
        <f>IFERROR(__xludf.DUMMYFUNCTION("""COMPUTED_VALUE"""),46000.0)</f>
        <v>46000</v>
      </c>
      <c r="CQ41" s="32"/>
      <c r="CR41" s="32"/>
      <c r="CS41" s="32"/>
      <c r="CT41" s="32"/>
      <c r="CU41" s="32"/>
      <c r="CV41" s="32"/>
      <c r="CW41" s="32">
        <f>IFERROR(__xludf.DUMMYFUNCTION("""COMPUTED_VALUE"""),46006.0)</f>
        <v>46006</v>
      </c>
      <c r="CX41" s="32">
        <f>IFERROR(__xludf.DUMMYFUNCTION("""COMPUTED_VALUE"""),46013.0)</f>
        <v>46013</v>
      </c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>
        <f>IFERROR(__xludf.DUMMYFUNCTION("""COMPUTED_VALUE"""),46013.0)</f>
        <v>46013</v>
      </c>
      <c r="DK41" s="32"/>
      <c r="DL41" s="32"/>
      <c r="DM41" s="32"/>
      <c r="DN41" s="32"/>
      <c r="DO41" s="32"/>
      <c r="DP41" s="32"/>
      <c r="DQ41" s="32" t="str">
        <f>IFERROR(__xludf.DUMMYFUNCTION("""COMPUTED_VALUE"""),"1 полугодие")</f>
        <v>1 полугодие</v>
      </c>
      <c r="DR41" s="32">
        <f>IFERROR(__xludf.DUMMYFUNCTION("""COMPUTED_VALUE"""),46034.0)</f>
        <v>46034</v>
      </c>
      <c r="DS41" s="32"/>
      <c r="DT41" s="32"/>
      <c r="DU41" s="32"/>
      <c r="DV41" s="32"/>
      <c r="DW41" s="32"/>
      <c r="DX41" s="32"/>
      <c r="DY41" s="32">
        <f>IFERROR(__xludf.DUMMYFUNCTION("""COMPUTED_VALUE"""),46041.0)</f>
        <v>46041</v>
      </c>
      <c r="DZ41" s="32"/>
      <c r="EA41" s="32"/>
      <c r="EB41" s="32"/>
      <c r="EC41" s="32"/>
      <c r="ED41" s="32"/>
      <c r="EE41" s="32"/>
      <c r="EF41" s="32">
        <f>IFERROR(__xludf.DUMMYFUNCTION("""COMPUTED_VALUE"""),46048.0)</f>
        <v>46048</v>
      </c>
      <c r="EG41" s="32">
        <f>IFERROR(__xludf.DUMMYFUNCTION("""COMPUTED_VALUE"""),46146.0)</f>
        <v>46146</v>
      </c>
      <c r="EH41" s="32">
        <f>IFERROR(__xludf.DUMMYFUNCTION("""COMPUTED_VALUE"""),46153.0)</f>
        <v>46153</v>
      </c>
      <c r="EI41" s="32">
        <f>IFERROR(__xludf.DUMMYFUNCTION("""COMPUTED_VALUE"""),46160.0)</f>
        <v>46160</v>
      </c>
      <c r="EJ41" s="32"/>
      <c r="EK41" s="32"/>
      <c r="EL41" s="32"/>
      <c r="EM41" s="32">
        <f>IFERROR(__xludf.DUMMYFUNCTION("""COMPUTED_VALUE"""),46055.0)</f>
        <v>46055</v>
      </c>
      <c r="EN41" s="32"/>
      <c r="EO41" s="32"/>
      <c r="EP41" s="32"/>
      <c r="EQ41" s="32"/>
      <c r="ER41" s="32"/>
      <c r="ES41" s="32"/>
      <c r="ET41" s="32">
        <f>IFERROR(__xludf.DUMMYFUNCTION("""COMPUTED_VALUE"""),46062.0)</f>
        <v>46062</v>
      </c>
      <c r="EU41" s="32"/>
      <c r="EV41" s="32"/>
      <c r="EW41" s="32"/>
      <c r="EX41" s="32"/>
      <c r="EY41" s="32"/>
      <c r="EZ41" s="32"/>
      <c r="FA41" s="32">
        <f>IFERROR(__xludf.DUMMYFUNCTION("""COMPUTED_VALUE"""),46069.0)</f>
        <v>46069</v>
      </c>
      <c r="FB41" s="32"/>
      <c r="FC41" s="32"/>
      <c r="FD41" s="32"/>
      <c r="FE41" s="32"/>
      <c r="FF41" s="32"/>
      <c r="FG41" s="32"/>
      <c r="FH41" s="32">
        <f>IFERROR(__xludf.DUMMYFUNCTION("""COMPUTED_VALUE"""),46076.0)</f>
        <v>46076</v>
      </c>
      <c r="FI41" s="32">
        <f>IFERROR(__xludf.DUMMYFUNCTION("""COMPUTED_VALUE"""),46083.0)</f>
        <v>46083</v>
      </c>
      <c r="FJ41" s="32">
        <f>IFERROR(__xludf.DUMMYFUNCTION("""COMPUTED_VALUE"""),46090.0)</f>
        <v>46090</v>
      </c>
      <c r="FK41" s="32">
        <f>IFERROR(__xludf.DUMMYFUNCTION("""COMPUTED_VALUE"""),46097.0)</f>
        <v>46097</v>
      </c>
      <c r="FL41" s="32">
        <f>IFERROR(__xludf.DUMMYFUNCTION("""COMPUTED_VALUE"""),46111.0)</f>
        <v>46111</v>
      </c>
      <c r="FM41" s="32"/>
      <c r="FN41" s="32"/>
      <c r="FO41" s="32"/>
      <c r="FP41" s="32"/>
      <c r="FQ41" s="32"/>
      <c r="FR41" s="32"/>
      <c r="FS41" s="32">
        <f>IFERROR(__xludf.DUMMYFUNCTION("""COMPUTED_VALUE"""),46118.0)</f>
        <v>46118</v>
      </c>
      <c r="FT41" s="32"/>
      <c r="FU41" s="32"/>
      <c r="FV41" s="32"/>
      <c r="FW41" s="32"/>
      <c r="FX41" s="32"/>
      <c r="FY41" s="32"/>
      <c r="FZ41" s="32">
        <f>IFERROR(__xludf.DUMMYFUNCTION("""COMPUTED_VALUE"""),46125.0)</f>
        <v>46125</v>
      </c>
      <c r="GA41" s="32"/>
      <c r="GB41" s="32"/>
      <c r="GC41" s="32"/>
      <c r="GD41" s="32"/>
      <c r="GE41" s="32"/>
      <c r="GF41" s="32"/>
      <c r="GG41" s="32">
        <f>IFERROR(__xludf.DUMMYFUNCTION("""COMPUTED_VALUE"""),46132.0)</f>
        <v>46132</v>
      </c>
      <c r="GH41" s="32"/>
      <c r="GI41" s="32"/>
      <c r="GJ41" s="32"/>
      <c r="GK41" s="32"/>
      <c r="GL41" s="32"/>
      <c r="GM41" s="32"/>
      <c r="GN41" s="32"/>
      <c r="GO41" s="32">
        <f>IFERROR(__xludf.DUMMYFUNCTION("""COMPUTED_VALUE"""),46139.0)</f>
        <v>46139</v>
      </c>
      <c r="GP41" s="32"/>
      <c r="GQ41" s="32"/>
      <c r="GR41" s="32"/>
      <c r="GS41" s="32"/>
      <c r="GT41" s="32"/>
      <c r="GU41" s="32"/>
      <c r="GV41" s="32">
        <f>IFERROR(__xludf.DUMMYFUNCTION("""COMPUTED_VALUE"""),46146.0)</f>
        <v>46146</v>
      </c>
      <c r="GW41" s="32"/>
      <c r="GX41" s="32"/>
      <c r="GY41" s="32"/>
      <c r="GZ41" s="32"/>
      <c r="HA41" s="32"/>
      <c r="HB41" s="32"/>
      <c r="HC41" s="32">
        <f>IFERROR(__xludf.DUMMYFUNCTION("""COMPUTED_VALUE"""),46153.0)</f>
        <v>46153</v>
      </c>
      <c r="HD41" s="32"/>
      <c r="HE41" s="32"/>
      <c r="HF41" s="32"/>
      <c r="HG41" s="32"/>
      <c r="HH41" s="32"/>
      <c r="HI41" s="32"/>
      <c r="HJ41" s="32">
        <f>IFERROR(__xludf.DUMMYFUNCTION("""COMPUTED_VALUE"""),46160.0)</f>
        <v>46160</v>
      </c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 t="str">
        <f>IFERROR(__xludf.DUMMYFUNCTION("""COMPUTED_VALUE"""),"2 полугодие")</f>
        <v>2 полугодие</v>
      </c>
      <c r="JA41" s="32" t="str">
        <f>IFERROR(__xludf.DUMMYFUNCTION("""COMPUTED_VALUE"""),"год")</f>
        <v>год</v>
      </c>
      <c r="JB41" s="32"/>
      <c r="JC41" s="32"/>
      <c r="JD41" s="32"/>
      <c r="JE41" s="32"/>
    </row>
    <row r="42">
      <c r="A42" s="42" t="s">
        <v>290</v>
      </c>
      <c r="B42" s="35" t="str">
        <f>IFERROR(__xludf.DUMMYFUNCTION("VLOOKUP($A$1,IMPORTRANGE($A$2, CONCATENATE($A42,""!$B$5:$JB$48"")),B$1,0)"),"")</f>
        <v/>
      </c>
      <c r="C42" s="35" t="str">
        <f>IFERROR(__xludf.DUMMYFUNCTION("VLOOKUP($A$1,IMPORTRANGE($A$2, CONCATENATE($A42,""!$B$5:$JB$48"")),C$1,0)"),"")</f>
        <v/>
      </c>
      <c r="D42" s="35" t="str">
        <f>IFERROR(__xludf.DUMMYFUNCTION("VLOOKUP($A$1,IMPORTRANGE($A$2, CONCATENATE($A42,""!$B$5:$JB$48"")),D$1,0)"),"")</f>
        <v/>
      </c>
      <c r="E42" s="35" t="str">
        <f>IFERROR(__xludf.DUMMYFUNCTION("VLOOKUP($A$1,IMPORTRANGE($A$2, CONCATENATE($A42,""!$B$5:$JB$48"")),E$1,0)"),"")</f>
        <v/>
      </c>
      <c r="F42" s="35" t="str">
        <f>IFERROR(__xludf.DUMMYFUNCTION("VLOOKUP($A$1,IMPORTRANGE($A$2, CONCATENATE($A42,""!$B$5:$JB$48"")),F$1,0)"),"")</f>
        <v/>
      </c>
      <c r="G42" s="35" t="str">
        <f>IFERROR(__xludf.DUMMYFUNCTION("VLOOKUP($A$1,IMPORTRANGE($A$2, CONCATENATE($A42,""!$B$5:$JB$48"")),G$1,0)"),"")</f>
        <v/>
      </c>
      <c r="H42" s="35" t="str">
        <f>IFERROR(__xludf.DUMMYFUNCTION("VLOOKUP($A$1,IMPORTRANGE($A$2, CONCATENATE($A42,""!$B$5:$JB$48"")),H$1,0)"),"")</f>
        <v/>
      </c>
      <c r="I42" s="35">
        <f>IFERROR(__xludf.DUMMYFUNCTION("VLOOKUP($A$1,IMPORTRANGE($A$2, CONCATENATE($A42,""!$B$5:$JB$48"")),I$1,0)"),5.0)</f>
        <v>5</v>
      </c>
      <c r="J42" s="35" t="str">
        <f>IFERROR(__xludf.DUMMYFUNCTION("VLOOKUP($A$1,IMPORTRANGE($A$2, CONCATENATE($A42,""!$B$5:$JB$48"")),J$1,0)"),"")</f>
        <v/>
      </c>
      <c r="K42" s="35" t="str">
        <f>IFERROR(__xludf.DUMMYFUNCTION("VLOOKUP($A$1,IMPORTRANGE($A$2, CONCATENATE($A42,""!$B$5:$JB$48"")),K$1,0)"),"")</f>
        <v/>
      </c>
      <c r="L42" s="35" t="str">
        <f>IFERROR(__xludf.DUMMYFUNCTION("VLOOKUP($A$1,IMPORTRANGE($A$2, CONCATENATE($A42,""!$B$5:$JB$48"")),L$1,0)"),"")</f>
        <v/>
      </c>
      <c r="M42" s="35" t="str">
        <f>IFERROR(__xludf.DUMMYFUNCTION("VLOOKUP($A$1,IMPORTRANGE($A$2, CONCATENATE($A42,""!$B$5:$JB$48"")),M$1,0)"),"")</f>
        <v/>
      </c>
      <c r="N42" s="35" t="str">
        <f>IFERROR(__xludf.DUMMYFUNCTION("VLOOKUP($A$1,IMPORTRANGE($A$2, CONCATENATE($A42,""!$B$5:$JB$48"")),N$1,0)"),"")</f>
        <v/>
      </c>
      <c r="O42" s="35" t="str">
        <f>IFERROR(__xludf.DUMMYFUNCTION("VLOOKUP($A$1,IMPORTRANGE($A$2, CONCATENATE($A42,""!$B$5:$JB$48"")),O$1,0)"),"")</f>
        <v/>
      </c>
      <c r="P42" s="35" t="str">
        <f>IFERROR(__xludf.DUMMYFUNCTION("VLOOKUP($A$1,IMPORTRANGE($A$2, CONCATENATE($A42,""!$B$5:$JB$48"")),P$1,0)"),"")</f>
        <v/>
      </c>
      <c r="Q42" s="35" t="str">
        <f>IFERROR(__xludf.DUMMYFUNCTION("VLOOKUP($A$1,IMPORTRANGE($A$2, CONCATENATE($A42,""!$B$5:$JB$48"")),Q$1,0)"),"")</f>
        <v/>
      </c>
      <c r="R42" s="35" t="str">
        <f>IFERROR(__xludf.DUMMYFUNCTION("VLOOKUP($A$1,IMPORTRANGE($A$2, CONCATENATE($A42,""!$B$5:$JB$48"")),R$1,0)"),"")</f>
        <v/>
      </c>
      <c r="S42" s="35" t="str">
        <f>IFERROR(__xludf.DUMMYFUNCTION("VLOOKUP($A$1,IMPORTRANGE($A$2, CONCATENATE($A42,""!$B$5:$JB$48"")),S$1,0)"),"")</f>
        <v/>
      </c>
      <c r="T42" s="35" t="str">
        <f>IFERROR(__xludf.DUMMYFUNCTION("VLOOKUP($A$1,IMPORTRANGE($A$2, CONCATENATE($A42,""!$B$5:$JB$48"")),T$1,0)"),"")</f>
        <v/>
      </c>
      <c r="U42" s="35" t="str">
        <f>IFERROR(__xludf.DUMMYFUNCTION("VLOOKUP($A$1,IMPORTRANGE($A$2, CONCATENATE($A42,""!$B$5:$JB$48"")),U$1,0)"),"")</f>
        <v/>
      </c>
      <c r="V42" s="35" t="str">
        <f>IFERROR(__xludf.DUMMYFUNCTION("VLOOKUP($A$1,IMPORTRANGE($A$2, CONCATENATE($A42,""!$B$5:$JB$48"")),V$1,0)"),"")</f>
        <v/>
      </c>
      <c r="W42" s="35" t="str">
        <f>IFERROR(__xludf.DUMMYFUNCTION("VLOOKUP($A$1,IMPORTRANGE($A$2, CONCATENATE($A42,""!$B$5:$JB$48"")),W$1,0)"),"")</f>
        <v/>
      </c>
      <c r="X42" s="35" t="str">
        <f>IFERROR(__xludf.DUMMYFUNCTION("VLOOKUP($A$1,IMPORTRANGE($A$2, CONCATENATE($A42,""!$B$5:$JB$48"")),X$1,0)"),"")</f>
        <v/>
      </c>
      <c r="Y42" s="35" t="str">
        <f>IFERROR(__xludf.DUMMYFUNCTION("VLOOKUP($A$1,IMPORTRANGE($A$2, CONCATENATE($A42,""!$B$5:$JB$48"")),Y$1,0)"),"")</f>
        <v/>
      </c>
      <c r="Z42" s="35" t="str">
        <f>IFERROR(__xludf.DUMMYFUNCTION("VLOOKUP($A$1,IMPORTRANGE($A$2, CONCATENATE($A42,""!$B$5:$JB$48"")),Z$1,0)"),"")</f>
        <v/>
      </c>
      <c r="AA42" s="35" t="str">
        <f>IFERROR(__xludf.DUMMYFUNCTION("VLOOKUP($A$1,IMPORTRANGE($A$2, CONCATENATE($A42,""!$B$5:$JB$48"")),AA$1,0)"),"")</f>
        <v/>
      </c>
      <c r="AB42" s="35" t="str">
        <f>IFERROR(__xludf.DUMMYFUNCTION("VLOOKUP($A$1,IMPORTRANGE($A$2, CONCATENATE($A42,""!$B$5:$JB$48"")),AB$1,0)"),"")</f>
        <v/>
      </c>
      <c r="AC42" s="35" t="str">
        <f>IFERROR(__xludf.DUMMYFUNCTION("VLOOKUP($A$1,IMPORTRANGE($A$2, CONCATENATE($A42,""!$B$5:$JB$48"")),AC$1,0)"),"")</f>
        <v/>
      </c>
      <c r="AD42" s="35" t="str">
        <f>IFERROR(__xludf.DUMMYFUNCTION("VLOOKUP($A$1,IMPORTRANGE($A$2, CONCATENATE($A42,""!$B$5:$JB$48"")),AD$1,0)"),"")</f>
        <v/>
      </c>
      <c r="AE42" s="35" t="str">
        <f>IFERROR(__xludf.DUMMYFUNCTION("VLOOKUP($A$1,IMPORTRANGE($A$2, CONCATENATE($A42,""!$B$5:$JB$48"")),AE$1,0)"),"")</f>
        <v/>
      </c>
      <c r="AF42" s="35" t="str">
        <f>IFERROR(__xludf.DUMMYFUNCTION("VLOOKUP($A$1,IMPORTRANGE($A$2, CONCATENATE($A42,""!$B$5:$JB$48"")),AF$1,0)"),"")</f>
        <v/>
      </c>
      <c r="AG42" s="35" t="str">
        <f>IFERROR(__xludf.DUMMYFUNCTION("VLOOKUP($A$1,IMPORTRANGE($A$2, CONCATENATE($A42,""!$B$5:$JB$48"")),AG$1,0)"),"")</f>
        <v/>
      </c>
      <c r="AH42" s="35" t="str">
        <f>IFERROR(__xludf.DUMMYFUNCTION("VLOOKUP($A$1,IMPORTRANGE($A$2, CONCATENATE($A42,""!$B$5:$JB$48"")),AH$1,0)"),"")</f>
        <v/>
      </c>
      <c r="AI42" s="35" t="str">
        <f>IFERROR(__xludf.DUMMYFUNCTION("VLOOKUP($A$1,IMPORTRANGE($A$2, CONCATENATE($A42,""!$B$5:$JB$48"")),AI$1,0)"),"")</f>
        <v/>
      </c>
      <c r="AJ42" s="35" t="str">
        <f>IFERROR(__xludf.DUMMYFUNCTION("VLOOKUP($A$1,IMPORTRANGE($A$2, CONCATENATE($A42,""!$B$5:$JB$48"")),AJ$1,0)"),"")</f>
        <v/>
      </c>
      <c r="AK42" s="35" t="str">
        <f>IFERROR(__xludf.DUMMYFUNCTION("VLOOKUP($A$1,IMPORTRANGE($A$2, CONCATENATE($A42,""!$B$5:$JB$48"")),AK$1,0)"),"")</f>
        <v/>
      </c>
      <c r="AL42" s="35" t="str">
        <f>IFERROR(__xludf.DUMMYFUNCTION("VLOOKUP($A$1,IMPORTRANGE($A$2, CONCATENATE($A42,""!$B$5:$JB$48"")),AL$1,0)"),"")</f>
        <v/>
      </c>
      <c r="AM42" s="35" t="str">
        <f>IFERROR(__xludf.DUMMYFUNCTION("VLOOKUP($A$1,IMPORTRANGE($A$2, CONCATENATE($A42,""!$B$5:$JB$48"")),AM$1,0)"),"")</f>
        <v/>
      </c>
      <c r="AN42" s="35" t="str">
        <f>IFERROR(__xludf.DUMMYFUNCTION("VLOOKUP($A$1,IMPORTRANGE($A$2, CONCATENATE($A42,""!$B$5:$JB$48"")),AN$1,0)"),"")</f>
        <v/>
      </c>
      <c r="AO42" s="35" t="str">
        <f>IFERROR(__xludf.DUMMYFUNCTION("VLOOKUP($A$1,IMPORTRANGE($A$2, CONCATENATE($A42,""!$B$5:$JB$48"")),AO$1,0)"),"")</f>
        <v/>
      </c>
      <c r="AP42" s="35" t="str">
        <f>IFERROR(__xludf.DUMMYFUNCTION("VLOOKUP($A$1,IMPORTRANGE($A$2, CONCATENATE($A42,""!$B$5:$JB$48"")),AP$1,0)"),"")</f>
        <v/>
      </c>
      <c r="AQ42" s="35" t="str">
        <f>IFERROR(__xludf.DUMMYFUNCTION("VLOOKUP($A$1,IMPORTRANGE($A$2, CONCATENATE($A42,""!$B$5:$JB$48"")),AQ$1,0)"),"")</f>
        <v/>
      </c>
      <c r="AR42" s="35" t="str">
        <f>IFERROR(__xludf.DUMMYFUNCTION("VLOOKUP($A$1,IMPORTRANGE($A$2, CONCATENATE($A42,""!$B$5:$JB$48"")),AR$1,0)"),"")</f>
        <v/>
      </c>
      <c r="AS42" s="35" t="str">
        <f>IFERROR(__xludf.DUMMYFUNCTION("VLOOKUP($A$1,IMPORTRANGE($A$2, CONCATENATE($A42,""!$B$5:$JB$48"")),AS$1,0)"),"")</f>
        <v/>
      </c>
      <c r="AT42" s="35" t="str">
        <f>IFERROR(__xludf.DUMMYFUNCTION("VLOOKUP($A$1,IMPORTRANGE($A$2, CONCATENATE($A42,""!$B$5:$JB$48"")),AT$1,0)"),"")</f>
        <v/>
      </c>
      <c r="AU42" s="35" t="str">
        <f>IFERROR(__xludf.DUMMYFUNCTION("VLOOKUP($A$1,IMPORTRANGE($A$2, CONCATENATE($A42,""!$B$5:$JB$48"")),AU$1,0)"),"")</f>
        <v/>
      </c>
      <c r="AV42" s="35" t="str">
        <f>IFERROR(__xludf.DUMMYFUNCTION("VLOOKUP($A$1,IMPORTRANGE($A$2, CONCATENATE($A42,""!$B$5:$JB$48"")),AV$1,0)"),"")</f>
        <v/>
      </c>
      <c r="AW42" s="35" t="str">
        <f>IFERROR(__xludf.DUMMYFUNCTION("VLOOKUP($A$1,IMPORTRANGE($A$2, CONCATENATE($A42,""!$B$5:$JB$48"")),AW$1,0)"),"")</f>
        <v/>
      </c>
      <c r="AX42" s="35" t="str">
        <f>IFERROR(__xludf.DUMMYFUNCTION("VLOOKUP($A$1,IMPORTRANGE($A$2, CONCATENATE($A42,""!$B$5:$JB$48"")),AX$1,0)"),"")</f>
        <v/>
      </c>
      <c r="AY42" s="35" t="str">
        <f>IFERROR(__xludf.DUMMYFUNCTION("VLOOKUP($A$1,IMPORTRANGE($A$2, CONCATENATE($A42,""!$B$5:$JB$48"")),AY$1,0)"),"")</f>
        <v/>
      </c>
      <c r="AZ42" s="35" t="str">
        <f>IFERROR(__xludf.DUMMYFUNCTION("VLOOKUP($A$1,IMPORTRANGE($A$2, CONCATENATE($A42,""!$B$5:$JB$48"")),AZ$1,0)"),"")</f>
        <v/>
      </c>
      <c r="BA42" s="35" t="str">
        <f>IFERROR(__xludf.DUMMYFUNCTION("VLOOKUP($A$1,IMPORTRANGE($A$2, CONCATENATE($A42,""!$B$5:$JB$48"")),BA$1,0)"),"")</f>
        <v/>
      </c>
      <c r="BB42" s="35" t="str">
        <f>IFERROR(__xludf.DUMMYFUNCTION("VLOOKUP($A$1,IMPORTRANGE($A$2, CONCATENATE($A42,""!$B$5:$JB$48"")),BB$1,0)"),"")</f>
        <v/>
      </c>
      <c r="BC42" s="35" t="str">
        <f>IFERROR(__xludf.DUMMYFUNCTION("VLOOKUP($A$1,IMPORTRANGE($A$2, CONCATENATE($A42,""!$B$5:$JB$48"")),BC$1,0)"),"")</f>
        <v/>
      </c>
      <c r="BD42" s="35" t="str">
        <f>IFERROR(__xludf.DUMMYFUNCTION("VLOOKUP($A$1,IMPORTRANGE($A$2, CONCATENATE($A42,""!$B$5:$JB$48"")),BD$1,0)"),"")</f>
        <v/>
      </c>
      <c r="BE42" s="35" t="str">
        <f>IFERROR(__xludf.DUMMYFUNCTION("VLOOKUP($A$1,IMPORTRANGE($A$2, CONCATENATE($A42,""!$B$5:$JB$48"")),BE$1,0)"),"")</f>
        <v/>
      </c>
      <c r="BF42" s="35" t="str">
        <f>IFERROR(__xludf.DUMMYFUNCTION("VLOOKUP($A$1,IMPORTRANGE($A$2, CONCATENATE($A42,""!$B$5:$JB$48"")),BF$1,0)"),"")</f>
        <v/>
      </c>
      <c r="BG42" s="35" t="str">
        <f>IFERROR(__xludf.DUMMYFUNCTION("VLOOKUP($A$1,IMPORTRANGE($A$2, CONCATENATE($A42,""!$B$5:$JB$48"")),BG$1,0)"),"")</f>
        <v/>
      </c>
      <c r="BH42" s="35" t="str">
        <f>IFERROR(__xludf.DUMMYFUNCTION("VLOOKUP($A$1,IMPORTRANGE($A$2, CONCATENATE($A42,""!$B$5:$JB$48"")),BH$1,0)"),"")</f>
        <v/>
      </c>
      <c r="BI42" s="35" t="str">
        <f>IFERROR(__xludf.DUMMYFUNCTION("VLOOKUP($A$1,IMPORTRANGE($A$2, CONCATENATE($A42,""!$B$5:$JB$48"")),BI$1,0)"),"")</f>
        <v/>
      </c>
      <c r="BJ42" s="35" t="str">
        <f>IFERROR(__xludf.DUMMYFUNCTION("VLOOKUP($A$1,IMPORTRANGE($A$2, CONCATENATE($A42,""!$B$5:$JB$48"")),BJ$1,0)"),"")</f>
        <v/>
      </c>
      <c r="BK42" s="35" t="str">
        <f>IFERROR(__xludf.DUMMYFUNCTION("VLOOKUP($A$1,IMPORTRANGE($A$2, CONCATENATE($A42,""!$B$5:$JB$48"")),BK$1,0)"),"")</f>
        <v/>
      </c>
      <c r="BL42" s="35" t="str">
        <f>IFERROR(__xludf.DUMMYFUNCTION("VLOOKUP($A$1,IMPORTRANGE($A$2, CONCATENATE($A42,""!$B$5:$JB$48"")),BL$1,0)"),"")</f>
        <v/>
      </c>
      <c r="BM42" s="35" t="str">
        <f>IFERROR(__xludf.DUMMYFUNCTION("VLOOKUP($A$1,IMPORTRANGE($A$2, CONCATENATE($A42,""!$B$5:$JB$48"")),BM$1,0)"),"")</f>
        <v/>
      </c>
      <c r="BN42" s="35">
        <f>IFERROR(__xludf.DUMMYFUNCTION("VLOOKUP($A$1,IMPORTRANGE($A$2, CONCATENATE($A42,""!$B$5:$JB$48"")),BN$1,0)"),5.0)</f>
        <v>5</v>
      </c>
      <c r="BO42" s="35" t="str">
        <f>IFERROR(__xludf.DUMMYFUNCTION("VLOOKUP($A$1,IMPORTRANGE($A$2, CONCATENATE($A42,""!$B$5:$JB$48"")),BO$1,0)"),"")</f>
        <v/>
      </c>
      <c r="BP42" s="35" t="str">
        <f>IFERROR(__xludf.DUMMYFUNCTION("VLOOKUP($A$1,IMPORTRANGE($A$2, CONCATENATE($A42,""!$B$5:$JB$48"")),BP$1,0)"),"")</f>
        <v/>
      </c>
      <c r="BQ42" s="35" t="str">
        <f>IFERROR(__xludf.DUMMYFUNCTION("VLOOKUP($A$1,IMPORTRANGE($A$2, CONCATENATE($A42,""!$B$5:$JB$48"")),BQ$1,0)"),"")</f>
        <v/>
      </c>
      <c r="BR42" s="35" t="str">
        <f>IFERROR(__xludf.DUMMYFUNCTION("VLOOKUP($A$1,IMPORTRANGE($A$2, CONCATENATE($A42,""!$B$5:$JB$48"")),BR$1,0)"),"")</f>
        <v/>
      </c>
      <c r="BS42" s="35" t="str">
        <f>IFERROR(__xludf.DUMMYFUNCTION("VLOOKUP($A$1,IMPORTRANGE($A$2, CONCATENATE($A42,""!$B$5:$JB$48"")),BS$1,0)"),"")</f>
        <v/>
      </c>
      <c r="BT42" s="35" t="str">
        <f>IFERROR(__xludf.DUMMYFUNCTION("VLOOKUP($A$1,IMPORTRANGE($A$2, CONCATENATE($A42,""!$B$5:$JB$48"")),BT$1,0)"),"")</f>
        <v/>
      </c>
      <c r="BU42" s="35" t="str">
        <f>IFERROR(__xludf.DUMMYFUNCTION("VLOOKUP($A$1,IMPORTRANGE($A$2, CONCATENATE($A42,""!$B$5:$JB$48"")),BU$1,0)"),"")</f>
        <v/>
      </c>
      <c r="BV42" s="35" t="str">
        <f>IFERROR(__xludf.DUMMYFUNCTION("VLOOKUP($A$1,IMPORTRANGE($A$2, CONCATENATE($A42,""!$B$5:$JB$48"")),BV$1,0)"),"")</f>
        <v/>
      </c>
      <c r="BW42" s="35" t="str">
        <f>IFERROR(__xludf.DUMMYFUNCTION("VLOOKUP($A$1,IMPORTRANGE($A$2, CONCATENATE($A42,""!$B$5:$JB$48"")),BW$1,0)"),"")</f>
        <v/>
      </c>
      <c r="BX42" s="35" t="str">
        <f>IFERROR(__xludf.DUMMYFUNCTION("VLOOKUP($A$1,IMPORTRANGE($A$2, CONCATENATE($A42,""!$B$5:$JB$48"")),BX$1,0)"),"")</f>
        <v/>
      </c>
      <c r="BY42" s="35" t="str">
        <f>IFERROR(__xludf.DUMMYFUNCTION("VLOOKUP($A$1,IMPORTRANGE($A$2, CONCATENATE($A42,""!$B$5:$JB$48"")),BY$1,0)"),"")</f>
        <v/>
      </c>
      <c r="BZ42" s="35" t="str">
        <f>IFERROR(__xludf.DUMMYFUNCTION("VLOOKUP($A$1,IMPORTRANGE($A$2, CONCATENATE($A42,""!$B$5:$JB$48"")),BZ$1,0)"),"")</f>
        <v/>
      </c>
      <c r="CA42" s="35" t="str">
        <f>IFERROR(__xludf.DUMMYFUNCTION("VLOOKUP($A$1,IMPORTRANGE($A$2, CONCATENATE($A42,""!$B$5:$JB$48"")),CA$1,0)"),"")</f>
        <v/>
      </c>
      <c r="CB42" s="35" t="str">
        <f>IFERROR(__xludf.DUMMYFUNCTION("VLOOKUP($A$1,IMPORTRANGE($A$2, CONCATENATE($A42,""!$B$5:$JB$48"")),CB$1,0)"),"")</f>
        <v/>
      </c>
      <c r="CC42" s="35" t="str">
        <f>IFERROR(__xludf.DUMMYFUNCTION("VLOOKUP($A$1,IMPORTRANGE($A$2, CONCATENATE($A42,""!$B$5:$JB$48"")),CC$1,0)"),"")</f>
        <v/>
      </c>
      <c r="CD42" s="35" t="str">
        <f>IFERROR(__xludf.DUMMYFUNCTION("VLOOKUP($A$1,IMPORTRANGE($A$2, CONCATENATE($A42,""!$B$5:$JB$48"")),CD$1,0)"),"")</f>
        <v/>
      </c>
      <c r="CE42" s="35" t="str">
        <f>IFERROR(__xludf.DUMMYFUNCTION("VLOOKUP($A$1,IMPORTRANGE($A$2, CONCATENATE($A42,""!$B$5:$JB$48"")),CE$1,0)"),"")</f>
        <v/>
      </c>
      <c r="CF42" s="35" t="str">
        <f>IFERROR(__xludf.DUMMYFUNCTION("VLOOKUP($A$1,IMPORTRANGE($A$2, CONCATENATE($A42,""!$B$5:$JB$48"")),CF$1,0)"),"")</f>
        <v/>
      </c>
      <c r="CG42" s="35" t="str">
        <f>IFERROR(__xludf.DUMMYFUNCTION("VLOOKUP($A$1,IMPORTRANGE($A$2, CONCATENATE($A42,""!$B$5:$JB$48"")),CG$1,0)"),"")</f>
        <v/>
      </c>
      <c r="CH42" s="35" t="str">
        <f>IFERROR(__xludf.DUMMYFUNCTION("VLOOKUP($A$1,IMPORTRANGE($A$2, CONCATENATE($A42,""!$B$5:$JB$48"")),CH$1,0)"),"")</f>
        <v/>
      </c>
      <c r="CI42" s="35" t="str">
        <f>IFERROR(__xludf.DUMMYFUNCTION("VLOOKUP($A$1,IMPORTRANGE($A$2, CONCATENATE($A42,""!$B$5:$JB$48"")),CI$1,0)"),"")</f>
        <v/>
      </c>
      <c r="CJ42" s="35" t="str">
        <f>IFERROR(__xludf.DUMMYFUNCTION("VLOOKUP($A$1,IMPORTRANGE($A$2, CONCATENATE($A42,""!$B$5:$JB$48"")),CJ$1,0)"),"")</f>
        <v/>
      </c>
      <c r="CK42" s="35" t="str">
        <f>IFERROR(__xludf.DUMMYFUNCTION("VLOOKUP($A$1,IMPORTRANGE($A$2, CONCATENATE($A42,""!$B$5:$JB$48"")),CK$1,0)"),"")</f>
        <v/>
      </c>
      <c r="CL42" s="35" t="str">
        <f>IFERROR(__xludf.DUMMYFUNCTION("VLOOKUP($A$1,IMPORTRANGE($A$2, CONCATENATE($A42,""!$B$5:$JB$48"")),CL$1,0)"),"")</f>
        <v/>
      </c>
      <c r="CM42" s="35" t="str">
        <f>IFERROR(__xludf.DUMMYFUNCTION("VLOOKUP($A$1,IMPORTRANGE($A$2, CONCATENATE($A42,""!$B$5:$JB$48"")),CM$1,0)"),"")</f>
        <v/>
      </c>
      <c r="CN42" s="35" t="str">
        <f>IFERROR(__xludf.DUMMYFUNCTION("VLOOKUP($A$1,IMPORTRANGE($A$2, CONCATENATE($A42,""!$B$5:$JB$48"")),CN$1,0)"),"")</f>
        <v/>
      </c>
      <c r="CO42" s="35" t="str">
        <f>IFERROR(__xludf.DUMMYFUNCTION("VLOOKUP($A$1,IMPORTRANGE($A$2, CONCATENATE($A42,""!$B$5:$JB$48"")),CO$1,0)"),"")</f>
        <v/>
      </c>
      <c r="CP42" s="35" t="str">
        <f>IFERROR(__xludf.DUMMYFUNCTION("VLOOKUP($A$1,IMPORTRANGE($A$2, CONCATENATE($A42,""!$B$5:$JB$48"")),CP$1,0)"),"")</f>
        <v/>
      </c>
      <c r="CQ42" s="35" t="str">
        <f>IFERROR(__xludf.DUMMYFUNCTION("VLOOKUP($A$1,IMPORTRANGE($A$2, CONCATENATE($A42,""!$B$5:$JB$48"")),CQ$1,0)"),"")</f>
        <v/>
      </c>
      <c r="CR42" s="35" t="str">
        <f>IFERROR(__xludf.DUMMYFUNCTION("VLOOKUP($A$1,IMPORTRANGE($A$2, CONCATENATE($A42,""!$B$5:$JB$48"")),CR$1,0)"),"")</f>
        <v/>
      </c>
      <c r="CS42" s="35" t="str">
        <f>IFERROR(__xludf.DUMMYFUNCTION("VLOOKUP($A$1,IMPORTRANGE($A$2, CONCATENATE($A42,""!$B$5:$JB$48"")),CS$1,0)"),"")</f>
        <v/>
      </c>
      <c r="CT42" s="35" t="str">
        <f>IFERROR(__xludf.DUMMYFUNCTION("VLOOKUP($A$1,IMPORTRANGE($A$2, CONCATENATE($A42,""!$B$5:$JB$48"")),CT$1,0)"),"")</f>
        <v/>
      </c>
      <c r="CU42" s="35" t="str">
        <f>IFERROR(__xludf.DUMMYFUNCTION("VLOOKUP($A$1,IMPORTRANGE($A$2, CONCATENATE($A42,""!$B$5:$JB$48"")),CU$1,0)"),"")</f>
        <v/>
      </c>
      <c r="CV42" s="35" t="str">
        <f>IFERROR(__xludf.DUMMYFUNCTION("VLOOKUP($A$1,IMPORTRANGE($A$2, CONCATENATE($A42,""!$B$5:$JB$48"")),CV$1,0)"),"")</f>
        <v/>
      </c>
      <c r="CW42" s="35" t="str">
        <f>IFERROR(__xludf.DUMMYFUNCTION("VLOOKUP($A$1,IMPORTRANGE($A$2, CONCATENATE($A42,""!$B$5:$JB$48"")),CW$1,0)"),"")</f>
        <v/>
      </c>
      <c r="CX42" s="35" t="str">
        <f>IFERROR(__xludf.DUMMYFUNCTION("VLOOKUP($A$1,IMPORTRANGE($A$2, CONCATENATE($A42,""!$B$5:$JB$48"")),CX$1,0)"),"")</f>
        <v/>
      </c>
      <c r="CY42" s="35" t="str">
        <f>IFERROR(__xludf.DUMMYFUNCTION("VLOOKUP($A$1,IMPORTRANGE($A$2, CONCATENATE($A42,""!$B$5:$JB$48"")),CY$1,0)"),"")</f>
        <v/>
      </c>
      <c r="CZ42" s="35" t="str">
        <f>IFERROR(__xludf.DUMMYFUNCTION("VLOOKUP($A$1,IMPORTRANGE($A$2, CONCATENATE($A42,""!$B$5:$JB$48"")),CZ$1,0)"),"")</f>
        <v/>
      </c>
      <c r="DA42" s="35" t="str">
        <f>IFERROR(__xludf.DUMMYFUNCTION("VLOOKUP($A$1,IMPORTRANGE($A$2, CONCATENATE($A42,""!$B$5:$JB$48"")),DA$1,0)"),"")</f>
        <v/>
      </c>
      <c r="DB42" s="35" t="str">
        <f>IFERROR(__xludf.DUMMYFUNCTION("VLOOKUP($A$1,IMPORTRANGE($A$2, CONCATENATE($A42,""!$B$5:$JB$48"")),DB$1,0)"),"")</f>
        <v/>
      </c>
      <c r="DC42" s="35" t="str">
        <f>IFERROR(__xludf.DUMMYFUNCTION("VLOOKUP($A$1,IMPORTRANGE($A$2, CONCATENATE($A42,""!$B$5:$JB$48"")),DC$1,0)"),"")</f>
        <v/>
      </c>
      <c r="DD42" s="35" t="str">
        <f>IFERROR(__xludf.DUMMYFUNCTION("VLOOKUP($A$1,IMPORTRANGE($A$2, CONCATENATE($A42,""!$B$5:$JB$48"")),DD$1,0)"),"")</f>
        <v/>
      </c>
      <c r="DE42" s="35" t="str">
        <f>IFERROR(__xludf.DUMMYFUNCTION("VLOOKUP($A$1,IMPORTRANGE($A$2, CONCATENATE($A42,""!$B$5:$JB$48"")),DE$1,0)"),"")</f>
        <v/>
      </c>
      <c r="DF42" s="35" t="str">
        <f>IFERROR(__xludf.DUMMYFUNCTION("VLOOKUP($A$1,IMPORTRANGE($A$2, CONCATENATE($A42,""!$B$5:$JB$48"")),DF$1,0)"),"")</f>
        <v/>
      </c>
      <c r="DG42" s="35" t="str">
        <f>IFERROR(__xludf.DUMMYFUNCTION("VLOOKUP($A$1,IMPORTRANGE($A$2, CONCATENATE($A42,""!$B$5:$JB$48"")),DG$1,0)"),"")</f>
        <v/>
      </c>
      <c r="DH42" s="35" t="str">
        <f>IFERROR(__xludf.DUMMYFUNCTION("VLOOKUP($A$1,IMPORTRANGE($A$2, CONCATENATE($A42,""!$B$5:$JB$48"")),DH$1,0)"),"")</f>
        <v/>
      </c>
      <c r="DI42" s="35" t="str">
        <f>IFERROR(__xludf.DUMMYFUNCTION("VLOOKUP($A$1,IMPORTRANGE($A$2, CONCATENATE($A42,""!$B$5:$JB$48"")),DI$1,0)"),"")</f>
        <v/>
      </c>
      <c r="DJ42" s="35" t="str">
        <f>IFERROR(__xludf.DUMMYFUNCTION("VLOOKUP($A$1,IMPORTRANGE($A$2, CONCATENATE($A42,""!$B$5:$JB$48"")),DJ$1,0)"),"")</f>
        <v/>
      </c>
      <c r="DK42" s="35" t="str">
        <f>IFERROR(__xludf.DUMMYFUNCTION("VLOOKUP($A$1,IMPORTRANGE($A$2, CONCATENATE($A42,""!$B$5:$JB$48"")),DK$1,0)"),"")</f>
        <v/>
      </c>
      <c r="DL42" s="35" t="str">
        <f>IFERROR(__xludf.DUMMYFUNCTION("VLOOKUP($A$1,IMPORTRANGE($A$2, CONCATENATE($A42,""!$B$5:$JB$48"")),DL$1,0)"),"")</f>
        <v/>
      </c>
      <c r="DM42" s="35" t="str">
        <f>IFERROR(__xludf.DUMMYFUNCTION("VLOOKUP($A$1,IMPORTRANGE($A$2, CONCATENATE($A42,""!$B$5:$JB$48"")),DM$1,0)"),"")</f>
        <v/>
      </c>
      <c r="DN42" s="35" t="str">
        <f>IFERROR(__xludf.DUMMYFUNCTION("VLOOKUP($A$1,IMPORTRANGE($A$2, CONCATENATE($A42,""!$B$5:$JB$48"")),DN$1,0)"),"")</f>
        <v/>
      </c>
      <c r="DO42" s="35" t="str">
        <f>IFERROR(__xludf.DUMMYFUNCTION("VLOOKUP($A$1,IMPORTRANGE($A$2, CONCATENATE($A42,""!$B$5:$JB$48"")),DO$1,0)"),"")</f>
        <v/>
      </c>
      <c r="DP42" s="35" t="str">
        <f>IFERROR(__xludf.DUMMYFUNCTION("VLOOKUP($A$1,IMPORTRANGE($A$2, CONCATENATE($A42,""!$B$5:$JB$48"")),DP$1,0)"),"")</f>
        <v/>
      </c>
      <c r="DQ42" s="35">
        <f>IFERROR(__xludf.DUMMYFUNCTION("VLOOKUP($A$1,IMPORTRANGE($A$2, CONCATENATE($A42,""!$B$5:$JB$48"")),DQ$1,0)"),5.0)</f>
        <v>5</v>
      </c>
      <c r="DR42" s="35" t="str">
        <f>IFERROR(__xludf.DUMMYFUNCTION("VLOOKUP($A$1,IMPORTRANGE($A$2, CONCATENATE($A42,""!$B$5:$JB$48"")),DR$1,0)"),"")</f>
        <v/>
      </c>
      <c r="DS42" s="35" t="str">
        <f>IFERROR(__xludf.DUMMYFUNCTION("VLOOKUP($A$1,IMPORTRANGE($A$2, CONCATENATE($A42,""!$B$5:$JB$48"")),DS$1,0)"),"")</f>
        <v/>
      </c>
      <c r="DT42" s="35" t="str">
        <f>IFERROR(__xludf.DUMMYFUNCTION("VLOOKUP($A$1,IMPORTRANGE($A$2, CONCATENATE($A42,""!$B$5:$JB$48"")),DT$1,0)"),"")</f>
        <v/>
      </c>
      <c r="DU42" s="35" t="str">
        <f>IFERROR(__xludf.DUMMYFUNCTION("VLOOKUP($A$1,IMPORTRANGE($A$2, CONCATENATE($A42,""!$B$5:$JB$48"")),DU$1,0)"),"")</f>
        <v/>
      </c>
      <c r="DV42" s="35" t="str">
        <f>IFERROR(__xludf.DUMMYFUNCTION("VLOOKUP($A$1,IMPORTRANGE($A$2, CONCATENATE($A42,""!$B$5:$JB$48"")),DV$1,0)"),"")</f>
        <v/>
      </c>
      <c r="DW42" s="35" t="str">
        <f>IFERROR(__xludf.DUMMYFUNCTION("VLOOKUP($A$1,IMPORTRANGE($A$2, CONCATENATE($A42,""!$B$5:$JB$48"")),DW$1,0)"),"")</f>
        <v/>
      </c>
      <c r="DX42" s="35" t="str">
        <f>IFERROR(__xludf.DUMMYFUNCTION("VLOOKUP($A$1,IMPORTRANGE($A$2, CONCATENATE($A42,""!$B$5:$JB$48"")),DX$1,0)"),"")</f>
        <v/>
      </c>
      <c r="DY42" s="35" t="str">
        <f>IFERROR(__xludf.DUMMYFUNCTION("VLOOKUP($A$1,IMPORTRANGE($A$2, CONCATENATE($A42,""!$B$5:$JB$48"")),DY$1,0)"),"")</f>
        <v/>
      </c>
      <c r="DZ42" s="35" t="str">
        <f>IFERROR(__xludf.DUMMYFUNCTION("VLOOKUP($A$1,IMPORTRANGE($A$2, CONCATENATE($A42,""!$B$5:$JB$48"")),DZ$1,0)"),"")</f>
        <v/>
      </c>
      <c r="EA42" s="35" t="str">
        <f>IFERROR(__xludf.DUMMYFUNCTION("VLOOKUP($A$1,IMPORTRANGE($A$2, CONCATENATE($A42,""!$B$5:$JB$48"")),EA$1,0)"),"")</f>
        <v/>
      </c>
      <c r="EB42" s="35" t="str">
        <f>IFERROR(__xludf.DUMMYFUNCTION("VLOOKUP($A$1,IMPORTRANGE($A$2, CONCATENATE($A42,""!$B$5:$JB$48"")),EB$1,0)"),"")</f>
        <v/>
      </c>
      <c r="EC42" s="35" t="str">
        <f>IFERROR(__xludf.DUMMYFUNCTION("VLOOKUP($A$1,IMPORTRANGE($A$2, CONCATENATE($A42,""!$B$5:$JB$48"")),EC$1,0)"),"")</f>
        <v/>
      </c>
      <c r="ED42" s="35" t="str">
        <f>IFERROR(__xludf.DUMMYFUNCTION("VLOOKUP($A$1,IMPORTRANGE($A$2, CONCATENATE($A42,""!$B$5:$JB$48"")),ED$1,0)"),"")</f>
        <v/>
      </c>
      <c r="EE42" s="35" t="str">
        <f>IFERROR(__xludf.DUMMYFUNCTION("VLOOKUP($A$1,IMPORTRANGE($A$2, CONCATENATE($A42,""!$B$5:$JB$48"")),EE$1,0)"),"")</f>
        <v/>
      </c>
      <c r="EF42" s="35" t="str">
        <f>IFERROR(__xludf.DUMMYFUNCTION("VLOOKUP($A$1,IMPORTRANGE($A$2, CONCATENATE($A42,""!$B$5:$JB$48"")),EF$1,0)"),"")</f>
        <v/>
      </c>
      <c r="EG42" s="35" t="str">
        <f>IFERROR(__xludf.DUMMYFUNCTION("VLOOKUP($A$1,IMPORTRANGE($A$2, CONCATENATE($A42,""!$B$5:$JB$48"")),EG$1,0)"),"")</f>
        <v/>
      </c>
      <c r="EH42" s="35" t="str">
        <f>IFERROR(__xludf.DUMMYFUNCTION("VLOOKUP($A$1,IMPORTRANGE($A$2, CONCATENATE($A42,""!$B$5:$JB$48"")),EH$1,0)"),"")</f>
        <v/>
      </c>
      <c r="EI42" s="35" t="str">
        <f>IFERROR(__xludf.DUMMYFUNCTION("VLOOKUP($A$1,IMPORTRANGE($A$2, CONCATENATE($A42,""!$B$5:$JB$48"")),EI$1,0)"),"")</f>
        <v/>
      </c>
      <c r="EJ42" s="35" t="str">
        <f>IFERROR(__xludf.DUMMYFUNCTION("VLOOKUP($A$1,IMPORTRANGE($A$2, CONCATENATE($A42,""!$B$5:$JB$48"")),EJ$1,0)"),"")</f>
        <v/>
      </c>
      <c r="EK42" s="35" t="str">
        <f>IFERROR(__xludf.DUMMYFUNCTION("VLOOKUP($A$1,IMPORTRANGE($A$2, CONCATENATE($A42,""!$B$5:$JB$48"")),EK$1,0)"),"")</f>
        <v/>
      </c>
      <c r="EL42" s="35" t="str">
        <f>IFERROR(__xludf.DUMMYFUNCTION("VLOOKUP($A$1,IMPORTRANGE($A$2, CONCATENATE($A42,""!$B$5:$JB$48"")),EL$1,0)"),"")</f>
        <v/>
      </c>
      <c r="EM42" s="35">
        <f>IFERROR(__xludf.DUMMYFUNCTION("VLOOKUP($A$1,IMPORTRANGE($A$2, CONCATENATE($A42,""!$B$5:$JB$48"")),EM$1,0)"),5.0)</f>
        <v>5</v>
      </c>
      <c r="EN42" s="35" t="str">
        <f>IFERROR(__xludf.DUMMYFUNCTION("VLOOKUP($A$1,IMPORTRANGE($A$2, CONCATENATE($A42,""!$B$5:$JB$48"")),EN$1,0)"),"")</f>
        <v/>
      </c>
      <c r="EO42" s="35" t="str">
        <f>IFERROR(__xludf.DUMMYFUNCTION("VLOOKUP($A$1,IMPORTRANGE($A$2, CONCATENATE($A42,""!$B$5:$JB$48"")),EO$1,0)"),"")</f>
        <v/>
      </c>
      <c r="EP42" s="35" t="str">
        <f>IFERROR(__xludf.DUMMYFUNCTION("VLOOKUP($A$1,IMPORTRANGE($A$2, CONCATENATE($A42,""!$B$5:$JB$48"")),EP$1,0)"),"")</f>
        <v/>
      </c>
      <c r="EQ42" s="35" t="str">
        <f>IFERROR(__xludf.DUMMYFUNCTION("VLOOKUP($A$1,IMPORTRANGE($A$2, CONCATENATE($A42,""!$B$5:$JB$48"")),EQ$1,0)"),"")</f>
        <v/>
      </c>
      <c r="ER42" s="35" t="str">
        <f>IFERROR(__xludf.DUMMYFUNCTION("VLOOKUP($A$1,IMPORTRANGE($A$2, CONCATENATE($A42,""!$B$5:$JB$48"")),ER$1,0)"),"")</f>
        <v/>
      </c>
      <c r="ES42" s="35" t="str">
        <f>IFERROR(__xludf.DUMMYFUNCTION("VLOOKUP($A$1,IMPORTRANGE($A$2, CONCATENATE($A42,""!$B$5:$JB$48"")),ES$1,0)"),"")</f>
        <v/>
      </c>
      <c r="ET42" s="35" t="str">
        <f>IFERROR(__xludf.DUMMYFUNCTION("VLOOKUP($A$1,IMPORTRANGE($A$2, CONCATENATE($A42,""!$B$5:$JB$48"")),ET$1,0)"),"")</f>
        <v/>
      </c>
      <c r="EU42" s="35" t="str">
        <f>IFERROR(__xludf.DUMMYFUNCTION("VLOOKUP($A$1,IMPORTRANGE($A$2, CONCATENATE($A42,""!$B$5:$JB$48"")),EU$1,0)"),"")</f>
        <v/>
      </c>
      <c r="EV42" s="35" t="str">
        <f>IFERROR(__xludf.DUMMYFUNCTION("VLOOKUP($A$1,IMPORTRANGE($A$2, CONCATENATE($A42,""!$B$5:$JB$48"")),EV$1,0)"),"")</f>
        <v/>
      </c>
      <c r="EW42" s="35" t="str">
        <f>IFERROR(__xludf.DUMMYFUNCTION("VLOOKUP($A$1,IMPORTRANGE($A$2, CONCATENATE($A42,""!$B$5:$JB$48"")),EW$1,0)"),"")</f>
        <v/>
      </c>
      <c r="EX42" s="35" t="str">
        <f>IFERROR(__xludf.DUMMYFUNCTION("VLOOKUP($A$1,IMPORTRANGE($A$2, CONCATENATE($A42,""!$B$5:$JB$48"")),EX$1,0)"),"")</f>
        <v/>
      </c>
      <c r="EY42" s="35" t="str">
        <f>IFERROR(__xludf.DUMMYFUNCTION("VLOOKUP($A$1,IMPORTRANGE($A$2, CONCATENATE($A42,""!$B$5:$JB$48"")),EY$1,0)"),"")</f>
        <v/>
      </c>
      <c r="EZ42" s="35" t="str">
        <f>IFERROR(__xludf.DUMMYFUNCTION("VLOOKUP($A$1,IMPORTRANGE($A$2, CONCATENATE($A42,""!$B$5:$JB$48"")),EZ$1,0)"),"")</f>
        <v/>
      </c>
      <c r="FA42" s="35" t="str">
        <f>IFERROR(__xludf.DUMMYFUNCTION("VLOOKUP($A$1,IMPORTRANGE($A$2, CONCATENATE($A42,""!$B$5:$JB$48"")),FA$1,0)"),"")</f>
        <v/>
      </c>
      <c r="FB42" s="35" t="str">
        <f>IFERROR(__xludf.DUMMYFUNCTION("VLOOKUP($A$1,IMPORTRANGE($A$2, CONCATENATE($A42,""!$B$5:$JB$48"")),FB$1,0)"),"")</f>
        <v/>
      </c>
      <c r="FC42" s="35" t="str">
        <f>IFERROR(__xludf.DUMMYFUNCTION("VLOOKUP($A$1,IMPORTRANGE($A$2, CONCATENATE($A42,""!$B$5:$JB$48"")),FC$1,0)"),"")</f>
        <v/>
      </c>
      <c r="FD42" s="35" t="str">
        <f>IFERROR(__xludf.DUMMYFUNCTION("VLOOKUP($A$1,IMPORTRANGE($A$2, CONCATENATE($A42,""!$B$5:$JB$48"")),FD$1,0)"),"")</f>
        <v/>
      </c>
      <c r="FE42" s="35" t="str">
        <f>IFERROR(__xludf.DUMMYFUNCTION("VLOOKUP($A$1,IMPORTRANGE($A$2, CONCATENATE($A42,""!$B$5:$JB$48"")),FE$1,0)"),"")</f>
        <v/>
      </c>
      <c r="FF42" s="35" t="str">
        <f>IFERROR(__xludf.DUMMYFUNCTION("VLOOKUP($A$1,IMPORTRANGE($A$2, CONCATENATE($A42,""!$B$5:$JB$48"")),FF$1,0)"),"")</f>
        <v/>
      </c>
      <c r="FG42" s="35" t="str">
        <f>IFERROR(__xludf.DUMMYFUNCTION("VLOOKUP($A$1,IMPORTRANGE($A$2, CONCATENATE($A42,""!$B$5:$JB$48"")),FG$1,0)"),"")</f>
        <v/>
      </c>
      <c r="FH42" s="35" t="str">
        <f>IFERROR(__xludf.DUMMYFUNCTION("VLOOKUP($A$1,IMPORTRANGE($A$2, CONCATENATE($A42,""!$B$5:$JB$48"")),FH$1,0)"),"")</f>
        <v/>
      </c>
      <c r="FI42" s="35" t="str">
        <f>IFERROR(__xludf.DUMMYFUNCTION("VLOOKUP($A$1,IMPORTRANGE($A$2, CONCATENATE($A42,""!$B$5:$JB$48"")),FI$1,0)"),"")</f>
        <v/>
      </c>
      <c r="FJ42" s="35" t="str">
        <f>IFERROR(__xludf.DUMMYFUNCTION("VLOOKUP($A$1,IMPORTRANGE($A$2, CONCATENATE($A42,""!$B$5:$JB$48"")),FJ$1,0)"),"")</f>
        <v/>
      </c>
      <c r="FK42" s="35" t="str">
        <f>IFERROR(__xludf.DUMMYFUNCTION("VLOOKUP($A$1,IMPORTRANGE($A$2, CONCATENATE($A42,""!$B$5:$JB$48"")),FK$1,0)"),"")</f>
        <v/>
      </c>
      <c r="FL42" s="35">
        <f>IFERROR(__xludf.DUMMYFUNCTION("VLOOKUP($A$1,IMPORTRANGE($A$2, CONCATENATE($A42,""!$B$5:$JB$48"")),FL$1,0)"),5.0)</f>
        <v>5</v>
      </c>
      <c r="FM42" s="35" t="str">
        <f>IFERROR(__xludf.DUMMYFUNCTION("VLOOKUP($A$1,IMPORTRANGE($A$2, CONCATENATE($A42,""!$B$5:$JB$48"")),FM$1,0)"),"")</f>
        <v/>
      </c>
      <c r="FN42" s="35" t="str">
        <f>IFERROR(__xludf.DUMMYFUNCTION("VLOOKUP($A$1,IMPORTRANGE($A$2, CONCATENATE($A42,""!$B$5:$JB$48"")),FN$1,0)"),"")</f>
        <v/>
      </c>
      <c r="FO42" s="35" t="str">
        <f>IFERROR(__xludf.DUMMYFUNCTION("VLOOKUP($A$1,IMPORTRANGE($A$2, CONCATENATE($A42,""!$B$5:$JB$48"")),FO$1,0)"),"")</f>
        <v/>
      </c>
      <c r="FP42" s="35" t="str">
        <f>IFERROR(__xludf.DUMMYFUNCTION("VLOOKUP($A$1,IMPORTRANGE($A$2, CONCATENATE($A42,""!$B$5:$JB$48"")),FP$1,0)"),"")</f>
        <v/>
      </c>
      <c r="FQ42" s="35" t="str">
        <f>IFERROR(__xludf.DUMMYFUNCTION("VLOOKUP($A$1,IMPORTRANGE($A$2, CONCATENATE($A42,""!$B$5:$JB$48"")),FQ$1,0)"),"")</f>
        <v/>
      </c>
      <c r="FR42" s="35" t="str">
        <f>IFERROR(__xludf.DUMMYFUNCTION("VLOOKUP($A$1,IMPORTRANGE($A$2, CONCATENATE($A42,""!$B$5:$JB$48"")),FR$1,0)"),"")</f>
        <v/>
      </c>
      <c r="FS42" s="35" t="str">
        <f>IFERROR(__xludf.DUMMYFUNCTION("VLOOKUP($A$1,IMPORTRANGE($A$2, CONCATENATE($A42,""!$B$5:$JB$48"")),FS$1,0)"),"")</f>
        <v/>
      </c>
      <c r="FT42" s="35" t="str">
        <f>IFERROR(__xludf.DUMMYFUNCTION("VLOOKUP($A$1,IMPORTRANGE($A$2, CONCATENATE($A42,""!$B$5:$JB$48"")),FT$1,0)"),"")</f>
        <v/>
      </c>
      <c r="FU42" s="35" t="str">
        <f>IFERROR(__xludf.DUMMYFUNCTION("VLOOKUP($A$1,IMPORTRANGE($A$2, CONCATENATE($A42,""!$B$5:$JB$48"")),FU$1,0)"),"")</f>
        <v/>
      </c>
      <c r="FV42" s="35" t="str">
        <f>IFERROR(__xludf.DUMMYFUNCTION("VLOOKUP($A$1,IMPORTRANGE($A$2, CONCATENATE($A42,""!$B$5:$JB$48"")),FV$1,0)"),"")</f>
        <v/>
      </c>
      <c r="FW42" s="35" t="str">
        <f>IFERROR(__xludf.DUMMYFUNCTION("VLOOKUP($A$1,IMPORTRANGE($A$2, CONCATENATE($A42,""!$B$5:$JB$48"")),FW$1,0)"),"")</f>
        <v/>
      </c>
      <c r="FX42" s="35" t="str">
        <f>IFERROR(__xludf.DUMMYFUNCTION("VLOOKUP($A$1,IMPORTRANGE($A$2, CONCATENATE($A42,""!$B$5:$JB$48"")),FX$1,0)"),"")</f>
        <v/>
      </c>
      <c r="FY42" s="35" t="str">
        <f>IFERROR(__xludf.DUMMYFUNCTION("VLOOKUP($A$1,IMPORTRANGE($A$2, CONCATENATE($A42,""!$B$5:$JB$48"")),FY$1,0)"),"")</f>
        <v/>
      </c>
      <c r="FZ42" s="35" t="str">
        <f>IFERROR(__xludf.DUMMYFUNCTION("VLOOKUP($A$1,IMPORTRANGE($A$2, CONCATENATE($A42,""!$B$5:$JB$48"")),FZ$1,0)"),"")</f>
        <v/>
      </c>
      <c r="GA42" s="35" t="str">
        <f>IFERROR(__xludf.DUMMYFUNCTION("VLOOKUP($A$1,IMPORTRANGE($A$2, CONCATENATE($A42,""!$B$5:$JB$48"")),GA$1,0)"),"")</f>
        <v/>
      </c>
      <c r="GB42" s="35" t="str">
        <f>IFERROR(__xludf.DUMMYFUNCTION("VLOOKUP($A$1,IMPORTRANGE($A$2, CONCATENATE($A42,""!$B$5:$JB$48"")),GB$1,0)"),"")</f>
        <v/>
      </c>
      <c r="GC42" s="35" t="str">
        <f>IFERROR(__xludf.DUMMYFUNCTION("VLOOKUP($A$1,IMPORTRANGE($A$2, CONCATENATE($A42,""!$B$5:$JB$48"")),GC$1,0)"),"")</f>
        <v/>
      </c>
      <c r="GD42" s="35" t="str">
        <f>IFERROR(__xludf.DUMMYFUNCTION("VLOOKUP($A$1,IMPORTRANGE($A$2, CONCATENATE($A42,""!$B$5:$JB$48"")),GD$1,0)"),"")</f>
        <v/>
      </c>
      <c r="GE42" s="35" t="str">
        <f>IFERROR(__xludf.DUMMYFUNCTION("VLOOKUP($A$1,IMPORTRANGE($A$2, CONCATENATE($A42,""!$B$5:$JB$48"")),GE$1,0)"),"")</f>
        <v/>
      </c>
      <c r="GF42" s="35" t="str">
        <f>IFERROR(__xludf.DUMMYFUNCTION("VLOOKUP($A$1,IMPORTRANGE($A$2, CONCATENATE($A42,""!$B$5:$JB$48"")),GF$1,0)"),"")</f>
        <v/>
      </c>
      <c r="GG42" s="35" t="str">
        <f>IFERROR(__xludf.DUMMYFUNCTION("VLOOKUP($A$1,IMPORTRANGE($A$2, CONCATENATE($A42,""!$B$5:$JB$48"")),GG$1,0)"),"")</f>
        <v/>
      </c>
      <c r="GH42" s="35" t="str">
        <f>IFERROR(__xludf.DUMMYFUNCTION("VLOOKUP($A$1,IMPORTRANGE($A$2, CONCATENATE($A42,""!$B$5:$JB$48"")),GH$1,0)"),"")</f>
        <v/>
      </c>
      <c r="GI42" s="35" t="str">
        <f>IFERROR(__xludf.DUMMYFUNCTION("VLOOKUP($A$1,IMPORTRANGE($A$2, CONCATENATE($A42,""!$B$5:$JB$48"")),GI$1,0)"),"")</f>
        <v/>
      </c>
      <c r="GJ42" s="35" t="str">
        <f>IFERROR(__xludf.DUMMYFUNCTION("VLOOKUP($A$1,IMPORTRANGE($A$2, CONCATENATE($A42,""!$B$5:$JB$48"")),GJ$1,0)"),"")</f>
        <v/>
      </c>
      <c r="GK42" s="35" t="str">
        <f>IFERROR(__xludf.DUMMYFUNCTION("VLOOKUP($A$1,IMPORTRANGE($A$2, CONCATENATE($A42,""!$B$5:$JB$48"")),GK$1,0)"),"")</f>
        <v/>
      </c>
      <c r="GL42" s="35" t="str">
        <f>IFERROR(__xludf.DUMMYFUNCTION("VLOOKUP($A$1,IMPORTRANGE($A$2, CONCATENATE($A42,""!$B$5:$JB$48"")),GL$1,0)"),"")</f>
        <v/>
      </c>
      <c r="GM42" s="35" t="str">
        <f>IFERROR(__xludf.DUMMYFUNCTION("VLOOKUP($A$1,IMPORTRANGE($A$2, CONCATENATE($A42,""!$B$5:$JB$48"")),GM$1,0)"),"")</f>
        <v/>
      </c>
      <c r="GN42" s="35" t="str">
        <f>IFERROR(__xludf.DUMMYFUNCTION("VLOOKUP($A$1,IMPORTRANGE($A$2, CONCATENATE($A42,""!$B$5:$JB$48"")),GN$1,0)"),"")</f>
        <v/>
      </c>
      <c r="GO42" s="35" t="str">
        <f>IFERROR(__xludf.DUMMYFUNCTION("VLOOKUP($A$1,IMPORTRANGE($A$2, CONCATENATE($A42,""!$B$5:$JB$48"")),GO$1,0)"),"")</f>
        <v/>
      </c>
      <c r="GP42" s="35" t="str">
        <f>IFERROR(__xludf.DUMMYFUNCTION("VLOOKUP($A$1,IMPORTRANGE($A$2, CONCATENATE($A42,""!$B$5:$JB$48"")),GP$1,0)"),"")</f>
        <v/>
      </c>
      <c r="GQ42" s="35" t="str">
        <f>IFERROR(__xludf.DUMMYFUNCTION("VLOOKUP($A$1,IMPORTRANGE($A$2, CONCATENATE($A42,""!$B$5:$JB$48"")),GQ$1,0)"),"")</f>
        <v/>
      </c>
      <c r="GR42" s="35" t="str">
        <f>IFERROR(__xludf.DUMMYFUNCTION("VLOOKUP($A$1,IMPORTRANGE($A$2, CONCATENATE($A42,""!$B$5:$JB$48"")),GR$1,0)"),"")</f>
        <v/>
      </c>
      <c r="GS42" s="35" t="str">
        <f>IFERROR(__xludf.DUMMYFUNCTION("VLOOKUP($A$1,IMPORTRANGE($A$2, CONCATENATE($A42,""!$B$5:$JB$48"")),GS$1,0)"),"")</f>
        <v/>
      </c>
      <c r="GT42" s="35" t="str">
        <f>IFERROR(__xludf.DUMMYFUNCTION("VLOOKUP($A$1,IMPORTRANGE($A$2, CONCATENATE($A42,""!$B$5:$JB$48"")),GT$1,0)"),"")</f>
        <v/>
      </c>
      <c r="GU42" s="35" t="str">
        <f>IFERROR(__xludf.DUMMYFUNCTION("VLOOKUP($A$1,IMPORTRANGE($A$2, CONCATENATE($A42,""!$B$5:$JB$48"")),GU$1,0)"),"")</f>
        <v/>
      </c>
      <c r="GV42" s="35" t="str">
        <f>IFERROR(__xludf.DUMMYFUNCTION("VLOOKUP($A$1,IMPORTRANGE($A$2, CONCATENATE($A42,""!$B$5:$JB$48"")),GV$1,0)"),"")</f>
        <v/>
      </c>
      <c r="GW42" s="35" t="str">
        <f>IFERROR(__xludf.DUMMYFUNCTION("VLOOKUP($A$1,IMPORTRANGE($A$2, CONCATENATE($A42,""!$B$5:$JB$48"")),GW$1,0)"),"")</f>
        <v/>
      </c>
      <c r="GX42" s="35" t="str">
        <f>IFERROR(__xludf.DUMMYFUNCTION("VLOOKUP($A$1,IMPORTRANGE($A$2, CONCATENATE($A42,""!$B$5:$JB$48"")),GX$1,0)"),"")</f>
        <v/>
      </c>
      <c r="GY42" s="35" t="str">
        <f>IFERROR(__xludf.DUMMYFUNCTION("VLOOKUP($A$1,IMPORTRANGE($A$2, CONCATENATE($A42,""!$B$5:$JB$48"")),GY$1,0)"),"")</f>
        <v/>
      </c>
      <c r="GZ42" s="35" t="str">
        <f>IFERROR(__xludf.DUMMYFUNCTION("VLOOKUP($A$1,IMPORTRANGE($A$2, CONCATENATE($A42,""!$B$5:$JB$48"")),GZ$1,0)"),"")</f>
        <v/>
      </c>
      <c r="HA42" s="35" t="str">
        <f>IFERROR(__xludf.DUMMYFUNCTION("VLOOKUP($A$1,IMPORTRANGE($A$2, CONCATENATE($A42,""!$B$5:$JB$48"")),HA$1,0)"),"")</f>
        <v/>
      </c>
      <c r="HB42" s="35" t="str">
        <f>IFERROR(__xludf.DUMMYFUNCTION("VLOOKUP($A$1,IMPORTRANGE($A$2, CONCATENATE($A42,""!$B$5:$JB$48"")),HB$1,0)"),"")</f>
        <v/>
      </c>
      <c r="HC42" s="35" t="str">
        <f>IFERROR(__xludf.DUMMYFUNCTION("VLOOKUP($A$1,IMPORTRANGE($A$2, CONCATENATE($A42,""!$B$5:$JB$48"")),HC$1,0)"),"")</f>
        <v/>
      </c>
      <c r="HD42" s="35" t="str">
        <f>IFERROR(__xludf.DUMMYFUNCTION("VLOOKUP($A$1,IMPORTRANGE($A$2, CONCATENATE($A42,""!$B$5:$JB$48"")),HD$1,0)"),"")</f>
        <v/>
      </c>
      <c r="HE42" s="35" t="str">
        <f>IFERROR(__xludf.DUMMYFUNCTION("VLOOKUP($A$1,IMPORTRANGE($A$2, CONCATENATE($A42,""!$B$5:$JB$48"")),HE$1,0)"),"")</f>
        <v/>
      </c>
      <c r="HF42" s="35" t="str">
        <f>IFERROR(__xludf.DUMMYFUNCTION("VLOOKUP($A$1,IMPORTRANGE($A$2, CONCATENATE($A42,""!$B$5:$JB$48"")),HF$1,0)"),"")</f>
        <v/>
      </c>
      <c r="HG42" s="35" t="str">
        <f>IFERROR(__xludf.DUMMYFUNCTION("VLOOKUP($A$1,IMPORTRANGE($A$2, CONCATENATE($A42,""!$B$5:$JB$48"")),HG$1,0)"),"")</f>
        <v/>
      </c>
      <c r="HH42" s="35" t="str">
        <f>IFERROR(__xludf.DUMMYFUNCTION("VLOOKUP($A$1,IMPORTRANGE($A$2, CONCATENATE($A42,""!$B$5:$JB$48"")),HH$1,0)"),"")</f>
        <v/>
      </c>
      <c r="HI42" s="35" t="str">
        <f>IFERROR(__xludf.DUMMYFUNCTION("VLOOKUP($A$1,IMPORTRANGE($A$2, CONCATENATE($A42,""!$B$5:$JB$48"")),HI$1,0)"),"")</f>
        <v/>
      </c>
      <c r="HJ42" s="35" t="str">
        <f>IFERROR(__xludf.DUMMYFUNCTION("VLOOKUP($A$1,IMPORTRANGE($A$2, CONCATENATE($A42,""!$B$5:$JB$48"")),HJ$1,0)"),"")</f>
        <v/>
      </c>
      <c r="HK42" s="35" t="str">
        <f>IFERROR(__xludf.DUMMYFUNCTION("VLOOKUP($A$1,IMPORTRANGE($A$2, CONCATENATE($A42,""!$B$5:$JB$48"")),HK$1,0)"),"")</f>
        <v/>
      </c>
      <c r="HL42" s="35" t="str">
        <f>IFERROR(__xludf.DUMMYFUNCTION("VLOOKUP($A$1,IMPORTRANGE($A$2, CONCATENATE($A42,""!$B$5:$JB$48"")),HL$1,0)"),"")</f>
        <v/>
      </c>
      <c r="HM42" s="35" t="str">
        <f>IFERROR(__xludf.DUMMYFUNCTION("VLOOKUP($A$1,IMPORTRANGE($A$2, CONCATENATE($A42,""!$B$5:$JB$48"")),HM$1,0)"),"")</f>
        <v/>
      </c>
      <c r="HN42" s="35" t="str">
        <f>IFERROR(__xludf.DUMMYFUNCTION("VLOOKUP($A$1,IMPORTRANGE($A$2, CONCATENATE($A42,""!$B$5:$JB$48"")),HN$1,0)"),"")</f>
        <v/>
      </c>
      <c r="HO42" s="35" t="str">
        <f>IFERROR(__xludf.DUMMYFUNCTION("VLOOKUP($A$1,IMPORTRANGE($A$2, CONCATENATE($A42,""!$B$5:$JB$48"")),HO$1,0)"),"")</f>
        <v/>
      </c>
      <c r="HP42" s="35" t="str">
        <f>IFERROR(__xludf.DUMMYFUNCTION("VLOOKUP($A$1,IMPORTRANGE($A$2, CONCATENATE($A42,""!$B$5:$JB$48"")),HP$1,0)"),"")</f>
        <v/>
      </c>
      <c r="HQ42" s="35" t="str">
        <f>IFERROR(__xludf.DUMMYFUNCTION("VLOOKUP($A$1,IMPORTRANGE($A$2, CONCATENATE($A42,""!$B$5:$JB$48"")),HQ$1,0)"),"")</f>
        <v/>
      </c>
      <c r="HR42" s="35" t="str">
        <f>IFERROR(__xludf.DUMMYFUNCTION("VLOOKUP($A$1,IMPORTRANGE($A$2, CONCATENATE($A42,""!$B$5:$JB$48"")),HR$1,0)"),"")</f>
        <v/>
      </c>
      <c r="HS42" s="35" t="str">
        <f>IFERROR(__xludf.DUMMYFUNCTION("VLOOKUP($A$1,IMPORTRANGE($A$2, CONCATENATE($A42,""!$B$5:$JB$48"")),HS$1,0)"),"")</f>
        <v/>
      </c>
      <c r="HT42" s="35" t="str">
        <f>IFERROR(__xludf.DUMMYFUNCTION("VLOOKUP($A$1,IMPORTRANGE($A$2, CONCATENATE($A42,""!$B$5:$JB$48"")),HT$1,0)"),"")</f>
        <v/>
      </c>
      <c r="HU42" s="35" t="str">
        <f>IFERROR(__xludf.DUMMYFUNCTION("VLOOKUP($A$1,IMPORTRANGE($A$2, CONCATENATE($A42,""!$B$5:$JB$48"")),HU$1,0)"),"")</f>
        <v/>
      </c>
      <c r="HV42" s="35" t="str">
        <f>IFERROR(__xludf.DUMMYFUNCTION("VLOOKUP($A$1,IMPORTRANGE($A$2, CONCATENATE($A42,""!$B$5:$JB$48"")),HV$1,0)"),"")</f>
        <v/>
      </c>
      <c r="HW42" s="35" t="str">
        <f>IFERROR(__xludf.DUMMYFUNCTION("VLOOKUP($A$1,IMPORTRANGE($A$2, CONCATENATE($A42,""!$B$5:$JB$48"")),HW$1,0)"),"")</f>
        <v/>
      </c>
      <c r="HX42" s="35" t="str">
        <f>IFERROR(__xludf.DUMMYFUNCTION("VLOOKUP($A$1,IMPORTRANGE($A$2, CONCATENATE($A42,""!$B$5:$JB$48"")),HX$1,0)"),"")</f>
        <v/>
      </c>
      <c r="HY42" s="35" t="str">
        <f>IFERROR(__xludf.DUMMYFUNCTION("VLOOKUP($A$1,IMPORTRANGE($A$2, CONCATENATE($A42,""!$B$5:$JB$48"")),HY$1,0)"),"")</f>
        <v/>
      </c>
      <c r="HZ42" s="35" t="str">
        <f>IFERROR(__xludf.DUMMYFUNCTION("VLOOKUP($A$1,IMPORTRANGE($A$2, CONCATENATE($A42,""!$B$5:$JB$48"")),HZ$1,0)"),"")</f>
        <v/>
      </c>
      <c r="IA42" s="35" t="str">
        <f>IFERROR(__xludf.DUMMYFUNCTION("VLOOKUP($A$1,IMPORTRANGE($A$2, CONCATENATE($A42,""!$B$5:$JB$48"")),IA$1,0)"),"")</f>
        <v/>
      </c>
      <c r="IB42" s="35" t="str">
        <f>IFERROR(__xludf.DUMMYFUNCTION("VLOOKUP($A$1,IMPORTRANGE($A$2, CONCATENATE($A42,""!$B$5:$JB$48"")),IB$1,0)"),"")</f>
        <v/>
      </c>
      <c r="IC42" s="35" t="str">
        <f>IFERROR(__xludf.DUMMYFUNCTION("VLOOKUP($A$1,IMPORTRANGE($A$2, CONCATENATE($A42,""!$B$5:$JB$48"")),IC$1,0)"),"")</f>
        <v/>
      </c>
      <c r="ID42" s="35" t="str">
        <f>IFERROR(__xludf.DUMMYFUNCTION("VLOOKUP($A$1,IMPORTRANGE($A$2, CONCATENATE($A42,""!$B$5:$JB$48"")),ID$1,0)"),"")</f>
        <v/>
      </c>
      <c r="IE42" s="35" t="str">
        <f>IFERROR(__xludf.DUMMYFUNCTION("VLOOKUP($A$1,IMPORTRANGE($A$2, CONCATENATE($A42,""!$B$5:$JB$48"")),IE$1,0)"),"")</f>
        <v/>
      </c>
      <c r="IF42" s="35" t="str">
        <f>IFERROR(__xludf.DUMMYFUNCTION("VLOOKUP($A$1,IMPORTRANGE($A$2, CONCATENATE($A42,""!$B$5:$JB$48"")),IF$1,0)"),"")</f>
        <v/>
      </c>
      <c r="IG42" s="35" t="str">
        <f>IFERROR(__xludf.DUMMYFUNCTION("VLOOKUP($A$1,IMPORTRANGE($A$2, CONCATENATE($A42,""!$B$5:$JB$48"")),IG$1,0)"),"")</f>
        <v/>
      </c>
      <c r="IH42" s="35" t="str">
        <f>IFERROR(__xludf.DUMMYFUNCTION("VLOOKUP($A$1,IMPORTRANGE($A$2, CONCATENATE($A42,""!$B$5:$JB$48"")),IH$1,0)"),"")</f>
        <v/>
      </c>
      <c r="II42" s="35" t="str">
        <f>IFERROR(__xludf.DUMMYFUNCTION("VLOOKUP($A$1,IMPORTRANGE($A$2, CONCATENATE($A42,""!$B$5:$JB$48"")),II$1,0)"),"")</f>
        <v/>
      </c>
      <c r="IJ42" s="35" t="str">
        <f>IFERROR(__xludf.DUMMYFUNCTION("VLOOKUP($A$1,IMPORTRANGE($A$2, CONCATENATE($A42,""!$B$5:$JB$48"")),IJ$1,0)"),"")</f>
        <v/>
      </c>
      <c r="IK42" s="35" t="str">
        <f>IFERROR(__xludf.DUMMYFUNCTION("VLOOKUP($A$1,IMPORTRANGE($A$2, CONCATENATE($A42,""!$B$5:$JB$48"")),IK$1,0)"),"")</f>
        <v/>
      </c>
      <c r="IL42" s="35" t="str">
        <f>IFERROR(__xludf.DUMMYFUNCTION("VLOOKUP($A$1,IMPORTRANGE($A$2, CONCATENATE($A42,""!$B$5:$JB$48"")),IL$1,0)"),"")</f>
        <v/>
      </c>
      <c r="IM42" s="35" t="str">
        <f>IFERROR(__xludf.DUMMYFUNCTION("VLOOKUP($A$1,IMPORTRANGE($A$2, CONCATENATE($A42,""!$B$5:$JB$48"")),IM$1,0)"),"")</f>
        <v/>
      </c>
      <c r="IN42" s="35" t="str">
        <f>IFERROR(__xludf.DUMMYFUNCTION("VLOOKUP($A$1,IMPORTRANGE($A$2, CONCATENATE($A42,""!$B$5:$JB$48"")),IN$1,0)"),"")</f>
        <v/>
      </c>
      <c r="IO42" s="35" t="str">
        <f>IFERROR(__xludf.DUMMYFUNCTION("VLOOKUP($A$1,IMPORTRANGE($A$2, CONCATENATE($A42,""!$B$5:$JB$48"")),IO$1,0)"),"")</f>
        <v/>
      </c>
      <c r="IP42" s="35" t="str">
        <f>IFERROR(__xludf.DUMMYFUNCTION("VLOOKUP($A$1,IMPORTRANGE($A$2, CONCATENATE($A42,""!$B$5:$JB$48"")),IP$1,0)"),"")</f>
        <v/>
      </c>
      <c r="IQ42" s="35" t="str">
        <f>IFERROR(__xludf.DUMMYFUNCTION("VLOOKUP($A$1,IMPORTRANGE($A$2, CONCATENATE($A42,""!$B$5:$JB$48"")),IQ$1,0)"),"")</f>
        <v/>
      </c>
      <c r="IR42" s="35" t="str">
        <f>IFERROR(__xludf.DUMMYFUNCTION("VLOOKUP($A$1,IMPORTRANGE($A$2, CONCATENATE($A42,""!$B$5:$JB$48"")),IR$1,0)"),"")</f>
        <v/>
      </c>
      <c r="IS42" s="35" t="str">
        <f>IFERROR(__xludf.DUMMYFUNCTION("VLOOKUP($A$1,IMPORTRANGE($A$2, CONCATENATE($A42,""!$B$5:$JB$48"")),IS$1,0)"),"")</f>
        <v/>
      </c>
      <c r="IT42" s="35" t="str">
        <f>IFERROR(__xludf.DUMMYFUNCTION("VLOOKUP($A$1,IMPORTRANGE($A$2, CONCATENATE($A42,""!$B$5:$JB$48"")),IT$1,0)"),"")</f>
        <v/>
      </c>
      <c r="IU42" s="35" t="str">
        <f>IFERROR(__xludf.DUMMYFUNCTION("VLOOKUP($A$1,IMPORTRANGE($A$2, CONCATENATE($A42,""!$B$5:$JB$48"")),IU$1,0)"),"")</f>
        <v/>
      </c>
      <c r="IV42" s="35" t="str">
        <f>IFERROR(__xludf.DUMMYFUNCTION("VLOOKUP($A$1,IMPORTRANGE($A$2, CONCATENATE($A42,""!$B$5:$JB$48"")),IV$1,0)"),"")</f>
        <v/>
      </c>
      <c r="IW42" s="35" t="str">
        <f>IFERROR(__xludf.DUMMYFUNCTION("VLOOKUP($A$1,IMPORTRANGE($A$2, CONCATENATE($A42,""!$B$5:$JB$48"")),IW$1,0)"),"")</f>
        <v/>
      </c>
      <c r="IX42" s="35" t="str">
        <f>IFERROR(__xludf.DUMMYFUNCTION("VLOOKUP($A$1,IMPORTRANGE($A$2, CONCATENATE($A42,""!$B$5:$JB$48"")),IX$1,0)"),"")</f>
        <v/>
      </c>
      <c r="IY42" s="35" t="str">
        <f>IFERROR(__xludf.DUMMYFUNCTION("VLOOKUP($A$1,IMPORTRANGE($A$2, CONCATENATE($A42,""!$B$5:$JB$48"")),IY$1,0)"),"")</f>
        <v/>
      </c>
      <c r="IZ42" s="35">
        <f>IFERROR(__xludf.DUMMYFUNCTION("VLOOKUP($A$1,IMPORTRANGE($A$2, CONCATENATE($A42,""!$B$5:$JB$48"")),IZ$1,0)"),5.0)</f>
        <v>5</v>
      </c>
      <c r="JA42" s="35" t="str">
        <f>IFERROR(__xludf.DUMMYFUNCTION("VLOOKUP($A$1,IMPORTRANGE($A$2, CONCATENATE($A42,""!$B$5:$JB$48"")),JA$1,0)"),"")</f>
        <v/>
      </c>
      <c r="JB42" s="35"/>
      <c r="JC42" s="35"/>
      <c r="JD42" s="35"/>
      <c r="JE42" s="35"/>
    </row>
    <row r="43">
      <c r="A43" s="41"/>
      <c r="B43" s="29"/>
      <c r="C43" s="37"/>
      <c r="D43" s="38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/>
      <c r="FX43" s="37"/>
      <c r="FY43" s="37"/>
      <c r="FZ43" s="37"/>
      <c r="GA43" s="37"/>
      <c r="GB43" s="37"/>
      <c r="GC43" s="37"/>
      <c r="GD43" s="37"/>
      <c r="GE43" s="37"/>
      <c r="GF43" s="37"/>
      <c r="GG43" s="37"/>
      <c r="GH43" s="37"/>
      <c r="GI43" s="37"/>
      <c r="GJ43" s="37"/>
      <c r="GK43" s="37"/>
      <c r="GL43" s="37"/>
      <c r="GM43" s="37"/>
      <c r="GN43" s="37"/>
      <c r="GO43" s="37"/>
      <c r="GP43" s="37"/>
      <c r="GQ43" s="37"/>
      <c r="GR43" s="37"/>
      <c r="GS43" s="37"/>
      <c r="GT43" s="37"/>
      <c r="GU43" s="37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7"/>
      <c r="HK43" s="37"/>
      <c r="HL43" s="37"/>
      <c r="HM43" s="37"/>
      <c r="HN43" s="37"/>
      <c r="HO43" s="37"/>
      <c r="HP43" s="37"/>
      <c r="HQ43" s="37"/>
      <c r="HR43" s="37"/>
      <c r="HS43" s="37"/>
      <c r="HT43" s="37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37"/>
      <c r="IJ43" s="37"/>
      <c r="IK43" s="37"/>
      <c r="IL43" s="37"/>
      <c r="IM43" s="37"/>
      <c r="IN43" s="37"/>
      <c r="IO43" s="37"/>
      <c r="IP43" s="37"/>
      <c r="IQ43" s="37"/>
      <c r="IR43" s="37"/>
      <c r="IS43" s="37"/>
      <c r="IT43" s="37"/>
      <c r="IU43" s="37"/>
      <c r="IV43" s="37"/>
      <c r="IW43" s="37"/>
      <c r="IX43" s="37"/>
      <c r="IY43" s="37"/>
      <c r="IZ43" s="37"/>
      <c r="JA43" s="37"/>
      <c r="JB43" s="37"/>
      <c r="JC43" s="37"/>
      <c r="JD43" s="37"/>
      <c r="JE43" s="37"/>
    </row>
    <row r="44">
      <c r="A44" s="39"/>
      <c r="B44" s="32">
        <f>IFERROR(__xludf.DUMMYFUNCTION("IMPORTRANGE($A$2, CONCATENATE($A45,""!C4:JB4""))"),45905.0)</f>
        <v>45905</v>
      </c>
      <c r="C44" s="32">
        <f>IFERROR(__xludf.DUMMYFUNCTION("""COMPUTED_VALUE"""),45906.0)</f>
        <v>45906</v>
      </c>
      <c r="D44" s="32">
        <f>IFERROR(__xludf.DUMMYFUNCTION("""COMPUTED_VALUE"""),45912.0)</f>
        <v>45912</v>
      </c>
      <c r="E44" s="32">
        <f>IFERROR(__xludf.DUMMYFUNCTION("""COMPUTED_VALUE"""),45913.0)</f>
        <v>45913</v>
      </c>
      <c r="F44" s="32">
        <f>IFERROR(__xludf.DUMMYFUNCTION("""COMPUTED_VALUE"""),45917.0)</f>
        <v>45917</v>
      </c>
      <c r="G44" s="32">
        <f>IFERROR(__xludf.DUMMYFUNCTION("""COMPUTED_VALUE"""),45920.0)</f>
        <v>45920</v>
      </c>
      <c r="H44" s="32">
        <f>IFERROR(__xludf.DUMMYFUNCTION("""COMPUTED_VALUE"""),45924.0)</f>
        <v>45924</v>
      </c>
      <c r="I44" s="32">
        <f>IFERROR(__xludf.DUMMYFUNCTION("""COMPUTED_VALUE"""),45927.0)</f>
        <v>45927</v>
      </c>
      <c r="J44" s="32">
        <f>IFERROR(__xludf.DUMMYFUNCTION("""COMPUTED_VALUE"""),45934.0)</f>
        <v>45934</v>
      </c>
      <c r="K44" s="32">
        <f>IFERROR(__xludf.DUMMYFUNCTION("""COMPUTED_VALUE"""),45934.0)</f>
        <v>45934</v>
      </c>
      <c r="L44" s="32">
        <f>IFERROR(__xludf.DUMMYFUNCTION("""COMPUTED_VALUE"""),45938.0)</f>
        <v>45938</v>
      </c>
      <c r="M44" s="32">
        <f>IFERROR(__xludf.DUMMYFUNCTION("""COMPUTED_VALUE"""),45941.0)</f>
        <v>45941</v>
      </c>
      <c r="N44" s="32">
        <f>IFERROR(__xludf.DUMMYFUNCTION("""COMPUTED_VALUE"""),45945.0)</f>
        <v>45945</v>
      </c>
      <c r="O44" s="32">
        <f>IFERROR(__xludf.DUMMYFUNCTION("""COMPUTED_VALUE"""),45947.0)</f>
        <v>45947</v>
      </c>
      <c r="P44" s="32">
        <f>IFERROR(__xludf.DUMMYFUNCTION("""COMPUTED_VALUE"""),45948.0)</f>
        <v>45948</v>
      </c>
      <c r="Q44" s="32">
        <f>IFERROR(__xludf.DUMMYFUNCTION("""COMPUTED_VALUE"""),45952.0)</f>
        <v>45952</v>
      </c>
      <c r="R44" s="32">
        <f>IFERROR(__xludf.DUMMYFUNCTION("""COMPUTED_VALUE"""),45959.0)</f>
        <v>45959</v>
      </c>
      <c r="S44" s="32">
        <f>IFERROR(__xludf.DUMMYFUNCTION("""COMPUTED_VALUE"""),45962.0)</f>
        <v>45962</v>
      </c>
      <c r="T44" s="32" t="str">
        <f>IFERROR(__xludf.DUMMYFUNCTION("""COMPUTED_VALUE"""),"1 четверть")</f>
        <v>1 четверть</v>
      </c>
      <c r="U44" s="32">
        <f>IFERROR(__xludf.DUMMYFUNCTION("""COMPUTED_VALUE"""),45973.0)</f>
        <v>45973</v>
      </c>
      <c r="V44" s="32">
        <f>IFERROR(__xludf.DUMMYFUNCTION("""COMPUTED_VALUE"""),45976.0)</f>
        <v>45976</v>
      </c>
      <c r="W44" s="32">
        <f>IFERROR(__xludf.DUMMYFUNCTION("""COMPUTED_VALUE"""),45980.0)</f>
        <v>45980</v>
      </c>
      <c r="X44" s="32">
        <f>IFERROR(__xludf.DUMMYFUNCTION("""COMPUTED_VALUE"""),45983.0)</f>
        <v>45983</v>
      </c>
      <c r="Y44" s="32">
        <f>IFERROR(__xludf.DUMMYFUNCTION("""COMPUTED_VALUE"""),45987.0)</f>
        <v>45987</v>
      </c>
      <c r="Z44" s="32">
        <f>IFERROR(__xludf.DUMMYFUNCTION("""COMPUTED_VALUE"""),45989.0)</f>
        <v>45989</v>
      </c>
      <c r="AA44" s="32">
        <f>IFERROR(__xludf.DUMMYFUNCTION("""COMPUTED_VALUE"""),45990.0)</f>
        <v>45990</v>
      </c>
      <c r="AB44" s="32">
        <f>IFERROR(__xludf.DUMMYFUNCTION("""COMPUTED_VALUE"""),45994.0)</f>
        <v>45994</v>
      </c>
      <c r="AC44" s="32">
        <f>IFERROR(__xludf.DUMMYFUNCTION("""COMPUTED_VALUE"""),45997.0)</f>
        <v>45997</v>
      </c>
      <c r="AD44" s="32">
        <f>IFERROR(__xludf.DUMMYFUNCTION("""COMPUTED_VALUE"""),46001.0)</f>
        <v>46001</v>
      </c>
      <c r="AE44" s="32">
        <f>IFERROR(__xludf.DUMMYFUNCTION("""COMPUTED_VALUE"""),46004.0)</f>
        <v>46004</v>
      </c>
      <c r="AF44" s="32">
        <f>IFERROR(__xludf.DUMMYFUNCTION("""COMPUTED_VALUE"""),46007.0)</f>
        <v>46007</v>
      </c>
      <c r="AG44" s="32">
        <f>IFERROR(__xludf.DUMMYFUNCTION("""COMPUTED_VALUE"""),46011.0)</f>
        <v>46011</v>
      </c>
      <c r="AH44" s="32">
        <f>IFERROR(__xludf.DUMMYFUNCTION("""COMPUTED_VALUE"""),46015.0)</f>
        <v>46015</v>
      </c>
      <c r="AI44" s="32" t="str">
        <f>IFERROR(__xludf.DUMMYFUNCTION("""COMPUTED_VALUE"""),"2 четверть")</f>
        <v>2 четверть</v>
      </c>
      <c r="AJ44" s="32">
        <f>IFERROR(__xludf.DUMMYFUNCTION("""COMPUTED_VALUE"""),46036.0)</f>
        <v>46036</v>
      </c>
      <c r="AK44" s="32">
        <f>IFERROR(__xludf.DUMMYFUNCTION("""COMPUTED_VALUE"""),46038.0)</f>
        <v>46038</v>
      </c>
      <c r="AL44" s="32">
        <f>IFERROR(__xludf.DUMMYFUNCTION("""COMPUTED_VALUE"""),46043.0)</f>
        <v>46043</v>
      </c>
      <c r="AM44" s="32">
        <f>IFERROR(__xludf.DUMMYFUNCTION("""COMPUTED_VALUE"""),46045.0)</f>
        <v>46045</v>
      </c>
      <c r="AN44" s="32">
        <f>IFERROR(__xludf.DUMMYFUNCTION("""COMPUTED_VALUE"""),46050.0)</f>
        <v>46050</v>
      </c>
      <c r="AO44" s="32">
        <f>IFERROR(__xludf.DUMMYFUNCTION("""COMPUTED_VALUE"""),46052.0)</f>
        <v>46052</v>
      </c>
      <c r="AP44" s="32">
        <f>IFERROR(__xludf.DUMMYFUNCTION("""COMPUTED_VALUE"""),46057.0)</f>
        <v>46057</v>
      </c>
      <c r="AQ44" s="32">
        <f>IFERROR(__xludf.DUMMYFUNCTION("""COMPUTED_VALUE"""),46059.0)</f>
        <v>46059</v>
      </c>
      <c r="AR44" s="32">
        <f>IFERROR(__xludf.DUMMYFUNCTION("""COMPUTED_VALUE"""),46064.0)</f>
        <v>46064</v>
      </c>
      <c r="AS44" s="32">
        <f>IFERROR(__xludf.DUMMYFUNCTION("""COMPUTED_VALUE"""),46066.0)</f>
        <v>46066</v>
      </c>
      <c r="AT44" s="32">
        <f>IFERROR(__xludf.DUMMYFUNCTION("""COMPUTED_VALUE"""),46071.0)</f>
        <v>46071</v>
      </c>
      <c r="AU44" s="32">
        <f>IFERROR(__xludf.DUMMYFUNCTION("""COMPUTED_VALUE"""),46073.0)</f>
        <v>46073</v>
      </c>
      <c r="AV44" s="32">
        <f>IFERROR(__xludf.DUMMYFUNCTION("""COMPUTED_VALUE"""),46078.0)</f>
        <v>46078</v>
      </c>
      <c r="AW44" s="32">
        <f>IFERROR(__xludf.DUMMYFUNCTION("""COMPUTED_VALUE"""),46080.0)</f>
        <v>46080</v>
      </c>
      <c r="AX44" s="32">
        <f>IFERROR(__xludf.DUMMYFUNCTION("""COMPUTED_VALUE"""),46085.0)</f>
        <v>46085</v>
      </c>
      <c r="AY44" s="32">
        <f>IFERROR(__xludf.DUMMYFUNCTION("""COMPUTED_VALUE"""),46087.0)</f>
        <v>46087</v>
      </c>
      <c r="AZ44" s="32">
        <f>IFERROR(__xludf.DUMMYFUNCTION("""COMPUTED_VALUE"""),46090.0)</f>
        <v>46090</v>
      </c>
      <c r="BA44" s="32">
        <f>IFERROR(__xludf.DUMMYFUNCTION("""COMPUTED_VALUE"""),46092.0)</f>
        <v>46092</v>
      </c>
      <c r="BB44" s="32">
        <f>IFERROR(__xludf.DUMMYFUNCTION("""COMPUTED_VALUE"""),46094.0)</f>
        <v>46094</v>
      </c>
      <c r="BC44" s="32"/>
      <c r="BD44" s="32" t="str">
        <f>IFERROR(__xludf.DUMMYFUNCTION("""COMPUTED_VALUE"""),"3 четверть")</f>
        <v>3 четверть</v>
      </c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 t="str">
        <f>IFERROR(__xludf.DUMMYFUNCTION("""COMPUTED_VALUE"""),"4 четверть")</f>
        <v>4 четверть</v>
      </c>
      <c r="DQ44" s="32" t="str">
        <f>IFERROR(__xludf.DUMMYFUNCTION("""COMPUTED_VALUE"""),"год")</f>
        <v>год</v>
      </c>
      <c r="DR44" s="32" t="str">
        <f>IFERROR(__xludf.DUMMYFUNCTION("""COMPUTED_VALUE"""),"рейтинг")</f>
        <v>рейтинг</v>
      </c>
      <c r="DS44" s="32"/>
      <c r="DT44" s="32"/>
      <c r="DU44" s="32"/>
      <c r="DV44" s="32" t="str">
        <f>IFERROR(__xludf.DUMMYFUNCTION("""COMPUTED_VALUE"""),"Дата")</f>
        <v>Дата</v>
      </c>
      <c r="DW44" s="32" t="str">
        <f>IFERROR(__xludf.DUMMYFUNCTION("""COMPUTED_VALUE"""),"Тема урока")</f>
        <v>Тема урока</v>
      </c>
      <c r="DX44" s="32" t="str">
        <f>IFERROR(__xludf.DUMMYFUNCTION("""COMPUTED_VALUE"""),"Домашнее задание")</f>
        <v>Домашнее задание</v>
      </c>
      <c r="DY44" s="32" t="str">
        <f>IFERROR(__xludf.DUMMYFUNCTION("""COMPUTED_VALUE"""),"Дата")</f>
        <v>Дата</v>
      </c>
      <c r="DZ44" s="32" t="str">
        <f>IFERROR(__xludf.DUMMYFUNCTION("""COMPUTED_VALUE"""),"Тема урока")</f>
        <v>Тема урока</v>
      </c>
      <c r="EA44" s="32" t="str">
        <f>IFERROR(__xludf.DUMMYFUNCTION("""COMPUTED_VALUE"""),"Домашнее задание")</f>
        <v>Домашнее задание</v>
      </c>
      <c r="EB44" s="32" t="str">
        <f>IFERROR(__xludf.DUMMYFUNCTION("""COMPUTED_VALUE"""),"Дата")</f>
        <v>Дата</v>
      </c>
      <c r="EC44" s="32" t="str">
        <f>IFERROR(__xludf.DUMMYFUNCTION("""COMPUTED_VALUE"""),"Тема урока")</f>
        <v>Тема урока</v>
      </c>
      <c r="ED44" s="32" t="str">
        <f>IFERROR(__xludf.DUMMYFUNCTION("""COMPUTED_VALUE"""),"Домашнее задание")</f>
        <v>Домашнее задание</v>
      </c>
      <c r="EE44" s="32" t="str">
        <f>IFERROR(__xludf.DUMMYFUNCTION("""COMPUTED_VALUE"""),"Дата")</f>
        <v>Дата</v>
      </c>
      <c r="EF44" s="32" t="str">
        <f>IFERROR(__xludf.DUMMYFUNCTION("""COMPUTED_VALUE"""),"Тема урока")</f>
        <v>Тема урока</v>
      </c>
      <c r="EG44" s="32" t="str">
        <f>IFERROR(__xludf.DUMMYFUNCTION("""COMPUTED_VALUE"""),"Домашнее задание")</f>
        <v>Домашнее задание</v>
      </c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32"/>
      <c r="ID44" s="32"/>
      <c r="IE44" s="32"/>
      <c r="IF44" s="32"/>
      <c r="IG44" s="32"/>
      <c r="IH44" s="32"/>
      <c r="II44" s="32"/>
      <c r="IJ44" s="32"/>
      <c r="IK44" s="32"/>
      <c r="IL44" s="32"/>
      <c r="IM44" s="32"/>
      <c r="IN44" s="32"/>
      <c r="IO44" s="32"/>
      <c r="IP44" s="32"/>
      <c r="IQ44" s="32"/>
      <c r="IR44" s="32"/>
      <c r="IS44" s="32"/>
      <c r="IT44" s="32"/>
      <c r="IU44" s="32"/>
      <c r="IV44" s="32"/>
      <c r="IW44" s="32"/>
      <c r="IX44" s="32"/>
      <c r="IY44" s="32"/>
      <c r="IZ44" s="32"/>
      <c r="JA44" s="32"/>
      <c r="JB44" s="32"/>
      <c r="JC44" s="32"/>
      <c r="JD44" s="32"/>
      <c r="JE44" s="32"/>
    </row>
    <row r="45">
      <c r="A45" s="42" t="s">
        <v>291</v>
      </c>
      <c r="B45" s="35" t="str">
        <f>IFERROR(__xludf.DUMMYFUNCTION("VLOOKUP($A$1,IMPORTRANGE($A$2, CONCATENATE($A45,""!$B$5:$JB$48"")),B$1,0)"),"")</f>
        <v/>
      </c>
      <c r="C45" s="35" t="str">
        <f>IFERROR(__xludf.DUMMYFUNCTION("VLOOKUP($A$1,IMPORTRANGE($A$2, CONCATENATE($A45,""!$B$5:$JB$48"")),C$1,0)"),"")</f>
        <v/>
      </c>
      <c r="D45" s="35" t="str">
        <f>IFERROR(__xludf.DUMMYFUNCTION("VLOOKUP($A$1,IMPORTRANGE($A$2, CONCATENATE($A45,""!$B$5:$JB$48"")),D$1,0)"),"")</f>
        <v/>
      </c>
      <c r="E45" s="35">
        <f>IFERROR(__xludf.DUMMYFUNCTION("VLOOKUP($A$1,IMPORTRANGE($A$2, CONCATENATE($A45,""!$B$5:$JB$48"")),E$1,0)"),5.0)</f>
        <v>5</v>
      </c>
      <c r="F45" s="35" t="str">
        <f>IFERROR(__xludf.DUMMYFUNCTION("VLOOKUP($A$1,IMPORTRANGE($A$2, CONCATENATE($A45,""!$B$5:$JB$48"")),F$1,0)"),"")</f>
        <v/>
      </c>
      <c r="G45" s="35" t="str">
        <f>IFERROR(__xludf.DUMMYFUNCTION("VLOOKUP($A$1,IMPORTRANGE($A$2, CONCATENATE($A45,""!$B$5:$JB$48"")),G$1,0)"),"")</f>
        <v/>
      </c>
      <c r="H45" s="35">
        <f>IFERROR(__xludf.DUMMYFUNCTION("VLOOKUP($A$1,IMPORTRANGE($A$2, CONCATENATE($A45,""!$B$5:$JB$48"")),H$1,0)"),4.0)</f>
        <v>4</v>
      </c>
      <c r="I45" s="35">
        <f>IFERROR(__xludf.DUMMYFUNCTION("VLOOKUP($A$1,IMPORTRANGE($A$2, CONCATENATE($A45,""!$B$5:$JB$48"")),I$1,0)"),3.0)</f>
        <v>3</v>
      </c>
      <c r="J45" s="35" t="str">
        <f>IFERROR(__xludf.DUMMYFUNCTION("VLOOKUP($A$1,IMPORTRANGE($A$2, CONCATENATE($A45,""!$B$5:$JB$48"")),J$1,0)"),"н")</f>
        <v>н</v>
      </c>
      <c r="K45" s="35" t="str">
        <f>IFERROR(__xludf.DUMMYFUNCTION("VLOOKUP($A$1,IMPORTRANGE($A$2, CONCATENATE($A45,""!$B$5:$JB$48"")),K$1,0)"),"")</f>
        <v/>
      </c>
      <c r="L45" s="35" t="str">
        <f>IFERROR(__xludf.DUMMYFUNCTION("VLOOKUP($A$1,IMPORTRANGE($A$2, CONCATENATE($A45,""!$B$5:$JB$48"")),L$1,0)"),"")</f>
        <v/>
      </c>
      <c r="M45" s="35">
        <f>IFERROR(__xludf.DUMMYFUNCTION("VLOOKUP($A$1,IMPORTRANGE($A$2, CONCATENATE($A45,""!$B$5:$JB$48"")),M$1,0)"),3.0)</f>
        <v>3</v>
      </c>
      <c r="N45" s="35" t="str">
        <f>IFERROR(__xludf.DUMMYFUNCTION("VLOOKUP($A$1,IMPORTRANGE($A$2, CONCATENATE($A45,""!$B$5:$JB$48"")),N$1,0)"),"")</f>
        <v/>
      </c>
      <c r="O45" s="35">
        <f>IFERROR(__xludf.DUMMYFUNCTION("VLOOKUP($A$1,IMPORTRANGE($A$2, CONCATENATE($A45,""!$B$5:$JB$48"")),O$1,0)"),4.0)</f>
        <v>4</v>
      </c>
      <c r="P45" s="35" t="str">
        <f>IFERROR(__xludf.DUMMYFUNCTION("VLOOKUP($A$1,IMPORTRANGE($A$2, CONCATENATE($A45,""!$B$5:$JB$48"")),P$1,0)"),"")</f>
        <v/>
      </c>
      <c r="Q45" s="35" t="str">
        <f>IFERROR(__xludf.DUMMYFUNCTION("VLOOKUP($A$1,IMPORTRANGE($A$2, CONCATENATE($A45,""!$B$5:$JB$48"")),Q$1,0)"),"")</f>
        <v/>
      </c>
      <c r="R45" s="35">
        <f>IFERROR(__xludf.DUMMYFUNCTION("VLOOKUP($A$1,IMPORTRANGE($A$2, CONCATENATE($A45,""!$B$5:$JB$48"")),R$1,0)"),5.0)</f>
        <v>5</v>
      </c>
      <c r="S45" s="35" t="str">
        <f>IFERROR(__xludf.DUMMYFUNCTION("VLOOKUP($A$1,IMPORTRANGE($A$2, CONCATENATE($A45,""!$B$5:$JB$48"")),S$1,0)"),"")</f>
        <v/>
      </c>
      <c r="T45" s="35">
        <f>IFERROR(__xludf.DUMMYFUNCTION("VLOOKUP($A$1,IMPORTRANGE($A$2, CONCATENATE($A45,""!$B$5:$JB$48"")),T$1,0)"),4.0)</f>
        <v>4</v>
      </c>
      <c r="U45" s="35" t="str">
        <f>IFERROR(__xludf.DUMMYFUNCTION("VLOOKUP($A$1,IMPORTRANGE($A$2, CONCATENATE($A45,""!$B$5:$JB$48"")),U$1,0)"),"")</f>
        <v/>
      </c>
      <c r="V45" s="35" t="str">
        <f>IFERROR(__xludf.DUMMYFUNCTION("VLOOKUP($A$1,IMPORTRANGE($A$2, CONCATENATE($A45,""!$B$5:$JB$48"")),V$1,0)"),"")</f>
        <v/>
      </c>
      <c r="W45" s="35" t="str">
        <f>IFERROR(__xludf.DUMMYFUNCTION("VLOOKUP($A$1,IMPORTRANGE($A$2, CONCATENATE($A45,""!$B$5:$JB$48"")),W$1,0)"),"н")</f>
        <v>н</v>
      </c>
      <c r="X45" s="35">
        <f>IFERROR(__xludf.DUMMYFUNCTION("VLOOKUP($A$1,IMPORTRANGE($A$2, CONCATENATE($A45,""!$B$5:$JB$48"")),X$1,0)"),5.0)</f>
        <v>5</v>
      </c>
      <c r="Y45" s="35">
        <f>IFERROR(__xludf.DUMMYFUNCTION("VLOOKUP($A$1,IMPORTRANGE($A$2, CONCATENATE($A45,""!$B$5:$JB$48"")),Y$1,0)"),3.0)</f>
        <v>3</v>
      </c>
      <c r="Z45" s="35" t="str">
        <f>IFERROR(__xludf.DUMMYFUNCTION("VLOOKUP($A$1,IMPORTRANGE($A$2, CONCATENATE($A45,""!$B$5:$JB$48"")),Z$1,0)"),"")</f>
        <v/>
      </c>
      <c r="AA45" s="35" t="str">
        <f>IFERROR(__xludf.DUMMYFUNCTION("VLOOKUP($A$1,IMPORTRANGE($A$2, CONCATENATE($A45,""!$B$5:$JB$48"")),AA$1,0)"),"")</f>
        <v/>
      </c>
      <c r="AB45" s="35" t="str">
        <f>IFERROR(__xludf.DUMMYFUNCTION("VLOOKUP($A$1,IMPORTRANGE($A$2, CONCATENATE($A45,""!$B$5:$JB$48"")),AB$1,0)"),"")</f>
        <v/>
      </c>
      <c r="AC45" s="35">
        <f>IFERROR(__xludf.DUMMYFUNCTION("VLOOKUP($A$1,IMPORTRANGE($A$2, CONCATENATE($A45,""!$B$5:$JB$48"")),AC$1,0)"),5.0)</f>
        <v>5</v>
      </c>
      <c r="AD45" s="35" t="str">
        <f>IFERROR(__xludf.DUMMYFUNCTION("VLOOKUP($A$1,IMPORTRANGE($A$2, CONCATENATE($A45,""!$B$5:$JB$48"")),AD$1,0)"),"")</f>
        <v/>
      </c>
      <c r="AE45" s="35" t="str">
        <f>IFERROR(__xludf.DUMMYFUNCTION("VLOOKUP($A$1,IMPORTRANGE($A$2, CONCATENATE($A45,""!$B$5:$JB$48"")),AE$1,0)"),"")</f>
        <v/>
      </c>
      <c r="AF45" s="35" t="str">
        <f>IFERROR(__xludf.DUMMYFUNCTION("VLOOKUP($A$1,IMPORTRANGE($A$2, CONCATENATE($A45,""!$B$5:$JB$48"")),AF$1,0)"),"")</f>
        <v/>
      </c>
      <c r="AG45" s="35">
        <f>IFERROR(__xludf.DUMMYFUNCTION("VLOOKUP($A$1,IMPORTRANGE($A$2, CONCATENATE($A45,""!$B$5:$JB$48"")),AG$1,0)"),4.0)</f>
        <v>4</v>
      </c>
      <c r="AH45" s="35" t="str">
        <f>IFERROR(__xludf.DUMMYFUNCTION("VLOOKUP($A$1,IMPORTRANGE($A$2, CONCATENATE($A45,""!$B$5:$JB$48"")),AH$1,0)"),"")</f>
        <v/>
      </c>
      <c r="AI45" s="35">
        <f>IFERROR(__xludf.DUMMYFUNCTION("VLOOKUP($A$1,IMPORTRANGE($A$2, CONCATENATE($A45,""!$B$5:$JB$48"")),AI$1,0)"),4.0)</f>
        <v>4</v>
      </c>
      <c r="AJ45" s="35" t="str">
        <f>IFERROR(__xludf.DUMMYFUNCTION("VLOOKUP($A$1,IMPORTRANGE($A$2, CONCATENATE($A45,""!$B$5:$JB$48"")),AJ$1,0)"),"")</f>
        <v/>
      </c>
      <c r="AK45" s="35">
        <f>IFERROR(__xludf.DUMMYFUNCTION("VLOOKUP($A$1,IMPORTRANGE($A$2, CONCATENATE($A45,""!$B$5:$JB$48"")),AK$1,0)"),5.0)</f>
        <v>5</v>
      </c>
      <c r="AL45" s="35" t="str">
        <f>IFERROR(__xludf.DUMMYFUNCTION("VLOOKUP($A$1,IMPORTRANGE($A$2, CONCATENATE($A45,""!$B$5:$JB$48"")),AL$1,0)"),"")</f>
        <v/>
      </c>
      <c r="AM45" s="35" t="str">
        <f>IFERROR(__xludf.DUMMYFUNCTION("VLOOKUP($A$1,IMPORTRANGE($A$2, CONCATENATE($A45,""!$B$5:$JB$48"")),AM$1,0)"),"")</f>
        <v/>
      </c>
      <c r="AN45" s="35">
        <f>IFERROR(__xludf.DUMMYFUNCTION("VLOOKUP($A$1,IMPORTRANGE($A$2, CONCATENATE($A45,""!$B$5:$JB$48"")),AN$1,0)"),5.0)</f>
        <v>5</v>
      </c>
      <c r="AO45" s="35">
        <f>IFERROR(__xludf.DUMMYFUNCTION("VLOOKUP($A$1,IMPORTRANGE($A$2, CONCATENATE($A45,""!$B$5:$JB$48"")),AO$1,0)"),5.0)</f>
        <v>5</v>
      </c>
      <c r="AP45" s="35" t="str">
        <f>IFERROR(__xludf.DUMMYFUNCTION("VLOOKUP($A$1,IMPORTRANGE($A$2, CONCATENATE($A45,""!$B$5:$JB$48"")),AP$1,0)"),"")</f>
        <v/>
      </c>
      <c r="AQ45" s="35" t="str">
        <f>IFERROR(__xludf.DUMMYFUNCTION("VLOOKUP($A$1,IMPORTRANGE($A$2, CONCATENATE($A45,""!$B$5:$JB$48"")),AQ$1,0)"),"")</f>
        <v/>
      </c>
      <c r="AR45" s="35">
        <f>IFERROR(__xludf.DUMMYFUNCTION("VLOOKUP($A$1,IMPORTRANGE($A$2, CONCATENATE($A45,""!$B$5:$JB$48"")),AR$1,0)"),4.0)</f>
        <v>4</v>
      </c>
      <c r="AS45" s="35" t="str">
        <f>IFERROR(__xludf.DUMMYFUNCTION("VLOOKUP($A$1,IMPORTRANGE($A$2, CONCATENATE($A45,""!$B$5:$JB$48"")),AS$1,0)"),"")</f>
        <v/>
      </c>
      <c r="AT45" s="35" t="str">
        <f>IFERROR(__xludf.DUMMYFUNCTION("VLOOKUP($A$1,IMPORTRANGE($A$2, CONCATENATE($A45,""!$B$5:$JB$48"")),AT$1,0)"),"")</f>
        <v/>
      </c>
      <c r="AU45" s="35" t="str">
        <f>IFERROR(__xludf.DUMMYFUNCTION("VLOOKUP($A$1,IMPORTRANGE($A$2, CONCATENATE($A45,""!$B$5:$JB$48"")),AU$1,0)"),"")</f>
        <v/>
      </c>
      <c r="AV45" s="35" t="str">
        <f>IFERROR(__xludf.DUMMYFUNCTION("VLOOKUP($A$1,IMPORTRANGE($A$2, CONCATENATE($A45,""!$B$5:$JB$48"")),AV$1,0)"),"н")</f>
        <v>н</v>
      </c>
      <c r="AW45" s="35">
        <f>IFERROR(__xludf.DUMMYFUNCTION("VLOOKUP($A$1,IMPORTRANGE($A$2, CONCATENATE($A45,""!$B$5:$JB$48"")),AW$1,0)"),4.0)</f>
        <v>4</v>
      </c>
      <c r="AX45" s="35">
        <f>IFERROR(__xludf.DUMMYFUNCTION("VLOOKUP($A$1,IMPORTRANGE($A$2, CONCATENATE($A45,""!$B$5:$JB$48"")),AX$1,0)"),5.0)</f>
        <v>5</v>
      </c>
      <c r="AY45" s="35" t="str">
        <f>IFERROR(__xludf.DUMMYFUNCTION("VLOOKUP($A$1,IMPORTRANGE($A$2, CONCATENATE($A45,""!$B$5:$JB$48"")),AY$1,0)"),"")</f>
        <v/>
      </c>
      <c r="AZ45" s="35" t="str">
        <f>IFERROR(__xludf.DUMMYFUNCTION("VLOOKUP($A$1,IMPORTRANGE($A$2, CONCATENATE($A45,""!$B$5:$JB$48"")),AZ$1,0)"),"")</f>
        <v/>
      </c>
      <c r="BA45" s="35">
        <f>IFERROR(__xludf.DUMMYFUNCTION("VLOOKUP($A$1,IMPORTRANGE($A$2, CONCATENATE($A45,""!$B$5:$JB$48"")),BA$1,0)"),5.0)</f>
        <v>5</v>
      </c>
      <c r="BB45" s="35">
        <f>IFERROR(__xludf.DUMMYFUNCTION("VLOOKUP($A$1,IMPORTRANGE($A$2, CONCATENATE($A45,""!$B$5:$JB$48"")),BB$1,0)"),5.0)</f>
        <v>5</v>
      </c>
      <c r="BC45" s="35" t="str">
        <f>IFERROR(__xludf.DUMMYFUNCTION("VLOOKUP($A$1,IMPORTRANGE($A$2, CONCATENATE($A45,""!$B$5:$JB$48"")),BC$1,0)"),"")</f>
        <v/>
      </c>
      <c r="BD45" s="35">
        <f>IFERROR(__xludf.DUMMYFUNCTION("VLOOKUP($A$1,IMPORTRANGE($A$2, CONCATENATE($A45,""!$B$5:$JB$48"")),BD$1,0)"),5.0)</f>
        <v>5</v>
      </c>
      <c r="BE45" s="35" t="str">
        <f>IFERROR(__xludf.DUMMYFUNCTION("VLOOKUP($A$1,IMPORTRANGE($A$2, CONCATENATE($A45,""!$B$5:$JB$48"")),BE$1,0)"),"")</f>
        <v/>
      </c>
      <c r="BF45" s="35" t="str">
        <f>IFERROR(__xludf.DUMMYFUNCTION("VLOOKUP($A$1,IMPORTRANGE($A$2, CONCATENATE($A45,""!$B$5:$JB$48"")),BF$1,0)"),"")</f>
        <v/>
      </c>
      <c r="BG45" s="35" t="str">
        <f>IFERROR(__xludf.DUMMYFUNCTION("VLOOKUP($A$1,IMPORTRANGE($A$2, CONCATENATE($A45,""!$B$5:$JB$48"")),BG$1,0)"),"")</f>
        <v/>
      </c>
      <c r="BH45" s="35" t="str">
        <f>IFERROR(__xludf.DUMMYFUNCTION("VLOOKUP($A$1,IMPORTRANGE($A$2, CONCATENATE($A45,""!$B$5:$JB$48"")),BH$1,0)"),"")</f>
        <v/>
      </c>
      <c r="BI45" s="35" t="str">
        <f>IFERROR(__xludf.DUMMYFUNCTION("VLOOKUP($A$1,IMPORTRANGE($A$2, CONCATENATE($A45,""!$B$5:$JB$48"")),BI$1,0)"),"")</f>
        <v/>
      </c>
      <c r="BJ45" s="35" t="str">
        <f>IFERROR(__xludf.DUMMYFUNCTION("VLOOKUP($A$1,IMPORTRANGE($A$2, CONCATENATE($A45,""!$B$5:$JB$48"")),BJ$1,0)"),"")</f>
        <v/>
      </c>
      <c r="BK45" s="35" t="str">
        <f>IFERROR(__xludf.DUMMYFUNCTION("VLOOKUP($A$1,IMPORTRANGE($A$2, CONCATENATE($A45,""!$B$5:$JB$48"")),BK$1,0)"),"")</f>
        <v/>
      </c>
      <c r="BL45" s="35" t="str">
        <f>IFERROR(__xludf.DUMMYFUNCTION("VLOOKUP($A$1,IMPORTRANGE($A$2, CONCATENATE($A45,""!$B$5:$JB$48"")),BL$1,0)"),"")</f>
        <v/>
      </c>
      <c r="BM45" s="35" t="str">
        <f>IFERROR(__xludf.DUMMYFUNCTION("VLOOKUP($A$1,IMPORTRANGE($A$2, CONCATENATE($A45,""!$B$5:$JB$48"")),BM$1,0)"),"")</f>
        <v/>
      </c>
      <c r="BN45" s="35" t="str">
        <f>IFERROR(__xludf.DUMMYFUNCTION("VLOOKUP($A$1,IMPORTRANGE($A$2, CONCATENATE($A45,""!$B$5:$JB$48"")),BN$1,0)"),"")</f>
        <v/>
      </c>
      <c r="BO45" s="35" t="str">
        <f>IFERROR(__xludf.DUMMYFUNCTION("VLOOKUP($A$1,IMPORTRANGE($A$2, CONCATENATE($A45,""!$B$5:$JB$48"")),BO$1,0)"),"")</f>
        <v/>
      </c>
      <c r="BP45" s="35" t="str">
        <f>IFERROR(__xludf.DUMMYFUNCTION("VLOOKUP($A$1,IMPORTRANGE($A$2, CONCATENATE($A45,""!$B$5:$JB$48"")),BP$1,0)"),"")</f>
        <v/>
      </c>
      <c r="BQ45" s="35" t="str">
        <f>IFERROR(__xludf.DUMMYFUNCTION("VLOOKUP($A$1,IMPORTRANGE($A$2, CONCATENATE($A45,""!$B$5:$JB$48"")),BQ$1,0)"),"")</f>
        <v/>
      </c>
      <c r="BR45" s="35" t="str">
        <f>IFERROR(__xludf.DUMMYFUNCTION("VLOOKUP($A$1,IMPORTRANGE($A$2, CONCATENATE($A45,""!$B$5:$JB$48"")),BR$1,0)"),"")</f>
        <v/>
      </c>
      <c r="BS45" s="35" t="str">
        <f>IFERROR(__xludf.DUMMYFUNCTION("VLOOKUP($A$1,IMPORTRANGE($A$2, CONCATENATE($A45,""!$B$5:$JB$48"")),BS$1,0)"),"")</f>
        <v/>
      </c>
      <c r="BT45" s="35" t="str">
        <f>IFERROR(__xludf.DUMMYFUNCTION("VLOOKUP($A$1,IMPORTRANGE($A$2, CONCATENATE($A45,""!$B$5:$JB$48"")),BT$1,0)"),"")</f>
        <v/>
      </c>
      <c r="BU45" s="35" t="str">
        <f>IFERROR(__xludf.DUMMYFUNCTION("VLOOKUP($A$1,IMPORTRANGE($A$2, CONCATENATE($A45,""!$B$5:$JB$48"")),BU$1,0)"),"")</f>
        <v/>
      </c>
      <c r="BV45" s="35" t="str">
        <f>IFERROR(__xludf.DUMMYFUNCTION("VLOOKUP($A$1,IMPORTRANGE($A$2, CONCATENATE($A45,""!$B$5:$JB$48"")),BV$1,0)"),"")</f>
        <v/>
      </c>
      <c r="BW45" s="35" t="str">
        <f>IFERROR(__xludf.DUMMYFUNCTION("VLOOKUP($A$1,IMPORTRANGE($A$2, CONCATENATE($A45,""!$B$5:$JB$48"")),BW$1,0)"),"")</f>
        <v/>
      </c>
      <c r="BX45" s="35" t="str">
        <f>IFERROR(__xludf.DUMMYFUNCTION("VLOOKUP($A$1,IMPORTRANGE($A$2, CONCATENATE($A45,""!$B$5:$JB$48"")),BX$1,0)"),"")</f>
        <v/>
      </c>
      <c r="BY45" s="35" t="str">
        <f>IFERROR(__xludf.DUMMYFUNCTION("VLOOKUP($A$1,IMPORTRANGE($A$2, CONCATENATE($A45,""!$B$5:$JB$48"")),BY$1,0)"),"")</f>
        <v/>
      </c>
      <c r="BZ45" s="35" t="str">
        <f>IFERROR(__xludf.DUMMYFUNCTION("VLOOKUP($A$1,IMPORTRANGE($A$2, CONCATENATE($A45,""!$B$5:$JB$48"")),BZ$1,0)"),"")</f>
        <v/>
      </c>
      <c r="CA45" s="35" t="str">
        <f>IFERROR(__xludf.DUMMYFUNCTION("VLOOKUP($A$1,IMPORTRANGE($A$2, CONCATENATE($A45,""!$B$5:$JB$48"")),CA$1,0)"),"")</f>
        <v/>
      </c>
      <c r="CB45" s="35" t="str">
        <f>IFERROR(__xludf.DUMMYFUNCTION("VLOOKUP($A$1,IMPORTRANGE($A$2, CONCATENATE($A45,""!$B$5:$JB$48"")),CB$1,0)"),"")</f>
        <v/>
      </c>
      <c r="CC45" s="35" t="str">
        <f>IFERROR(__xludf.DUMMYFUNCTION("VLOOKUP($A$1,IMPORTRANGE($A$2, CONCATENATE($A45,""!$B$5:$JB$48"")),CC$1,0)"),"")</f>
        <v/>
      </c>
      <c r="CD45" s="35" t="str">
        <f>IFERROR(__xludf.DUMMYFUNCTION("VLOOKUP($A$1,IMPORTRANGE($A$2, CONCATENATE($A45,""!$B$5:$JB$48"")),CD$1,0)"),"")</f>
        <v/>
      </c>
      <c r="CE45" s="35" t="str">
        <f>IFERROR(__xludf.DUMMYFUNCTION("VLOOKUP($A$1,IMPORTRANGE($A$2, CONCATENATE($A45,""!$B$5:$JB$48"")),CE$1,0)"),"")</f>
        <v/>
      </c>
      <c r="CF45" s="35" t="str">
        <f>IFERROR(__xludf.DUMMYFUNCTION("VLOOKUP($A$1,IMPORTRANGE($A$2, CONCATENATE($A45,""!$B$5:$JB$48"")),CF$1,0)"),"")</f>
        <v/>
      </c>
      <c r="CG45" s="35" t="str">
        <f>IFERROR(__xludf.DUMMYFUNCTION("VLOOKUP($A$1,IMPORTRANGE($A$2, CONCATENATE($A45,""!$B$5:$JB$48"")),CG$1,0)"),"")</f>
        <v/>
      </c>
      <c r="CH45" s="35" t="str">
        <f>IFERROR(__xludf.DUMMYFUNCTION("VLOOKUP($A$1,IMPORTRANGE($A$2, CONCATENATE($A45,""!$B$5:$JB$48"")),CH$1,0)"),"")</f>
        <v/>
      </c>
      <c r="CI45" s="35" t="str">
        <f>IFERROR(__xludf.DUMMYFUNCTION("VLOOKUP($A$1,IMPORTRANGE($A$2, CONCATENATE($A45,""!$B$5:$JB$48"")),CI$1,0)"),"")</f>
        <v/>
      </c>
      <c r="CJ45" s="35" t="str">
        <f>IFERROR(__xludf.DUMMYFUNCTION("VLOOKUP($A$1,IMPORTRANGE($A$2, CONCATENATE($A45,""!$B$5:$JB$48"")),CJ$1,0)"),"")</f>
        <v/>
      </c>
      <c r="CK45" s="35" t="str">
        <f>IFERROR(__xludf.DUMMYFUNCTION("VLOOKUP($A$1,IMPORTRANGE($A$2, CONCATENATE($A45,""!$B$5:$JB$48"")),CK$1,0)"),"")</f>
        <v/>
      </c>
      <c r="CL45" s="35" t="str">
        <f>IFERROR(__xludf.DUMMYFUNCTION("VLOOKUP($A$1,IMPORTRANGE($A$2, CONCATENATE($A45,""!$B$5:$JB$48"")),CL$1,0)"),"")</f>
        <v/>
      </c>
      <c r="CM45" s="35" t="str">
        <f>IFERROR(__xludf.DUMMYFUNCTION("VLOOKUP($A$1,IMPORTRANGE($A$2, CONCATENATE($A45,""!$B$5:$JB$48"")),CM$1,0)"),"")</f>
        <v/>
      </c>
      <c r="CN45" s="35" t="str">
        <f>IFERROR(__xludf.DUMMYFUNCTION("VLOOKUP($A$1,IMPORTRANGE($A$2, CONCATENATE($A45,""!$B$5:$JB$48"")),CN$1,0)"),"")</f>
        <v/>
      </c>
      <c r="CO45" s="35" t="str">
        <f>IFERROR(__xludf.DUMMYFUNCTION("VLOOKUP($A$1,IMPORTRANGE($A$2, CONCATENATE($A45,""!$B$5:$JB$48"")),CO$1,0)"),"")</f>
        <v/>
      </c>
      <c r="CP45" s="35" t="str">
        <f>IFERROR(__xludf.DUMMYFUNCTION("VLOOKUP($A$1,IMPORTRANGE($A$2, CONCATENATE($A45,""!$B$5:$JB$48"")),CP$1,0)"),"")</f>
        <v/>
      </c>
      <c r="CQ45" s="35" t="str">
        <f>IFERROR(__xludf.DUMMYFUNCTION("VLOOKUP($A$1,IMPORTRANGE($A$2, CONCATENATE($A45,""!$B$5:$JB$48"")),CQ$1,0)"),"")</f>
        <v/>
      </c>
      <c r="CR45" s="35" t="str">
        <f>IFERROR(__xludf.DUMMYFUNCTION("VLOOKUP($A$1,IMPORTRANGE($A$2, CONCATENATE($A45,""!$B$5:$JB$48"")),CR$1,0)"),"")</f>
        <v/>
      </c>
      <c r="CS45" s="35" t="str">
        <f>IFERROR(__xludf.DUMMYFUNCTION("VLOOKUP($A$1,IMPORTRANGE($A$2, CONCATENATE($A45,""!$B$5:$JB$48"")),CS$1,0)"),"")</f>
        <v/>
      </c>
      <c r="CT45" s="35" t="str">
        <f>IFERROR(__xludf.DUMMYFUNCTION("VLOOKUP($A$1,IMPORTRANGE($A$2, CONCATENATE($A45,""!$B$5:$JB$48"")),CT$1,0)"),"")</f>
        <v/>
      </c>
      <c r="CU45" s="35" t="str">
        <f>IFERROR(__xludf.DUMMYFUNCTION("VLOOKUP($A$1,IMPORTRANGE($A$2, CONCATENATE($A45,""!$B$5:$JB$48"")),CU$1,0)"),"")</f>
        <v/>
      </c>
      <c r="CV45" s="35" t="str">
        <f>IFERROR(__xludf.DUMMYFUNCTION("VLOOKUP($A$1,IMPORTRANGE($A$2, CONCATENATE($A45,""!$B$5:$JB$48"")),CV$1,0)"),"")</f>
        <v/>
      </c>
      <c r="CW45" s="35" t="str">
        <f>IFERROR(__xludf.DUMMYFUNCTION("VLOOKUP($A$1,IMPORTRANGE($A$2, CONCATENATE($A45,""!$B$5:$JB$48"")),CW$1,0)"),"")</f>
        <v/>
      </c>
      <c r="CX45" s="35" t="str">
        <f>IFERROR(__xludf.DUMMYFUNCTION("VLOOKUP($A$1,IMPORTRANGE($A$2, CONCATENATE($A45,""!$B$5:$JB$48"")),CX$1,0)"),"")</f>
        <v/>
      </c>
      <c r="CY45" s="35" t="str">
        <f>IFERROR(__xludf.DUMMYFUNCTION("VLOOKUP($A$1,IMPORTRANGE($A$2, CONCATENATE($A45,""!$B$5:$JB$48"")),CY$1,0)"),"")</f>
        <v/>
      </c>
      <c r="CZ45" s="35" t="str">
        <f>IFERROR(__xludf.DUMMYFUNCTION("VLOOKUP($A$1,IMPORTRANGE($A$2, CONCATENATE($A45,""!$B$5:$JB$48"")),CZ$1,0)"),"")</f>
        <v/>
      </c>
      <c r="DA45" s="35" t="str">
        <f>IFERROR(__xludf.DUMMYFUNCTION("VLOOKUP($A$1,IMPORTRANGE($A$2, CONCATENATE($A45,""!$B$5:$JB$48"")),DA$1,0)"),"")</f>
        <v/>
      </c>
      <c r="DB45" s="35" t="str">
        <f>IFERROR(__xludf.DUMMYFUNCTION("VLOOKUP($A$1,IMPORTRANGE($A$2, CONCATENATE($A45,""!$B$5:$JB$48"")),DB$1,0)"),"")</f>
        <v/>
      </c>
      <c r="DC45" s="35" t="str">
        <f>IFERROR(__xludf.DUMMYFUNCTION("VLOOKUP($A$1,IMPORTRANGE($A$2, CONCATENATE($A45,""!$B$5:$JB$48"")),DC$1,0)"),"")</f>
        <v/>
      </c>
      <c r="DD45" s="35" t="str">
        <f>IFERROR(__xludf.DUMMYFUNCTION("VLOOKUP($A$1,IMPORTRANGE($A$2, CONCATENATE($A45,""!$B$5:$JB$48"")),DD$1,0)"),"")</f>
        <v/>
      </c>
      <c r="DE45" s="35" t="str">
        <f>IFERROR(__xludf.DUMMYFUNCTION("VLOOKUP($A$1,IMPORTRANGE($A$2, CONCATENATE($A45,""!$B$5:$JB$48"")),DE$1,0)"),"")</f>
        <v/>
      </c>
      <c r="DF45" s="35" t="str">
        <f>IFERROR(__xludf.DUMMYFUNCTION("VLOOKUP($A$1,IMPORTRANGE($A$2, CONCATENATE($A45,""!$B$5:$JB$48"")),DF$1,0)"),"")</f>
        <v/>
      </c>
      <c r="DG45" s="35" t="str">
        <f>IFERROR(__xludf.DUMMYFUNCTION("VLOOKUP($A$1,IMPORTRANGE($A$2, CONCATENATE($A45,""!$B$5:$JB$48"")),DG$1,0)"),"")</f>
        <v/>
      </c>
      <c r="DH45" s="35" t="str">
        <f>IFERROR(__xludf.DUMMYFUNCTION("VLOOKUP($A$1,IMPORTRANGE($A$2, CONCATENATE($A45,""!$B$5:$JB$48"")),DH$1,0)"),"")</f>
        <v/>
      </c>
      <c r="DI45" s="35" t="str">
        <f>IFERROR(__xludf.DUMMYFUNCTION("VLOOKUP($A$1,IMPORTRANGE($A$2, CONCATENATE($A45,""!$B$5:$JB$48"")),DI$1,0)"),"")</f>
        <v/>
      </c>
      <c r="DJ45" s="35" t="str">
        <f>IFERROR(__xludf.DUMMYFUNCTION("VLOOKUP($A$1,IMPORTRANGE($A$2, CONCATENATE($A45,""!$B$5:$JB$48"")),DJ$1,0)"),"")</f>
        <v/>
      </c>
      <c r="DK45" s="35" t="str">
        <f>IFERROR(__xludf.DUMMYFUNCTION("VLOOKUP($A$1,IMPORTRANGE($A$2, CONCATENATE($A45,""!$B$5:$JB$48"")),DK$1,0)"),"")</f>
        <v/>
      </c>
      <c r="DL45" s="35" t="str">
        <f>IFERROR(__xludf.DUMMYFUNCTION("VLOOKUP($A$1,IMPORTRANGE($A$2, CONCATENATE($A45,""!$B$5:$JB$48"")),DL$1,0)"),"")</f>
        <v/>
      </c>
      <c r="DM45" s="35" t="str">
        <f>IFERROR(__xludf.DUMMYFUNCTION("VLOOKUP($A$1,IMPORTRANGE($A$2, CONCATENATE($A45,""!$B$5:$JB$48"")),DM$1,0)"),"")</f>
        <v/>
      </c>
      <c r="DN45" s="35" t="str">
        <f>IFERROR(__xludf.DUMMYFUNCTION("VLOOKUP($A$1,IMPORTRANGE($A$2, CONCATENATE($A45,""!$B$5:$JB$48"")),DN$1,0)"),"")</f>
        <v/>
      </c>
      <c r="DO45" s="35" t="str">
        <f>IFERROR(__xludf.DUMMYFUNCTION("VLOOKUP($A$1,IMPORTRANGE($A$2, CONCATENATE($A45,""!$B$5:$JB$48"")),DO$1,0)"),"")</f>
        <v/>
      </c>
      <c r="DP45" s="35" t="str">
        <f>IFERROR(__xludf.DUMMYFUNCTION("VLOOKUP($A$1,IMPORTRANGE($A$2, CONCATENATE($A45,""!$B$5:$JB$48"")),DP$1,0)"),"")</f>
        <v/>
      </c>
      <c r="DQ45" s="35" t="str">
        <f>IFERROR(__xludf.DUMMYFUNCTION("VLOOKUP($A$1,IMPORTRANGE($A$2, CONCATENATE($A45,""!$B$5:$JB$48"")),DQ$1,0)"),"")</f>
        <v/>
      </c>
      <c r="DR45" s="35" t="str">
        <f>IFERROR(__xludf.DUMMYFUNCTION("VLOOKUP($A$1,IMPORTRANGE($A$2, CONCATENATE($A45,""!$B$5:$JB$48"")),DR$1,0)"),"")</f>
        <v/>
      </c>
      <c r="DS45" s="35" t="str">
        <f>IFERROR(__xludf.DUMMYFUNCTION("VLOOKUP($A$1,IMPORTRANGE($A$2, CONCATENATE($A45,""!$B$5:$JB$48"")),DS$1,0)"),"")</f>
        <v/>
      </c>
      <c r="DT45" s="35" t="str">
        <f>IFERROR(__xludf.DUMMYFUNCTION("VLOOKUP($A$1,IMPORTRANGE($A$2, CONCATENATE($A45,""!$B$5:$JB$48"")),DT$1,0)"),"")</f>
        <v/>
      </c>
      <c r="DU45" s="35" t="str">
        <f>IFERROR(__xludf.DUMMYFUNCTION("VLOOKUP($A$1,IMPORTRANGE($A$2, CONCATENATE($A45,""!$B$5:$JB$48"")),DU$1,0)"),"")</f>
        <v/>
      </c>
      <c r="DV45" s="35">
        <f>IFERROR(__xludf.DUMMYFUNCTION("VLOOKUP($A$1,IMPORTRANGE($A$2, CONCATENATE($A45,""!$B$5:$JB$48"")),DV$1,0)"),45912.0)</f>
        <v>45912</v>
      </c>
      <c r="DW45" s="35" t="str">
        <f>IFERROR(__xludf.DUMMYFUNCTION("VLOOKUP($A$1,IMPORTRANGE($A$2, CONCATENATE($A45,""!$B$5:$JB$48"")),DW$1,0)"),"Некоторые термины, применяемые в физике. Наблюдения и опыты.")</f>
        <v>Некоторые термины, применяемые в физике. Наблюдения и опыты.</v>
      </c>
      <c r="DX45" s="35" t="str">
        <f>IFERROR(__xludf.DUMMYFUNCTION("VLOOKUP($A$1,IMPORTRANGE($A$2, CONCATENATE($A45,""!$B$5:$JB$48"")),DX$1,0)"),"повторить все")</f>
        <v>повторить все</v>
      </c>
      <c r="DY45" s="35">
        <f>IFERROR(__xludf.DUMMYFUNCTION("VLOOKUP($A$1,IMPORTRANGE($A$2, CONCATENATE($A45,""!$B$5:$JB$48"")),DY$1,0)"),45980.0)</f>
        <v>45980</v>
      </c>
      <c r="DZ45" s="35" t="str">
        <f>IFERROR(__xludf.DUMMYFUNCTION("VLOOKUP($A$1,IMPORTRANGE($A$2, CONCATENATE($A45,""!$B$5:$JB$48"")),DZ$1,0)"),"Сведения о взаимодействии тел. Сила.")</f>
        <v>Сведения о взаимодействии тел. Сила.</v>
      </c>
      <c r="EA45" s="35" t="str">
        <f>IFERROR(__xludf.DUMMYFUNCTION("VLOOKUP($A$1,IMPORTRANGE($A$2, CONCATENATE($A45,""!$B$5:$JB$48"")),EA$1,0)"),"повторить все")</f>
        <v>повторить все</v>
      </c>
      <c r="EB45" s="35">
        <f>IFERROR(__xludf.DUMMYFUNCTION("VLOOKUP($A$1,IMPORTRANGE($A$2, CONCATENATE($A45,""!$B$5:$JB$48"")),EB$1,0)"),46043.0)</f>
        <v>46043</v>
      </c>
      <c r="EC45" s="35" t="str">
        <f>IFERROR(__xludf.DUMMYFUNCTION("VLOOKUP($A$1,IMPORTRANGE($A$2, CONCATENATE($A45,""!$B$5:$JB$48"")),EC$1,0)"),"Энергия. Виды энергии.")</f>
        <v>Энергия. Виды энергии.</v>
      </c>
      <c r="ED45" s="35" t="str">
        <f>IFERROR(__xludf.DUMMYFUNCTION("VLOOKUP($A$1,IMPORTRANGE($A$2, CONCATENATE($A45,""!$B$5:$JB$48"")),ED$1,0)"),"повторить все")</f>
        <v>повторить все</v>
      </c>
      <c r="EE45" s="35" t="str">
        <f>IFERROR(__xludf.DUMMYFUNCTION("VLOOKUP($A$1,IMPORTRANGE($A$2, CONCATENATE($A45,""!$B$5:$JB$48"")),EE$1,0)"),"")</f>
        <v/>
      </c>
      <c r="EF45" s="35" t="str">
        <f>IFERROR(__xludf.DUMMYFUNCTION("VLOOKUP($A$1,IMPORTRANGE($A$2, CONCATENATE($A45,""!$B$5:$JB$48"")),EF$1,0)"),"")</f>
        <v/>
      </c>
      <c r="EG45" s="35" t="str">
        <f>IFERROR(__xludf.DUMMYFUNCTION("VLOOKUP($A$1,IMPORTRANGE($A$2, CONCATENATE($A45,""!$B$5:$JB$48"")),EG$1,0)"),"")</f>
        <v/>
      </c>
      <c r="EH45" s="35" t="str">
        <f>IFERROR(__xludf.DUMMYFUNCTION("VLOOKUP($A$1,IMPORTRANGE($A$2, CONCATENATE($A45,""!$B$5:$JB$48"")),EH$1,0)"),"#REF!")</f>
        <v>#REF!</v>
      </c>
      <c r="EI45" s="35" t="str">
        <f>IFERROR(__xludf.DUMMYFUNCTION("VLOOKUP($A$1,IMPORTRANGE($A$2, CONCATENATE($A45,""!$B$5:$JB$48"")),EI$1,0)"),"#REF!")</f>
        <v>#REF!</v>
      </c>
      <c r="EJ45" s="35" t="str">
        <f>IFERROR(__xludf.DUMMYFUNCTION("VLOOKUP($A$1,IMPORTRANGE($A$2, CONCATENATE($A45,""!$B$5:$JB$48"")),EJ$1,0)"),"#REF!")</f>
        <v>#REF!</v>
      </c>
      <c r="EK45" s="35" t="str">
        <f>IFERROR(__xludf.DUMMYFUNCTION("VLOOKUP($A$1,IMPORTRANGE($A$2, CONCATENATE($A45,""!$B$5:$JB$48"")),EK$1,0)"),"#REF!")</f>
        <v>#REF!</v>
      </c>
      <c r="EL45" s="35" t="str">
        <f>IFERROR(__xludf.DUMMYFUNCTION("VLOOKUP($A$1,IMPORTRANGE($A$2, CONCATENATE($A45,""!$B$5:$JB$48"")),EL$1,0)"),"#REF!")</f>
        <v>#REF!</v>
      </c>
      <c r="EM45" s="35" t="str">
        <f>IFERROR(__xludf.DUMMYFUNCTION("VLOOKUP($A$1,IMPORTRANGE($A$2, CONCATENATE($A45,""!$B$5:$JB$48"")),EM$1,0)"),"#REF!")</f>
        <v>#REF!</v>
      </c>
      <c r="EN45" s="35" t="str">
        <f>IFERROR(__xludf.DUMMYFUNCTION("VLOOKUP($A$1,IMPORTRANGE($A$2, CONCATENATE($A45,""!$B$5:$JB$48"")),EN$1,0)"),"#REF!")</f>
        <v>#REF!</v>
      </c>
      <c r="EO45" s="35" t="str">
        <f>IFERROR(__xludf.DUMMYFUNCTION("VLOOKUP($A$1,IMPORTRANGE($A$2, CONCATENATE($A45,""!$B$5:$JB$48"")),EO$1,0)"),"#REF!")</f>
        <v>#REF!</v>
      </c>
      <c r="EP45" s="35" t="str">
        <f>IFERROR(__xludf.DUMMYFUNCTION("VLOOKUP($A$1,IMPORTRANGE($A$2, CONCATENATE($A45,""!$B$5:$JB$48"")),EP$1,0)"),"#REF!")</f>
        <v>#REF!</v>
      </c>
      <c r="EQ45" s="35" t="str">
        <f>IFERROR(__xludf.DUMMYFUNCTION("VLOOKUP($A$1,IMPORTRANGE($A$2, CONCATENATE($A45,""!$B$5:$JB$48"")),EQ$1,0)"),"#REF!")</f>
        <v>#REF!</v>
      </c>
      <c r="ER45" s="35" t="str">
        <f>IFERROR(__xludf.DUMMYFUNCTION("VLOOKUP($A$1,IMPORTRANGE($A$2, CONCATENATE($A45,""!$B$5:$JB$48"")),ER$1,0)"),"#REF!")</f>
        <v>#REF!</v>
      </c>
      <c r="ES45" s="35" t="str">
        <f>IFERROR(__xludf.DUMMYFUNCTION("VLOOKUP($A$1,IMPORTRANGE($A$2, CONCATENATE($A45,""!$B$5:$JB$48"")),ES$1,0)"),"#REF!")</f>
        <v>#REF!</v>
      </c>
      <c r="ET45" s="35" t="str">
        <f>IFERROR(__xludf.DUMMYFUNCTION("VLOOKUP($A$1,IMPORTRANGE($A$2, CONCATENATE($A45,""!$B$5:$JB$48"")),ET$1,0)"),"#REF!")</f>
        <v>#REF!</v>
      </c>
      <c r="EU45" s="35" t="str">
        <f>IFERROR(__xludf.DUMMYFUNCTION("VLOOKUP($A$1,IMPORTRANGE($A$2, CONCATENATE($A45,""!$B$5:$JB$48"")),EU$1,0)"),"#REF!")</f>
        <v>#REF!</v>
      </c>
      <c r="EV45" s="35" t="str">
        <f>IFERROR(__xludf.DUMMYFUNCTION("VLOOKUP($A$1,IMPORTRANGE($A$2, CONCATENATE($A45,""!$B$5:$JB$48"")),EV$1,0)"),"#REF!")</f>
        <v>#REF!</v>
      </c>
      <c r="EW45" s="35" t="str">
        <f>IFERROR(__xludf.DUMMYFUNCTION("VLOOKUP($A$1,IMPORTRANGE($A$2, CONCATENATE($A45,""!$B$5:$JB$48"")),EW$1,0)"),"#REF!")</f>
        <v>#REF!</v>
      </c>
      <c r="EX45" s="35" t="str">
        <f>IFERROR(__xludf.DUMMYFUNCTION("VLOOKUP($A$1,IMPORTRANGE($A$2, CONCATENATE($A45,""!$B$5:$JB$48"")),EX$1,0)"),"#REF!")</f>
        <v>#REF!</v>
      </c>
      <c r="EY45" s="35" t="str">
        <f>IFERROR(__xludf.DUMMYFUNCTION("VLOOKUP($A$1,IMPORTRANGE($A$2, CONCATENATE($A45,""!$B$5:$JB$48"")),EY$1,0)"),"#REF!")</f>
        <v>#REF!</v>
      </c>
      <c r="EZ45" s="35" t="str">
        <f>IFERROR(__xludf.DUMMYFUNCTION("VLOOKUP($A$1,IMPORTRANGE($A$2, CONCATENATE($A45,""!$B$5:$JB$48"")),EZ$1,0)"),"#REF!")</f>
        <v>#REF!</v>
      </c>
      <c r="FA45" s="35" t="str">
        <f>IFERROR(__xludf.DUMMYFUNCTION("VLOOKUP($A$1,IMPORTRANGE($A$2, CONCATENATE($A45,""!$B$5:$JB$48"")),FA$1,0)"),"#REF!")</f>
        <v>#REF!</v>
      </c>
      <c r="FB45" s="35" t="str">
        <f>IFERROR(__xludf.DUMMYFUNCTION("VLOOKUP($A$1,IMPORTRANGE($A$2, CONCATENATE($A45,""!$B$5:$JB$48"")),FB$1,0)"),"#REF!")</f>
        <v>#REF!</v>
      </c>
      <c r="FC45" s="35" t="str">
        <f>IFERROR(__xludf.DUMMYFUNCTION("VLOOKUP($A$1,IMPORTRANGE($A$2, CONCATENATE($A45,""!$B$5:$JB$48"")),FC$1,0)"),"#REF!")</f>
        <v>#REF!</v>
      </c>
      <c r="FD45" s="35" t="str">
        <f>IFERROR(__xludf.DUMMYFUNCTION("VLOOKUP($A$1,IMPORTRANGE($A$2, CONCATENATE($A45,""!$B$5:$JB$48"")),FD$1,0)"),"#REF!")</f>
        <v>#REF!</v>
      </c>
      <c r="FE45" s="35" t="str">
        <f>IFERROR(__xludf.DUMMYFUNCTION("VLOOKUP($A$1,IMPORTRANGE($A$2, CONCATENATE($A45,""!$B$5:$JB$48"")),FE$1,0)"),"#REF!")</f>
        <v>#REF!</v>
      </c>
      <c r="FF45" s="35" t="str">
        <f>IFERROR(__xludf.DUMMYFUNCTION("VLOOKUP($A$1,IMPORTRANGE($A$2, CONCATENATE($A45,""!$B$5:$JB$48"")),FF$1,0)"),"#REF!")</f>
        <v>#REF!</v>
      </c>
      <c r="FG45" s="35" t="str">
        <f>IFERROR(__xludf.DUMMYFUNCTION("VLOOKUP($A$1,IMPORTRANGE($A$2, CONCATENATE($A45,""!$B$5:$JB$48"")),FG$1,0)"),"#REF!")</f>
        <v>#REF!</v>
      </c>
      <c r="FH45" s="35" t="str">
        <f>IFERROR(__xludf.DUMMYFUNCTION("VLOOKUP($A$1,IMPORTRANGE($A$2, CONCATENATE($A45,""!$B$5:$JB$48"")),FH$1,0)"),"#REF!")</f>
        <v>#REF!</v>
      </c>
      <c r="FI45" s="35" t="str">
        <f>IFERROR(__xludf.DUMMYFUNCTION("VLOOKUP($A$1,IMPORTRANGE($A$2, CONCATENATE($A45,""!$B$5:$JB$48"")),FI$1,0)"),"#REF!")</f>
        <v>#REF!</v>
      </c>
      <c r="FJ45" s="35" t="str">
        <f>IFERROR(__xludf.DUMMYFUNCTION("VLOOKUP($A$1,IMPORTRANGE($A$2, CONCATENATE($A45,""!$B$5:$JB$48"")),FJ$1,0)"),"#REF!")</f>
        <v>#REF!</v>
      </c>
      <c r="FK45" s="35" t="str">
        <f>IFERROR(__xludf.DUMMYFUNCTION("VLOOKUP($A$1,IMPORTRANGE($A$2, CONCATENATE($A45,""!$B$5:$JB$48"")),FK$1,0)"),"#REF!")</f>
        <v>#REF!</v>
      </c>
      <c r="FL45" s="35" t="str">
        <f>IFERROR(__xludf.DUMMYFUNCTION("VLOOKUP($A$1,IMPORTRANGE($A$2, CONCATENATE($A45,""!$B$5:$JB$48"")),FL$1,0)"),"#REF!")</f>
        <v>#REF!</v>
      </c>
      <c r="FM45" s="35" t="str">
        <f>IFERROR(__xludf.DUMMYFUNCTION("VLOOKUP($A$1,IMPORTRANGE($A$2, CONCATENATE($A45,""!$B$5:$JB$48"")),FM$1,0)"),"#REF!")</f>
        <v>#REF!</v>
      </c>
      <c r="FN45" s="35" t="str">
        <f>IFERROR(__xludf.DUMMYFUNCTION("VLOOKUP($A$1,IMPORTRANGE($A$2, CONCATENATE($A45,""!$B$5:$JB$48"")),FN$1,0)"),"#REF!")</f>
        <v>#REF!</v>
      </c>
      <c r="FO45" s="35" t="str">
        <f>IFERROR(__xludf.DUMMYFUNCTION("VLOOKUP($A$1,IMPORTRANGE($A$2, CONCATENATE($A45,""!$B$5:$JB$48"")),FO$1,0)"),"#REF!")</f>
        <v>#REF!</v>
      </c>
      <c r="FP45" s="35" t="str">
        <f>IFERROR(__xludf.DUMMYFUNCTION("VLOOKUP($A$1,IMPORTRANGE($A$2, CONCATENATE($A45,""!$B$5:$JB$48"")),FP$1,0)"),"#REF!")</f>
        <v>#REF!</v>
      </c>
      <c r="FQ45" s="35" t="str">
        <f>IFERROR(__xludf.DUMMYFUNCTION("VLOOKUP($A$1,IMPORTRANGE($A$2, CONCATENATE($A45,""!$B$5:$JB$48"")),FQ$1,0)"),"#REF!")</f>
        <v>#REF!</v>
      </c>
      <c r="FR45" s="35" t="str">
        <f>IFERROR(__xludf.DUMMYFUNCTION("VLOOKUP($A$1,IMPORTRANGE($A$2, CONCATENATE($A45,""!$B$5:$JB$48"")),FR$1,0)"),"#REF!")</f>
        <v>#REF!</v>
      </c>
      <c r="FS45" s="35" t="str">
        <f>IFERROR(__xludf.DUMMYFUNCTION("VLOOKUP($A$1,IMPORTRANGE($A$2, CONCATENATE($A45,""!$B$5:$JB$48"")),FS$1,0)"),"#REF!")</f>
        <v>#REF!</v>
      </c>
      <c r="FT45" s="35" t="str">
        <f>IFERROR(__xludf.DUMMYFUNCTION("VLOOKUP($A$1,IMPORTRANGE($A$2, CONCATENATE($A45,""!$B$5:$JB$48"")),FT$1,0)"),"#REF!")</f>
        <v>#REF!</v>
      </c>
      <c r="FU45" s="35" t="str">
        <f>IFERROR(__xludf.DUMMYFUNCTION("VLOOKUP($A$1,IMPORTRANGE($A$2, CONCATENATE($A45,""!$B$5:$JB$48"")),FU$1,0)"),"#REF!")</f>
        <v>#REF!</v>
      </c>
      <c r="FV45" s="35" t="str">
        <f>IFERROR(__xludf.DUMMYFUNCTION("VLOOKUP($A$1,IMPORTRANGE($A$2, CONCATENATE($A45,""!$B$5:$JB$48"")),FV$1,0)"),"#REF!")</f>
        <v>#REF!</v>
      </c>
      <c r="FW45" s="35" t="str">
        <f>IFERROR(__xludf.DUMMYFUNCTION("VLOOKUP($A$1,IMPORTRANGE($A$2, CONCATENATE($A45,""!$B$5:$JB$48"")),FW$1,0)"),"#REF!")</f>
        <v>#REF!</v>
      </c>
      <c r="FX45" s="35" t="str">
        <f>IFERROR(__xludf.DUMMYFUNCTION("VLOOKUP($A$1,IMPORTRANGE($A$2, CONCATENATE($A45,""!$B$5:$JB$48"")),FX$1,0)"),"#REF!")</f>
        <v>#REF!</v>
      </c>
      <c r="FY45" s="35" t="str">
        <f>IFERROR(__xludf.DUMMYFUNCTION("VLOOKUP($A$1,IMPORTRANGE($A$2, CONCATENATE($A45,""!$B$5:$JB$48"")),FY$1,0)"),"#REF!")</f>
        <v>#REF!</v>
      </c>
      <c r="FZ45" s="35" t="str">
        <f>IFERROR(__xludf.DUMMYFUNCTION("VLOOKUP($A$1,IMPORTRANGE($A$2, CONCATENATE($A45,""!$B$5:$JB$48"")),FZ$1,0)"),"#REF!")</f>
        <v>#REF!</v>
      </c>
      <c r="GA45" s="35" t="str">
        <f>IFERROR(__xludf.DUMMYFUNCTION("VLOOKUP($A$1,IMPORTRANGE($A$2, CONCATENATE($A45,""!$B$5:$JB$48"")),GA$1,0)"),"#REF!")</f>
        <v>#REF!</v>
      </c>
      <c r="GB45" s="35" t="str">
        <f>IFERROR(__xludf.DUMMYFUNCTION("VLOOKUP($A$1,IMPORTRANGE($A$2, CONCATENATE($A45,""!$B$5:$JB$48"")),GB$1,0)"),"#REF!")</f>
        <v>#REF!</v>
      </c>
      <c r="GC45" s="35" t="str">
        <f>IFERROR(__xludf.DUMMYFUNCTION("VLOOKUP($A$1,IMPORTRANGE($A$2, CONCATENATE($A45,""!$B$5:$JB$48"")),GC$1,0)"),"#REF!")</f>
        <v>#REF!</v>
      </c>
      <c r="GD45" s="35" t="str">
        <f>IFERROR(__xludf.DUMMYFUNCTION("VLOOKUP($A$1,IMPORTRANGE($A$2, CONCATENATE($A45,""!$B$5:$JB$48"")),GD$1,0)"),"#REF!")</f>
        <v>#REF!</v>
      </c>
      <c r="GE45" s="35" t="str">
        <f>IFERROR(__xludf.DUMMYFUNCTION("VLOOKUP($A$1,IMPORTRANGE($A$2, CONCATENATE($A45,""!$B$5:$JB$48"")),GE$1,0)"),"#REF!")</f>
        <v>#REF!</v>
      </c>
      <c r="GF45" s="35" t="str">
        <f>IFERROR(__xludf.DUMMYFUNCTION("VLOOKUP($A$1,IMPORTRANGE($A$2, CONCATENATE($A45,""!$B$5:$JB$48"")),GF$1,0)"),"#REF!")</f>
        <v>#REF!</v>
      </c>
      <c r="GG45" s="35" t="str">
        <f>IFERROR(__xludf.DUMMYFUNCTION("VLOOKUP($A$1,IMPORTRANGE($A$2, CONCATENATE($A45,""!$B$5:$JB$48"")),GG$1,0)"),"#REF!")</f>
        <v>#REF!</v>
      </c>
      <c r="GH45" s="35" t="str">
        <f>IFERROR(__xludf.DUMMYFUNCTION("VLOOKUP($A$1,IMPORTRANGE($A$2, CONCATENATE($A45,""!$B$5:$JB$48"")),GH$1,0)"),"#REF!")</f>
        <v>#REF!</v>
      </c>
      <c r="GI45" s="35" t="str">
        <f>IFERROR(__xludf.DUMMYFUNCTION("VLOOKUP($A$1,IMPORTRANGE($A$2, CONCATENATE($A45,""!$B$5:$JB$48"")),GI$1,0)"),"#REF!")</f>
        <v>#REF!</v>
      </c>
      <c r="GJ45" s="35" t="str">
        <f>IFERROR(__xludf.DUMMYFUNCTION("VLOOKUP($A$1,IMPORTRANGE($A$2, CONCATENATE($A45,""!$B$5:$JB$48"")),GJ$1,0)"),"#REF!")</f>
        <v>#REF!</v>
      </c>
      <c r="GK45" s="35" t="str">
        <f>IFERROR(__xludf.DUMMYFUNCTION("VLOOKUP($A$1,IMPORTRANGE($A$2, CONCATENATE($A45,""!$B$5:$JB$48"")),GK$1,0)"),"#REF!")</f>
        <v>#REF!</v>
      </c>
      <c r="GL45" s="35" t="str">
        <f>IFERROR(__xludf.DUMMYFUNCTION("VLOOKUP($A$1,IMPORTRANGE($A$2, CONCATENATE($A45,""!$B$5:$JB$48"")),GL$1,0)"),"#REF!")</f>
        <v>#REF!</v>
      </c>
      <c r="GM45" s="35" t="str">
        <f>IFERROR(__xludf.DUMMYFUNCTION("VLOOKUP($A$1,IMPORTRANGE($A$2, CONCATENATE($A45,""!$B$5:$JB$48"")),GM$1,0)"),"#REF!")</f>
        <v>#REF!</v>
      </c>
      <c r="GN45" s="35" t="str">
        <f>IFERROR(__xludf.DUMMYFUNCTION("VLOOKUP($A$1,IMPORTRANGE($A$2, CONCATENATE($A45,""!$B$5:$JB$48"")),GN$1,0)"),"#REF!")</f>
        <v>#REF!</v>
      </c>
      <c r="GO45" s="35" t="str">
        <f>IFERROR(__xludf.DUMMYFUNCTION("VLOOKUP($A$1,IMPORTRANGE($A$2, CONCATENATE($A45,""!$B$5:$JB$48"")),GO$1,0)"),"#REF!")</f>
        <v>#REF!</v>
      </c>
      <c r="GP45" s="35" t="str">
        <f>IFERROR(__xludf.DUMMYFUNCTION("VLOOKUP($A$1,IMPORTRANGE($A$2, CONCATENATE($A45,""!$B$5:$JB$48"")),GP$1,0)"),"#REF!")</f>
        <v>#REF!</v>
      </c>
      <c r="GQ45" s="35" t="str">
        <f>IFERROR(__xludf.DUMMYFUNCTION("VLOOKUP($A$1,IMPORTRANGE($A$2, CONCATENATE($A45,""!$B$5:$JB$48"")),GQ$1,0)"),"#REF!")</f>
        <v>#REF!</v>
      </c>
      <c r="GR45" s="35" t="str">
        <f>IFERROR(__xludf.DUMMYFUNCTION("VLOOKUP($A$1,IMPORTRANGE($A$2, CONCATENATE($A45,""!$B$5:$JB$48"")),GR$1,0)"),"#REF!")</f>
        <v>#REF!</v>
      </c>
      <c r="GS45" s="35" t="str">
        <f>IFERROR(__xludf.DUMMYFUNCTION("VLOOKUP($A$1,IMPORTRANGE($A$2, CONCATENATE($A45,""!$B$5:$JB$48"")),GS$1,0)"),"#REF!")</f>
        <v>#REF!</v>
      </c>
      <c r="GT45" s="35" t="str">
        <f>IFERROR(__xludf.DUMMYFUNCTION("VLOOKUP($A$1,IMPORTRANGE($A$2, CONCATENATE($A45,""!$B$5:$JB$48"")),GT$1,0)"),"#REF!")</f>
        <v>#REF!</v>
      </c>
      <c r="GU45" s="35" t="str">
        <f>IFERROR(__xludf.DUMMYFUNCTION("VLOOKUP($A$1,IMPORTRANGE($A$2, CONCATENATE($A45,""!$B$5:$JB$48"")),GU$1,0)"),"#REF!")</f>
        <v>#REF!</v>
      </c>
      <c r="GV45" s="35" t="str">
        <f>IFERROR(__xludf.DUMMYFUNCTION("VLOOKUP($A$1,IMPORTRANGE($A$2, CONCATENATE($A45,""!$B$5:$JB$48"")),GV$1,0)"),"#REF!")</f>
        <v>#REF!</v>
      </c>
      <c r="GW45" s="35" t="str">
        <f>IFERROR(__xludf.DUMMYFUNCTION("VLOOKUP($A$1,IMPORTRANGE($A$2, CONCATENATE($A45,""!$B$5:$JB$48"")),GW$1,0)"),"#REF!")</f>
        <v>#REF!</v>
      </c>
      <c r="GX45" s="35" t="str">
        <f>IFERROR(__xludf.DUMMYFUNCTION("VLOOKUP($A$1,IMPORTRANGE($A$2, CONCATENATE($A45,""!$B$5:$JB$48"")),GX$1,0)"),"#REF!")</f>
        <v>#REF!</v>
      </c>
      <c r="GY45" s="35" t="str">
        <f>IFERROR(__xludf.DUMMYFUNCTION("VLOOKUP($A$1,IMPORTRANGE($A$2, CONCATENATE($A45,""!$B$5:$JB$48"")),GY$1,0)"),"#REF!")</f>
        <v>#REF!</v>
      </c>
      <c r="GZ45" s="35" t="str">
        <f>IFERROR(__xludf.DUMMYFUNCTION("VLOOKUP($A$1,IMPORTRANGE($A$2, CONCATENATE($A45,""!$B$5:$JB$48"")),GZ$1,0)"),"#REF!")</f>
        <v>#REF!</v>
      </c>
      <c r="HA45" s="35" t="str">
        <f>IFERROR(__xludf.DUMMYFUNCTION("VLOOKUP($A$1,IMPORTRANGE($A$2, CONCATENATE($A45,""!$B$5:$JB$48"")),HA$1,0)"),"#REF!")</f>
        <v>#REF!</v>
      </c>
      <c r="HB45" s="35" t="str">
        <f>IFERROR(__xludf.DUMMYFUNCTION("VLOOKUP($A$1,IMPORTRANGE($A$2, CONCATENATE($A45,""!$B$5:$JB$48"")),HB$1,0)"),"#REF!")</f>
        <v>#REF!</v>
      </c>
      <c r="HC45" s="35" t="str">
        <f>IFERROR(__xludf.DUMMYFUNCTION("VLOOKUP($A$1,IMPORTRANGE($A$2, CONCATENATE($A45,""!$B$5:$JB$48"")),HC$1,0)"),"#REF!")</f>
        <v>#REF!</v>
      </c>
      <c r="HD45" s="35" t="str">
        <f>IFERROR(__xludf.DUMMYFUNCTION("VLOOKUP($A$1,IMPORTRANGE($A$2, CONCATENATE($A45,""!$B$5:$JB$48"")),HD$1,0)"),"#REF!")</f>
        <v>#REF!</v>
      </c>
      <c r="HE45" s="35" t="str">
        <f>IFERROR(__xludf.DUMMYFUNCTION("VLOOKUP($A$1,IMPORTRANGE($A$2, CONCATENATE($A45,""!$B$5:$JB$48"")),HE$1,0)"),"#REF!")</f>
        <v>#REF!</v>
      </c>
      <c r="HF45" s="35" t="str">
        <f>IFERROR(__xludf.DUMMYFUNCTION("VLOOKUP($A$1,IMPORTRANGE($A$2, CONCATENATE($A45,""!$B$5:$JB$48"")),HF$1,0)"),"#REF!")</f>
        <v>#REF!</v>
      </c>
      <c r="HG45" s="35" t="str">
        <f>IFERROR(__xludf.DUMMYFUNCTION("VLOOKUP($A$1,IMPORTRANGE($A$2, CONCATENATE($A45,""!$B$5:$JB$48"")),HG$1,0)"),"#REF!")</f>
        <v>#REF!</v>
      </c>
      <c r="HH45" s="35" t="str">
        <f>IFERROR(__xludf.DUMMYFUNCTION("VLOOKUP($A$1,IMPORTRANGE($A$2, CONCATENATE($A45,""!$B$5:$JB$48"")),HH$1,0)"),"#REF!")</f>
        <v>#REF!</v>
      </c>
      <c r="HI45" s="35" t="str">
        <f>IFERROR(__xludf.DUMMYFUNCTION("VLOOKUP($A$1,IMPORTRANGE($A$2, CONCATENATE($A45,""!$B$5:$JB$48"")),HI$1,0)"),"#REF!")</f>
        <v>#REF!</v>
      </c>
      <c r="HJ45" s="35" t="str">
        <f>IFERROR(__xludf.DUMMYFUNCTION("VLOOKUP($A$1,IMPORTRANGE($A$2, CONCATENATE($A45,""!$B$5:$JB$48"")),HJ$1,0)"),"#REF!")</f>
        <v>#REF!</v>
      </c>
      <c r="HK45" s="35" t="str">
        <f>IFERROR(__xludf.DUMMYFUNCTION("VLOOKUP($A$1,IMPORTRANGE($A$2, CONCATENATE($A45,""!$B$5:$JB$48"")),HK$1,0)"),"#REF!")</f>
        <v>#REF!</v>
      </c>
      <c r="HL45" s="35" t="str">
        <f>IFERROR(__xludf.DUMMYFUNCTION("VLOOKUP($A$1,IMPORTRANGE($A$2, CONCATENATE($A45,""!$B$5:$JB$48"")),HL$1,0)"),"#REF!")</f>
        <v>#REF!</v>
      </c>
      <c r="HM45" s="35" t="str">
        <f>IFERROR(__xludf.DUMMYFUNCTION("VLOOKUP($A$1,IMPORTRANGE($A$2, CONCATENATE($A45,""!$B$5:$JB$48"")),HM$1,0)"),"#REF!")</f>
        <v>#REF!</v>
      </c>
      <c r="HN45" s="35" t="str">
        <f>IFERROR(__xludf.DUMMYFUNCTION("VLOOKUP($A$1,IMPORTRANGE($A$2, CONCATENATE($A45,""!$B$5:$JB$48"")),HN$1,0)"),"#REF!")</f>
        <v>#REF!</v>
      </c>
      <c r="HO45" s="35" t="str">
        <f>IFERROR(__xludf.DUMMYFUNCTION("VLOOKUP($A$1,IMPORTRANGE($A$2, CONCATENATE($A45,""!$B$5:$JB$48"")),HO$1,0)"),"#REF!")</f>
        <v>#REF!</v>
      </c>
      <c r="HP45" s="35" t="str">
        <f>IFERROR(__xludf.DUMMYFUNCTION("VLOOKUP($A$1,IMPORTRANGE($A$2, CONCATENATE($A45,""!$B$5:$JB$48"")),HP$1,0)"),"#REF!")</f>
        <v>#REF!</v>
      </c>
      <c r="HQ45" s="35" t="str">
        <f>IFERROR(__xludf.DUMMYFUNCTION("VLOOKUP($A$1,IMPORTRANGE($A$2, CONCATENATE($A45,""!$B$5:$JB$48"")),HQ$1,0)"),"#REF!")</f>
        <v>#REF!</v>
      </c>
      <c r="HR45" s="35" t="str">
        <f>IFERROR(__xludf.DUMMYFUNCTION("VLOOKUP($A$1,IMPORTRANGE($A$2, CONCATENATE($A45,""!$B$5:$JB$48"")),HR$1,0)"),"#REF!")</f>
        <v>#REF!</v>
      </c>
      <c r="HS45" s="35" t="str">
        <f>IFERROR(__xludf.DUMMYFUNCTION("VLOOKUP($A$1,IMPORTRANGE($A$2, CONCATENATE($A45,""!$B$5:$JB$48"")),HS$1,0)"),"#REF!")</f>
        <v>#REF!</v>
      </c>
      <c r="HT45" s="35" t="str">
        <f>IFERROR(__xludf.DUMMYFUNCTION("VLOOKUP($A$1,IMPORTRANGE($A$2, CONCATENATE($A45,""!$B$5:$JB$48"")),HT$1,0)"),"#REF!")</f>
        <v>#REF!</v>
      </c>
      <c r="HU45" s="35" t="str">
        <f>IFERROR(__xludf.DUMMYFUNCTION("VLOOKUP($A$1,IMPORTRANGE($A$2, CONCATENATE($A45,""!$B$5:$JB$48"")),HU$1,0)"),"#REF!")</f>
        <v>#REF!</v>
      </c>
      <c r="HV45" s="35" t="str">
        <f>IFERROR(__xludf.DUMMYFUNCTION("VLOOKUP($A$1,IMPORTRANGE($A$2, CONCATENATE($A45,""!$B$5:$JB$48"")),HV$1,0)"),"#REF!")</f>
        <v>#REF!</v>
      </c>
      <c r="HW45" s="35" t="str">
        <f>IFERROR(__xludf.DUMMYFUNCTION("VLOOKUP($A$1,IMPORTRANGE($A$2, CONCATENATE($A45,""!$B$5:$JB$48"")),HW$1,0)"),"#REF!")</f>
        <v>#REF!</v>
      </c>
      <c r="HX45" s="35" t="str">
        <f>IFERROR(__xludf.DUMMYFUNCTION("VLOOKUP($A$1,IMPORTRANGE($A$2, CONCATENATE($A45,""!$B$5:$JB$48"")),HX$1,0)"),"#REF!")</f>
        <v>#REF!</v>
      </c>
      <c r="HY45" s="35" t="str">
        <f>IFERROR(__xludf.DUMMYFUNCTION("VLOOKUP($A$1,IMPORTRANGE($A$2, CONCATENATE($A45,""!$B$5:$JB$48"")),HY$1,0)"),"#REF!")</f>
        <v>#REF!</v>
      </c>
      <c r="HZ45" s="35" t="str">
        <f>IFERROR(__xludf.DUMMYFUNCTION("VLOOKUP($A$1,IMPORTRANGE($A$2, CONCATENATE($A45,""!$B$5:$JB$48"")),HZ$1,0)"),"#REF!")</f>
        <v>#REF!</v>
      </c>
      <c r="IA45" s="35" t="str">
        <f>IFERROR(__xludf.DUMMYFUNCTION("VLOOKUP($A$1,IMPORTRANGE($A$2, CONCATENATE($A45,""!$B$5:$JB$48"")),IA$1,0)"),"#REF!")</f>
        <v>#REF!</v>
      </c>
      <c r="IB45" s="35" t="str">
        <f>IFERROR(__xludf.DUMMYFUNCTION("VLOOKUP($A$1,IMPORTRANGE($A$2, CONCATENATE($A45,""!$B$5:$JB$48"")),IB$1,0)"),"#REF!")</f>
        <v>#REF!</v>
      </c>
      <c r="IC45" s="35" t="str">
        <f>IFERROR(__xludf.DUMMYFUNCTION("VLOOKUP($A$1,IMPORTRANGE($A$2, CONCATENATE($A45,""!$B$5:$JB$48"")),IC$1,0)"),"#REF!")</f>
        <v>#REF!</v>
      </c>
      <c r="ID45" s="35" t="str">
        <f>IFERROR(__xludf.DUMMYFUNCTION("VLOOKUP($A$1,IMPORTRANGE($A$2, CONCATENATE($A45,""!$B$5:$JB$48"")),ID$1,0)"),"#REF!")</f>
        <v>#REF!</v>
      </c>
      <c r="IE45" s="35" t="str">
        <f>IFERROR(__xludf.DUMMYFUNCTION("VLOOKUP($A$1,IMPORTRANGE($A$2, CONCATENATE($A45,""!$B$5:$JB$48"")),IE$1,0)"),"#REF!")</f>
        <v>#REF!</v>
      </c>
      <c r="IF45" s="35" t="str">
        <f>IFERROR(__xludf.DUMMYFUNCTION("VLOOKUP($A$1,IMPORTRANGE($A$2, CONCATENATE($A45,""!$B$5:$JB$48"")),IF$1,0)"),"#REF!")</f>
        <v>#REF!</v>
      </c>
      <c r="IG45" s="35" t="str">
        <f>IFERROR(__xludf.DUMMYFUNCTION("VLOOKUP($A$1,IMPORTRANGE($A$2, CONCATENATE($A45,""!$B$5:$JB$48"")),IG$1,0)"),"#REF!")</f>
        <v>#REF!</v>
      </c>
      <c r="IH45" s="35" t="str">
        <f>IFERROR(__xludf.DUMMYFUNCTION("VLOOKUP($A$1,IMPORTRANGE($A$2, CONCATENATE($A45,""!$B$5:$JB$48"")),IH$1,0)"),"#REF!")</f>
        <v>#REF!</v>
      </c>
      <c r="II45" s="35" t="str">
        <f>IFERROR(__xludf.DUMMYFUNCTION("VLOOKUP($A$1,IMPORTRANGE($A$2, CONCATENATE($A45,""!$B$5:$JB$48"")),II$1,0)"),"#REF!")</f>
        <v>#REF!</v>
      </c>
      <c r="IJ45" s="35" t="str">
        <f>IFERROR(__xludf.DUMMYFUNCTION("VLOOKUP($A$1,IMPORTRANGE($A$2, CONCATENATE($A45,""!$B$5:$JB$48"")),IJ$1,0)"),"#REF!")</f>
        <v>#REF!</v>
      </c>
      <c r="IK45" s="35" t="str">
        <f>IFERROR(__xludf.DUMMYFUNCTION("VLOOKUP($A$1,IMPORTRANGE($A$2, CONCATENATE($A45,""!$B$5:$JB$48"")),IK$1,0)"),"#REF!")</f>
        <v>#REF!</v>
      </c>
      <c r="IL45" s="35" t="str">
        <f>IFERROR(__xludf.DUMMYFUNCTION("VLOOKUP($A$1,IMPORTRANGE($A$2, CONCATENATE($A45,""!$B$5:$JB$48"")),IL$1,0)"),"#REF!")</f>
        <v>#REF!</v>
      </c>
      <c r="IM45" s="35" t="str">
        <f>IFERROR(__xludf.DUMMYFUNCTION("VLOOKUP($A$1,IMPORTRANGE($A$2, CONCATENATE($A45,""!$B$5:$JB$48"")),IM$1,0)"),"#REF!")</f>
        <v>#REF!</v>
      </c>
      <c r="IN45" s="35" t="str">
        <f>IFERROR(__xludf.DUMMYFUNCTION("VLOOKUP($A$1,IMPORTRANGE($A$2, CONCATENATE($A45,""!$B$5:$JB$48"")),IN$1,0)"),"#REF!")</f>
        <v>#REF!</v>
      </c>
      <c r="IO45" s="35" t="str">
        <f>IFERROR(__xludf.DUMMYFUNCTION("VLOOKUP($A$1,IMPORTRANGE($A$2, CONCATENATE($A45,""!$B$5:$JB$48"")),IO$1,0)"),"#REF!")</f>
        <v>#REF!</v>
      </c>
      <c r="IP45" s="35" t="str">
        <f>IFERROR(__xludf.DUMMYFUNCTION("VLOOKUP($A$1,IMPORTRANGE($A$2, CONCATENATE($A45,""!$B$5:$JB$48"")),IP$1,0)"),"#REF!")</f>
        <v>#REF!</v>
      </c>
      <c r="IQ45" s="35" t="str">
        <f>IFERROR(__xludf.DUMMYFUNCTION("VLOOKUP($A$1,IMPORTRANGE($A$2, CONCATENATE($A45,""!$B$5:$JB$48"")),IQ$1,0)"),"#REF!")</f>
        <v>#REF!</v>
      </c>
      <c r="IR45" s="35" t="str">
        <f>IFERROR(__xludf.DUMMYFUNCTION("VLOOKUP($A$1,IMPORTRANGE($A$2, CONCATENATE($A45,""!$B$5:$JB$48"")),IR$1,0)"),"#REF!")</f>
        <v>#REF!</v>
      </c>
      <c r="IS45" s="35" t="str">
        <f>IFERROR(__xludf.DUMMYFUNCTION("VLOOKUP($A$1,IMPORTRANGE($A$2, CONCATENATE($A45,""!$B$5:$JB$48"")),IS$1,0)"),"#REF!")</f>
        <v>#REF!</v>
      </c>
      <c r="IT45" s="35" t="str">
        <f>IFERROR(__xludf.DUMMYFUNCTION("VLOOKUP($A$1,IMPORTRANGE($A$2, CONCATENATE($A45,""!$B$5:$JB$48"")),IT$1,0)"),"#REF!")</f>
        <v>#REF!</v>
      </c>
      <c r="IU45" s="35" t="str">
        <f>IFERROR(__xludf.DUMMYFUNCTION("VLOOKUP($A$1,IMPORTRANGE($A$2, CONCATENATE($A45,""!$B$5:$JB$48"")),IU$1,0)"),"#REF!")</f>
        <v>#REF!</v>
      </c>
      <c r="IV45" s="35" t="str">
        <f>IFERROR(__xludf.DUMMYFUNCTION("VLOOKUP($A$1,IMPORTRANGE($A$2, CONCATENATE($A45,""!$B$5:$JB$48"")),IV$1,0)"),"#REF!")</f>
        <v>#REF!</v>
      </c>
      <c r="IW45" s="35" t="str">
        <f>IFERROR(__xludf.DUMMYFUNCTION("VLOOKUP($A$1,IMPORTRANGE($A$2, CONCATENATE($A45,""!$B$5:$JB$48"")),IW$1,0)"),"#REF!")</f>
        <v>#REF!</v>
      </c>
      <c r="IX45" s="35" t="str">
        <f>IFERROR(__xludf.DUMMYFUNCTION("VLOOKUP($A$1,IMPORTRANGE($A$2, CONCATENATE($A45,""!$B$5:$JB$48"")),IX$1,0)"),"#REF!")</f>
        <v>#REF!</v>
      </c>
      <c r="IY45" s="35" t="str">
        <f>IFERROR(__xludf.DUMMYFUNCTION("VLOOKUP($A$1,IMPORTRANGE($A$2, CONCATENATE($A45,""!$B$5:$JB$48"")),IY$1,0)"),"#REF!")</f>
        <v>#REF!</v>
      </c>
      <c r="IZ45" s="35" t="str">
        <f>IFERROR(__xludf.DUMMYFUNCTION("VLOOKUP($A$1,IMPORTRANGE($A$2, CONCATENATE($A45,""!$B$5:$JB$48"")),IZ$1,0)"),"#REF!")</f>
        <v>#REF!</v>
      </c>
      <c r="JA45" s="35" t="str">
        <f>IFERROR(__xludf.DUMMYFUNCTION("VLOOKUP($A$1,IMPORTRANGE($A$2, CONCATENATE($A45,""!$B$5:$JB$48"")),JA$1,0)"),"#REF!")</f>
        <v>#REF!</v>
      </c>
      <c r="JB45" s="35"/>
      <c r="JC45" s="35"/>
      <c r="JD45" s="35"/>
      <c r="JE45" s="35"/>
    </row>
    <row r="46">
      <c r="A46" s="41"/>
      <c r="B46" s="29"/>
      <c r="C46" s="37"/>
      <c r="D46" s="38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37"/>
      <c r="HU46" s="37"/>
      <c r="HV46" s="37"/>
      <c r="HW46" s="37"/>
      <c r="HX46" s="37"/>
      <c r="HY46" s="37"/>
      <c r="HZ46" s="37"/>
      <c r="IA46" s="37"/>
      <c r="IB46" s="37"/>
      <c r="IC46" s="37"/>
      <c r="ID46" s="37"/>
      <c r="IE46" s="37"/>
      <c r="IF46" s="37"/>
      <c r="IG46" s="37"/>
      <c r="IH46" s="37"/>
      <c r="II46" s="37"/>
      <c r="IJ46" s="37"/>
      <c r="IK46" s="37"/>
      <c r="IL46" s="37"/>
      <c r="IM46" s="37"/>
      <c r="IN46" s="37"/>
      <c r="IO46" s="37"/>
      <c r="IP46" s="37"/>
      <c r="IQ46" s="37"/>
      <c r="IR46" s="37"/>
      <c r="IS46" s="37"/>
      <c r="IT46" s="37"/>
      <c r="IU46" s="37"/>
      <c r="IV46" s="37"/>
      <c r="IW46" s="37"/>
      <c r="IX46" s="37"/>
      <c r="IY46" s="37"/>
      <c r="IZ46" s="37"/>
      <c r="JA46" s="37"/>
      <c r="JB46" s="37"/>
      <c r="JC46" s="37"/>
      <c r="JD46" s="37"/>
      <c r="JE46" s="37"/>
    </row>
    <row r="47">
      <c r="A47" s="39"/>
      <c r="B47" s="32" t="str">
        <f>IFERROR(__xludf.DUMMYFUNCTION("IMPORTRANGE($A$2, CONCATENATE($A48,""!C4:JB4""))"),"Физика")</f>
        <v>Физика</v>
      </c>
      <c r="C47" s="32"/>
      <c r="D47" s="32" t="str">
        <f>IFERROR(__xludf.DUMMYFUNCTION("""COMPUTED_VALUE"""),"История Узб")</f>
        <v>История Узб</v>
      </c>
      <c r="E47" s="32"/>
      <c r="F47" s="32" t="str">
        <f>IFERROR(__xludf.DUMMYFUNCTION("""COMPUTED_VALUE"""),"Информатика")</f>
        <v>Информатика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  <c r="HT47" s="32"/>
      <c r="HU47" s="32"/>
      <c r="HV47" s="32"/>
      <c r="HW47" s="32"/>
      <c r="HX47" s="32"/>
      <c r="HY47" s="32"/>
      <c r="HZ47" s="32"/>
      <c r="IA47" s="32"/>
      <c r="IB47" s="32"/>
      <c r="IC47" s="32"/>
      <c r="ID47" s="32"/>
      <c r="IE47" s="32"/>
      <c r="IF47" s="32"/>
      <c r="IG47" s="32"/>
      <c r="IH47" s="32"/>
      <c r="II47" s="32"/>
      <c r="IJ47" s="32"/>
      <c r="IK47" s="32"/>
      <c r="IL47" s="32"/>
      <c r="IM47" s="32"/>
      <c r="IN47" s="32"/>
      <c r="IO47" s="32"/>
      <c r="IP47" s="32"/>
      <c r="IQ47" s="32"/>
      <c r="IR47" s="32"/>
      <c r="IS47" s="32"/>
      <c r="IT47" s="32"/>
      <c r="IU47" s="32"/>
      <c r="IV47" s="32"/>
      <c r="IW47" s="32"/>
      <c r="IX47" s="32"/>
      <c r="IY47" s="32"/>
      <c r="IZ47" s="32"/>
      <c r="JA47" s="32"/>
      <c r="JB47" s="32"/>
      <c r="JC47" s="32"/>
      <c r="JD47" s="32"/>
      <c r="JE47" s="32"/>
    </row>
    <row r="48">
      <c r="A48" s="42"/>
      <c r="B48" s="35" t="str">
        <f>IFERROR(__xludf.DUMMYFUNCTION("VLOOKUP($A$1,IMPORTRANGE($A$2, CONCATENATE($A48,""!$B$5:$JB$48"")),B$1,0)"),"#N/A")</f>
        <v>#N/A</v>
      </c>
      <c r="C48" s="35" t="str">
        <f>IFERROR(__xludf.DUMMYFUNCTION("VLOOKUP($A$1,IMPORTRANGE($A$2, CONCATENATE($A48,""!$B$5:$JB$48"")),C$1,0)"),"#N/A")</f>
        <v>#N/A</v>
      </c>
      <c r="D48" s="35" t="str">
        <f>IFERROR(__xludf.DUMMYFUNCTION("VLOOKUP($A$1,IMPORTRANGE($A$2, CONCATENATE($A48,""!$B$5:$JB$48"")),D$1,0)"),"#N/A")</f>
        <v>#N/A</v>
      </c>
      <c r="E48" s="35" t="str">
        <f>IFERROR(__xludf.DUMMYFUNCTION("VLOOKUP($A$1,IMPORTRANGE($A$2, CONCATENATE($A48,""!$B$5:$JB$48"")),E$1,0)"),"#N/A")</f>
        <v>#N/A</v>
      </c>
      <c r="F48" s="35" t="str">
        <f>IFERROR(__xludf.DUMMYFUNCTION("VLOOKUP($A$1,IMPORTRANGE($A$2, CONCATENATE($A48,""!$B$5:$JB$48"")),F$1,0)"),"#N/A")</f>
        <v>#N/A</v>
      </c>
      <c r="G48" s="35" t="str">
        <f>IFERROR(__xludf.DUMMYFUNCTION("VLOOKUP($A$1,IMPORTRANGE($A$2, CONCATENATE($A48,""!$B$5:$JB$48"")),G$1,0)"),"#REF!")</f>
        <v>#REF!</v>
      </c>
      <c r="H48" s="35" t="str">
        <f>IFERROR(__xludf.DUMMYFUNCTION("VLOOKUP($A$1,IMPORTRANGE($A$2, CONCATENATE($A48,""!$B$5:$JB$48"")),H$1,0)"),"#REF!")</f>
        <v>#REF!</v>
      </c>
      <c r="I48" s="35" t="str">
        <f>IFERROR(__xludf.DUMMYFUNCTION("VLOOKUP($A$1,IMPORTRANGE($A$2, CONCATENATE($A48,""!$B$5:$JB$48"")),I$1,0)"),"#REF!")</f>
        <v>#REF!</v>
      </c>
      <c r="J48" s="35" t="str">
        <f>IFERROR(__xludf.DUMMYFUNCTION("VLOOKUP($A$1,IMPORTRANGE($A$2, CONCATENATE($A48,""!$B$5:$JB$48"")),J$1,0)"),"#REF!")</f>
        <v>#REF!</v>
      </c>
      <c r="K48" s="35" t="str">
        <f>IFERROR(__xludf.DUMMYFUNCTION("VLOOKUP($A$1,IMPORTRANGE($A$2, CONCATENATE($A48,""!$B$5:$JB$48"")),K$1,0)"),"#REF!")</f>
        <v>#REF!</v>
      </c>
      <c r="L48" s="35" t="str">
        <f>IFERROR(__xludf.DUMMYFUNCTION("VLOOKUP($A$1,IMPORTRANGE($A$2, CONCATENATE($A48,""!$B$5:$JB$48"")),L$1,0)"),"#REF!")</f>
        <v>#REF!</v>
      </c>
      <c r="M48" s="35" t="str">
        <f>IFERROR(__xludf.DUMMYFUNCTION("VLOOKUP($A$1,IMPORTRANGE($A$2, CONCATENATE($A48,""!$B$5:$JB$48"")),M$1,0)"),"#REF!")</f>
        <v>#REF!</v>
      </c>
      <c r="N48" s="35" t="str">
        <f>IFERROR(__xludf.DUMMYFUNCTION("VLOOKUP($A$1,IMPORTRANGE($A$2, CONCATENATE($A48,""!$B$5:$JB$48"")),N$1,0)"),"#REF!")</f>
        <v>#REF!</v>
      </c>
      <c r="O48" s="35" t="str">
        <f>IFERROR(__xludf.DUMMYFUNCTION("VLOOKUP($A$1,IMPORTRANGE($A$2, CONCATENATE($A48,""!$B$5:$JB$48"")),O$1,0)"),"#REF!")</f>
        <v>#REF!</v>
      </c>
      <c r="P48" s="35" t="str">
        <f>IFERROR(__xludf.DUMMYFUNCTION("VLOOKUP($A$1,IMPORTRANGE($A$2, CONCATENATE($A48,""!$B$5:$JB$48"")),P$1,0)"),"#REF!")</f>
        <v>#REF!</v>
      </c>
      <c r="Q48" s="35" t="str">
        <f>IFERROR(__xludf.DUMMYFUNCTION("VLOOKUP($A$1,IMPORTRANGE($A$2, CONCATENATE($A48,""!$B$5:$JB$48"")),Q$1,0)"),"#REF!")</f>
        <v>#REF!</v>
      </c>
      <c r="R48" s="35" t="str">
        <f>IFERROR(__xludf.DUMMYFUNCTION("VLOOKUP($A$1,IMPORTRANGE($A$2, CONCATENATE($A48,""!$B$5:$JB$48"")),R$1,0)"),"#REF!")</f>
        <v>#REF!</v>
      </c>
      <c r="S48" s="35" t="str">
        <f>IFERROR(__xludf.DUMMYFUNCTION("VLOOKUP($A$1,IMPORTRANGE($A$2, CONCATENATE($A48,""!$B$5:$JB$48"")),S$1,0)"),"#REF!")</f>
        <v>#REF!</v>
      </c>
      <c r="T48" s="35" t="str">
        <f>IFERROR(__xludf.DUMMYFUNCTION("VLOOKUP($A$1,IMPORTRANGE($A$2, CONCATENATE($A48,""!$B$5:$JB$48"")),T$1,0)"),"#REF!")</f>
        <v>#REF!</v>
      </c>
      <c r="U48" s="35" t="str">
        <f>IFERROR(__xludf.DUMMYFUNCTION("VLOOKUP($A$1,IMPORTRANGE($A$2, CONCATENATE($A48,""!$B$5:$JB$48"")),U$1,0)"),"#REF!")</f>
        <v>#REF!</v>
      </c>
      <c r="V48" s="35" t="str">
        <f>IFERROR(__xludf.DUMMYFUNCTION("VLOOKUP($A$1,IMPORTRANGE($A$2, CONCATENATE($A48,""!$B$5:$JB$48"")),V$1,0)"),"#REF!")</f>
        <v>#REF!</v>
      </c>
      <c r="W48" s="35" t="str">
        <f>IFERROR(__xludf.DUMMYFUNCTION("VLOOKUP($A$1,IMPORTRANGE($A$2, CONCATENATE($A48,""!$B$5:$JB$48"")),W$1,0)"),"#REF!")</f>
        <v>#REF!</v>
      </c>
      <c r="X48" s="35" t="str">
        <f>IFERROR(__xludf.DUMMYFUNCTION("VLOOKUP($A$1,IMPORTRANGE($A$2, CONCATENATE($A48,""!$B$5:$JB$48"")),X$1,0)"),"#REF!")</f>
        <v>#REF!</v>
      </c>
      <c r="Y48" s="35" t="str">
        <f>IFERROR(__xludf.DUMMYFUNCTION("VLOOKUP($A$1,IMPORTRANGE($A$2, CONCATENATE($A48,""!$B$5:$JB$48"")),Y$1,0)"),"#REF!")</f>
        <v>#REF!</v>
      </c>
      <c r="Z48" s="35" t="str">
        <f>IFERROR(__xludf.DUMMYFUNCTION("VLOOKUP($A$1,IMPORTRANGE($A$2, CONCATENATE($A48,""!$B$5:$JB$48"")),Z$1,0)"),"#REF!")</f>
        <v>#REF!</v>
      </c>
      <c r="AA48" s="35" t="str">
        <f>IFERROR(__xludf.DUMMYFUNCTION("VLOOKUP($A$1,IMPORTRANGE($A$2, CONCATENATE($A48,""!$B$5:$JB$48"")),AA$1,0)"),"#REF!")</f>
        <v>#REF!</v>
      </c>
      <c r="AB48" s="35" t="str">
        <f>IFERROR(__xludf.DUMMYFUNCTION("VLOOKUP($A$1,IMPORTRANGE($A$2, CONCATENATE($A48,""!$B$5:$JB$48"")),AB$1,0)"),"#REF!")</f>
        <v>#REF!</v>
      </c>
      <c r="AC48" s="35" t="str">
        <f>IFERROR(__xludf.DUMMYFUNCTION("VLOOKUP($A$1,IMPORTRANGE($A$2, CONCATENATE($A48,""!$B$5:$JB$48"")),AC$1,0)"),"#REF!")</f>
        <v>#REF!</v>
      </c>
      <c r="AD48" s="35" t="str">
        <f>IFERROR(__xludf.DUMMYFUNCTION("VLOOKUP($A$1,IMPORTRANGE($A$2, CONCATENATE($A48,""!$B$5:$JB$48"")),AD$1,0)"),"#REF!")</f>
        <v>#REF!</v>
      </c>
      <c r="AE48" s="35" t="str">
        <f>IFERROR(__xludf.DUMMYFUNCTION("VLOOKUP($A$1,IMPORTRANGE($A$2, CONCATENATE($A48,""!$B$5:$JB$48"")),AE$1,0)"),"#REF!")</f>
        <v>#REF!</v>
      </c>
      <c r="AF48" s="35" t="str">
        <f>IFERROR(__xludf.DUMMYFUNCTION("VLOOKUP($A$1,IMPORTRANGE($A$2, CONCATENATE($A48,""!$B$5:$JB$48"")),AF$1,0)"),"#REF!")</f>
        <v>#REF!</v>
      </c>
      <c r="AG48" s="35" t="str">
        <f>IFERROR(__xludf.DUMMYFUNCTION("VLOOKUP($A$1,IMPORTRANGE($A$2, CONCATENATE($A48,""!$B$5:$JB$48"")),AG$1,0)"),"#REF!")</f>
        <v>#REF!</v>
      </c>
      <c r="AH48" s="35" t="str">
        <f>IFERROR(__xludf.DUMMYFUNCTION("VLOOKUP($A$1,IMPORTRANGE($A$2, CONCATENATE($A48,""!$B$5:$JB$48"")),AH$1,0)"),"#REF!")</f>
        <v>#REF!</v>
      </c>
      <c r="AI48" s="35" t="str">
        <f>IFERROR(__xludf.DUMMYFUNCTION("VLOOKUP($A$1,IMPORTRANGE($A$2, CONCATENATE($A48,""!$B$5:$JB$48"")),AI$1,0)"),"#REF!")</f>
        <v>#REF!</v>
      </c>
      <c r="AJ48" s="35" t="str">
        <f>IFERROR(__xludf.DUMMYFUNCTION("VLOOKUP($A$1,IMPORTRANGE($A$2, CONCATENATE($A48,""!$B$5:$JB$48"")),AJ$1,0)"),"#REF!")</f>
        <v>#REF!</v>
      </c>
      <c r="AK48" s="35" t="str">
        <f>IFERROR(__xludf.DUMMYFUNCTION("VLOOKUP($A$1,IMPORTRANGE($A$2, CONCATENATE($A48,""!$B$5:$JB$48"")),AK$1,0)"),"#REF!")</f>
        <v>#REF!</v>
      </c>
      <c r="AL48" s="35" t="str">
        <f>IFERROR(__xludf.DUMMYFUNCTION("VLOOKUP($A$1,IMPORTRANGE($A$2, CONCATENATE($A48,""!$B$5:$JB$48"")),AL$1,0)"),"#REF!")</f>
        <v>#REF!</v>
      </c>
      <c r="AM48" s="35" t="str">
        <f>IFERROR(__xludf.DUMMYFUNCTION("VLOOKUP($A$1,IMPORTRANGE($A$2, CONCATENATE($A48,""!$B$5:$JB$48"")),AM$1,0)"),"#REF!")</f>
        <v>#REF!</v>
      </c>
      <c r="AN48" s="35" t="str">
        <f>IFERROR(__xludf.DUMMYFUNCTION("VLOOKUP($A$1,IMPORTRANGE($A$2, CONCATENATE($A48,""!$B$5:$JB$48"")),AN$1,0)"),"#REF!")</f>
        <v>#REF!</v>
      </c>
      <c r="AO48" s="35" t="str">
        <f>IFERROR(__xludf.DUMMYFUNCTION("VLOOKUP($A$1,IMPORTRANGE($A$2, CONCATENATE($A48,""!$B$5:$JB$48"")),AO$1,0)"),"#REF!")</f>
        <v>#REF!</v>
      </c>
      <c r="AP48" s="35" t="str">
        <f>IFERROR(__xludf.DUMMYFUNCTION("VLOOKUP($A$1,IMPORTRANGE($A$2, CONCATENATE($A48,""!$B$5:$JB$48"")),AP$1,0)"),"#REF!")</f>
        <v>#REF!</v>
      </c>
      <c r="AQ48" s="35" t="str">
        <f>IFERROR(__xludf.DUMMYFUNCTION("VLOOKUP($A$1,IMPORTRANGE($A$2, CONCATENATE($A48,""!$B$5:$JB$48"")),AQ$1,0)"),"#REF!")</f>
        <v>#REF!</v>
      </c>
      <c r="AR48" s="35" t="str">
        <f>IFERROR(__xludf.DUMMYFUNCTION("VLOOKUP($A$1,IMPORTRANGE($A$2, CONCATENATE($A48,""!$B$5:$JB$48"")),AR$1,0)"),"#REF!")</f>
        <v>#REF!</v>
      </c>
      <c r="AS48" s="35" t="str">
        <f>IFERROR(__xludf.DUMMYFUNCTION("VLOOKUP($A$1,IMPORTRANGE($A$2, CONCATENATE($A48,""!$B$5:$JB$48"")),AS$1,0)"),"#REF!")</f>
        <v>#REF!</v>
      </c>
      <c r="AT48" s="35" t="str">
        <f>IFERROR(__xludf.DUMMYFUNCTION("VLOOKUP($A$1,IMPORTRANGE($A$2, CONCATENATE($A48,""!$B$5:$JB$48"")),AT$1,0)"),"#REF!")</f>
        <v>#REF!</v>
      </c>
      <c r="AU48" s="35" t="str">
        <f>IFERROR(__xludf.DUMMYFUNCTION("VLOOKUP($A$1,IMPORTRANGE($A$2, CONCATENATE($A48,""!$B$5:$JB$48"")),AU$1,0)"),"#REF!")</f>
        <v>#REF!</v>
      </c>
      <c r="AV48" s="35" t="str">
        <f>IFERROR(__xludf.DUMMYFUNCTION("VLOOKUP($A$1,IMPORTRANGE($A$2, CONCATENATE($A48,""!$B$5:$JB$48"")),AV$1,0)"),"#REF!")</f>
        <v>#REF!</v>
      </c>
      <c r="AW48" s="35" t="str">
        <f>IFERROR(__xludf.DUMMYFUNCTION("VLOOKUP($A$1,IMPORTRANGE($A$2, CONCATENATE($A48,""!$B$5:$JB$48"")),AW$1,0)"),"#REF!")</f>
        <v>#REF!</v>
      </c>
      <c r="AX48" s="35" t="str">
        <f>IFERROR(__xludf.DUMMYFUNCTION("VLOOKUP($A$1,IMPORTRANGE($A$2, CONCATENATE($A48,""!$B$5:$JB$48"")),AX$1,0)"),"#REF!")</f>
        <v>#REF!</v>
      </c>
      <c r="AY48" s="35" t="str">
        <f>IFERROR(__xludf.DUMMYFUNCTION("VLOOKUP($A$1,IMPORTRANGE($A$2, CONCATENATE($A48,""!$B$5:$JB$48"")),AY$1,0)"),"#REF!")</f>
        <v>#REF!</v>
      </c>
      <c r="AZ48" s="35" t="str">
        <f>IFERROR(__xludf.DUMMYFUNCTION("VLOOKUP($A$1,IMPORTRANGE($A$2, CONCATENATE($A48,""!$B$5:$JB$48"")),AZ$1,0)"),"#REF!")</f>
        <v>#REF!</v>
      </c>
      <c r="BA48" s="35" t="str">
        <f>IFERROR(__xludf.DUMMYFUNCTION("VLOOKUP($A$1,IMPORTRANGE($A$2, CONCATENATE($A48,""!$B$5:$JB$48"")),BA$1,0)"),"#REF!")</f>
        <v>#REF!</v>
      </c>
      <c r="BB48" s="35" t="str">
        <f>IFERROR(__xludf.DUMMYFUNCTION("VLOOKUP($A$1,IMPORTRANGE($A$2, CONCATENATE($A48,""!$B$5:$JB$48"")),BB$1,0)"),"#REF!")</f>
        <v>#REF!</v>
      </c>
      <c r="BC48" s="35" t="str">
        <f>IFERROR(__xludf.DUMMYFUNCTION("VLOOKUP($A$1,IMPORTRANGE($A$2, CONCATENATE($A48,""!$B$5:$JB$48"")),BC$1,0)"),"#REF!")</f>
        <v>#REF!</v>
      </c>
      <c r="BD48" s="35" t="str">
        <f>IFERROR(__xludf.DUMMYFUNCTION("VLOOKUP($A$1,IMPORTRANGE($A$2, CONCATENATE($A48,""!$B$5:$JB$48"")),BD$1,0)"),"#REF!")</f>
        <v>#REF!</v>
      </c>
      <c r="BE48" s="35" t="str">
        <f>IFERROR(__xludf.DUMMYFUNCTION("VLOOKUP($A$1,IMPORTRANGE($A$2, CONCATENATE($A48,""!$B$5:$JB$48"")),BE$1,0)"),"#REF!")</f>
        <v>#REF!</v>
      </c>
      <c r="BF48" s="35" t="str">
        <f>IFERROR(__xludf.DUMMYFUNCTION("VLOOKUP($A$1,IMPORTRANGE($A$2, CONCATENATE($A48,""!$B$5:$JB$48"")),BF$1,0)"),"#REF!")</f>
        <v>#REF!</v>
      </c>
      <c r="BG48" s="35" t="str">
        <f>IFERROR(__xludf.DUMMYFUNCTION("VLOOKUP($A$1,IMPORTRANGE($A$2, CONCATENATE($A48,""!$B$5:$JB$48"")),BG$1,0)"),"#REF!")</f>
        <v>#REF!</v>
      </c>
      <c r="BH48" s="35" t="str">
        <f>IFERROR(__xludf.DUMMYFUNCTION("VLOOKUP($A$1,IMPORTRANGE($A$2, CONCATENATE($A48,""!$B$5:$JB$48"")),BH$1,0)"),"#REF!")</f>
        <v>#REF!</v>
      </c>
      <c r="BI48" s="35" t="str">
        <f>IFERROR(__xludf.DUMMYFUNCTION("VLOOKUP($A$1,IMPORTRANGE($A$2, CONCATENATE($A48,""!$B$5:$JB$48"")),BI$1,0)"),"#REF!")</f>
        <v>#REF!</v>
      </c>
      <c r="BJ48" s="35" t="str">
        <f>IFERROR(__xludf.DUMMYFUNCTION("VLOOKUP($A$1,IMPORTRANGE($A$2, CONCATENATE($A48,""!$B$5:$JB$48"")),BJ$1,0)"),"#REF!")</f>
        <v>#REF!</v>
      </c>
      <c r="BK48" s="35" t="str">
        <f>IFERROR(__xludf.DUMMYFUNCTION("VLOOKUP($A$1,IMPORTRANGE($A$2, CONCATENATE($A48,""!$B$5:$JB$48"")),BK$1,0)"),"#REF!")</f>
        <v>#REF!</v>
      </c>
      <c r="BL48" s="35" t="str">
        <f>IFERROR(__xludf.DUMMYFUNCTION("VLOOKUP($A$1,IMPORTRANGE($A$2, CONCATENATE($A48,""!$B$5:$JB$48"")),BL$1,0)"),"#REF!")</f>
        <v>#REF!</v>
      </c>
      <c r="BM48" s="35" t="str">
        <f>IFERROR(__xludf.DUMMYFUNCTION("VLOOKUP($A$1,IMPORTRANGE($A$2, CONCATENATE($A48,""!$B$5:$JB$48"")),BM$1,0)"),"#REF!")</f>
        <v>#REF!</v>
      </c>
      <c r="BN48" s="35" t="str">
        <f>IFERROR(__xludf.DUMMYFUNCTION("VLOOKUP($A$1,IMPORTRANGE($A$2, CONCATENATE($A48,""!$B$5:$JB$48"")),BN$1,0)"),"#REF!")</f>
        <v>#REF!</v>
      </c>
      <c r="BO48" s="35" t="str">
        <f>IFERROR(__xludf.DUMMYFUNCTION("VLOOKUP($A$1,IMPORTRANGE($A$2, CONCATENATE($A48,""!$B$5:$JB$48"")),BO$1,0)"),"#REF!")</f>
        <v>#REF!</v>
      </c>
      <c r="BP48" s="35" t="str">
        <f>IFERROR(__xludf.DUMMYFUNCTION("VLOOKUP($A$1,IMPORTRANGE($A$2, CONCATENATE($A48,""!$B$5:$JB$48"")),BP$1,0)"),"#REF!")</f>
        <v>#REF!</v>
      </c>
      <c r="BQ48" s="35" t="str">
        <f>IFERROR(__xludf.DUMMYFUNCTION("VLOOKUP($A$1,IMPORTRANGE($A$2, CONCATENATE($A48,""!$B$5:$JB$48"")),BQ$1,0)"),"#REF!")</f>
        <v>#REF!</v>
      </c>
      <c r="BR48" s="35" t="str">
        <f>IFERROR(__xludf.DUMMYFUNCTION("VLOOKUP($A$1,IMPORTRANGE($A$2, CONCATENATE($A48,""!$B$5:$JB$48"")),BR$1,0)"),"#REF!")</f>
        <v>#REF!</v>
      </c>
      <c r="BS48" s="35" t="str">
        <f>IFERROR(__xludf.DUMMYFUNCTION("VLOOKUP($A$1,IMPORTRANGE($A$2, CONCATENATE($A48,""!$B$5:$JB$48"")),BS$1,0)"),"#REF!")</f>
        <v>#REF!</v>
      </c>
      <c r="BT48" s="35" t="str">
        <f>IFERROR(__xludf.DUMMYFUNCTION("VLOOKUP($A$1,IMPORTRANGE($A$2, CONCATENATE($A48,""!$B$5:$JB$48"")),BT$1,0)"),"#REF!")</f>
        <v>#REF!</v>
      </c>
      <c r="BU48" s="35" t="str">
        <f>IFERROR(__xludf.DUMMYFUNCTION("VLOOKUP($A$1,IMPORTRANGE($A$2, CONCATENATE($A48,""!$B$5:$JB$48"")),BU$1,0)"),"#REF!")</f>
        <v>#REF!</v>
      </c>
      <c r="BV48" s="35" t="str">
        <f>IFERROR(__xludf.DUMMYFUNCTION("VLOOKUP($A$1,IMPORTRANGE($A$2, CONCATENATE($A48,""!$B$5:$JB$48"")),BV$1,0)"),"#REF!")</f>
        <v>#REF!</v>
      </c>
      <c r="BW48" s="35" t="str">
        <f>IFERROR(__xludf.DUMMYFUNCTION("VLOOKUP($A$1,IMPORTRANGE($A$2, CONCATENATE($A48,""!$B$5:$JB$48"")),BW$1,0)"),"#REF!")</f>
        <v>#REF!</v>
      </c>
      <c r="BX48" s="35" t="str">
        <f>IFERROR(__xludf.DUMMYFUNCTION("VLOOKUP($A$1,IMPORTRANGE($A$2, CONCATENATE($A48,""!$B$5:$JB$48"")),BX$1,0)"),"#REF!")</f>
        <v>#REF!</v>
      </c>
      <c r="BY48" s="35" t="str">
        <f>IFERROR(__xludf.DUMMYFUNCTION("VLOOKUP($A$1,IMPORTRANGE($A$2, CONCATENATE($A48,""!$B$5:$JB$48"")),BY$1,0)"),"#REF!")</f>
        <v>#REF!</v>
      </c>
      <c r="BZ48" s="35" t="str">
        <f>IFERROR(__xludf.DUMMYFUNCTION("VLOOKUP($A$1,IMPORTRANGE($A$2, CONCATENATE($A48,""!$B$5:$JB$48"")),BZ$1,0)"),"#REF!")</f>
        <v>#REF!</v>
      </c>
      <c r="CA48" s="35" t="str">
        <f>IFERROR(__xludf.DUMMYFUNCTION("VLOOKUP($A$1,IMPORTRANGE($A$2, CONCATENATE($A48,""!$B$5:$JB$48"")),CA$1,0)"),"#REF!")</f>
        <v>#REF!</v>
      </c>
      <c r="CB48" s="35" t="str">
        <f>IFERROR(__xludf.DUMMYFUNCTION("VLOOKUP($A$1,IMPORTRANGE($A$2, CONCATENATE($A48,""!$B$5:$JB$48"")),CB$1,0)"),"#REF!")</f>
        <v>#REF!</v>
      </c>
      <c r="CC48" s="35" t="str">
        <f>IFERROR(__xludf.DUMMYFUNCTION("VLOOKUP($A$1,IMPORTRANGE($A$2, CONCATENATE($A48,""!$B$5:$JB$48"")),CC$1,0)"),"#REF!")</f>
        <v>#REF!</v>
      </c>
      <c r="CD48" s="35" t="str">
        <f>IFERROR(__xludf.DUMMYFUNCTION("VLOOKUP($A$1,IMPORTRANGE($A$2, CONCATENATE($A48,""!$B$5:$JB$48"")),CD$1,0)"),"#REF!")</f>
        <v>#REF!</v>
      </c>
      <c r="CE48" s="35" t="str">
        <f>IFERROR(__xludf.DUMMYFUNCTION("VLOOKUP($A$1,IMPORTRANGE($A$2, CONCATENATE($A48,""!$B$5:$JB$48"")),CE$1,0)"),"#REF!")</f>
        <v>#REF!</v>
      </c>
      <c r="CF48" s="35" t="str">
        <f>IFERROR(__xludf.DUMMYFUNCTION("VLOOKUP($A$1,IMPORTRANGE($A$2, CONCATENATE($A48,""!$B$5:$JB$48"")),CF$1,0)"),"#REF!")</f>
        <v>#REF!</v>
      </c>
      <c r="CG48" s="35" t="str">
        <f>IFERROR(__xludf.DUMMYFUNCTION("VLOOKUP($A$1,IMPORTRANGE($A$2, CONCATENATE($A48,""!$B$5:$JB$48"")),CG$1,0)"),"#REF!")</f>
        <v>#REF!</v>
      </c>
      <c r="CH48" s="35" t="str">
        <f>IFERROR(__xludf.DUMMYFUNCTION("VLOOKUP($A$1,IMPORTRANGE($A$2, CONCATENATE($A48,""!$B$5:$JB$48"")),CH$1,0)"),"#REF!")</f>
        <v>#REF!</v>
      </c>
      <c r="CI48" s="35" t="str">
        <f>IFERROR(__xludf.DUMMYFUNCTION("VLOOKUP($A$1,IMPORTRANGE($A$2, CONCATENATE($A48,""!$B$5:$JB$48"")),CI$1,0)"),"#REF!")</f>
        <v>#REF!</v>
      </c>
      <c r="CJ48" s="35" t="str">
        <f>IFERROR(__xludf.DUMMYFUNCTION("VLOOKUP($A$1,IMPORTRANGE($A$2, CONCATENATE($A48,""!$B$5:$JB$48"")),CJ$1,0)"),"#REF!")</f>
        <v>#REF!</v>
      </c>
      <c r="CK48" s="35" t="str">
        <f>IFERROR(__xludf.DUMMYFUNCTION("VLOOKUP($A$1,IMPORTRANGE($A$2, CONCATENATE($A48,""!$B$5:$JB$48"")),CK$1,0)"),"#REF!")</f>
        <v>#REF!</v>
      </c>
      <c r="CL48" s="35" t="str">
        <f>IFERROR(__xludf.DUMMYFUNCTION("VLOOKUP($A$1,IMPORTRANGE($A$2, CONCATENATE($A48,""!$B$5:$JB$48"")),CL$1,0)"),"#REF!")</f>
        <v>#REF!</v>
      </c>
      <c r="CM48" s="35" t="str">
        <f>IFERROR(__xludf.DUMMYFUNCTION("VLOOKUP($A$1,IMPORTRANGE($A$2, CONCATENATE($A48,""!$B$5:$JB$48"")),CM$1,0)"),"#REF!")</f>
        <v>#REF!</v>
      </c>
      <c r="CN48" s="35" t="str">
        <f>IFERROR(__xludf.DUMMYFUNCTION("VLOOKUP($A$1,IMPORTRANGE($A$2, CONCATENATE($A48,""!$B$5:$JB$48"")),CN$1,0)"),"#REF!")</f>
        <v>#REF!</v>
      </c>
      <c r="CO48" s="35" t="str">
        <f>IFERROR(__xludf.DUMMYFUNCTION("VLOOKUP($A$1,IMPORTRANGE($A$2, CONCATENATE($A48,""!$B$5:$JB$48"")),CO$1,0)"),"#REF!")</f>
        <v>#REF!</v>
      </c>
      <c r="CP48" s="35" t="str">
        <f>IFERROR(__xludf.DUMMYFUNCTION("VLOOKUP($A$1,IMPORTRANGE($A$2, CONCATENATE($A48,""!$B$5:$JB$48"")),CP$1,0)"),"#REF!")</f>
        <v>#REF!</v>
      </c>
      <c r="CQ48" s="35" t="str">
        <f>IFERROR(__xludf.DUMMYFUNCTION("VLOOKUP($A$1,IMPORTRANGE($A$2, CONCATENATE($A48,""!$B$5:$JB$48"")),CQ$1,0)"),"#REF!")</f>
        <v>#REF!</v>
      </c>
      <c r="CR48" s="35" t="str">
        <f>IFERROR(__xludf.DUMMYFUNCTION("VLOOKUP($A$1,IMPORTRANGE($A$2, CONCATENATE($A48,""!$B$5:$JB$48"")),CR$1,0)"),"#REF!")</f>
        <v>#REF!</v>
      </c>
      <c r="CS48" s="35" t="str">
        <f>IFERROR(__xludf.DUMMYFUNCTION("VLOOKUP($A$1,IMPORTRANGE($A$2, CONCATENATE($A48,""!$B$5:$JB$48"")),CS$1,0)"),"#REF!")</f>
        <v>#REF!</v>
      </c>
      <c r="CT48" s="35" t="str">
        <f>IFERROR(__xludf.DUMMYFUNCTION("VLOOKUP($A$1,IMPORTRANGE($A$2, CONCATENATE($A48,""!$B$5:$JB$48"")),CT$1,0)"),"#REF!")</f>
        <v>#REF!</v>
      </c>
      <c r="CU48" s="35" t="str">
        <f>IFERROR(__xludf.DUMMYFUNCTION("VLOOKUP($A$1,IMPORTRANGE($A$2, CONCATENATE($A48,""!$B$5:$JB$48"")),CU$1,0)"),"#REF!")</f>
        <v>#REF!</v>
      </c>
      <c r="CV48" s="35" t="str">
        <f>IFERROR(__xludf.DUMMYFUNCTION("VLOOKUP($A$1,IMPORTRANGE($A$2, CONCATENATE($A48,""!$B$5:$JB$48"")),CV$1,0)"),"#REF!")</f>
        <v>#REF!</v>
      </c>
      <c r="CW48" s="35" t="str">
        <f>IFERROR(__xludf.DUMMYFUNCTION("VLOOKUP($A$1,IMPORTRANGE($A$2, CONCATENATE($A48,""!$B$5:$JB$48"")),CW$1,0)"),"#REF!")</f>
        <v>#REF!</v>
      </c>
      <c r="CX48" s="35" t="str">
        <f>IFERROR(__xludf.DUMMYFUNCTION("VLOOKUP($A$1,IMPORTRANGE($A$2, CONCATENATE($A48,""!$B$5:$JB$48"")),CX$1,0)"),"#REF!")</f>
        <v>#REF!</v>
      </c>
      <c r="CY48" s="35" t="str">
        <f>IFERROR(__xludf.DUMMYFUNCTION("VLOOKUP($A$1,IMPORTRANGE($A$2, CONCATENATE($A48,""!$B$5:$JB$48"")),CY$1,0)"),"#REF!")</f>
        <v>#REF!</v>
      </c>
      <c r="CZ48" s="35" t="str">
        <f>IFERROR(__xludf.DUMMYFUNCTION("VLOOKUP($A$1,IMPORTRANGE($A$2, CONCATENATE($A48,""!$B$5:$JB$48"")),CZ$1,0)"),"#REF!")</f>
        <v>#REF!</v>
      </c>
      <c r="DA48" s="35" t="str">
        <f>IFERROR(__xludf.DUMMYFUNCTION("VLOOKUP($A$1,IMPORTRANGE($A$2, CONCATENATE($A48,""!$B$5:$JB$48"")),DA$1,0)"),"#REF!")</f>
        <v>#REF!</v>
      </c>
      <c r="DB48" s="35" t="str">
        <f>IFERROR(__xludf.DUMMYFUNCTION("VLOOKUP($A$1,IMPORTRANGE($A$2, CONCATENATE($A48,""!$B$5:$JB$48"")),DB$1,0)"),"#REF!")</f>
        <v>#REF!</v>
      </c>
      <c r="DC48" s="35" t="str">
        <f>IFERROR(__xludf.DUMMYFUNCTION("VLOOKUP($A$1,IMPORTRANGE($A$2, CONCATENATE($A48,""!$B$5:$JB$48"")),DC$1,0)"),"#REF!")</f>
        <v>#REF!</v>
      </c>
      <c r="DD48" s="35" t="str">
        <f>IFERROR(__xludf.DUMMYFUNCTION("VLOOKUP($A$1,IMPORTRANGE($A$2, CONCATENATE($A48,""!$B$5:$JB$48"")),DD$1,0)"),"#REF!")</f>
        <v>#REF!</v>
      </c>
      <c r="DE48" s="35" t="str">
        <f>IFERROR(__xludf.DUMMYFUNCTION("VLOOKUP($A$1,IMPORTRANGE($A$2, CONCATENATE($A48,""!$B$5:$JB$48"")),DE$1,0)"),"#REF!")</f>
        <v>#REF!</v>
      </c>
      <c r="DF48" s="35" t="str">
        <f>IFERROR(__xludf.DUMMYFUNCTION("VLOOKUP($A$1,IMPORTRANGE($A$2, CONCATENATE($A48,""!$B$5:$JB$48"")),DF$1,0)"),"#REF!")</f>
        <v>#REF!</v>
      </c>
      <c r="DG48" s="35" t="str">
        <f>IFERROR(__xludf.DUMMYFUNCTION("VLOOKUP($A$1,IMPORTRANGE($A$2, CONCATENATE($A48,""!$B$5:$JB$48"")),DG$1,0)"),"#REF!")</f>
        <v>#REF!</v>
      </c>
      <c r="DH48" s="35" t="str">
        <f>IFERROR(__xludf.DUMMYFUNCTION("VLOOKUP($A$1,IMPORTRANGE($A$2, CONCATENATE($A48,""!$B$5:$JB$48"")),DH$1,0)"),"#REF!")</f>
        <v>#REF!</v>
      </c>
      <c r="DI48" s="35" t="str">
        <f>IFERROR(__xludf.DUMMYFUNCTION("VLOOKUP($A$1,IMPORTRANGE($A$2, CONCATENATE($A48,""!$B$5:$JB$48"")),DI$1,0)"),"#REF!")</f>
        <v>#REF!</v>
      </c>
      <c r="DJ48" s="35" t="str">
        <f>IFERROR(__xludf.DUMMYFUNCTION("VLOOKUP($A$1,IMPORTRANGE($A$2, CONCATENATE($A48,""!$B$5:$JB$48"")),DJ$1,0)"),"#REF!")</f>
        <v>#REF!</v>
      </c>
      <c r="DK48" s="35" t="str">
        <f>IFERROR(__xludf.DUMMYFUNCTION("VLOOKUP($A$1,IMPORTRANGE($A$2, CONCATENATE($A48,""!$B$5:$JB$48"")),DK$1,0)"),"#REF!")</f>
        <v>#REF!</v>
      </c>
      <c r="DL48" s="35" t="str">
        <f>IFERROR(__xludf.DUMMYFUNCTION("VLOOKUP($A$1,IMPORTRANGE($A$2, CONCATENATE($A48,""!$B$5:$JB$48"")),DL$1,0)"),"#REF!")</f>
        <v>#REF!</v>
      </c>
      <c r="DM48" s="35" t="str">
        <f>IFERROR(__xludf.DUMMYFUNCTION("VLOOKUP($A$1,IMPORTRANGE($A$2, CONCATENATE($A48,""!$B$5:$JB$48"")),DM$1,0)"),"#REF!")</f>
        <v>#REF!</v>
      </c>
      <c r="DN48" s="35" t="str">
        <f>IFERROR(__xludf.DUMMYFUNCTION("VLOOKUP($A$1,IMPORTRANGE($A$2, CONCATENATE($A48,""!$B$5:$JB$48"")),DN$1,0)"),"#REF!")</f>
        <v>#REF!</v>
      </c>
      <c r="DO48" s="35" t="str">
        <f>IFERROR(__xludf.DUMMYFUNCTION("VLOOKUP($A$1,IMPORTRANGE($A$2, CONCATENATE($A48,""!$B$5:$JB$48"")),DO$1,0)"),"#REF!")</f>
        <v>#REF!</v>
      </c>
      <c r="DP48" s="35" t="str">
        <f>IFERROR(__xludf.DUMMYFUNCTION("VLOOKUP($A$1,IMPORTRANGE($A$2, CONCATENATE($A48,""!$B$5:$JB$48"")),DP$1,0)"),"#REF!")</f>
        <v>#REF!</v>
      </c>
      <c r="DQ48" s="35" t="str">
        <f>IFERROR(__xludf.DUMMYFUNCTION("VLOOKUP($A$1,IMPORTRANGE($A$2, CONCATENATE($A48,""!$B$5:$JB$48"")),DQ$1,0)"),"#REF!")</f>
        <v>#REF!</v>
      </c>
      <c r="DR48" s="35" t="str">
        <f>IFERROR(__xludf.DUMMYFUNCTION("VLOOKUP($A$1,IMPORTRANGE($A$2, CONCATENATE($A48,""!$B$5:$JB$48"")),DR$1,0)"),"#REF!")</f>
        <v>#REF!</v>
      </c>
      <c r="DS48" s="35" t="str">
        <f>IFERROR(__xludf.DUMMYFUNCTION("VLOOKUP($A$1,IMPORTRANGE($A$2, CONCATENATE($A48,""!$B$5:$JB$48"")),DS$1,0)"),"#REF!")</f>
        <v>#REF!</v>
      </c>
      <c r="DT48" s="35" t="str">
        <f>IFERROR(__xludf.DUMMYFUNCTION("VLOOKUP($A$1,IMPORTRANGE($A$2, CONCATENATE($A48,""!$B$5:$JB$48"")),DT$1,0)"),"#REF!")</f>
        <v>#REF!</v>
      </c>
      <c r="DU48" s="35" t="str">
        <f>IFERROR(__xludf.DUMMYFUNCTION("VLOOKUP($A$1,IMPORTRANGE($A$2, CONCATENATE($A48,""!$B$5:$JB$48"")),DU$1,0)"),"#REF!")</f>
        <v>#REF!</v>
      </c>
      <c r="DV48" s="35" t="str">
        <f>IFERROR(__xludf.DUMMYFUNCTION("VLOOKUP($A$1,IMPORTRANGE($A$2, CONCATENATE($A48,""!$B$5:$JB$48"")),DV$1,0)"),"#REF!")</f>
        <v>#REF!</v>
      </c>
      <c r="DW48" s="35" t="str">
        <f>IFERROR(__xludf.DUMMYFUNCTION("VLOOKUP($A$1,IMPORTRANGE($A$2, CONCATENATE($A48,""!$B$5:$JB$48"")),DW$1,0)"),"#REF!")</f>
        <v>#REF!</v>
      </c>
      <c r="DX48" s="35" t="str">
        <f>IFERROR(__xludf.DUMMYFUNCTION("VLOOKUP($A$1,IMPORTRANGE($A$2, CONCATENATE($A48,""!$B$5:$JB$48"")),DX$1,0)"),"#REF!")</f>
        <v>#REF!</v>
      </c>
      <c r="DY48" s="35" t="str">
        <f>IFERROR(__xludf.DUMMYFUNCTION("VLOOKUP($A$1,IMPORTRANGE($A$2, CONCATENATE($A48,""!$B$5:$JB$48"")),DY$1,0)"),"#REF!")</f>
        <v>#REF!</v>
      </c>
      <c r="DZ48" s="35" t="str">
        <f>IFERROR(__xludf.DUMMYFUNCTION("VLOOKUP($A$1,IMPORTRANGE($A$2, CONCATENATE($A48,""!$B$5:$JB$48"")),DZ$1,0)"),"#REF!")</f>
        <v>#REF!</v>
      </c>
      <c r="EA48" s="35" t="str">
        <f>IFERROR(__xludf.DUMMYFUNCTION("VLOOKUP($A$1,IMPORTRANGE($A$2, CONCATENATE($A48,""!$B$5:$JB$48"")),EA$1,0)"),"#REF!")</f>
        <v>#REF!</v>
      </c>
      <c r="EB48" s="35" t="str">
        <f>IFERROR(__xludf.DUMMYFUNCTION("VLOOKUP($A$1,IMPORTRANGE($A$2, CONCATENATE($A48,""!$B$5:$JB$48"")),EB$1,0)"),"#REF!")</f>
        <v>#REF!</v>
      </c>
      <c r="EC48" s="35" t="str">
        <f>IFERROR(__xludf.DUMMYFUNCTION("VLOOKUP($A$1,IMPORTRANGE($A$2, CONCATENATE($A48,""!$B$5:$JB$48"")),EC$1,0)"),"#REF!")</f>
        <v>#REF!</v>
      </c>
      <c r="ED48" s="35" t="str">
        <f>IFERROR(__xludf.DUMMYFUNCTION("VLOOKUP($A$1,IMPORTRANGE($A$2, CONCATENATE($A48,""!$B$5:$JB$48"")),ED$1,0)"),"#REF!")</f>
        <v>#REF!</v>
      </c>
      <c r="EE48" s="35" t="str">
        <f>IFERROR(__xludf.DUMMYFUNCTION("VLOOKUP($A$1,IMPORTRANGE($A$2, CONCATENATE($A48,""!$B$5:$JB$48"")),EE$1,0)"),"#REF!")</f>
        <v>#REF!</v>
      </c>
      <c r="EF48" s="35" t="str">
        <f>IFERROR(__xludf.DUMMYFUNCTION("VLOOKUP($A$1,IMPORTRANGE($A$2, CONCATENATE($A48,""!$B$5:$JB$48"")),EF$1,0)"),"#REF!")</f>
        <v>#REF!</v>
      </c>
      <c r="EG48" s="35" t="str">
        <f>IFERROR(__xludf.DUMMYFUNCTION("VLOOKUP($A$1,IMPORTRANGE($A$2, CONCATENATE($A48,""!$B$5:$JB$48"")),EG$1,0)"),"#REF!")</f>
        <v>#REF!</v>
      </c>
      <c r="EH48" s="35" t="str">
        <f>IFERROR(__xludf.DUMMYFUNCTION("VLOOKUP($A$1,IMPORTRANGE($A$2, CONCATENATE($A48,""!$B$5:$JB$48"")),EH$1,0)"),"#REF!")</f>
        <v>#REF!</v>
      </c>
      <c r="EI48" s="35" t="str">
        <f>IFERROR(__xludf.DUMMYFUNCTION("VLOOKUP($A$1,IMPORTRANGE($A$2, CONCATENATE($A48,""!$B$5:$JB$48"")),EI$1,0)"),"#REF!")</f>
        <v>#REF!</v>
      </c>
      <c r="EJ48" s="35" t="str">
        <f>IFERROR(__xludf.DUMMYFUNCTION("VLOOKUP($A$1,IMPORTRANGE($A$2, CONCATENATE($A48,""!$B$5:$JB$48"")),EJ$1,0)"),"#REF!")</f>
        <v>#REF!</v>
      </c>
      <c r="EK48" s="35" t="str">
        <f>IFERROR(__xludf.DUMMYFUNCTION("VLOOKUP($A$1,IMPORTRANGE($A$2, CONCATENATE($A48,""!$B$5:$JB$48"")),EK$1,0)"),"#REF!")</f>
        <v>#REF!</v>
      </c>
      <c r="EL48" s="35" t="str">
        <f>IFERROR(__xludf.DUMMYFUNCTION("VLOOKUP($A$1,IMPORTRANGE($A$2, CONCATENATE($A48,""!$B$5:$JB$48"")),EL$1,0)"),"#REF!")</f>
        <v>#REF!</v>
      </c>
      <c r="EM48" s="35" t="str">
        <f>IFERROR(__xludf.DUMMYFUNCTION("VLOOKUP($A$1,IMPORTRANGE($A$2, CONCATENATE($A48,""!$B$5:$JB$48"")),EM$1,0)"),"#REF!")</f>
        <v>#REF!</v>
      </c>
      <c r="EN48" s="35" t="str">
        <f>IFERROR(__xludf.DUMMYFUNCTION("VLOOKUP($A$1,IMPORTRANGE($A$2, CONCATENATE($A48,""!$B$5:$JB$48"")),EN$1,0)"),"#REF!")</f>
        <v>#REF!</v>
      </c>
      <c r="EO48" s="35" t="str">
        <f>IFERROR(__xludf.DUMMYFUNCTION("VLOOKUP($A$1,IMPORTRANGE($A$2, CONCATENATE($A48,""!$B$5:$JB$48"")),EO$1,0)"),"#REF!")</f>
        <v>#REF!</v>
      </c>
      <c r="EP48" s="35" t="str">
        <f>IFERROR(__xludf.DUMMYFUNCTION("VLOOKUP($A$1,IMPORTRANGE($A$2, CONCATENATE($A48,""!$B$5:$JB$48"")),EP$1,0)"),"#REF!")</f>
        <v>#REF!</v>
      </c>
      <c r="EQ48" s="35" t="str">
        <f>IFERROR(__xludf.DUMMYFUNCTION("VLOOKUP($A$1,IMPORTRANGE($A$2, CONCATENATE($A48,""!$B$5:$JB$48"")),EQ$1,0)"),"#REF!")</f>
        <v>#REF!</v>
      </c>
      <c r="ER48" s="35" t="str">
        <f>IFERROR(__xludf.DUMMYFUNCTION("VLOOKUP($A$1,IMPORTRANGE($A$2, CONCATENATE($A48,""!$B$5:$JB$48"")),ER$1,0)"),"#REF!")</f>
        <v>#REF!</v>
      </c>
      <c r="ES48" s="35" t="str">
        <f>IFERROR(__xludf.DUMMYFUNCTION("VLOOKUP($A$1,IMPORTRANGE($A$2, CONCATENATE($A48,""!$B$5:$JB$48"")),ES$1,0)"),"#REF!")</f>
        <v>#REF!</v>
      </c>
      <c r="ET48" s="35" t="str">
        <f>IFERROR(__xludf.DUMMYFUNCTION("VLOOKUP($A$1,IMPORTRANGE($A$2, CONCATENATE($A48,""!$B$5:$JB$48"")),ET$1,0)"),"#REF!")</f>
        <v>#REF!</v>
      </c>
      <c r="EU48" s="35" t="str">
        <f>IFERROR(__xludf.DUMMYFUNCTION("VLOOKUP($A$1,IMPORTRANGE($A$2, CONCATENATE($A48,""!$B$5:$JB$48"")),EU$1,0)"),"#REF!")</f>
        <v>#REF!</v>
      </c>
      <c r="EV48" s="35" t="str">
        <f>IFERROR(__xludf.DUMMYFUNCTION("VLOOKUP($A$1,IMPORTRANGE($A$2, CONCATENATE($A48,""!$B$5:$JB$48"")),EV$1,0)"),"#REF!")</f>
        <v>#REF!</v>
      </c>
      <c r="EW48" s="35" t="str">
        <f>IFERROR(__xludf.DUMMYFUNCTION("VLOOKUP($A$1,IMPORTRANGE($A$2, CONCATENATE($A48,""!$B$5:$JB$48"")),EW$1,0)"),"#REF!")</f>
        <v>#REF!</v>
      </c>
      <c r="EX48" s="35" t="str">
        <f>IFERROR(__xludf.DUMMYFUNCTION("VLOOKUP($A$1,IMPORTRANGE($A$2, CONCATENATE($A48,""!$B$5:$JB$48"")),EX$1,0)"),"#REF!")</f>
        <v>#REF!</v>
      </c>
      <c r="EY48" s="35" t="str">
        <f>IFERROR(__xludf.DUMMYFUNCTION("VLOOKUP($A$1,IMPORTRANGE($A$2, CONCATENATE($A48,""!$B$5:$JB$48"")),EY$1,0)"),"#REF!")</f>
        <v>#REF!</v>
      </c>
      <c r="EZ48" s="35" t="str">
        <f>IFERROR(__xludf.DUMMYFUNCTION("VLOOKUP($A$1,IMPORTRANGE($A$2, CONCATENATE($A48,""!$B$5:$JB$48"")),EZ$1,0)"),"#REF!")</f>
        <v>#REF!</v>
      </c>
      <c r="FA48" s="35" t="str">
        <f>IFERROR(__xludf.DUMMYFUNCTION("VLOOKUP($A$1,IMPORTRANGE($A$2, CONCATENATE($A48,""!$B$5:$JB$48"")),FA$1,0)"),"#REF!")</f>
        <v>#REF!</v>
      </c>
      <c r="FB48" s="35" t="str">
        <f>IFERROR(__xludf.DUMMYFUNCTION("VLOOKUP($A$1,IMPORTRANGE($A$2, CONCATENATE($A48,""!$B$5:$JB$48"")),FB$1,0)"),"#REF!")</f>
        <v>#REF!</v>
      </c>
      <c r="FC48" s="35" t="str">
        <f>IFERROR(__xludf.DUMMYFUNCTION("VLOOKUP($A$1,IMPORTRANGE($A$2, CONCATENATE($A48,""!$B$5:$JB$48"")),FC$1,0)"),"#REF!")</f>
        <v>#REF!</v>
      </c>
      <c r="FD48" s="35" t="str">
        <f>IFERROR(__xludf.DUMMYFUNCTION("VLOOKUP($A$1,IMPORTRANGE($A$2, CONCATENATE($A48,""!$B$5:$JB$48"")),FD$1,0)"),"#REF!")</f>
        <v>#REF!</v>
      </c>
      <c r="FE48" s="35" t="str">
        <f>IFERROR(__xludf.DUMMYFUNCTION("VLOOKUP($A$1,IMPORTRANGE($A$2, CONCATENATE($A48,""!$B$5:$JB$48"")),FE$1,0)"),"#REF!")</f>
        <v>#REF!</v>
      </c>
      <c r="FF48" s="35" t="str">
        <f>IFERROR(__xludf.DUMMYFUNCTION("VLOOKUP($A$1,IMPORTRANGE($A$2, CONCATENATE($A48,""!$B$5:$JB$48"")),FF$1,0)"),"#REF!")</f>
        <v>#REF!</v>
      </c>
      <c r="FG48" s="35" t="str">
        <f>IFERROR(__xludf.DUMMYFUNCTION("VLOOKUP($A$1,IMPORTRANGE($A$2, CONCATENATE($A48,""!$B$5:$JB$48"")),FG$1,0)"),"#REF!")</f>
        <v>#REF!</v>
      </c>
      <c r="FH48" s="35" t="str">
        <f>IFERROR(__xludf.DUMMYFUNCTION("VLOOKUP($A$1,IMPORTRANGE($A$2, CONCATENATE($A48,""!$B$5:$JB$48"")),FH$1,0)"),"#REF!")</f>
        <v>#REF!</v>
      </c>
      <c r="FI48" s="35" t="str">
        <f>IFERROR(__xludf.DUMMYFUNCTION("VLOOKUP($A$1,IMPORTRANGE($A$2, CONCATENATE($A48,""!$B$5:$JB$48"")),FI$1,0)"),"#REF!")</f>
        <v>#REF!</v>
      </c>
      <c r="FJ48" s="35" t="str">
        <f>IFERROR(__xludf.DUMMYFUNCTION("VLOOKUP($A$1,IMPORTRANGE($A$2, CONCATENATE($A48,""!$B$5:$JB$48"")),FJ$1,0)"),"#REF!")</f>
        <v>#REF!</v>
      </c>
      <c r="FK48" s="35" t="str">
        <f>IFERROR(__xludf.DUMMYFUNCTION("VLOOKUP($A$1,IMPORTRANGE($A$2, CONCATENATE($A48,""!$B$5:$JB$48"")),FK$1,0)"),"#REF!")</f>
        <v>#REF!</v>
      </c>
      <c r="FL48" s="35" t="str">
        <f>IFERROR(__xludf.DUMMYFUNCTION("VLOOKUP($A$1,IMPORTRANGE($A$2, CONCATENATE($A48,""!$B$5:$JB$48"")),FL$1,0)"),"#REF!")</f>
        <v>#REF!</v>
      </c>
      <c r="FM48" s="35" t="str">
        <f>IFERROR(__xludf.DUMMYFUNCTION("VLOOKUP($A$1,IMPORTRANGE($A$2, CONCATENATE($A48,""!$B$5:$JB$48"")),FM$1,0)"),"#REF!")</f>
        <v>#REF!</v>
      </c>
      <c r="FN48" s="35" t="str">
        <f>IFERROR(__xludf.DUMMYFUNCTION("VLOOKUP($A$1,IMPORTRANGE($A$2, CONCATENATE($A48,""!$B$5:$JB$48"")),FN$1,0)"),"#REF!")</f>
        <v>#REF!</v>
      </c>
      <c r="FO48" s="35" t="str">
        <f>IFERROR(__xludf.DUMMYFUNCTION("VLOOKUP($A$1,IMPORTRANGE($A$2, CONCATENATE($A48,""!$B$5:$JB$48"")),FO$1,0)"),"#REF!")</f>
        <v>#REF!</v>
      </c>
      <c r="FP48" s="35" t="str">
        <f>IFERROR(__xludf.DUMMYFUNCTION("VLOOKUP($A$1,IMPORTRANGE($A$2, CONCATENATE($A48,""!$B$5:$JB$48"")),FP$1,0)"),"#REF!")</f>
        <v>#REF!</v>
      </c>
      <c r="FQ48" s="35" t="str">
        <f>IFERROR(__xludf.DUMMYFUNCTION("VLOOKUP($A$1,IMPORTRANGE($A$2, CONCATENATE($A48,""!$B$5:$JB$48"")),FQ$1,0)"),"#REF!")</f>
        <v>#REF!</v>
      </c>
      <c r="FR48" s="35" t="str">
        <f>IFERROR(__xludf.DUMMYFUNCTION("VLOOKUP($A$1,IMPORTRANGE($A$2, CONCATENATE($A48,""!$B$5:$JB$48"")),FR$1,0)"),"#REF!")</f>
        <v>#REF!</v>
      </c>
      <c r="FS48" s="35" t="str">
        <f>IFERROR(__xludf.DUMMYFUNCTION("VLOOKUP($A$1,IMPORTRANGE($A$2, CONCATENATE($A48,""!$B$5:$JB$48"")),FS$1,0)"),"#REF!")</f>
        <v>#REF!</v>
      </c>
      <c r="FT48" s="35" t="str">
        <f>IFERROR(__xludf.DUMMYFUNCTION("VLOOKUP($A$1,IMPORTRANGE($A$2, CONCATENATE($A48,""!$B$5:$JB$48"")),FT$1,0)"),"#REF!")</f>
        <v>#REF!</v>
      </c>
      <c r="FU48" s="35" t="str">
        <f>IFERROR(__xludf.DUMMYFUNCTION("VLOOKUP($A$1,IMPORTRANGE($A$2, CONCATENATE($A48,""!$B$5:$JB$48"")),FU$1,0)"),"#REF!")</f>
        <v>#REF!</v>
      </c>
      <c r="FV48" s="35" t="str">
        <f>IFERROR(__xludf.DUMMYFUNCTION("VLOOKUP($A$1,IMPORTRANGE($A$2, CONCATENATE($A48,""!$B$5:$JB$48"")),FV$1,0)"),"#REF!")</f>
        <v>#REF!</v>
      </c>
      <c r="FW48" s="35" t="str">
        <f>IFERROR(__xludf.DUMMYFUNCTION("VLOOKUP($A$1,IMPORTRANGE($A$2, CONCATENATE($A48,""!$B$5:$JB$48"")),FW$1,0)"),"#REF!")</f>
        <v>#REF!</v>
      </c>
      <c r="FX48" s="35" t="str">
        <f>IFERROR(__xludf.DUMMYFUNCTION("VLOOKUP($A$1,IMPORTRANGE($A$2, CONCATENATE($A48,""!$B$5:$JB$48"")),FX$1,0)"),"#REF!")</f>
        <v>#REF!</v>
      </c>
      <c r="FY48" s="35" t="str">
        <f>IFERROR(__xludf.DUMMYFUNCTION("VLOOKUP($A$1,IMPORTRANGE($A$2, CONCATENATE($A48,""!$B$5:$JB$48"")),FY$1,0)"),"#REF!")</f>
        <v>#REF!</v>
      </c>
      <c r="FZ48" s="35" t="str">
        <f>IFERROR(__xludf.DUMMYFUNCTION("VLOOKUP($A$1,IMPORTRANGE($A$2, CONCATENATE($A48,""!$B$5:$JB$48"")),FZ$1,0)"),"#REF!")</f>
        <v>#REF!</v>
      </c>
      <c r="GA48" s="35" t="str">
        <f>IFERROR(__xludf.DUMMYFUNCTION("VLOOKUP($A$1,IMPORTRANGE($A$2, CONCATENATE($A48,""!$B$5:$JB$48"")),GA$1,0)"),"#REF!")</f>
        <v>#REF!</v>
      </c>
      <c r="GB48" s="35" t="str">
        <f>IFERROR(__xludf.DUMMYFUNCTION("VLOOKUP($A$1,IMPORTRANGE($A$2, CONCATENATE($A48,""!$B$5:$JB$48"")),GB$1,0)"),"#REF!")</f>
        <v>#REF!</v>
      </c>
      <c r="GC48" s="35" t="str">
        <f>IFERROR(__xludf.DUMMYFUNCTION("VLOOKUP($A$1,IMPORTRANGE($A$2, CONCATENATE($A48,""!$B$5:$JB$48"")),GC$1,0)"),"#REF!")</f>
        <v>#REF!</v>
      </c>
      <c r="GD48" s="35" t="str">
        <f>IFERROR(__xludf.DUMMYFUNCTION("VLOOKUP($A$1,IMPORTRANGE($A$2, CONCATENATE($A48,""!$B$5:$JB$48"")),GD$1,0)"),"#REF!")</f>
        <v>#REF!</v>
      </c>
      <c r="GE48" s="35" t="str">
        <f>IFERROR(__xludf.DUMMYFUNCTION("VLOOKUP($A$1,IMPORTRANGE($A$2, CONCATENATE($A48,""!$B$5:$JB$48"")),GE$1,0)"),"#REF!")</f>
        <v>#REF!</v>
      </c>
      <c r="GF48" s="35" t="str">
        <f>IFERROR(__xludf.DUMMYFUNCTION("VLOOKUP($A$1,IMPORTRANGE($A$2, CONCATENATE($A48,""!$B$5:$JB$48"")),GF$1,0)"),"#REF!")</f>
        <v>#REF!</v>
      </c>
      <c r="GG48" s="35" t="str">
        <f>IFERROR(__xludf.DUMMYFUNCTION("VLOOKUP($A$1,IMPORTRANGE($A$2, CONCATENATE($A48,""!$B$5:$JB$48"")),GG$1,0)"),"#REF!")</f>
        <v>#REF!</v>
      </c>
      <c r="GH48" s="35" t="str">
        <f>IFERROR(__xludf.DUMMYFUNCTION("VLOOKUP($A$1,IMPORTRANGE($A$2, CONCATENATE($A48,""!$B$5:$JB$48"")),GH$1,0)"),"#REF!")</f>
        <v>#REF!</v>
      </c>
      <c r="GI48" s="35" t="str">
        <f>IFERROR(__xludf.DUMMYFUNCTION("VLOOKUP($A$1,IMPORTRANGE($A$2, CONCATENATE($A48,""!$B$5:$JB$48"")),GI$1,0)"),"#REF!")</f>
        <v>#REF!</v>
      </c>
      <c r="GJ48" s="35" t="str">
        <f>IFERROR(__xludf.DUMMYFUNCTION("VLOOKUP($A$1,IMPORTRANGE($A$2, CONCATENATE($A48,""!$B$5:$JB$48"")),GJ$1,0)"),"#REF!")</f>
        <v>#REF!</v>
      </c>
      <c r="GK48" s="35" t="str">
        <f>IFERROR(__xludf.DUMMYFUNCTION("VLOOKUP($A$1,IMPORTRANGE($A$2, CONCATENATE($A48,""!$B$5:$JB$48"")),GK$1,0)"),"#REF!")</f>
        <v>#REF!</v>
      </c>
      <c r="GL48" s="35" t="str">
        <f>IFERROR(__xludf.DUMMYFUNCTION("VLOOKUP($A$1,IMPORTRANGE($A$2, CONCATENATE($A48,""!$B$5:$JB$48"")),GL$1,0)"),"#REF!")</f>
        <v>#REF!</v>
      </c>
      <c r="GM48" s="35" t="str">
        <f>IFERROR(__xludf.DUMMYFUNCTION("VLOOKUP($A$1,IMPORTRANGE($A$2, CONCATENATE($A48,""!$B$5:$JB$48"")),GM$1,0)"),"#REF!")</f>
        <v>#REF!</v>
      </c>
      <c r="GN48" s="35" t="str">
        <f>IFERROR(__xludf.DUMMYFUNCTION("VLOOKUP($A$1,IMPORTRANGE($A$2, CONCATENATE($A48,""!$B$5:$JB$48"")),GN$1,0)"),"#REF!")</f>
        <v>#REF!</v>
      </c>
      <c r="GO48" s="35" t="str">
        <f>IFERROR(__xludf.DUMMYFUNCTION("VLOOKUP($A$1,IMPORTRANGE($A$2, CONCATENATE($A48,""!$B$5:$JB$48"")),GO$1,0)"),"#REF!")</f>
        <v>#REF!</v>
      </c>
      <c r="GP48" s="35" t="str">
        <f>IFERROR(__xludf.DUMMYFUNCTION("VLOOKUP($A$1,IMPORTRANGE($A$2, CONCATENATE($A48,""!$B$5:$JB$48"")),GP$1,0)"),"#REF!")</f>
        <v>#REF!</v>
      </c>
      <c r="GQ48" s="35" t="str">
        <f>IFERROR(__xludf.DUMMYFUNCTION("VLOOKUP($A$1,IMPORTRANGE($A$2, CONCATENATE($A48,""!$B$5:$JB$48"")),GQ$1,0)"),"#REF!")</f>
        <v>#REF!</v>
      </c>
      <c r="GR48" s="35" t="str">
        <f>IFERROR(__xludf.DUMMYFUNCTION("VLOOKUP($A$1,IMPORTRANGE($A$2, CONCATENATE($A48,""!$B$5:$JB$48"")),GR$1,0)"),"#REF!")</f>
        <v>#REF!</v>
      </c>
      <c r="GS48" s="35" t="str">
        <f>IFERROR(__xludf.DUMMYFUNCTION("VLOOKUP($A$1,IMPORTRANGE($A$2, CONCATENATE($A48,""!$B$5:$JB$48"")),GS$1,0)"),"#REF!")</f>
        <v>#REF!</v>
      </c>
      <c r="GT48" s="35" t="str">
        <f>IFERROR(__xludf.DUMMYFUNCTION("VLOOKUP($A$1,IMPORTRANGE($A$2, CONCATENATE($A48,""!$B$5:$JB$48"")),GT$1,0)"),"#REF!")</f>
        <v>#REF!</v>
      </c>
      <c r="GU48" s="35" t="str">
        <f>IFERROR(__xludf.DUMMYFUNCTION("VLOOKUP($A$1,IMPORTRANGE($A$2, CONCATENATE($A48,""!$B$5:$JB$48"")),GU$1,0)"),"#REF!")</f>
        <v>#REF!</v>
      </c>
      <c r="GV48" s="35" t="str">
        <f>IFERROR(__xludf.DUMMYFUNCTION("VLOOKUP($A$1,IMPORTRANGE($A$2, CONCATENATE($A48,""!$B$5:$JB$48"")),GV$1,0)"),"#REF!")</f>
        <v>#REF!</v>
      </c>
      <c r="GW48" s="35" t="str">
        <f>IFERROR(__xludf.DUMMYFUNCTION("VLOOKUP($A$1,IMPORTRANGE($A$2, CONCATENATE($A48,""!$B$5:$JB$48"")),GW$1,0)"),"#REF!")</f>
        <v>#REF!</v>
      </c>
      <c r="GX48" s="35" t="str">
        <f>IFERROR(__xludf.DUMMYFUNCTION("VLOOKUP($A$1,IMPORTRANGE($A$2, CONCATENATE($A48,""!$B$5:$JB$48"")),GX$1,0)"),"#REF!")</f>
        <v>#REF!</v>
      </c>
      <c r="GY48" s="35" t="str">
        <f>IFERROR(__xludf.DUMMYFUNCTION("VLOOKUP($A$1,IMPORTRANGE($A$2, CONCATENATE($A48,""!$B$5:$JB$48"")),GY$1,0)"),"#REF!")</f>
        <v>#REF!</v>
      </c>
      <c r="GZ48" s="35" t="str">
        <f>IFERROR(__xludf.DUMMYFUNCTION("VLOOKUP($A$1,IMPORTRANGE($A$2, CONCATENATE($A48,""!$B$5:$JB$48"")),GZ$1,0)"),"#REF!")</f>
        <v>#REF!</v>
      </c>
      <c r="HA48" s="35" t="str">
        <f>IFERROR(__xludf.DUMMYFUNCTION("VLOOKUP($A$1,IMPORTRANGE($A$2, CONCATENATE($A48,""!$B$5:$JB$48"")),HA$1,0)"),"#REF!")</f>
        <v>#REF!</v>
      </c>
      <c r="HB48" s="35" t="str">
        <f>IFERROR(__xludf.DUMMYFUNCTION("VLOOKUP($A$1,IMPORTRANGE($A$2, CONCATENATE($A48,""!$B$5:$JB$48"")),HB$1,0)"),"#REF!")</f>
        <v>#REF!</v>
      </c>
      <c r="HC48" s="35" t="str">
        <f>IFERROR(__xludf.DUMMYFUNCTION("VLOOKUP($A$1,IMPORTRANGE($A$2, CONCATENATE($A48,""!$B$5:$JB$48"")),HC$1,0)"),"#REF!")</f>
        <v>#REF!</v>
      </c>
      <c r="HD48" s="35" t="str">
        <f>IFERROR(__xludf.DUMMYFUNCTION("VLOOKUP($A$1,IMPORTRANGE($A$2, CONCATENATE($A48,""!$B$5:$JB$48"")),HD$1,0)"),"#REF!")</f>
        <v>#REF!</v>
      </c>
      <c r="HE48" s="35" t="str">
        <f>IFERROR(__xludf.DUMMYFUNCTION("VLOOKUP($A$1,IMPORTRANGE($A$2, CONCATENATE($A48,""!$B$5:$JB$48"")),HE$1,0)"),"#REF!")</f>
        <v>#REF!</v>
      </c>
      <c r="HF48" s="35" t="str">
        <f>IFERROR(__xludf.DUMMYFUNCTION("VLOOKUP($A$1,IMPORTRANGE($A$2, CONCATENATE($A48,""!$B$5:$JB$48"")),HF$1,0)"),"#REF!")</f>
        <v>#REF!</v>
      </c>
      <c r="HG48" s="35" t="str">
        <f>IFERROR(__xludf.DUMMYFUNCTION("VLOOKUP($A$1,IMPORTRANGE($A$2, CONCATENATE($A48,""!$B$5:$JB$48"")),HG$1,0)"),"#REF!")</f>
        <v>#REF!</v>
      </c>
      <c r="HH48" s="35" t="str">
        <f>IFERROR(__xludf.DUMMYFUNCTION("VLOOKUP($A$1,IMPORTRANGE($A$2, CONCATENATE($A48,""!$B$5:$JB$48"")),HH$1,0)"),"#REF!")</f>
        <v>#REF!</v>
      </c>
      <c r="HI48" s="35" t="str">
        <f>IFERROR(__xludf.DUMMYFUNCTION("VLOOKUP($A$1,IMPORTRANGE($A$2, CONCATENATE($A48,""!$B$5:$JB$48"")),HI$1,0)"),"#REF!")</f>
        <v>#REF!</v>
      </c>
      <c r="HJ48" s="35" t="str">
        <f>IFERROR(__xludf.DUMMYFUNCTION("VLOOKUP($A$1,IMPORTRANGE($A$2, CONCATENATE($A48,""!$B$5:$JB$48"")),HJ$1,0)"),"#REF!")</f>
        <v>#REF!</v>
      </c>
      <c r="HK48" s="35" t="str">
        <f>IFERROR(__xludf.DUMMYFUNCTION("VLOOKUP($A$1,IMPORTRANGE($A$2, CONCATENATE($A48,""!$B$5:$JB$48"")),HK$1,0)"),"#REF!")</f>
        <v>#REF!</v>
      </c>
      <c r="HL48" s="35" t="str">
        <f>IFERROR(__xludf.DUMMYFUNCTION("VLOOKUP($A$1,IMPORTRANGE($A$2, CONCATENATE($A48,""!$B$5:$JB$48"")),HL$1,0)"),"#REF!")</f>
        <v>#REF!</v>
      </c>
      <c r="HM48" s="35" t="str">
        <f>IFERROR(__xludf.DUMMYFUNCTION("VLOOKUP($A$1,IMPORTRANGE($A$2, CONCATENATE($A48,""!$B$5:$JB$48"")),HM$1,0)"),"#REF!")</f>
        <v>#REF!</v>
      </c>
      <c r="HN48" s="35" t="str">
        <f>IFERROR(__xludf.DUMMYFUNCTION("VLOOKUP($A$1,IMPORTRANGE($A$2, CONCATENATE($A48,""!$B$5:$JB$48"")),HN$1,0)"),"#REF!")</f>
        <v>#REF!</v>
      </c>
      <c r="HO48" s="35" t="str">
        <f>IFERROR(__xludf.DUMMYFUNCTION("VLOOKUP($A$1,IMPORTRANGE($A$2, CONCATENATE($A48,""!$B$5:$JB$48"")),HO$1,0)"),"#REF!")</f>
        <v>#REF!</v>
      </c>
      <c r="HP48" s="35" t="str">
        <f>IFERROR(__xludf.DUMMYFUNCTION("VLOOKUP($A$1,IMPORTRANGE($A$2, CONCATENATE($A48,""!$B$5:$JB$48"")),HP$1,0)"),"#REF!")</f>
        <v>#REF!</v>
      </c>
      <c r="HQ48" s="35" t="str">
        <f>IFERROR(__xludf.DUMMYFUNCTION("VLOOKUP($A$1,IMPORTRANGE($A$2, CONCATENATE($A48,""!$B$5:$JB$48"")),HQ$1,0)"),"#REF!")</f>
        <v>#REF!</v>
      </c>
      <c r="HR48" s="35" t="str">
        <f>IFERROR(__xludf.DUMMYFUNCTION("VLOOKUP($A$1,IMPORTRANGE($A$2, CONCATENATE($A48,""!$B$5:$JB$48"")),HR$1,0)"),"#REF!")</f>
        <v>#REF!</v>
      </c>
      <c r="HS48" s="35" t="str">
        <f>IFERROR(__xludf.DUMMYFUNCTION("VLOOKUP($A$1,IMPORTRANGE($A$2, CONCATENATE($A48,""!$B$5:$JB$48"")),HS$1,0)"),"#REF!")</f>
        <v>#REF!</v>
      </c>
      <c r="HT48" s="35" t="str">
        <f>IFERROR(__xludf.DUMMYFUNCTION("VLOOKUP($A$1,IMPORTRANGE($A$2, CONCATENATE($A48,""!$B$5:$JB$48"")),HT$1,0)"),"#REF!")</f>
        <v>#REF!</v>
      </c>
      <c r="HU48" s="35" t="str">
        <f>IFERROR(__xludf.DUMMYFUNCTION("VLOOKUP($A$1,IMPORTRANGE($A$2, CONCATENATE($A48,""!$B$5:$JB$48"")),HU$1,0)"),"#REF!")</f>
        <v>#REF!</v>
      </c>
      <c r="HV48" s="35" t="str">
        <f>IFERROR(__xludf.DUMMYFUNCTION("VLOOKUP($A$1,IMPORTRANGE($A$2, CONCATENATE($A48,""!$B$5:$JB$48"")),HV$1,0)"),"#REF!")</f>
        <v>#REF!</v>
      </c>
      <c r="HW48" s="35" t="str">
        <f>IFERROR(__xludf.DUMMYFUNCTION("VLOOKUP($A$1,IMPORTRANGE($A$2, CONCATENATE($A48,""!$B$5:$JB$48"")),HW$1,0)"),"#REF!")</f>
        <v>#REF!</v>
      </c>
      <c r="HX48" s="35" t="str">
        <f>IFERROR(__xludf.DUMMYFUNCTION("VLOOKUP($A$1,IMPORTRANGE($A$2, CONCATENATE($A48,""!$B$5:$JB$48"")),HX$1,0)"),"#REF!")</f>
        <v>#REF!</v>
      </c>
      <c r="HY48" s="35" t="str">
        <f>IFERROR(__xludf.DUMMYFUNCTION("VLOOKUP($A$1,IMPORTRANGE($A$2, CONCATENATE($A48,""!$B$5:$JB$48"")),HY$1,0)"),"#REF!")</f>
        <v>#REF!</v>
      </c>
      <c r="HZ48" s="35" t="str">
        <f>IFERROR(__xludf.DUMMYFUNCTION("VLOOKUP($A$1,IMPORTRANGE($A$2, CONCATENATE($A48,""!$B$5:$JB$48"")),HZ$1,0)"),"#REF!")</f>
        <v>#REF!</v>
      </c>
      <c r="IA48" s="35" t="str">
        <f>IFERROR(__xludf.DUMMYFUNCTION("VLOOKUP($A$1,IMPORTRANGE($A$2, CONCATENATE($A48,""!$B$5:$JB$48"")),IA$1,0)"),"#REF!")</f>
        <v>#REF!</v>
      </c>
      <c r="IB48" s="35" t="str">
        <f>IFERROR(__xludf.DUMMYFUNCTION("VLOOKUP($A$1,IMPORTRANGE($A$2, CONCATENATE($A48,""!$B$5:$JB$48"")),IB$1,0)"),"#REF!")</f>
        <v>#REF!</v>
      </c>
      <c r="IC48" s="35" t="str">
        <f>IFERROR(__xludf.DUMMYFUNCTION("VLOOKUP($A$1,IMPORTRANGE($A$2, CONCATENATE($A48,""!$B$5:$JB$48"")),IC$1,0)"),"#REF!")</f>
        <v>#REF!</v>
      </c>
      <c r="ID48" s="35" t="str">
        <f>IFERROR(__xludf.DUMMYFUNCTION("VLOOKUP($A$1,IMPORTRANGE($A$2, CONCATENATE($A48,""!$B$5:$JB$48"")),ID$1,0)"),"#REF!")</f>
        <v>#REF!</v>
      </c>
      <c r="IE48" s="35" t="str">
        <f>IFERROR(__xludf.DUMMYFUNCTION("VLOOKUP($A$1,IMPORTRANGE($A$2, CONCATENATE($A48,""!$B$5:$JB$48"")),IE$1,0)"),"#REF!")</f>
        <v>#REF!</v>
      </c>
      <c r="IF48" s="35" t="str">
        <f>IFERROR(__xludf.DUMMYFUNCTION("VLOOKUP($A$1,IMPORTRANGE($A$2, CONCATENATE($A48,""!$B$5:$JB$48"")),IF$1,0)"),"#REF!")</f>
        <v>#REF!</v>
      </c>
      <c r="IG48" s="35" t="str">
        <f>IFERROR(__xludf.DUMMYFUNCTION("VLOOKUP($A$1,IMPORTRANGE($A$2, CONCATENATE($A48,""!$B$5:$JB$48"")),IG$1,0)"),"#REF!")</f>
        <v>#REF!</v>
      </c>
      <c r="IH48" s="35" t="str">
        <f>IFERROR(__xludf.DUMMYFUNCTION("VLOOKUP($A$1,IMPORTRANGE($A$2, CONCATENATE($A48,""!$B$5:$JB$48"")),IH$1,0)"),"#REF!")</f>
        <v>#REF!</v>
      </c>
      <c r="II48" s="35" t="str">
        <f>IFERROR(__xludf.DUMMYFUNCTION("VLOOKUP($A$1,IMPORTRANGE($A$2, CONCATENATE($A48,""!$B$5:$JB$48"")),II$1,0)"),"#REF!")</f>
        <v>#REF!</v>
      </c>
      <c r="IJ48" s="35" t="str">
        <f>IFERROR(__xludf.DUMMYFUNCTION("VLOOKUP($A$1,IMPORTRANGE($A$2, CONCATENATE($A48,""!$B$5:$JB$48"")),IJ$1,0)"),"#REF!")</f>
        <v>#REF!</v>
      </c>
      <c r="IK48" s="35" t="str">
        <f>IFERROR(__xludf.DUMMYFUNCTION("VLOOKUP($A$1,IMPORTRANGE($A$2, CONCATENATE($A48,""!$B$5:$JB$48"")),IK$1,0)"),"#REF!")</f>
        <v>#REF!</v>
      </c>
      <c r="IL48" s="35" t="str">
        <f>IFERROR(__xludf.DUMMYFUNCTION("VLOOKUP($A$1,IMPORTRANGE($A$2, CONCATENATE($A48,""!$B$5:$JB$48"")),IL$1,0)"),"#REF!")</f>
        <v>#REF!</v>
      </c>
      <c r="IM48" s="35" t="str">
        <f>IFERROR(__xludf.DUMMYFUNCTION("VLOOKUP($A$1,IMPORTRANGE($A$2, CONCATENATE($A48,""!$B$5:$JB$48"")),IM$1,0)"),"#REF!")</f>
        <v>#REF!</v>
      </c>
      <c r="IN48" s="35" t="str">
        <f>IFERROR(__xludf.DUMMYFUNCTION("VLOOKUP($A$1,IMPORTRANGE($A$2, CONCATENATE($A48,""!$B$5:$JB$48"")),IN$1,0)"),"#REF!")</f>
        <v>#REF!</v>
      </c>
      <c r="IO48" s="35" t="str">
        <f>IFERROR(__xludf.DUMMYFUNCTION("VLOOKUP($A$1,IMPORTRANGE($A$2, CONCATENATE($A48,""!$B$5:$JB$48"")),IO$1,0)"),"#REF!")</f>
        <v>#REF!</v>
      </c>
      <c r="IP48" s="35" t="str">
        <f>IFERROR(__xludf.DUMMYFUNCTION("VLOOKUP($A$1,IMPORTRANGE($A$2, CONCATENATE($A48,""!$B$5:$JB$48"")),IP$1,0)"),"#REF!")</f>
        <v>#REF!</v>
      </c>
      <c r="IQ48" s="35" t="str">
        <f>IFERROR(__xludf.DUMMYFUNCTION("VLOOKUP($A$1,IMPORTRANGE($A$2, CONCATENATE($A48,""!$B$5:$JB$48"")),IQ$1,0)"),"#REF!")</f>
        <v>#REF!</v>
      </c>
      <c r="IR48" s="35" t="str">
        <f>IFERROR(__xludf.DUMMYFUNCTION("VLOOKUP($A$1,IMPORTRANGE($A$2, CONCATENATE($A48,""!$B$5:$JB$48"")),IR$1,0)"),"#REF!")</f>
        <v>#REF!</v>
      </c>
      <c r="IS48" s="35" t="str">
        <f>IFERROR(__xludf.DUMMYFUNCTION("VLOOKUP($A$1,IMPORTRANGE($A$2, CONCATENATE($A48,""!$B$5:$JB$48"")),IS$1,0)"),"#REF!")</f>
        <v>#REF!</v>
      </c>
      <c r="IT48" s="35" t="str">
        <f>IFERROR(__xludf.DUMMYFUNCTION("VLOOKUP($A$1,IMPORTRANGE($A$2, CONCATENATE($A48,""!$B$5:$JB$48"")),IT$1,0)"),"#REF!")</f>
        <v>#REF!</v>
      </c>
      <c r="IU48" s="35" t="str">
        <f>IFERROR(__xludf.DUMMYFUNCTION("VLOOKUP($A$1,IMPORTRANGE($A$2, CONCATENATE($A48,""!$B$5:$JB$48"")),IU$1,0)"),"#REF!")</f>
        <v>#REF!</v>
      </c>
      <c r="IV48" s="35" t="str">
        <f>IFERROR(__xludf.DUMMYFUNCTION("VLOOKUP($A$1,IMPORTRANGE($A$2, CONCATENATE($A48,""!$B$5:$JB$48"")),IV$1,0)"),"#REF!")</f>
        <v>#REF!</v>
      </c>
      <c r="IW48" s="35" t="str">
        <f>IFERROR(__xludf.DUMMYFUNCTION("VLOOKUP($A$1,IMPORTRANGE($A$2, CONCATENATE($A48,""!$B$5:$JB$48"")),IW$1,0)"),"#REF!")</f>
        <v>#REF!</v>
      </c>
      <c r="IX48" s="35" t="str">
        <f>IFERROR(__xludf.DUMMYFUNCTION("VLOOKUP($A$1,IMPORTRANGE($A$2, CONCATENATE($A48,""!$B$5:$JB$48"")),IX$1,0)"),"#REF!")</f>
        <v>#REF!</v>
      </c>
      <c r="IY48" s="35" t="str">
        <f>IFERROR(__xludf.DUMMYFUNCTION("VLOOKUP($A$1,IMPORTRANGE($A$2, CONCATENATE($A48,""!$B$5:$JB$48"")),IY$1,0)"),"#REF!")</f>
        <v>#REF!</v>
      </c>
      <c r="IZ48" s="35" t="str">
        <f>IFERROR(__xludf.DUMMYFUNCTION("VLOOKUP($A$1,IMPORTRANGE($A$2, CONCATENATE($A48,""!$B$5:$JB$48"")),IZ$1,0)"),"#REF!")</f>
        <v>#REF!</v>
      </c>
      <c r="JA48" s="35" t="str">
        <f>IFERROR(__xludf.DUMMYFUNCTION("VLOOKUP($A$1,IMPORTRANGE($A$2, CONCATENATE($A48,""!$B$5:$JB$48"")),JA$1,0)"),"#REF!")</f>
        <v>#REF!</v>
      </c>
      <c r="JB48" s="35"/>
      <c r="JC48" s="35"/>
      <c r="JD48" s="35"/>
      <c r="JE48" s="35"/>
    </row>
    <row r="49">
      <c r="A49" s="43"/>
      <c r="B49" s="29"/>
      <c r="C49" s="37"/>
      <c r="D49" s="38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/>
      <c r="FH49" s="37"/>
      <c r="FI49" s="37"/>
      <c r="FJ49" s="37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37"/>
      <c r="GI49" s="37"/>
      <c r="GJ49" s="37"/>
      <c r="GK49" s="37"/>
      <c r="GL49" s="37"/>
      <c r="GM49" s="37"/>
      <c r="GN49" s="37"/>
      <c r="GO49" s="37"/>
      <c r="GP49" s="37"/>
      <c r="GQ49" s="37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7"/>
      <c r="HK49" s="37"/>
      <c r="HL49" s="37"/>
      <c r="HM49" s="37"/>
      <c r="HN49" s="37"/>
      <c r="HO49" s="37"/>
      <c r="HP49" s="37"/>
      <c r="HQ49" s="37"/>
      <c r="HR49" s="37"/>
      <c r="HS49" s="37"/>
      <c r="HT49" s="37"/>
      <c r="HU49" s="37"/>
      <c r="HV49" s="37"/>
      <c r="HW49" s="37"/>
      <c r="HX49" s="37"/>
      <c r="HY49" s="37"/>
      <c r="HZ49" s="37"/>
      <c r="IA49" s="37"/>
      <c r="IB49" s="37"/>
      <c r="IC49" s="37"/>
      <c r="ID49" s="37"/>
      <c r="IE49" s="37"/>
      <c r="IF49" s="37"/>
      <c r="IG49" s="37"/>
      <c r="IH49" s="37"/>
      <c r="II49" s="37"/>
      <c r="IJ49" s="37"/>
      <c r="IK49" s="37"/>
      <c r="IL49" s="37"/>
      <c r="IM49" s="37"/>
      <c r="IN49" s="37"/>
      <c r="IO49" s="37"/>
      <c r="IP49" s="37"/>
      <c r="IQ49" s="37"/>
      <c r="IR49" s="37"/>
      <c r="IS49" s="37"/>
      <c r="IT49" s="37"/>
      <c r="IU49" s="37"/>
      <c r="IV49" s="37"/>
      <c r="IW49" s="37"/>
      <c r="IX49" s="37"/>
      <c r="IY49" s="37"/>
      <c r="IZ49" s="37"/>
      <c r="JA49" s="37"/>
      <c r="JB49" s="37"/>
      <c r="JC49" s="37"/>
      <c r="JD49" s="37"/>
      <c r="JE49" s="37"/>
    </row>
    <row r="50">
      <c r="A50" s="43"/>
      <c r="B50" s="32" t="str">
        <f>IFERROR(__xludf.DUMMYFUNCTION("IMPORTRANGE($A$2, CONCATENATE($A51,""!C4:JB4""))"),"Физика")</f>
        <v>Физика</v>
      </c>
      <c r="C50" s="37"/>
      <c r="D50" s="38" t="str">
        <f>IFERROR(__xludf.DUMMYFUNCTION("""COMPUTED_VALUE"""),"История Узб")</f>
        <v>История Узб</v>
      </c>
      <c r="E50" s="37"/>
      <c r="F50" s="37" t="str">
        <f>IFERROR(__xludf.DUMMYFUNCTION("""COMPUTED_VALUE"""),"Информатика")</f>
        <v>Информатика</v>
      </c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37"/>
      <c r="FI50" s="37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37"/>
      <c r="GI50" s="37"/>
      <c r="GJ50" s="37"/>
      <c r="GK50" s="37"/>
      <c r="GL50" s="37"/>
      <c r="GM50" s="37"/>
      <c r="GN50" s="37"/>
      <c r="GO50" s="37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37"/>
      <c r="HU50" s="37"/>
      <c r="HV50" s="37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37"/>
      <c r="IJ50" s="37"/>
      <c r="IK50" s="37"/>
      <c r="IL50" s="37"/>
      <c r="IM50" s="37"/>
      <c r="IN50" s="37"/>
      <c r="IO50" s="37"/>
      <c r="IP50" s="37"/>
      <c r="IQ50" s="37"/>
      <c r="IR50" s="37"/>
      <c r="IS50" s="37"/>
      <c r="IT50" s="37"/>
      <c r="IU50" s="37"/>
      <c r="IV50" s="37"/>
      <c r="IW50" s="37"/>
      <c r="IX50" s="37"/>
      <c r="IY50" s="37"/>
      <c r="IZ50" s="37"/>
      <c r="JA50" s="37"/>
      <c r="JB50" s="37"/>
      <c r="JC50" s="37"/>
      <c r="JD50" s="37"/>
      <c r="JE50" s="37"/>
    </row>
    <row r="51">
      <c r="A51" s="42"/>
      <c r="B51" s="35" t="str">
        <f>IFERROR(__xludf.DUMMYFUNCTION("VLOOKUP($A$1,IMPORTRANGE($A$2, CONCATENATE($A51,""!$B$5:$JB$48"")),B$1,0)"),"#N/A")</f>
        <v>#N/A</v>
      </c>
      <c r="C51" s="35" t="str">
        <f>IFERROR(__xludf.DUMMYFUNCTION("VLOOKUP($A$1,IMPORTRANGE($A$2, CONCATENATE($A51,""!$B$5:$JB$48"")),C$1,0)"),"#N/A")</f>
        <v>#N/A</v>
      </c>
      <c r="D51" s="35" t="str">
        <f>IFERROR(__xludf.DUMMYFUNCTION("VLOOKUP($A$1,IMPORTRANGE($A$2, CONCATENATE($A51,""!$B$5:$JB$48"")),D$1,0)"),"#N/A")</f>
        <v>#N/A</v>
      </c>
      <c r="E51" s="35" t="str">
        <f>IFERROR(__xludf.DUMMYFUNCTION("VLOOKUP($A$1,IMPORTRANGE($A$2, CONCATENATE($A51,""!$B$5:$JB$48"")),E$1,0)"),"#N/A")</f>
        <v>#N/A</v>
      </c>
      <c r="F51" s="35" t="str">
        <f>IFERROR(__xludf.DUMMYFUNCTION("VLOOKUP($A$1,IMPORTRANGE($A$2, CONCATENATE($A51,""!$B$5:$JB$48"")),F$1,0)"),"#N/A")</f>
        <v>#N/A</v>
      </c>
      <c r="G51" s="35" t="str">
        <f>IFERROR(__xludf.DUMMYFUNCTION("VLOOKUP($A$1,IMPORTRANGE($A$2, CONCATENATE($A51,""!$B$5:$JB$48"")),G$1,0)"),"#REF!")</f>
        <v>#REF!</v>
      </c>
      <c r="H51" s="35" t="str">
        <f>IFERROR(__xludf.DUMMYFUNCTION("VLOOKUP($A$1,IMPORTRANGE($A$2, CONCATENATE($A51,""!$B$5:$JB$48"")),H$1,0)"),"#REF!")</f>
        <v>#REF!</v>
      </c>
      <c r="I51" s="35" t="str">
        <f>IFERROR(__xludf.DUMMYFUNCTION("VLOOKUP($A$1,IMPORTRANGE($A$2, CONCATENATE($A51,""!$B$5:$JB$48"")),I$1,0)"),"#REF!")</f>
        <v>#REF!</v>
      </c>
      <c r="J51" s="35" t="str">
        <f>IFERROR(__xludf.DUMMYFUNCTION("VLOOKUP($A$1,IMPORTRANGE($A$2, CONCATENATE($A51,""!$B$5:$JB$48"")),J$1,0)"),"#REF!")</f>
        <v>#REF!</v>
      </c>
      <c r="K51" s="35" t="str">
        <f>IFERROR(__xludf.DUMMYFUNCTION("VLOOKUP($A$1,IMPORTRANGE($A$2, CONCATENATE($A51,""!$B$5:$JB$48"")),K$1,0)"),"#REF!")</f>
        <v>#REF!</v>
      </c>
      <c r="L51" s="35" t="str">
        <f>IFERROR(__xludf.DUMMYFUNCTION("VLOOKUP($A$1,IMPORTRANGE($A$2, CONCATENATE($A51,""!$B$5:$JB$48"")),L$1,0)"),"#REF!")</f>
        <v>#REF!</v>
      </c>
      <c r="M51" s="35" t="str">
        <f>IFERROR(__xludf.DUMMYFUNCTION("VLOOKUP($A$1,IMPORTRANGE($A$2, CONCATENATE($A51,""!$B$5:$JB$48"")),M$1,0)"),"#REF!")</f>
        <v>#REF!</v>
      </c>
      <c r="N51" s="35" t="str">
        <f>IFERROR(__xludf.DUMMYFUNCTION("VLOOKUP($A$1,IMPORTRANGE($A$2, CONCATENATE($A51,""!$B$5:$JB$48"")),N$1,0)"),"#REF!")</f>
        <v>#REF!</v>
      </c>
      <c r="O51" s="35" t="str">
        <f>IFERROR(__xludf.DUMMYFUNCTION("VLOOKUP($A$1,IMPORTRANGE($A$2, CONCATENATE($A51,""!$B$5:$JB$48"")),O$1,0)"),"#REF!")</f>
        <v>#REF!</v>
      </c>
      <c r="P51" s="35" t="str">
        <f>IFERROR(__xludf.DUMMYFUNCTION("VLOOKUP($A$1,IMPORTRANGE($A$2, CONCATENATE($A51,""!$B$5:$JB$48"")),P$1,0)"),"#REF!")</f>
        <v>#REF!</v>
      </c>
      <c r="Q51" s="35" t="str">
        <f>IFERROR(__xludf.DUMMYFUNCTION("VLOOKUP($A$1,IMPORTRANGE($A$2, CONCATENATE($A51,""!$B$5:$JB$48"")),Q$1,0)"),"#REF!")</f>
        <v>#REF!</v>
      </c>
      <c r="R51" s="35" t="str">
        <f>IFERROR(__xludf.DUMMYFUNCTION("VLOOKUP($A$1,IMPORTRANGE($A$2, CONCATENATE($A51,""!$B$5:$JB$48"")),R$1,0)"),"#REF!")</f>
        <v>#REF!</v>
      </c>
      <c r="S51" s="35" t="str">
        <f>IFERROR(__xludf.DUMMYFUNCTION("VLOOKUP($A$1,IMPORTRANGE($A$2, CONCATENATE($A51,""!$B$5:$JB$48"")),S$1,0)"),"#REF!")</f>
        <v>#REF!</v>
      </c>
      <c r="T51" s="35" t="str">
        <f>IFERROR(__xludf.DUMMYFUNCTION("VLOOKUP($A$1,IMPORTRANGE($A$2, CONCATENATE($A51,""!$B$5:$JB$48"")),T$1,0)"),"#REF!")</f>
        <v>#REF!</v>
      </c>
      <c r="U51" s="35" t="str">
        <f>IFERROR(__xludf.DUMMYFUNCTION("VLOOKUP($A$1,IMPORTRANGE($A$2, CONCATENATE($A51,""!$B$5:$JB$48"")),U$1,0)"),"#REF!")</f>
        <v>#REF!</v>
      </c>
      <c r="V51" s="35" t="str">
        <f>IFERROR(__xludf.DUMMYFUNCTION("VLOOKUP($A$1,IMPORTRANGE($A$2, CONCATENATE($A51,""!$B$5:$JB$48"")),V$1,0)"),"#REF!")</f>
        <v>#REF!</v>
      </c>
      <c r="W51" s="35" t="str">
        <f>IFERROR(__xludf.DUMMYFUNCTION("VLOOKUP($A$1,IMPORTRANGE($A$2, CONCATENATE($A51,""!$B$5:$JB$48"")),W$1,0)"),"#REF!")</f>
        <v>#REF!</v>
      </c>
      <c r="X51" s="35" t="str">
        <f>IFERROR(__xludf.DUMMYFUNCTION("VLOOKUP($A$1,IMPORTRANGE($A$2, CONCATENATE($A51,""!$B$5:$JB$48"")),X$1,0)"),"#REF!")</f>
        <v>#REF!</v>
      </c>
      <c r="Y51" s="35" t="str">
        <f>IFERROR(__xludf.DUMMYFUNCTION("VLOOKUP($A$1,IMPORTRANGE($A$2, CONCATENATE($A51,""!$B$5:$JB$48"")),Y$1,0)"),"#REF!")</f>
        <v>#REF!</v>
      </c>
      <c r="Z51" s="35" t="str">
        <f>IFERROR(__xludf.DUMMYFUNCTION("VLOOKUP($A$1,IMPORTRANGE($A$2, CONCATENATE($A51,""!$B$5:$JB$48"")),Z$1,0)"),"#REF!")</f>
        <v>#REF!</v>
      </c>
      <c r="AA51" s="35" t="str">
        <f>IFERROR(__xludf.DUMMYFUNCTION("VLOOKUP($A$1,IMPORTRANGE($A$2, CONCATENATE($A51,""!$B$5:$JB$48"")),AA$1,0)"),"#REF!")</f>
        <v>#REF!</v>
      </c>
      <c r="AB51" s="35" t="str">
        <f>IFERROR(__xludf.DUMMYFUNCTION("VLOOKUP($A$1,IMPORTRANGE($A$2, CONCATENATE($A51,""!$B$5:$JB$48"")),AB$1,0)"),"#REF!")</f>
        <v>#REF!</v>
      </c>
      <c r="AC51" s="35" t="str">
        <f>IFERROR(__xludf.DUMMYFUNCTION("VLOOKUP($A$1,IMPORTRANGE($A$2, CONCATENATE($A51,""!$B$5:$JB$48"")),AC$1,0)"),"#REF!")</f>
        <v>#REF!</v>
      </c>
      <c r="AD51" s="35" t="str">
        <f>IFERROR(__xludf.DUMMYFUNCTION("VLOOKUP($A$1,IMPORTRANGE($A$2, CONCATENATE($A51,""!$B$5:$JB$48"")),AD$1,0)"),"#REF!")</f>
        <v>#REF!</v>
      </c>
      <c r="AE51" s="35" t="str">
        <f>IFERROR(__xludf.DUMMYFUNCTION("VLOOKUP($A$1,IMPORTRANGE($A$2, CONCATENATE($A51,""!$B$5:$JB$48"")),AE$1,0)"),"#REF!")</f>
        <v>#REF!</v>
      </c>
      <c r="AF51" s="35" t="str">
        <f>IFERROR(__xludf.DUMMYFUNCTION("VLOOKUP($A$1,IMPORTRANGE($A$2, CONCATENATE($A51,""!$B$5:$JB$48"")),AF$1,0)"),"#REF!")</f>
        <v>#REF!</v>
      </c>
      <c r="AG51" s="35" t="str">
        <f>IFERROR(__xludf.DUMMYFUNCTION("VLOOKUP($A$1,IMPORTRANGE($A$2, CONCATENATE($A51,""!$B$5:$JB$48"")),AG$1,0)"),"#REF!")</f>
        <v>#REF!</v>
      </c>
      <c r="AH51" s="35" t="str">
        <f>IFERROR(__xludf.DUMMYFUNCTION("VLOOKUP($A$1,IMPORTRANGE($A$2, CONCATENATE($A51,""!$B$5:$JB$48"")),AH$1,0)"),"#REF!")</f>
        <v>#REF!</v>
      </c>
      <c r="AI51" s="35" t="str">
        <f>IFERROR(__xludf.DUMMYFUNCTION("VLOOKUP($A$1,IMPORTRANGE($A$2, CONCATENATE($A51,""!$B$5:$JB$48"")),AI$1,0)"),"#REF!")</f>
        <v>#REF!</v>
      </c>
      <c r="AJ51" s="35" t="str">
        <f>IFERROR(__xludf.DUMMYFUNCTION("VLOOKUP($A$1,IMPORTRANGE($A$2, CONCATENATE($A51,""!$B$5:$JB$48"")),AJ$1,0)"),"#REF!")</f>
        <v>#REF!</v>
      </c>
      <c r="AK51" s="35" t="str">
        <f>IFERROR(__xludf.DUMMYFUNCTION("VLOOKUP($A$1,IMPORTRANGE($A$2, CONCATENATE($A51,""!$B$5:$JB$48"")),AK$1,0)"),"#REF!")</f>
        <v>#REF!</v>
      </c>
      <c r="AL51" s="35" t="str">
        <f>IFERROR(__xludf.DUMMYFUNCTION("VLOOKUP($A$1,IMPORTRANGE($A$2, CONCATENATE($A51,""!$B$5:$JB$48"")),AL$1,0)"),"#REF!")</f>
        <v>#REF!</v>
      </c>
      <c r="AM51" s="35" t="str">
        <f>IFERROR(__xludf.DUMMYFUNCTION("VLOOKUP($A$1,IMPORTRANGE($A$2, CONCATENATE($A51,""!$B$5:$JB$48"")),AM$1,0)"),"#REF!")</f>
        <v>#REF!</v>
      </c>
      <c r="AN51" s="35" t="str">
        <f>IFERROR(__xludf.DUMMYFUNCTION("VLOOKUP($A$1,IMPORTRANGE($A$2, CONCATENATE($A51,""!$B$5:$JB$48"")),AN$1,0)"),"#REF!")</f>
        <v>#REF!</v>
      </c>
      <c r="AO51" s="35" t="str">
        <f>IFERROR(__xludf.DUMMYFUNCTION("VLOOKUP($A$1,IMPORTRANGE($A$2, CONCATENATE($A51,""!$B$5:$JB$48"")),AO$1,0)"),"#REF!")</f>
        <v>#REF!</v>
      </c>
      <c r="AP51" s="35" t="str">
        <f>IFERROR(__xludf.DUMMYFUNCTION("VLOOKUP($A$1,IMPORTRANGE($A$2, CONCATENATE($A51,""!$B$5:$JB$48"")),AP$1,0)"),"#REF!")</f>
        <v>#REF!</v>
      </c>
      <c r="AQ51" s="35" t="str">
        <f>IFERROR(__xludf.DUMMYFUNCTION("VLOOKUP($A$1,IMPORTRANGE($A$2, CONCATENATE($A51,""!$B$5:$JB$48"")),AQ$1,0)"),"#REF!")</f>
        <v>#REF!</v>
      </c>
      <c r="AR51" s="35" t="str">
        <f>IFERROR(__xludf.DUMMYFUNCTION("VLOOKUP($A$1,IMPORTRANGE($A$2, CONCATENATE($A51,""!$B$5:$JB$48"")),AR$1,0)"),"#REF!")</f>
        <v>#REF!</v>
      </c>
      <c r="AS51" s="35" t="str">
        <f>IFERROR(__xludf.DUMMYFUNCTION("VLOOKUP($A$1,IMPORTRANGE($A$2, CONCATENATE($A51,""!$B$5:$JB$48"")),AS$1,0)"),"#REF!")</f>
        <v>#REF!</v>
      </c>
      <c r="AT51" s="35" t="str">
        <f>IFERROR(__xludf.DUMMYFUNCTION("VLOOKUP($A$1,IMPORTRANGE($A$2, CONCATENATE($A51,""!$B$5:$JB$48"")),AT$1,0)"),"#REF!")</f>
        <v>#REF!</v>
      </c>
      <c r="AU51" s="35" t="str">
        <f>IFERROR(__xludf.DUMMYFUNCTION("VLOOKUP($A$1,IMPORTRANGE($A$2, CONCATENATE($A51,""!$B$5:$JB$48"")),AU$1,0)"),"#REF!")</f>
        <v>#REF!</v>
      </c>
      <c r="AV51" s="35" t="str">
        <f>IFERROR(__xludf.DUMMYFUNCTION("VLOOKUP($A$1,IMPORTRANGE($A$2, CONCATENATE($A51,""!$B$5:$JB$48"")),AV$1,0)"),"#REF!")</f>
        <v>#REF!</v>
      </c>
      <c r="AW51" s="35" t="str">
        <f>IFERROR(__xludf.DUMMYFUNCTION("VLOOKUP($A$1,IMPORTRANGE($A$2, CONCATENATE($A51,""!$B$5:$JB$48"")),AW$1,0)"),"#REF!")</f>
        <v>#REF!</v>
      </c>
      <c r="AX51" s="35" t="str">
        <f>IFERROR(__xludf.DUMMYFUNCTION("VLOOKUP($A$1,IMPORTRANGE($A$2, CONCATENATE($A51,""!$B$5:$JB$48"")),AX$1,0)"),"#REF!")</f>
        <v>#REF!</v>
      </c>
      <c r="AY51" s="35" t="str">
        <f>IFERROR(__xludf.DUMMYFUNCTION("VLOOKUP($A$1,IMPORTRANGE($A$2, CONCATENATE($A51,""!$B$5:$JB$48"")),AY$1,0)"),"#REF!")</f>
        <v>#REF!</v>
      </c>
      <c r="AZ51" s="35" t="str">
        <f>IFERROR(__xludf.DUMMYFUNCTION("VLOOKUP($A$1,IMPORTRANGE($A$2, CONCATENATE($A51,""!$B$5:$JB$48"")),AZ$1,0)"),"#REF!")</f>
        <v>#REF!</v>
      </c>
      <c r="BA51" s="35" t="str">
        <f>IFERROR(__xludf.DUMMYFUNCTION("VLOOKUP($A$1,IMPORTRANGE($A$2, CONCATENATE($A51,""!$B$5:$JB$48"")),BA$1,0)"),"#REF!")</f>
        <v>#REF!</v>
      </c>
      <c r="BB51" s="35" t="str">
        <f>IFERROR(__xludf.DUMMYFUNCTION("VLOOKUP($A$1,IMPORTRANGE($A$2, CONCATENATE($A51,""!$B$5:$JB$48"")),BB$1,0)"),"#REF!")</f>
        <v>#REF!</v>
      </c>
      <c r="BC51" s="35" t="str">
        <f>IFERROR(__xludf.DUMMYFUNCTION("VLOOKUP($A$1,IMPORTRANGE($A$2, CONCATENATE($A51,""!$B$5:$JB$48"")),BC$1,0)"),"#REF!")</f>
        <v>#REF!</v>
      </c>
      <c r="BD51" s="35" t="str">
        <f>IFERROR(__xludf.DUMMYFUNCTION("VLOOKUP($A$1,IMPORTRANGE($A$2, CONCATENATE($A51,""!$B$5:$JB$48"")),BD$1,0)"),"#REF!")</f>
        <v>#REF!</v>
      </c>
      <c r="BE51" s="35" t="str">
        <f>IFERROR(__xludf.DUMMYFUNCTION("VLOOKUP($A$1,IMPORTRANGE($A$2, CONCATENATE($A51,""!$B$5:$JB$48"")),BE$1,0)"),"#REF!")</f>
        <v>#REF!</v>
      </c>
      <c r="BF51" s="35" t="str">
        <f>IFERROR(__xludf.DUMMYFUNCTION("VLOOKUP($A$1,IMPORTRANGE($A$2, CONCATENATE($A51,""!$B$5:$JB$48"")),BF$1,0)"),"#REF!")</f>
        <v>#REF!</v>
      </c>
      <c r="BG51" s="35" t="str">
        <f>IFERROR(__xludf.DUMMYFUNCTION("VLOOKUP($A$1,IMPORTRANGE($A$2, CONCATENATE($A51,""!$B$5:$JB$48"")),BG$1,0)"),"#REF!")</f>
        <v>#REF!</v>
      </c>
      <c r="BH51" s="35" t="str">
        <f>IFERROR(__xludf.DUMMYFUNCTION("VLOOKUP($A$1,IMPORTRANGE($A$2, CONCATENATE($A51,""!$B$5:$JB$48"")),BH$1,0)"),"#REF!")</f>
        <v>#REF!</v>
      </c>
      <c r="BI51" s="35" t="str">
        <f>IFERROR(__xludf.DUMMYFUNCTION("VLOOKUP($A$1,IMPORTRANGE($A$2, CONCATENATE($A51,""!$B$5:$JB$48"")),BI$1,0)"),"#REF!")</f>
        <v>#REF!</v>
      </c>
      <c r="BJ51" s="35" t="str">
        <f>IFERROR(__xludf.DUMMYFUNCTION("VLOOKUP($A$1,IMPORTRANGE($A$2, CONCATENATE($A51,""!$B$5:$JB$48"")),BJ$1,0)"),"#REF!")</f>
        <v>#REF!</v>
      </c>
      <c r="BK51" s="35" t="str">
        <f>IFERROR(__xludf.DUMMYFUNCTION("VLOOKUP($A$1,IMPORTRANGE($A$2, CONCATENATE($A51,""!$B$5:$JB$48"")),BK$1,0)"),"#REF!")</f>
        <v>#REF!</v>
      </c>
      <c r="BL51" s="35" t="str">
        <f>IFERROR(__xludf.DUMMYFUNCTION("VLOOKUP($A$1,IMPORTRANGE($A$2, CONCATENATE($A51,""!$B$5:$JB$48"")),BL$1,0)"),"#REF!")</f>
        <v>#REF!</v>
      </c>
      <c r="BM51" s="35" t="str">
        <f>IFERROR(__xludf.DUMMYFUNCTION("VLOOKUP($A$1,IMPORTRANGE($A$2, CONCATENATE($A51,""!$B$5:$JB$48"")),BM$1,0)"),"#REF!")</f>
        <v>#REF!</v>
      </c>
      <c r="BN51" s="35" t="str">
        <f>IFERROR(__xludf.DUMMYFUNCTION("VLOOKUP($A$1,IMPORTRANGE($A$2, CONCATENATE($A51,""!$B$5:$JB$48"")),BN$1,0)"),"#REF!")</f>
        <v>#REF!</v>
      </c>
      <c r="BO51" s="35" t="str">
        <f>IFERROR(__xludf.DUMMYFUNCTION("VLOOKUP($A$1,IMPORTRANGE($A$2, CONCATENATE($A51,""!$B$5:$JB$48"")),BO$1,0)"),"#REF!")</f>
        <v>#REF!</v>
      </c>
      <c r="BP51" s="35" t="str">
        <f>IFERROR(__xludf.DUMMYFUNCTION("VLOOKUP($A$1,IMPORTRANGE($A$2, CONCATENATE($A51,""!$B$5:$JB$48"")),BP$1,0)"),"#REF!")</f>
        <v>#REF!</v>
      </c>
      <c r="BQ51" s="35" t="str">
        <f>IFERROR(__xludf.DUMMYFUNCTION("VLOOKUP($A$1,IMPORTRANGE($A$2, CONCATENATE($A51,""!$B$5:$JB$48"")),BQ$1,0)"),"#REF!")</f>
        <v>#REF!</v>
      </c>
      <c r="BR51" s="35" t="str">
        <f>IFERROR(__xludf.DUMMYFUNCTION("VLOOKUP($A$1,IMPORTRANGE($A$2, CONCATENATE($A51,""!$B$5:$JB$48"")),BR$1,0)"),"#REF!")</f>
        <v>#REF!</v>
      </c>
      <c r="BS51" s="35" t="str">
        <f>IFERROR(__xludf.DUMMYFUNCTION("VLOOKUP($A$1,IMPORTRANGE($A$2, CONCATENATE($A51,""!$B$5:$JB$48"")),BS$1,0)"),"#REF!")</f>
        <v>#REF!</v>
      </c>
      <c r="BT51" s="35" t="str">
        <f>IFERROR(__xludf.DUMMYFUNCTION("VLOOKUP($A$1,IMPORTRANGE($A$2, CONCATENATE($A51,""!$B$5:$JB$48"")),BT$1,0)"),"#REF!")</f>
        <v>#REF!</v>
      </c>
      <c r="BU51" s="35" t="str">
        <f>IFERROR(__xludf.DUMMYFUNCTION("VLOOKUP($A$1,IMPORTRANGE($A$2, CONCATENATE($A51,""!$B$5:$JB$48"")),BU$1,0)"),"#REF!")</f>
        <v>#REF!</v>
      </c>
      <c r="BV51" s="35" t="str">
        <f>IFERROR(__xludf.DUMMYFUNCTION("VLOOKUP($A$1,IMPORTRANGE($A$2, CONCATENATE($A51,""!$B$5:$JB$48"")),BV$1,0)"),"#REF!")</f>
        <v>#REF!</v>
      </c>
      <c r="BW51" s="35" t="str">
        <f>IFERROR(__xludf.DUMMYFUNCTION("VLOOKUP($A$1,IMPORTRANGE($A$2, CONCATENATE($A51,""!$B$5:$JB$48"")),BW$1,0)"),"#REF!")</f>
        <v>#REF!</v>
      </c>
      <c r="BX51" s="35" t="str">
        <f>IFERROR(__xludf.DUMMYFUNCTION("VLOOKUP($A$1,IMPORTRANGE($A$2, CONCATENATE($A51,""!$B$5:$JB$48"")),BX$1,0)"),"#REF!")</f>
        <v>#REF!</v>
      </c>
      <c r="BY51" s="35" t="str">
        <f>IFERROR(__xludf.DUMMYFUNCTION("VLOOKUP($A$1,IMPORTRANGE($A$2, CONCATENATE($A51,""!$B$5:$JB$48"")),BY$1,0)"),"#REF!")</f>
        <v>#REF!</v>
      </c>
      <c r="BZ51" s="35" t="str">
        <f>IFERROR(__xludf.DUMMYFUNCTION("VLOOKUP($A$1,IMPORTRANGE($A$2, CONCATENATE($A51,""!$B$5:$JB$48"")),BZ$1,0)"),"#REF!")</f>
        <v>#REF!</v>
      </c>
      <c r="CA51" s="35" t="str">
        <f>IFERROR(__xludf.DUMMYFUNCTION("VLOOKUP($A$1,IMPORTRANGE($A$2, CONCATENATE($A51,""!$B$5:$JB$48"")),CA$1,0)"),"#REF!")</f>
        <v>#REF!</v>
      </c>
      <c r="CB51" s="35" t="str">
        <f>IFERROR(__xludf.DUMMYFUNCTION("VLOOKUP($A$1,IMPORTRANGE($A$2, CONCATENATE($A51,""!$B$5:$JB$48"")),CB$1,0)"),"#REF!")</f>
        <v>#REF!</v>
      </c>
      <c r="CC51" s="35" t="str">
        <f>IFERROR(__xludf.DUMMYFUNCTION("VLOOKUP($A$1,IMPORTRANGE($A$2, CONCATENATE($A51,""!$B$5:$JB$48"")),CC$1,0)"),"#REF!")</f>
        <v>#REF!</v>
      </c>
      <c r="CD51" s="35" t="str">
        <f>IFERROR(__xludf.DUMMYFUNCTION("VLOOKUP($A$1,IMPORTRANGE($A$2, CONCATENATE($A51,""!$B$5:$JB$48"")),CD$1,0)"),"#REF!")</f>
        <v>#REF!</v>
      </c>
      <c r="CE51" s="35" t="str">
        <f>IFERROR(__xludf.DUMMYFUNCTION("VLOOKUP($A$1,IMPORTRANGE($A$2, CONCATENATE($A51,""!$B$5:$JB$48"")),CE$1,0)"),"#REF!")</f>
        <v>#REF!</v>
      </c>
      <c r="CF51" s="35" t="str">
        <f>IFERROR(__xludf.DUMMYFUNCTION("VLOOKUP($A$1,IMPORTRANGE($A$2, CONCATENATE($A51,""!$B$5:$JB$48"")),CF$1,0)"),"#REF!")</f>
        <v>#REF!</v>
      </c>
      <c r="CG51" s="35" t="str">
        <f>IFERROR(__xludf.DUMMYFUNCTION("VLOOKUP($A$1,IMPORTRANGE($A$2, CONCATENATE($A51,""!$B$5:$JB$48"")),CG$1,0)"),"#REF!")</f>
        <v>#REF!</v>
      </c>
      <c r="CH51" s="35" t="str">
        <f>IFERROR(__xludf.DUMMYFUNCTION("VLOOKUP($A$1,IMPORTRANGE($A$2, CONCATENATE($A51,""!$B$5:$JB$48"")),CH$1,0)"),"#REF!")</f>
        <v>#REF!</v>
      </c>
      <c r="CI51" s="35" t="str">
        <f>IFERROR(__xludf.DUMMYFUNCTION("VLOOKUP($A$1,IMPORTRANGE($A$2, CONCATENATE($A51,""!$B$5:$JB$48"")),CI$1,0)"),"#REF!")</f>
        <v>#REF!</v>
      </c>
      <c r="CJ51" s="35" t="str">
        <f>IFERROR(__xludf.DUMMYFUNCTION("VLOOKUP($A$1,IMPORTRANGE($A$2, CONCATENATE($A51,""!$B$5:$JB$48"")),CJ$1,0)"),"#REF!")</f>
        <v>#REF!</v>
      </c>
      <c r="CK51" s="35" t="str">
        <f>IFERROR(__xludf.DUMMYFUNCTION("VLOOKUP($A$1,IMPORTRANGE($A$2, CONCATENATE($A51,""!$B$5:$JB$48"")),CK$1,0)"),"#REF!")</f>
        <v>#REF!</v>
      </c>
      <c r="CL51" s="35" t="str">
        <f>IFERROR(__xludf.DUMMYFUNCTION("VLOOKUP($A$1,IMPORTRANGE($A$2, CONCATENATE($A51,""!$B$5:$JB$48"")),CL$1,0)"),"#REF!")</f>
        <v>#REF!</v>
      </c>
      <c r="CM51" s="35" t="str">
        <f>IFERROR(__xludf.DUMMYFUNCTION("VLOOKUP($A$1,IMPORTRANGE($A$2, CONCATENATE($A51,""!$B$5:$JB$48"")),CM$1,0)"),"#REF!")</f>
        <v>#REF!</v>
      </c>
      <c r="CN51" s="35" t="str">
        <f>IFERROR(__xludf.DUMMYFUNCTION("VLOOKUP($A$1,IMPORTRANGE($A$2, CONCATENATE($A51,""!$B$5:$JB$48"")),CN$1,0)"),"#REF!")</f>
        <v>#REF!</v>
      </c>
      <c r="CO51" s="35" t="str">
        <f>IFERROR(__xludf.DUMMYFUNCTION("VLOOKUP($A$1,IMPORTRANGE($A$2, CONCATENATE($A51,""!$B$5:$JB$48"")),CO$1,0)"),"#REF!")</f>
        <v>#REF!</v>
      </c>
      <c r="CP51" s="35" t="str">
        <f>IFERROR(__xludf.DUMMYFUNCTION("VLOOKUP($A$1,IMPORTRANGE($A$2, CONCATENATE($A51,""!$B$5:$JB$48"")),CP$1,0)"),"#REF!")</f>
        <v>#REF!</v>
      </c>
      <c r="CQ51" s="35" t="str">
        <f>IFERROR(__xludf.DUMMYFUNCTION("VLOOKUP($A$1,IMPORTRANGE($A$2, CONCATENATE($A51,""!$B$5:$JB$48"")),CQ$1,0)"),"#REF!")</f>
        <v>#REF!</v>
      </c>
      <c r="CR51" s="35" t="str">
        <f>IFERROR(__xludf.DUMMYFUNCTION("VLOOKUP($A$1,IMPORTRANGE($A$2, CONCATENATE($A51,""!$B$5:$JB$48"")),CR$1,0)"),"#REF!")</f>
        <v>#REF!</v>
      </c>
      <c r="CS51" s="35" t="str">
        <f>IFERROR(__xludf.DUMMYFUNCTION("VLOOKUP($A$1,IMPORTRANGE($A$2, CONCATENATE($A51,""!$B$5:$JB$48"")),CS$1,0)"),"#REF!")</f>
        <v>#REF!</v>
      </c>
      <c r="CT51" s="35" t="str">
        <f>IFERROR(__xludf.DUMMYFUNCTION("VLOOKUP($A$1,IMPORTRANGE($A$2, CONCATENATE($A51,""!$B$5:$JB$48"")),CT$1,0)"),"#REF!")</f>
        <v>#REF!</v>
      </c>
      <c r="CU51" s="35" t="str">
        <f>IFERROR(__xludf.DUMMYFUNCTION("VLOOKUP($A$1,IMPORTRANGE($A$2, CONCATENATE($A51,""!$B$5:$JB$48"")),CU$1,0)"),"#REF!")</f>
        <v>#REF!</v>
      </c>
      <c r="CV51" s="35" t="str">
        <f>IFERROR(__xludf.DUMMYFUNCTION("VLOOKUP($A$1,IMPORTRANGE($A$2, CONCATENATE($A51,""!$B$5:$JB$48"")),CV$1,0)"),"#REF!")</f>
        <v>#REF!</v>
      </c>
      <c r="CW51" s="35" t="str">
        <f>IFERROR(__xludf.DUMMYFUNCTION("VLOOKUP($A$1,IMPORTRANGE($A$2, CONCATENATE($A51,""!$B$5:$JB$48"")),CW$1,0)"),"#REF!")</f>
        <v>#REF!</v>
      </c>
      <c r="CX51" s="35" t="str">
        <f>IFERROR(__xludf.DUMMYFUNCTION("VLOOKUP($A$1,IMPORTRANGE($A$2, CONCATENATE($A51,""!$B$5:$JB$48"")),CX$1,0)"),"#REF!")</f>
        <v>#REF!</v>
      </c>
      <c r="CY51" s="35" t="str">
        <f>IFERROR(__xludf.DUMMYFUNCTION("VLOOKUP($A$1,IMPORTRANGE($A$2, CONCATENATE($A51,""!$B$5:$JB$48"")),CY$1,0)"),"#REF!")</f>
        <v>#REF!</v>
      </c>
      <c r="CZ51" s="35" t="str">
        <f>IFERROR(__xludf.DUMMYFUNCTION("VLOOKUP($A$1,IMPORTRANGE($A$2, CONCATENATE($A51,""!$B$5:$JB$48"")),CZ$1,0)"),"#REF!")</f>
        <v>#REF!</v>
      </c>
      <c r="DA51" s="35" t="str">
        <f>IFERROR(__xludf.DUMMYFUNCTION("VLOOKUP($A$1,IMPORTRANGE($A$2, CONCATENATE($A51,""!$B$5:$JB$48"")),DA$1,0)"),"#REF!")</f>
        <v>#REF!</v>
      </c>
      <c r="DB51" s="35" t="str">
        <f>IFERROR(__xludf.DUMMYFUNCTION("VLOOKUP($A$1,IMPORTRANGE($A$2, CONCATENATE($A51,""!$B$5:$JB$48"")),DB$1,0)"),"#REF!")</f>
        <v>#REF!</v>
      </c>
      <c r="DC51" s="35" t="str">
        <f>IFERROR(__xludf.DUMMYFUNCTION("VLOOKUP($A$1,IMPORTRANGE($A$2, CONCATENATE($A51,""!$B$5:$JB$48"")),DC$1,0)"),"#REF!")</f>
        <v>#REF!</v>
      </c>
      <c r="DD51" s="35" t="str">
        <f>IFERROR(__xludf.DUMMYFUNCTION("VLOOKUP($A$1,IMPORTRANGE($A$2, CONCATENATE($A51,""!$B$5:$JB$48"")),DD$1,0)"),"#REF!")</f>
        <v>#REF!</v>
      </c>
      <c r="DE51" s="35" t="str">
        <f>IFERROR(__xludf.DUMMYFUNCTION("VLOOKUP($A$1,IMPORTRANGE($A$2, CONCATENATE($A51,""!$B$5:$JB$48"")),DE$1,0)"),"#REF!")</f>
        <v>#REF!</v>
      </c>
      <c r="DF51" s="35" t="str">
        <f>IFERROR(__xludf.DUMMYFUNCTION("VLOOKUP($A$1,IMPORTRANGE($A$2, CONCATENATE($A51,""!$B$5:$JB$48"")),DF$1,0)"),"#REF!")</f>
        <v>#REF!</v>
      </c>
      <c r="DG51" s="35" t="str">
        <f>IFERROR(__xludf.DUMMYFUNCTION("VLOOKUP($A$1,IMPORTRANGE($A$2, CONCATENATE($A51,""!$B$5:$JB$48"")),DG$1,0)"),"#REF!")</f>
        <v>#REF!</v>
      </c>
      <c r="DH51" s="35" t="str">
        <f>IFERROR(__xludf.DUMMYFUNCTION("VLOOKUP($A$1,IMPORTRANGE($A$2, CONCATENATE($A51,""!$B$5:$JB$48"")),DH$1,0)"),"#REF!")</f>
        <v>#REF!</v>
      </c>
      <c r="DI51" s="35" t="str">
        <f>IFERROR(__xludf.DUMMYFUNCTION("VLOOKUP($A$1,IMPORTRANGE($A$2, CONCATENATE($A51,""!$B$5:$JB$48"")),DI$1,0)"),"#REF!")</f>
        <v>#REF!</v>
      </c>
      <c r="DJ51" s="35" t="str">
        <f>IFERROR(__xludf.DUMMYFUNCTION("VLOOKUP($A$1,IMPORTRANGE($A$2, CONCATENATE($A51,""!$B$5:$JB$48"")),DJ$1,0)"),"#REF!")</f>
        <v>#REF!</v>
      </c>
      <c r="DK51" s="35" t="str">
        <f>IFERROR(__xludf.DUMMYFUNCTION("VLOOKUP($A$1,IMPORTRANGE($A$2, CONCATENATE($A51,""!$B$5:$JB$48"")),DK$1,0)"),"#REF!")</f>
        <v>#REF!</v>
      </c>
      <c r="DL51" s="35" t="str">
        <f>IFERROR(__xludf.DUMMYFUNCTION("VLOOKUP($A$1,IMPORTRANGE($A$2, CONCATENATE($A51,""!$B$5:$JB$48"")),DL$1,0)"),"#REF!")</f>
        <v>#REF!</v>
      </c>
      <c r="DM51" s="35" t="str">
        <f>IFERROR(__xludf.DUMMYFUNCTION("VLOOKUP($A$1,IMPORTRANGE($A$2, CONCATENATE($A51,""!$B$5:$JB$48"")),DM$1,0)"),"#REF!")</f>
        <v>#REF!</v>
      </c>
      <c r="DN51" s="35" t="str">
        <f>IFERROR(__xludf.DUMMYFUNCTION("VLOOKUP($A$1,IMPORTRANGE($A$2, CONCATENATE($A51,""!$B$5:$JB$48"")),DN$1,0)"),"#REF!")</f>
        <v>#REF!</v>
      </c>
      <c r="DO51" s="35" t="str">
        <f>IFERROR(__xludf.DUMMYFUNCTION("VLOOKUP($A$1,IMPORTRANGE($A$2, CONCATENATE($A51,""!$B$5:$JB$48"")),DO$1,0)"),"#REF!")</f>
        <v>#REF!</v>
      </c>
      <c r="DP51" s="35" t="str">
        <f>IFERROR(__xludf.DUMMYFUNCTION("VLOOKUP($A$1,IMPORTRANGE($A$2, CONCATENATE($A51,""!$B$5:$JB$48"")),DP$1,0)"),"#REF!")</f>
        <v>#REF!</v>
      </c>
      <c r="DQ51" s="35" t="str">
        <f>IFERROR(__xludf.DUMMYFUNCTION("VLOOKUP($A$1,IMPORTRANGE($A$2, CONCATENATE($A51,""!$B$5:$JB$48"")),DQ$1,0)"),"#REF!")</f>
        <v>#REF!</v>
      </c>
      <c r="DR51" s="35" t="str">
        <f>IFERROR(__xludf.DUMMYFUNCTION("VLOOKUP($A$1,IMPORTRANGE($A$2, CONCATENATE($A51,""!$B$5:$JB$48"")),DR$1,0)"),"#REF!")</f>
        <v>#REF!</v>
      </c>
      <c r="DS51" s="35" t="str">
        <f>IFERROR(__xludf.DUMMYFUNCTION("VLOOKUP($A$1,IMPORTRANGE($A$2, CONCATENATE($A51,""!$B$5:$JB$48"")),DS$1,0)"),"#REF!")</f>
        <v>#REF!</v>
      </c>
      <c r="DT51" s="35" t="str">
        <f>IFERROR(__xludf.DUMMYFUNCTION("VLOOKUP($A$1,IMPORTRANGE($A$2, CONCATENATE($A51,""!$B$5:$JB$48"")),DT$1,0)"),"#REF!")</f>
        <v>#REF!</v>
      </c>
      <c r="DU51" s="35" t="str">
        <f>IFERROR(__xludf.DUMMYFUNCTION("VLOOKUP($A$1,IMPORTRANGE($A$2, CONCATENATE($A51,""!$B$5:$JB$48"")),DU$1,0)"),"#REF!")</f>
        <v>#REF!</v>
      </c>
      <c r="DV51" s="35" t="str">
        <f>IFERROR(__xludf.DUMMYFUNCTION("VLOOKUP($A$1,IMPORTRANGE($A$2, CONCATENATE($A51,""!$B$5:$JB$48"")),DV$1,0)"),"#REF!")</f>
        <v>#REF!</v>
      </c>
      <c r="DW51" s="35" t="str">
        <f>IFERROR(__xludf.DUMMYFUNCTION("VLOOKUP($A$1,IMPORTRANGE($A$2, CONCATENATE($A51,""!$B$5:$JB$48"")),DW$1,0)"),"#REF!")</f>
        <v>#REF!</v>
      </c>
      <c r="DX51" s="35" t="str">
        <f>IFERROR(__xludf.DUMMYFUNCTION("VLOOKUP($A$1,IMPORTRANGE($A$2, CONCATENATE($A51,""!$B$5:$JB$48"")),DX$1,0)"),"#REF!")</f>
        <v>#REF!</v>
      </c>
      <c r="DY51" s="35" t="str">
        <f>IFERROR(__xludf.DUMMYFUNCTION("VLOOKUP($A$1,IMPORTRANGE($A$2, CONCATENATE($A51,""!$B$5:$JB$48"")),DY$1,0)"),"#REF!")</f>
        <v>#REF!</v>
      </c>
      <c r="DZ51" s="35" t="str">
        <f>IFERROR(__xludf.DUMMYFUNCTION("VLOOKUP($A$1,IMPORTRANGE($A$2, CONCATENATE($A51,""!$B$5:$JB$48"")),DZ$1,0)"),"#REF!")</f>
        <v>#REF!</v>
      </c>
      <c r="EA51" s="35" t="str">
        <f>IFERROR(__xludf.DUMMYFUNCTION("VLOOKUP($A$1,IMPORTRANGE($A$2, CONCATENATE($A51,""!$B$5:$JB$48"")),EA$1,0)"),"#REF!")</f>
        <v>#REF!</v>
      </c>
      <c r="EB51" s="35" t="str">
        <f>IFERROR(__xludf.DUMMYFUNCTION("VLOOKUP($A$1,IMPORTRANGE($A$2, CONCATENATE($A51,""!$B$5:$JB$48"")),EB$1,0)"),"#REF!")</f>
        <v>#REF!</v>
      </c>
      <c r="EC51" s="35" t="str">
        <f>IFERROR(__xludf.DUMMYFUNCTION("VLOOKUP($A$1,IMPORTRANGE($A$2, CONCATENATE($A51,""!$B$5:$JB$48"")),EC$1,0)"),"#REF!")</f>
        <v>#REF!</v>
      </c>
      <c r="ED51" s="35" t="str">
        <f>IFERROR(__xludf.DUMMYFUNCTION("VLOOKUP($A$1,IMPORTRANGE($A$2, CONCATENATE($A51,""!$B$5:$JB$48"")),ED$1,0)"),"#REF!")</f>
        <v>#REF!</v>
      </c>
      <c r="EE51" s="35" t="str">
        <f>IFERROR(__xludf.DUMMYFUNCTION("VLOOKUP($A$1,IMPORTRANGE($A$2, CONCATENATE($A51,""!$B$5:$JB$48"")),EE$1,0)"),"#REF!")</f>
        <v>#REF!</v>
      </c>
      <c r="EF51" s="35" t="str">
        <f>IFERROR(__xludf.DUMMYFUNCTION("VLOOKUP($A$1,IMPORTRANGE($A$2, CONCATENATE($A51,""!$B$5:$JB$48"")),EF$1,0)"),"#REF!")</f>
        <v>#REF!</v>
      </c>
      <c r="EG51" s="35" t="str">
        <f>IFERROR(__xludf.DUMMYFUNCTION("VLOOKUP($A$1,IMPORTRANGE($A$2, CONCATENATE($A51,""!$B$5:$JB$48"")),EG$1,0)"),"#REF!")</f>
        <v>#REF!</v>
      </c>
      <c r="EH51" s="35" t="str">
        <f>IFERROR(__xludf.DUMMYFUNCTION("VLOOKUP($A$1,IMPORTRANGE($A$2, CONCATENATE($A51,""!$B$5:$JB$48"")),EH$1,0)"),"#REF!")</f>
        <v>#REF!</v>
      </c>
      <c r="EI51" s="35" t="str">
        <f>IFERROR(__xludf.DUMMYFUNCTION("VLOOKUP($A$1,IMPORTRANGE($A$2, CONCATENATE($A51,""!$B$5:$JB$48"")),EI$1,0)"),"#REF!")</f>
        <v>#REF!</v>
      </c>
      <c r="EJ51" s="35" t="str">
        <f>IFERROR(__xludf.DUMMYFUNCTION("VLOOKUP($A$1,IMPORTRANGE($A$2, CONCATENATE($A51,""!$B$5:$JB$48"")),EJ$1,0)"),"#REF!")</f>
        <v>#REF!</v>
      </c>
      <c r="EK51" s="35" t="str">
        <f>IFERROR(__xludf.DUMMYFUNCTION("VLOOKUP($A$1,IMPORTRANGE($A$2, CONCATENATE($A51,""!$B$5:$JB$48"")),EK$1,0)"),"#REF!")</f>
        <v>#REF!</v>
      </c>
      <c r="EL51" s="35" t="str">
        <f>IFERROR(__xludf.DUMMYFUNCTION("VLOOKUP($A$1,IMPORTRANGE($A$2, CONCATENATE($A51,""!$B$5:$JB$48"")),EL$1,0)"),"#REF!")</f>
        <v>#REF!</v>
      </c>
      <c r="EM51" s="35" t="str">
        <f>IFERROR(__xludf.DUMMYFUNCTION("VLOOKUP($A$1,IMPORTRANGE($A$2, CONCATENATE($A51,""!$B$5:$JB$48"")),EM$1,0)"),"#REF!")</f>
        <v>#REF!</v>
      </c>
      <c r="EN51" s="35" t="str">
        <f>IFERROR(__xludf.DUMMYFUNCTION("VLOOKUP($A$1,IMPORTRANGE($A$2, CONCATENATE($A51,""!$B$5:$JB$48"")),EN$1,0)"),"#REF!")</f>
        <v>#REF!</v>
      </c>
      <c r="EO51" s="35" t="str">
        <f>IFERROR(__xludf.DUMMYFUNCTION("VLOOKUP($A$1,IMPORTRANGE($A$2, CONCATENATE($A51,""!$B$5:$JB$48"")),EO$1,0)"),"#REF!")</f>
        <v>#REF!</v>
      </c>
      <c r="EP51" s="35" t="str">
        <f>IFERROR(__xludf.DUMMYFUNCTION("VLOOKUP($A$1,IMPORTRANGE($A$2, CONCATENATE($A51,""!$B$5:$JB$48"")),EP$1,0)"),"#REF!")</f>
        <v>#REF!</v>
      </c>
      <c r="EQ51" s="35" t="str">
        <f>IFERROR(__xludf.DUMMYFUNCTION("VLOOKUP($A$1,IMPORTRANGE($A$2, CONCATENATE($A51,""!$B$5:$JB$48"")),EQ$1,0)"),"#REF!")</f>
        <v>#REF!</v>
      </c>
      <c r="ER51" s="35" t="str">
        <f>IFERROR(__xludf.DUMMYFUNCTION("VLOOKUP($A$1,IMPORTRANGE($A$2, CONCATENATE($A51,""!$B$5:$JB$48"")),ER$1,0)"),"#REF!")</f>
        <v>#REF!</v>
      </c>
      <c r="ES51" s="35" t="str">
        <f>IFERROR(__xludf.DUMMYFUNCTION("VLOOKUP($A$1,IMPORTRANGE($A$2, CONCATENATE($A51,""!$B$5:$JB$48"")),ES$1,0)"),"#REF!")</f>
        <v>#REF!</v>
      </c>
      <c r="ET51" s="35" t="str">
        <f>IFERROR(__xludf.DUMMYFUNCTION("VLOOKUP($A$1,IMPORTRANGE($A$2, CONCATENATE($A51,""!$B$5:$JB$48"")),ET$1,0)"),"#REF!")</f>
        <v>#REF!</v>
      </c>
      <c r="EU51" s="35" t="str">
        <f>IFERROR(__xludf.DUMMYFUNCTION("VLOOKUP($A$1,IMPORTRANGE($A$2, CONCATENATE($A51,""!$B$5:$JB$48"")),EU$1,0)"),"#REF!")</f>
        <v>#REF!</v>
      </c>
      <c r="EV51" s="35" t="str">
        <f>IFERROR(__xludf.DUMMYFUNCTION("VLOOKUP($A$1,IMPORTRANGE($A$2, CONCATENATE($A51,""!$B$5:$JB$48"")),EV$1,0)"),"#REF!")</f>
        <v>#REF!</v>
      </c>
      <c r="EW51" s="35" t="str">
        <f>IFERROR(__xludf.DUMMYFUNCTION("VLOOKUP($A$1,IMPORTRANGE($A$2, CONCATENATE($A51,""!$B$5:$JB$48"")),EW$1,0)"),"#REF!")</f>
        <v>#REF!</v>
      </c>
      <c r="EX51" s="35" t="str">
        <f>IFERROR(__xludf.DUMMYFUNCTION("VLOOKUP($A$1,IMPORTRANGE($A$2, CONCATENATE($A51,""!$B$5:$JB$48"")),EX$1,0)"),"#REF!")</f>
        <v>#REF!</v>
      </c>
      <c r="EY51" s="35" t="str">
        <f>IFERROR(__xludf.DUMMYFUNCTION("VLOOKUP($A$1,IMPORTRANGE($A$2, CONCATENATE($A51,""!$B$5:$JB$48"")),EY$1,0)"),"#REF!")</f>
        <v>#REF!</v>
      </c>
      <c r="EZ51" s="35" t="str">
        <f>IFERROR(__xludf.DUMMYFUNCTION("VLOOKUP($A$1,IMPORTRANGE($A$2, CONCATENATE($A51,""!$B$5:$JB$48"")),EZ$1,0)"),"#REF!")</f>
        <v>#REF!</v>
      </c>
      <c r="FA51" s="35" t="str">
        <f>IFERROR(__xludf.DUMMYFUNCTION("VLOOKUP($A$1,IMPORTRANGE($A$2, CONCATENATE($A51,""!$B$5:$JB$48"")),FA$1,0)"),"#REF!")</f>
        <v>#REF!</v>
      </c>
      <c r="FB51" s="35" t="str">
        <f>IFERROR(__xludf.DUMMYFUNCTION("VLOOKUP($A$1,IMPORTRANGE($A$2, CONCATENATE($A51,""!$B$5:$JB$48"")),FB$1,0)"),"#REF!")</f>
        <v>#REF!</v>
      </c>
      <c r="FC51" s="35" t="str">
        <f>IFERROR(__xludf.DUMMYFUNCTION("VLOOKUP($A$1,IMPORTRANGE($A$2, CONCATENATE($A51,""!$B$5:$JB$48"")),FC$1,0)"),"#REF!")</f>
        <v>#REF!</v>
      </c>
      <c r="FD51" s="35" t="str">
        <f>IFERROR(__xludf.DUMMYFUNCTION("VLOOKUP($A$1,IMPORTRANGE($A$2, CONCATENATE($A51,""!$B$5:$JB$48"")),FD$1,0)"),"#REF!")</f>
        <v>#REF!</v>
      </c>
      <c r="FE51" s="35" t="str">
        <f>IFERROR(__xludf.DUMMYFUNCTION("VLOOKUP($A$1,IMPORTRANGE($A$2, CONCATENATE($A51,""!$B$5:$JB$48"")),FE$1,0)"),"#REF!")</f>
        <v>#REF!</v>
      </c>
      <c r="FF51" s="35" t="str">
        <f>IFERROR(__xludf.DUMMYFUNCTION("VLOOKUP($A$1,IMPORTRANGE($A$2, CONCATENATE($A51,""!$B$5:$JB$48"")),FF$1,0)"),"#REF!")</f>
        <v>#REF!</v>
      </c>
      <c r="FG51" s="35" t="str">
        <f>IFERROR(__xludf.DUMMYFUNCTION("VLOOKUP($A$1,IMPORTRANGE($A$2, CONCATENATE($A51,""!$B$5:$JB$48"")),FG$1,0)"),"#REF!")</f>
        <v>#REF!</v>
      </c>
      <c r="FH51" s="35" t="str">
        <f>IFERROR(__xludf.DUMMYFUNCTION("VLOOKUP($A$1,IMPORTRANGE($A$2, CONCATENATE($A51,""!$B$5:$JB$48"")),FH$1,0)"),"#REF!")</f>
        <v>#REF!</v>
      </c>
      <c r="FI51" s="35" t="str">
        <f>IFERROR(__xludf.DUMMYFUNCTION("VLOOKUP($A$1,IMPORTRANGE($A$2, CONCATENATE($A51,""!$B$5:$JB$48"")),FI$1,0)"),"#REF!")</f>
        <v>#REF!</v>
      </c>
      <c r="FJ51" s="35" t="str">
        <f>IFERROR(__xludf.DUMMYFUNCTION("VLOOKUP($A$1,IMPORTRANGE($A$2, CONCATENATE($A51,""!$B$5:$JB$48"")),FJ$1,0)"),"#REF!")</f>
        <v>#REF!</v>
      </c>
      <c r="FK51" s="35" t="str">
        <f>IFERROR(__xludf.DUMMYFUNCTION("VLOOKUP($A$1,IMPORTRANGE($A$2, CONCATENATE($A51,""!$B$5:$JB$48"")),FK$1,0)"),"#REF!")</f>
        <v>#REF!</v>
      </c>
      <c r="FL51" s="35" t="str">
        <f>IFERROR(__xludf.DUMMYFUNCTION("VLOOKUP($A$1,IMPORTRANGE($A$2, CONCATENATE($A51,""!$B$5:$JB$48"")),FL$1,0)"),"#REF!")</f>
        <v>#REF!</v>
      </c>
      <c r="FM51" s="35" t="str">
        <f>IFERROR(__xludf.DUMMYFUNCTION("VLOOKUP($A$1,IMPORTRANGE($A$2, CONCATENATE($A51,""!$B$5:$JB$48"")),FM$1,0)"),"#REF!")</f>
        <v>#REF!</v>
      </c>
      <c r="FN51" s="35" t="str">
        <f>IFERROR(__xludf.DUMMYFUNCTION("VLOOKUP($A$1,IMPORTRANGE($A$2, CONCATENATE($A51,""!$B$5:$JB$48"")),FN$1,0)"),"#REF!")</f>
        <v>#REF!</v>
      </c>
      <c r="FO51" s="35" t="str">
        <f>IFERROR(__xludf.DUMMYFUNCTION("VLOOKUP($A$1,IMPORTRANGE($A$2, CONCATENATE($A51,""!$B$5:$JB$48"")),FO$1,0)"),"#REF!")</f>
        <v>#REF!</v>
      </c>
      <c r="FP51" s="35" t="str">
        <f>IFERROR(__xludf.DUMMYFUNCTION("VLOOKUP($A$1,IMPORTRANGE($A$2, CONCATENATE($A51,""!$B$5:$JB$48"")),FP$1,0)"),"#REF!")</f>
        <v>#REF!</v>
      </c>
      <c r="FQ51" s="35" t="str">
        <f>IFERROR(__xludf.DUMMYFUNCTION("VLOOKUP($A$1,IMPORTRANGE($A$2, CONCATENATE($A51,""!$B$5:$JB$48"")),FQ$1,0)"),"#REF!")</f>
        <v>#REF!</v>
      </c>
      <c r="FR51" s="35" t="str">
        <f>IFERROR(__xludf.DUMMYFUNCTION("VLOOKUP($A$1,IMPORTRANGE($A$2, CONCATENATE($A51,""!$B$5:$JB$48"")),FR$1,0)"),"#REF!")</f>
        <v>#REF!</v>
      </c>
      <c r="FS51" s="35" t="str">
        <f>IFERROR(__xludf.DUMMYFUNCTION("VLOOKUP($A$1,IMPORTRANGE($A$2, CONCATENATE($A51,""!$B$5:$JB$48"")),FS$1,0)"),"#REF!")</f>
        <v>#REF!</v>
      </c>
      <c r="FT51" s="35" t="str">
        <f>IFERROR(__xludf.DUMMYFUNCTION("VLOOKUP($A$1,IMPORTRANGE($A$2, CONCATENATE($A51,""!$B$5:$JB$48"")),FT$1,0)"),"#REF!")</f>
        <v>#REF!</v>
      </c>
      <c r="FU51" s="35" t="str">
        <f>IFERROR(__xludf.DUMMYFUNCTION("VLOOKUP($A$1,IMPORTRANGE($A$2, CONCATENATE($A51,""!$B$5:$JB$48"")),FU$1,0)"),"#REF!")</f>
        <v>#REF!</v>
      </c>
      <c r="FV51" s="35" t="str">
        <f>IFERROR(__xludf.DUMMYFUNCTION("VLOOKUP($A$1,IMPORTRANGE($A$2, CONCATENATE($A51,""!$B$5:$JB$48"")),FV$1,0)"),"#REF!")</f>
        <v>#REF!</v>
      </c>
      <c r="FW51" s="35" t="str">
        <f>IFERROR(__xludf.DUMMYFUNCTION("VLOOKUP($A$1,IMPORTRANGE($A$2, CONCATENATE($A51,""!$B$5:$JB$48"")),FW$1,0)"),"#REF!")</f>
        <v>#REF!</v>
      </c>
      <c r="FX51" s="35" t="str">
        <f>IFERROR(__xludf.DUMMYFUNCTION("VLOOKUP($A$1,IMPORTRANGE($A$2, CONCATENATE($A51,""!$B$5:$JB$48"")),FX$1,0)"),"#REF!")</f>
        <v>#REF!</v>
      </c>
      <c r="FY51" s="35" t="str">
        <f>IFERROR(__xludf.DUMMYFUNCTION("VLOOKUP($A$1,IMPORTRANGE($A$2, CONCATENATE($A51,""!$B$5:$JB$48"")),FY$1,0)"),"#REF!")</f>
        <v>#REF!</v>
      </c>
      <c r="FZ51" s="35" t="str">
        <f>IFERROR(__xludf.DUMMYFUNCTION("VLOOKUP($A$1,IMPORTRANGE($A$2, CONCATENATE($A51,""!$B$5:$JB$48"")),FZ$1,0)"),"#REF!")</f>
        <v>#REF!</v>
      </c>
      <c r="GA51" s="35" t="str">
        <f>IFERROR(__xludf.DUMMYFUNCTION("VLOOKUP($A$1,IMPORTRANGE($A$2, CONCATENATE($A51,""!$B$5:$JB$48"")),GA$1,0)"),"#REF!")</f>
        <v>#REF!</v>
      </c>
      <c r="GB51" s="35" t="str">
        <f>IFERROR(__xludf.DUMMYFUNCTION("VLOOKUP($A$1,IMPORTRANGE($A$2, CONCATENATE($A51,""!$B$5:$JB$48"")),GB$1,0)"),"#REF!")</f>
        <v>#REF!</v>
      </c>
      <c r="GC51" s="35" t="str">
        <f>IFERROR(__xludf.DUMMYFUNCTION("VLOOKUP($A$1,IMPORTRANGE($A$2, CONCATENATE($A51,""!$B$5:$JB$48"")),GC$1,0)"),"#REF!")</f>
        <v>#REF!</v>
      </c>
      <c r="GD51" s="35" t="str">
        <f>IFERROR(__xludf.DUMMYFUNCTION("VLOOKUP($A$1,IMPORTRANGE($A$2, CONCATENATE($A51,""!$B$5:$JB$48"")),GD$1,0)"),"#REF!")</f>
        <v>#REF!</v>
      </c>
      <c r="GE51" s="35" t="str">
        <f>IFERROR(__xludf.DUMMYFUNCTION("VLOOKUP($A$1,IMPORTRANGE($A$2, CONCATENATE($A51,""!$B$5:$JB$48"")),GE$1,0)"),"#REF!")</f>
        <v>#REF!</v>
      </c>
      <c r="GF51" s="35" t="str">
        <f>IFERROR(__xludf.DUMMYFUNCTION("VLOOKUP($A$1,IMPORTRANGE($A$2, CONCATENATE($A51,""!$B$5:$JB$48"")),GF$1,0)"),"#REF!")</f>
        <v>#REF!</v>
      </c>
      <c r="GG51" s="35" t="str">
        <f>IFERROR(__xludf.DUMMYFUNCTION("VLOOKUP($A$1,IMPORTRANGE($A$2, CONCATENATE($A51,""!$B$5:$JB$48"")),GG$1,0)"),"#REF!")</f>
        <v>#REF!</v>
      </c>
      <c r="GH51" s="35" t="str">
        <f>IFERROR(__xludf.DUMMYFUNCTION("VLOOKUP($A$1,IMPORTRANGE($A$2, CONCATENATE($A51,""!$B$5:$JB$48"")),GH$1,0)"),"#REF!")</f>
        <v>#REF!</v>
      </c>
      <c r="GI51" s="35" t="str">
        <f>IFERROR(__xludf.DUMMYFUNCTION("VLOOKUP($A$1,IMPORTRANGE($A$2, CONCATENATE($A51,""!$B$5:$JB$48"")),GI$1,0)"),"#REF!")</f>
        <v>#REF!</v>
      </c>
      <c r="GJ51" s="35" t="str">
        <f>IFERROR(__xludf.DUMMYFUNCTION("VLOOKUP($A$1,IMPORTRANGE($A$2, CONCATENATE($A51,""!$B$5:$JB$48"")),GJ$1,0)"),"#REF!")</f>
        <v>#REF!</v>
      </c>
      <c r="GK51" s="35" t="str">
        <f>IFERROR(__xludf.DUMMYFUNCTION("VLOOKUP($A$1,IMPORTRANGE($A$2, CONCATENATE($A51,""!$B$5:$JB$48"")),GK$1,0)"),"#REF!")</f>
        <v>#REF!</v>
      </c>
      <c r="GL51" s="35" t="str">
        <f>IFERROR(__xludf.DUMMYFUNCTION("VLOOKUP($A$1,IMPORTRANGE($A$2, CONCATENATE($A51,""!$B$5:$JB$48"")),GL$1,0)"),"#REF!")</f>
        <v>#REF!</v>
      </c>
      <c r="GM51" s="35" t="str">
        <f>IFERROR(__xludf.DUMMYFUNCTION("VLOOKUP($A$1,IMPORTRANGE($A$2, CONCATENATE($A51,""!$B$5:$JB$48"")),GM$1,0)"),"#REF!")</f>
        <v>#REF!</v>
      </c>
      <c r="GN51" s="35" t="str">
        <f>IFERROR(__xludf.DUMMYFUNCTION("VLOOKUP($A$1,IMPORTRANGE($A$2, CONCATENATE($A51,""!$B$5:$JB$48"")),GN$1,0)"),"#REF!")</f>
        <v>#REF!</v>
      </c>
      <c r="GO51" s="35" t="str">
        <f>IFERROR(__xludf.DUMMYFUNCTION("VLOOKUP($A$1,IMPORTRANGE($A$2, CONCATENATE($A51,""!$B$5:$JB$48"")),GO$1,0)"),"#REF!")</f>
        <v>#REF!</v>
      </c>
      <c r="GP51" s="35" t="str">
        <f>IFERROR(__xludf.DUMMYFUNCTION("VLOOKUP($A$1,IMPORTRANGE($A$2, CONCATENATE($A51,""!$B$5:$JB$48"")),GP$1,0)"),"#REF!")</f>
        <v>#REF!</v>
      </c>
      <c r="GQ51" s="35" t="str">
        <f>IFERROR(__xludf.DUMMYFUNCTION("VLOOKUP($A$1,IMPORTRANGE($A$2, CONCATENATE($A51,""!$B$5:$JB$48"")),GQ$1,0)"),"#REF!")</f>
        <v>#REF!</v>
      </c>
      <c r="GR51" s="35" t="str">
        <f>IFERROR(__xludf.DUMMYFUNCTION("VLOOKUP($A$1,IMPORTRANGE($A$2, CONCATENATE($A51,""!$B$5:$JB$48"")),GR$1,0)"),"#REF!")</f>
        <v>#REF!</v>
      </c>
      <c r="GS51" s="35" t="str">
        <f>IFERROR(__xludf.DUMMYFUNCTION("VLOOKUP($A$1,IMPORTRANGE($A$2, CONCATENATE($A51,""!$B$5:$JB$48"")),GS$1,0)"),"#REF!")</f>
        <v>#REF!</v>
      </c>
      <c r="GT51" s="35" t="str">
        <f>IFERROR(__xludf.DUMMYFUNCTION("VLOOKUP($A$1,IMPORTRANGE($A$2, CONCATENATE($A51,""!$B$5:$JB$48"")),GT$1,0)"),"#REF!")</f>
        <v>#REF!</v>
      </c>
      <c r="GU51" s="35" t="str">
        <f>IFERROR(__xludf.DUMMYFUNCTION("VLOOKUP($A$1,IMPORTRANGE($A$2, CONCATENATE($A51,""!$B$5:$JB$48"")),GU$1,0)"),"#REF!")</f>
        <v>#REF!</v>
      </c>
      <c r="GV51" s="35" t="str">
        <f>IFERROR(__xludf.DUMMYFUNCTION("VLOOKUP($A$1,IMPORTRANGE($A$2, CONCATENATE($A51,""!$B$5:$JB$48"")),GV$1,0)"),"#REF!")</f>
        <v>#REF!</v>
      </c>
      <c r="GW51" s="35" t="str">
        <f>IFERROR(__xludf.DUMMYFUNCTION("VLOOKUP($A$1,IMPORTRANGE($A$2, CONCATENATE($A51,""!$B$5:$JB$48"")),GW$1,0)"),"#REF!")</f>
        <v>#REF!</v>
      </c>
      <c r="GX51" s="35" t="str">
        <f>IFERROR(__xludf.DUMMYFUNCTION("VLOOKUP($A$1,IMPORTRANGE($A$2, CONCATENATE($A51,""!$B$5:$JB$48"")),GX$1,0)"),"#REF!")</f>
        <v>#REF!</v>
      </c>
      <c r="GY51" s="35" t="str">
        <f>IFERROR(__xludf.DUMMYFUNCTION("VLOOKUP($A$1,IMPORTRANGE($A$2, CONCATENATE($A51,""!$B$5:$JB$48"")),GY$1,0)"),"#REF!")</f>
        <v>#REF!</v>
      </c>
      <c r="GZ51" s="35" t="str">
        <f>IFERROR(__xludf.DUMMYFUNCTION("VLOOKUP($A$1,IMPORTRANGE($A$2, CONCATENATE($A51,""!$B$5:$JB$48"")),GZ$1,0)"),"#REF!")</f>
        <v>#REF!</v>
      </c>
      <c r="HA51" s="35" t="str">
        <f>IFERROR(__xludf.DUMMYFUNCTION("VLOOKUP($A$1,IMPORTRANGE($A$2, CONCATENATE($A51,""!$B$5:$JB$48"")),HA$1,0)"),"#REF!")</f>
        <v>#REF!</v>
      </c>
      <c r="HB51" s="35" t="str">
        <f>IFERROR(__xludf.DUMMYFUNCTION("VLOOKUP($A$1,IMPORTRANGE($A$2, CONCATENATE($A51,""!$B$5:$JB$48"")),HB$1,0)"),"#REF!")</f>
        <v>#REF!</v>
      </c>
      <c r="HC51" s="35" t="str">
        <f>IFERROR(__xludf.DUMMYFUNCTION("VLOOKUP($A$1,IMPORTRANGE($A$2, CONCATENATE($A51,""!$B$5:$JB$48"")),HC$1,0)"),"#REF!")</f>
        <v>#REF!</v>
      </c>
      <c r="HD51" s="35" t="str">
        <f>IFERROR(__xludf.DUMMYFUNCTION("VLOOKUP($A$1,IMPORTRANGE($A$2, CONCATENATE($A51,""!$B$5:$JB$48"")),HD$1,0)"),"#REF!")</f>
        <v>#REF!</v>
      </c>
      <c r="HE51" s="35" t="str">
        <f>IFERROR(__xludf.DUMMYFUNCTION("VLOOKUP($A$1,IMPORTRANGE($A$2, CONCATENATE($A51,""!$B$5:$JB$48"")),HE$1,0)"),"#REF!")</f>
        <v>#REF!</v>
      </c>
      <c r="HF51" s="35" t="str">
        <f>IFERROR(__xludf.DUMMYFUNCTION("VLOOKUP($A$1,IMPORTRANGE($A$2, CONCATENATE($A51,""!$B$5:$JB$48"")),HF$1,0)"),"#REF!")</f>
        <v>#REF!</v>
      </c>
      <c r="HG51" s="35" t="str">
        <f>IFERROR(__xludf.DUMMYFUNCTION("VLOOKUP($A$1,IMPORTRANGE($A$2, CONCATENATE($A51,""!$B$5:$JB$48"")),HG$1,0)"),"#REF!")</f>
        <v>#REF!</v>
      </c>
      <c r="HH51" s="35" t="str">
        <f>IFERROR(__xludf.DUMMYFUNCTION("VLOOKUP($A$1,IMPORTRANGE($A$2, CONCATENATE($A51,""!$B$5:$JB$48"")),HH$1,0)"),"#REF!")</f>
        <v>#REF!</v>
      </c>
      <c r="HI51" s="35" t="str">
        <f>IFERROR(__xludf.DUMMYFUNCTION("VLOOKUP($A$1,IMPORTRANGE($A$2, CONCATENATE($A51,""!$B$5:$JB$48"")),HI$1,0)"),"#REF!")</f>
        <v>#REF!</v>
      </c>
      <c r="HJ51" s="35" t="str">
        <f>IFERROR(__xludf.DUMMYFUNCTION("VLOOKUP($A$1,IMPORTRANGE($A$2, CONCATENATE($A51,""!$B$5:$JB$48"")),HJ$1,0)"),"#REF!")</f>
        <v>#REF!</v>
      </c>
      <c r="HK51" s="35" t="str">
        <f>IFERROR(__xludf.DUMMYFUNCTION("VLOOKUP($A$1,IMPORTRANGE($A$2, CONCATENATE($A51,""!$B$5:$JB$48"")),HK$1,0)"),"#REF!")</f>
        <v>#REF!</v>
      </c>
      <c r="HL51" s="35" t="str">
        <f>IFERROR(__xludf.DUMMYFUNCTION("VLOOKUP($A$1,IMPORTRANGE($A$2, CONCATENATE($A51,""!$B$5:$JB$48"")),HL$1,0)"),"#REF!")</f>
        <v>#REF!</v>
      </c>
      <c r="HM51" s="35" t="str">
        <f>IFERROR(__xludf.DUMMYFUNCTION("VLOOKUP($A$1,IMPORTRANGE($A$2, CONCATENATE($A51,""!$B$5:$JB$48"")),HM$1,0)"),"#REF!")</f>
        <v>#REF!</v>
      </c>
      <c r="HN51" s="35" t="str">
        <f>IFERROR(__xludf.DUMMYFUNCTION("VLOOKUP($A$1,IMPORTRANGE($A$2, CONCATENATE($A51,""!$B$5:$JB$48"")),HN$1,0)"),"#REF!")</f>
        <v>#REF!</v>
      </c>
      <c r="HO51" s="35" t="str">
        <f>IFERROR(__xludf.DUMMYFUNCTION("VLOOKUP($A$1,IMPORTRANGE($A$2, CONCATENATE($A51,""!$B$5:$JB$48"")),HO$1,0)"),"#REF!")</f>
        <v>#REF!</v>
      </c>
      <c r="HP51" s="35" t="str">
        <f>IFERROR(__xludf.DUMMYFUNCTION("VLOOKUP($A$1,IMPORTRANGE($A$2, CONCATENATE($A51,""!$B$5:$JB$48"")),HP$1,0)"),"#REF!")</f>
        <v>#REF!</v>
      </c>
      <c r="HQ51" s="35" t="str">
        <f>IFERROR(__xludf.DUMMYFUNCTION("VLOOKUP($A$1,IMPORTRANGE($A$2, CONCATENATE($A51,""!$B$5:$JB$48"")),HQ$1,0)"),"#REF!")</f>
        <v>#REF!</v>
      </c>
      <c r="HR51" s="35" t="str">
        <f>IFERROR(__xludf.DUMMYFUNCTION("VLOOKUP($A$1,IMPORTRANGE($A$2, CONCATENATE($A51,""!$B$5:$JB$48"")),HR$1,0)"),"#REF!")</f>
        <v>#REF!</v>
      </c>
      <c r="HS51" s="35" t="str">
        <f>IFERROR(__xludf.DUMMYFUNCTION("VLOOKUP($A$1,IMPORTRANGE($A$2, CONCATENATE($A51,""!$B$5:$JB$48"")),HS$1,0)"),"#REF!")</f>
        <v>#REF!</v>
      </c>
      <c r="HT51" s="35" t="str">
        <f>IFERROR(__xludf.DUMMYFUNCTION("VLOOKUP($A$1,IMPORTRANGE($A$2, CONCATENATE($A51,""!$B$5:$JB$48"")),HT$1,0)"),"#REF!")</f>
        <v>#REF!</v>
      </c>
      <c r="HU51" s="35" t="str">
        <f>IFERROR(__xludf.DUMMYFUNCTION("VLOOKUP($A$1,IMPORTRANGE($A$2, CONCATENATE($A51,""!$B$5:$JB$48"")),HU$1,0)"),"#REF!")</f>
        <v>#REF!</v>
      </c>
      <c r="HV51" s="35" t="str">
        <f>IFERROR(__xludf.DUMMYFUNCTION("VLOOKUP($A$1,IMPORTRANGE($A$2, CONCATENATE($A51,""!$B$5:$JB$48"")),HV$1,0)"),"#REF!")</f>
        <v>#REF!</v>
      </c>
      <c r="HW51" s="35" t="str">
        <f>IFERROR(__xludf.DUMMYFUNCTION("VLOOKUP($A$1,IMPORTRANGE($A$2, CONCATENATE($A51,""!$B$5:$JB$48"")),HW$1,0)"),"#REF!")</f>
        <v>#REF!</v>
      </c>
      <c r="HX51" s="35" t="str">
        <f>IFERROR(__xludf.DUMMYFUNCTION("VLOOKUP($A$1,IMPORTRANGE($A$2, CONCATENATE($A51,""!$B$5:$JB$48"")),HX$1,0)"),"#REF!")</f>
        <v>#REF!</v>
      </c>
      <c r="HY51" s="35" t="str">
        <f>IFERROR(__xludf.DUMMYFUNCTION("VLOOKUP($A$1,IMPORTRANGE($A$2, CONCATENATE($A51,""!$B$5:$JB$48"")),HY$1,0)"),"#REF!")</f>
        <v>#REF!</v>
      </c>
      <c r="HZ51" s="35" t="str">
        <f>IFERROR(__xludf.DUMMYFUNCTION("VLOOKUP($A$1,IMPORTRANGE($A$2, CONCATENATE($A51,""!$B$5:$JB$48"")),HZ$1,0)"),"#REF!")</f>
        <v>#REF!</v>
      </c>
      <c r="IA51" s="35" t="str">
        <f>IFERROR(__xludf.DUMMYFUNCTION("VLOOKUP($A$1,IMPORTRANGE($A$2, CONCATENATE($A51,""!$B$5:$JB$48"")),IA$1,0)"),"#REF!")</f>
        <v>#REF!</v>
      </c>
      <c r="IB51" s="35" t="str">
        <f>IFERROR(__xludf.DUMMYFUNCTION("VLOOKUP($A$1,IMPORTRANGE($A$2, CONCATENATE($A51,""!$B$5:$JB$48"")),IB$1,0)"),"#REF!")</f>
        <v>#REF!</v>
      </c>
      <c r="IC51" s="35" t="str">
        <f>IFERROR(__xludf.DUMMYFUNCTION("VLOOKUP($A$1,IMPORTRANGE($A$2, CONCATENATE($A51,""!$B$5:$JB$48"")),IC$1,0)"),"#REF!")</f>
        <v>#REF!</v>
      </c>
      <c r="ID51" s="35" t="str">
        <f>IFERROR(__xludf.DUMMYFUNCTION("VLOOKUP($A$1,IMPORTRANGE($A$2, CONCATENATE($A51,""!$B$5:$JB$48"")),ID$1,0)"),"#REF!")</f>
        <v>#REF!</v>
      </c>
      <c r="IE51" s="35" t="str">
        <f>IFERROR(__xludf.DUMMYFUNCTION("VLOOKUP($A$1,IMPORTRANGE($A$2, CONCATENATE($A51,""!$B$5:$JB$48"")),IE$1,0)"),"#REF!")</f>
        <v>#REF!</v>
      </c>
      <c r="IF51" s="35" t="str">
        <f>IFERROR(__xludf.DUMMYFUNCTION("VLOOKUP($A$1,IMPORTRANGE($A$2, CONCATENATE($A51,""!$B$5:$JB$48"")),IF$1,0)"),"#REF!")</f>
        <v>#REF!</v>
      </c>
      <c r="IG51" s="35" t="str">
        <f>IFERROR(__xludf.DUMMYFUNCTION("VLOOKUP($A$1,IMPORTRANGE($A$2, CONCATENATE($A51,""!$B$5:$JB$48"")),IG$1,0)"),"#REF!")</f>
        <v>#REF!</v>
      </c>
      <c r="IH51" s="35" t="str">
        <f>IFERROR(__xludf.DUMMYFUNCTION("VLOOKUP($A$1,IMPORTRANGE($A$2, CONCATENATE($A51,""!$B$5:$JB$48"")),IH$1,0)"),"#REF!")</f>
        <v>#REF!</v>
      </c>
      <c r="II51" s="35" t="str">
        <f>IFERROR(__xludf.DUMMYFUNCTION("VLOOKUP($A$1,IMPORTRANGE($A$2, CONCATENATE($A51,""!$B$5:$JB$48"")),II$1,0)"),"#REF!")</f>
        <v>#REF!</v>
      </c>
      <c r="IJ51" s="35" t="str">
        <f>IFERROR(__xludf.DUMMYFUNCTION("VLOOKUP($A$1,IMPORTRANGE($A$2, CONCATENATE($A51,""!$B$5:$JB$48"")),IJ$1,0)"),"#REF!")</f>
        <v>#REF!</v>
      </c>
      <c r="IK51" s="35" t="str">
        <f>IFERROR(__xludf.DUMMYFUNCTION("VLOOKUP($A$1,IMPORTRANGE($A$2, CONCATENATE($A51,""!$B$5:$JB$48"")),IK$1,0)"),"#REF!")</f>
        <v>#REF!</v>
      </c>
      <c r="IL51" s="35" t="str">
        <f>IFERROR(__xludf.DUMMYFUNCTION("VLOOKUP($A$1,IMPORTRANGE($A$2, CONCATENATE($A51,""!$B$5:$JB$48"")),IL$1,0)"),"#REF!")</f>
        <v>#REF!</v>
      </c>
      <c r="IM51" s="35" t="str">
        <f>IFERROR(__xludf.DUMMYFUNCTION("VLOOKUP($A$1,IMPORTRANGE($A$2, CONCATENATE($A51,""!$B$5:$JB$48"")),IM$1,0)"),"#REF!")</f>
        <v>#REF!</v>
      </c>
      <c r="IN51" s="35" t="str">
        <f>IFERROR(__xludf.DUMMYFUNCTION("VLOOKUP($A$1,IMPORTRANGE($A$2, CONCATENATE($A51,""!$B$5:$JB$48"")),IN$1,0)"),"#REF!")</f>
        <v>#REF!</v>
      </c>
      <c r="IO51" s="35" t="str">
        <f>IFERROR(__xludf.DUMMYFUNCTION("VLOOKUP($A$1,IMPORTRANGE($A$2, CONCATENATE($A51,""!$B$5:$JB$48"")),IO$1,0)"),"#REF!")</f>
        <v>#REF!</v>
      </c>
      <c r="IP51" s="35" t="str">
        <f>IFERROR(__xludf.DUMMYFUNCTION("VLOOKUP($A$1,IMPORTRANGE($A$2, CONCATENATE($A51,""!$B$5:$JB$48"")),IP$1,0)"),"#REF!")</f>
        <v>#REF!</v>
      </c>
      <c r="IQ51" s="35" t="str">
        <f>IFERROR(__xludf.DUMMYFUNCTION("VLOOKUP($A$1,IMPORTRANGE($A$2, CONCATENATE($A51,""!$B$5:$JB$48"")),IQ$1,0)"),"#REF!")</f>
        <v>#REF!</v>
      </c>
      <c r="IR51" s="35" t="str">
        <f>IFERROR(__xludf.DUMMYFUNCTION("VLOOKUP($A$1,IMPORTRANGE($A$2, CONCATENATE($A51,""!$B$5:$JB$48"")),IR$1,0)"),"#REF!")</f>
        <v>#REF!</v>
      </c>
      <c r="IS51" s="35" t="str">
        <f>IFERROR(__xludf.DUMMYFUNCTION("VLOOKUP($A$1,IMPORTRANGE($A$2, CONCATENATE($A51,""!$B$5:$JB$48"")),IS$1,0)"),"#REF!")</f>
        <v>#REF!</v>
      </c>
      <c r="IT51" s="35" t="str">
        <f>IFERROR(__xludf.DUMMYFUNCTION("VLOOKUP($A$1,IMPORTRANGE($A$2, CONCATENATE($A51,""!$B$5:$JB$48"")),IT$1,0)"),"#REF!")</f>
        <v>#REF!</v>
      </c>
      <c r="IU51" s="35" t="str">
        <f>IFERROR(__xludf.DUMMYFUNCTION("VLOOKUP($A$1,IMPORTRANGE($A$2, CONCATENATE($A51,""!$B$5:$JB$48"")),IU$1,0)"),"#REF!")</f>
        <v>#REF!</v>
      </c>
      <c r="IV51" s="35" t="str">
        <f>IFERROR(__xludf.DUMMYFUNCTION("VLOOKUP($A$1,IMPORTRANGE($A$2, CONCATENATE($A51,""!$B$5:$JB$48"")),IV$1,0)"),"#REF!")</f>
        <v>#REF!</v>
      </c>
      <c r="IW51" s="35" t="str">
        <f>IFERROR(__xludf.DUMMYFUNCTION("VLOOKUP($A$1,IMPORTRANGE($A$2, CONCATENATE($A51,""!$B$5:$JB$48"")),IW$1,0)"),"#REF!")</f>
        <v>#REF!</v>
      </c>
      <c r="IX51" s="35" t="str">
        <f>IFERROR(__xludf.DUMMYFUNCTION("VLOOKUP($A$1,IMPORTRANGE($A$2, CONCATENATE($A51,""!$B$5:$JB$48"")),IX$1,0)"),"#REF!")</f>
        <v>#REF!</v>
      </c>
      <c r="IY51" s="35" t="str">
        <f>IFERROR(__xludf.DUMMYFUNCTION("VLOOKUP($A$1,IMPORTRANGE($A$2, CONCATENATE($A51,""!$B$5:$JB$48"")),IY$1,0)"),"#REF!")</f>
        <v>#REF!</v>
      </c>
      <c r="IZ51" s="35" t="str">
        <f>IFERROR(__xludf.DUMMYFUNCTION("VLOOKUP($A$1,IMPORTRANGE($A$2, CONCATENATE($A51,""!$B$5:$JB$48"")),IZ$1,0)"),"#REF!")</f>
        <v>#REF!</v>
      </c>
      <c r="JA51" s="35" t="str">
        <f>IFERROR(__xludf.DUMMYFUNCTION("VLOOKUP($A$1,IMPORTRANGE($A$2, CONCATENATE($A51,""!$B$5:$JB$48"")),JA$1,0)"),"#REF!")</f>
        <v>#REF!</v>
      </c>
      <c r="JB51" s="37"/>
      <c r="JC51" s="37"/>
      <c r="JD51" s="37"/>
      <c r="JE51" s="37"/>
    </row>
    <row r="52">
      <c r="A52" s="43"/>
      <c r="B52" s="29"/>
      <c r="C52" s="37"/>
      <c r="D52" s="38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/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7"/>
      <c r="HK52" s="37"/>
      <c r="HL52" s="37"/>
      <c r="HM52" s="37"/>
      <c r="HN52" s="37"/>
      <c r="HO52" s="37"/>
      <c r="HP52" s="37"/>
      <c r="HQ52" s="37"/>
      <c r="HR52" s="37"/>
      <c r="HS52" s="37"/>
      <c r="HT52" s="37"/>
      <c r="HU52" s="37"/>
      <c r="HV52" s="37"/>
      <c r="HW52" s="37"/>
      <c r="HX52" s="37"/>
      <c r="HY52" s="37"/>
      <c r="HZ52" s="37"/>
      <c r="IA52" s="37"/>
      <c r="IB52" s="37"/>
      <c r="IC52" s="37"/>
      <c r="ID52" s="37"/>
      <c r="IE52" s="37"/>
      <c r="IF52" s="37"/>
      <c r="IG52" s="37"/>
      <c r="IH52" s="37"/>
      <c r="II52" s="37"/>
      <c r="IJ52" s="37"/>
      <c r="IK52" s="37"/>
      <c r="IL52" s="37"/>
      <c r="IM52" s="37"/>
      <c r="IN52" s="37"/>
      <c r="IO52" s="37"/>
      <c r="IP52" s="37"/>
      <c r="IQ52" s="37"/>
      <c r="IR52" s="37"/>
      <c r="IS52" s="37"/>
      <c r="IT52" s="37"/>
      <c r="IU52" s="37"/>
      <c r="IV52" s="37"/>
      <c r="IW52" s="37"/>
      <c r="IX52" s="37"/>
      <c r="IY52" s="37"/>
      <c r="IZ52" s="37"/>
      <c r="JA52" s="37"/>
      <c r="JB52" s="37"/>
      <c r="JC52" s="37"/>
      <c r="JD52" s="37"/>
      <c r="JE52" s="37"/>
    </row>
    <row r="53">
      <c r="A53" s="43"/>
      <c r="B53" s="32" t="str">
        <f>IFERROR(__xludf.DUMMYFUNCTION("IMPORTRANGE($A$2, CONCATENATE($A54,""!C4:JB4""))"),"Физика")</f>
        <v>Физика</v>
      </c>
      <c r="C53" s="37"/>
      <c r="D53" s="38" t="str">
        <f>IFERROR(__xludf.DUMMYFUNCTION("""COMPUTED_VALUE"""),"История Узб")</f>
        <v>История Узб</v>
      </c>
      <c r="E53" s="37"/>
      <c r="F53" s="37" t="str">
        <f>IFERROR(__xludf.DUMMYFUNCTION("""COMPUTED_VALUE"""),"Информатика")</f>
        <v>Информатика</v>
      </c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  <c r="GB53" s="37"/>
      <c r="GC53" s="37"/>
      <c r="GD53" s="37"/>
      <c r="GE53" s="37"/>
      <c r="GF53" s="37"/>
      <c r="GG53" s="37"/>
      <c r="GH53" s="37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37"/>
      <c r="HH53" s="37"/>
      <c r="HI53" s="37"/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37"/>
      <c r="HU53" s="37"/>
      <c r="HV53" s="37"/>
      <c r="HW53" s="37"/>
      <c r="HX53" s="37"/>
      <c r="HY53" s="37"/>
      <c r="HZ53" s="37"/>
      <c r="IA53" s="37"/>
      <c r="IB53" s="37"/>
      <c r="IC53" s="37"/>
      <c r="ID53" s="37"/>
      <c r="IE53" s="37"/>
      <c r="IF53" s="37"/>
      <c r="IG53" s="37"/>
      <c r="IH53" s="37"/>
      <c r="II53" s="37"/>
      <c r="IJ53" s="37"/>
      <c r="IK53" s="37"/>
      <c r="IL53" s="37"/>
      <c r="IM53" s="37"/>
      <c r="IN53" s="37"/>
      <c r="IO53" s="37"/>
      <c r="IP53" s="37"/>
      <c r="IQ53" s="37"/>
      <c r="IR53" s="37"/>
      <c r="IS53" s="37"/>
      <c r="IT53" s="37"/>
      <c r="IU53" s="37"/>
      <c r="IV53" s="37"/>
      <c r="IW53" s="37"/>
      <c r="IX53" s="37"/>
      <c r="IY53" s="37"/>
      <c r="IZ53" s="37"/>
      <c r="JA53" s="37"/>
      <c r="JB53" s="37"/>
      <c r="JC53" s="37"/>
      <c r="JD53" s="37"/>
      <c r="JE53" s="37"/>
    </row>
    <row r="54">
      <c r="A54" s="42"/>
      <c r="B54" s="35" t="str">
        <f>IFERROR(__xludf.DUMMYFUNCTION("VLOOKUP($A$1,IMPORTRANGE($A$2, CONCATENATE($A54,""!$B$5:$JB$48"")),B$1,0)"),"#N/A")</f>
        <v>#N/A</v>
      </c>
      <c r="C54" s="35" t="str">
        <f>IFERROR(__xludf.DUMMYFUNCTION("VLOOKUP($A$1,IMPORTRANGE($A$2, CONCATENATE($A54,""!$B$5:$JB$48"")),C$1,0)"),"#N/A")</f>
        <v>#N/A</v>
      </c>
      <c r="D54" s="35" t="str">
        <f>IFERROR(__xludf.DUMMYFUNCTION("VLOOKUP($A$1,IMPORTRANGE($A$2, CONCATENATE($A54,""!$B$5:$JB$48"")),D$1,0)"),"#N/A")</f>
        <v>#N/A</v>
      </c>
      <c r="E54" s="35" t="str">
        <f>IFERROR(__xludf.DUMMYFUNCTION("VLOOKUP($A$1,IMPORTRANGE($A$2, CONCATENATE($A54,""!$B$5:$JB$48"")),E$1,0)"),"#N/A")</f>
        <v>#N/A</v>
      </c>
      <c r="F54" s="35" t="str">
        <f>IFERROR(__xludf.DUMMYFUNCTION("VLOOKUP($A$1,IMPORTRANGE($A$2, CONCATENATE($A54,""!$B$5:$JB$48"")),F$1,0)"),"#N/A")</f>
        <v>#N/A</v>
      </c>
      <c r="G54" s="35" t="str">
        <f>IFERROR(__xludf.DUMMYFUNCTION("VLOOKUP($A$1,IMPORTRANGE($A$2, CONCATENATE($A54,""!$B$5:$JB$48"")),G$1,0)"),"#REF!")</f>
        <v>#REF!</v>
      </c>
      <c r="H54" s="35" t="str">
        <f>IFERROR(__xludf.DUMMYFUNCTION("VLOOKUP($A$1,IMPORTRANGE($A$2, CONCATENATE($A54,""!$B$5:$JB$48"")),H$1,0)"),"#REF!")</f>
        <v>#REF!</v>
      </c>
      <c r="I54" s="35" t="str">
        <f>IFERROR(__xludf.DUMMYFUNCTION("VLOOKUP($A$1,IMPORTRANGE($A$2, CONCATENATE($A54,""!$B$5:$JB$48"")),I$1,0)"),"#REF!")</f>
        <v>#REF!</v>
      </c>
      <c r="J54" s="35" t="str">
        <f>IFERROR(__xludf.DUMMYFUNCTION("VLOOKUP($A$1,IMPORTRANGE($A$2, CONCATENATE($A54,""!$B$5:$JB$48"")),J$1,0)"),"#REF!")</f>
        <v>#REF!</v>
      </c>
      <c r="K54" s="35" t="str">
        <f>IFERROR(__xludf.DUMMYFUNCTION("VLOOKUP($A$1,IMPORTRANGE($A$2, CONCATENATE($A54,""!$B$5:$JB$48"")),K$1,0)"),"#REF!")</f>
        <v>#REF!</v>
      </c>
      <c r="L54" s="35" t="str">
        <f>IFERROR(__xludf.DUMMYFUNCTION("VLOOKUP($A$1,IMPORTRANGE($A$2, CONCATENATE($A54,""!$B$5:$JB$48"")),L$1,0)"),"#REF!")</f>
        <v>#REF!</v>
      </c>
      <c r="M54" s="35" t="str">
        <f>IFERROR(__xludf.DUMMYFUNCTION("VLOOKUP($A$1,IMPORTRANGE($A$2, CONCATENATE($A54,""!$B$5:$JB$48"")),M$1,0)"),"#REF!")</f>
        <v>#REF!</v>
      </c>
      <c r="N54" s="35" t="str">
        <f>IFERROR(__xludf.DUMMYFUNCTION("VLOOKUP($A$1,IMPORTRANGE($A$2, CONCATENATE($A54,""!$B$5:$JB$48"")),N$1,0)"),"#REF!")</f>
        <v>#REF!</v>
      </c>
      <c r="O54" s="35" t="str">
        <f>IFERROR(__xludf.DUMMYFUNCTION("VLOOKUP($A$1,IMPORTRANGE($A$2, CONCATENATE($A54,""!$B$5:$JB$48"")),O$1,0)"),"#REF!")</f>
        <v>#REF!</v>
      </c>
      <c r="P54" s="35" t="str">
        <f>IFERROR(__xludf.DUMMYFUNCTION("VLOOKUP($A$1,IMPORTRANGE($A$2, CONCATENATE($A54,""!$B$5:$JB$48"")),P$1,0)"),"#REF!")</f>
        <v>#REF!</v>
      </c>
      <c r="Q54" s="35" t="str">
        <f>IFERROR(__xludf.DUMMYFUNCTION("VLOOKUP($A$1,IMPORTRANGE($A$2, CONCATENATE($A54,""!$B$5:$JB$48"")),Q$1,0)"),"#REF!")</f>
        <v>#REF!</v>
      </c>
      <c r="R54" s="35" t="str">
        <f>IFERROR(__xludf.DUMMYFUNCTION("VLOOKUP($A$1,IMPORTRANGE($A$2, CONCATENATE($A54,""!$B$5:$JB$48"")),R$1,0)"),"#REF!")</f>
        <v>#REF!</v>
      </c>
      <c r="S54" s="35" t="str">
        <f>IFERROR(__xludf.DUMMYFUNCTION("VLOOKUP($A$1,IMPORTRANGE($A$2, CONCATENATE($A54,""!$B$5:$JB$48"")),S$1,0)"),"#REF!")</f>
        <v>#REF!</v>
      </c>
      <c r="T54" s="35" t="str">
        <f>IFERROR(__xludf.DUMMYFUNCTION("VLOOKUP($A$1,IMPORTRANGE($A$2, CONCATENATE($A54,""!$B$5:$JB$48"")),T$1,0)"),"#REF!")</f>
        <v>#REF!</v>
      </c>
      <c r="U54" s="35" t="str">
        <f>IFERROR(__xludf.DUMMYFUNCTION("VLOOKUP($A$1,IMPORTRANGE($A$2, CONCATENATE($A54,""!$B$5:$JB$48"")),U$1,0)"),"#REF!")</f>
        <v>#REF!</v>
      </c>
      <c r="V54" s="35" t="str">
        <f>IFERROR(__xludf.DUMMYFUNCTION("VLOOKUP($A$1,IMPORTRANGE($A$2, CONCATENATE($A54,""!$B$5:$JB$48"")),V$1,0)"),"#REF!")</f>
        <v>#REF!</v>
      </c>
      <c r="W54" s="35" t="str">
        <f>IFERROR(__xludf.DUMMYFUNCTION("VLOOKUP($A$1,IMPORTRANGE($A$2, CONCATENATE($A54,""!$B$5:$JB$48"")),W$1,0)"),"#REF!")</f>
        <v>#REF!</v>
      </c>
      <c r="X54" s="35" t="str">
        <f>IFERROR(__xludf.DUMMYFUNCTION("VLOOKUP($A$1,IMPORTRANGE($A$2, CONCATENATE($A54,""!$B$5:$JB$48"")),X$1,0)"),"#REF!")</f>
        <v>#REF!</v>
      </c>
      <c r="Y54" s="35" t="str">
        <f>IFERROR(__xludf.DUMMYFUNCTION("VLOOKUP($A$1,IMPORTRANGE($A$2, CONCATENATE($A54,""!$B$5:$JB$48"")),Y$1,0)"),"#REF!")</f>
        <v>#REF!</v>
      </c>
      <c r="Z54" s="35" t="str">
        <f>IFERROR(__xludf.DUMMYFUNCTION("VLOOKUP($A$1,IMPORTRANGE($A$2, CONCATENATE($A54,""!$B$5:$JB$48"")),Z$1,0)"),"#REF!")</f>
        <v>#REF!</v>
      </c>
      <c r="AA54" s="35" t="str">
        <f>IFERROR(__xludf.DUMMYFUNCTION("VLOOKUP($A$1,IMPORTRANGE($A$2, CONCATENATE($A54,""!$B$5:$JB$48"")),AA$1,0)"),"#REF!")</f>
        <v>#REF!</v>
      </c>
      <c r="AB54" s="35" t="str">
        <f>IFERROR(__xludf.DUMMYFUNCTION("VLOOKUP($A$1,IMPORTRANGE($A$2, CONCATENATE($A54,""!$B$5:$JB$48"")),AB$1,0)"),"#REF!")</f>
        <v>#REF!</v>
      </c>
      <c r="AC54" s="35" t="str">
        <f>IFERROR(__xludf.DUMMYFUNCTION("VLOOKUP($A$1,IMPORTRANGE($A$2, CONCATENATE($A54,""!$B$5:$JB$48"")),AC$1,0)"),"#REF!")</f>
        <v>#REF!</v>
      </c>
      <c r="AD54" s="35" t="str">
        <f>IFERROR(__xludf.DUMMYFUNCTION("VLOOKUP($A$1,IMPORTRANGE($A$2, CONCATENATE($A54,""!$B$5:$JB$48"")),AD$1,0)"),"#REF!")</f>
        <v>#REF!</v>
      </c>
      <c r="AE54" s="35" t="str">
        <f>IFERROR(__xludf.DUMMYFUNCTION("VLOOKUP($A$1,IMPORTRANGE($A$2, CONCATENATE($A54,""!$B$5:$JB$48"")),AE$1,0)"),"#REF!")</f>
        <v>#REF!</v>
      </c>
      <c r="AF54" s="35" t="str">
        <f>IFERROR(__xludf.DUMMYFUNCTION("VLOOKUP($A$1,IMPORTRANGE($A$2, CONCATENATE($A54,""!$B$5:$JB$48"")),AF$1,0)"),"#REF!")</f>
        <v>#REF!</v>
      </c>
      <c r="AG54" s="35" t="str">
        <f>IFERROR(__xludf.DUMMYFUNCTION("VLOOKUP($A$1,IMPORTRANGE($A$2, CONCATENATE($A54,""!$B$5:$JB$48"")),AG$1,0)"),"#REF!")</f>
        <v>#REF!</v>
      </c>
      <c r="AH54" s="35" t="str">
        <f>IFERROR(__xludf.DUMMYFUNCTION("VLOOKUP($A$1,IMPORTRANGE($A$2, CONCATENATE($A54,""!$B$5:$JB$48"")),AH$1,0)"),"#REF!")</f>
        <v>#REF!</v>
      </c>
      <c r="AI54" s="35" t="str">
        <f>IFERROR(__xludf.DUMMYFUNCTION("VLOOKUP($A$1,IMPORTRANGE($A$2, CONCATENATE($A54,""!$B$5:$JB$48"")),AI$1,0)"),"#REF!")</f>
        <v>#REF!</v>
      </c>
      <c r="AJ54" s="35" t="str">
        <f>IFERROR(__xludf.DUMMYFUNCTION("VLOOKUP($A$1,IMPORTRANGE($A$2, CONCATENATE($A54,""!$B$5:$JB$48"")),AJ$1,0)"),"#REF!")</f>
        <v>#REF!</v>
      </c>
      <c r="AK54" s="35" t="str">
        <f>IFERROR(__xludf.DUMMYFUNCTION("VLOOKUP($A$1,IMPORTRANGE($A$2, CONCATENATE($A54,""!$B$5:$JB$48"")),AK$1,0)"),"#REF!")</f>
        <v>#REF!</v>
      </c>
      <c r="AL54" s="35" t="str">
        <f>IFERROR(__xludf.DUMMYFUNCTION("VLOOKUP($A$1,IMPORTRANGE($A$2, CONCATENATE($A54,""!$B$5:$JB$48"")),AL$1,0)"),"#REF!")</f>
        <v>#REF!</v>
      </c>
      <c r="AM54" s="35" t="str">
        <f>IFERROR(__xludf.DUMMYFUNCTION("VLOOKUP($A$1,IMPORTRANGE($A$2, CONCATENATE($A54,""!$B$5:$JB$48"")),AM$1,0)"),"#REF!")</f>
        <v>#REF!</v>
      </c>
      <c r="AN54" s="35" t="str">
        <f>IFERROR(__xludf.DUMMYFUNCTION("VLOOKUP($A$1,IMPORTRANGE($A$2, CONCATENATE($A54,""!$B$5:$JB$48"")),AN$1,0)"),"#REF!")</f>
        <v>#REF!</v>
      </c>
      <c r="AO54" s="35" t="str">
        <f>IFERROR(__xludf.DUMMYFUNCTION("VLOOKUP($A$1,IMPORTRANGE($A$2, CONCATENATE($A54,""!$B$5:$JB$48"")),AO$1,0)"),"#REF!")</f>
        <v>#REF!</v>
      </c>
      <c r="AP54" s="35" t="str">
        <f>IFERROR(__xludf.DUMMYFUNCTION("VLOOKUP($A$1,IMPORTRANGE($A$2, CONCATENATE($A54,""!$B$5:$JB$48"")),AP$1,0)"),"#REF!")</f>
        <v>#REF!</v>
      </c>
      <c r="AQ54" s="35" t="str">
        <f>IFERROR(__xludf.DUMMYFUNCTION("VLOOKUP($A$1,IMPORTRANGE($A$2, CONCATENATE($A54,""!$B$5:$JB$48"")),AQ$1,0)"),"#REF!")</f>
        <v>#REF!</v>
      </c>
      <c r="AR54" s="35" t="str">
        <f>IFERROR(__xludf.DUMMYFUNCTION("VLOOKUP($A$1,IMPORTRANGE($A$2, CONCATENATE($A54,""!$B$5:$JB$48"")),AR$1,0)"),"#REF!")</f>
        <v>#REF!</v>
      </c>
      <c r="AS54" s="35" t="str">
        <f>IFERROR(__xludf.DUMMYFUNCTION("VLOOKUP($A$1,IMPORTRANGE($A$2, CONCATENATE($A54,""!$B$5:$JB$48"")),AS$1,0)"),"#REF!")</f>
        <v>#REF!</v>
      </c>
      <c r="AT54" s="35" t="str">
        <f>IFERROR(__xludf.DUMMYFUNCTION("VLOOKUP($A$1,IMPORTRANGE($A$2, CONCATENATE($A54,""!$B$5:$JB$48"")),AT$1,0)"),"#REF!")</f>
        <v>#REF!</v>
      </c>
      <c r="AU54" s="35" t="str">
        <f>IFERROR(__xludf.DUMMYFUNCTION("VLOOKUP($A$1,IMPORTRANGE($A$2, CONCATENATE($A54,""!$B$5:$JB$48"")),AU$1,0)"),"#REF!")</f>
        <v>#REF!</v>
      </c>
      <c r="AV54" s="35" t="str">
        <f>IFERROR(__xludf.DUMMYFUNCTION("VLOOKUP($A$1,IMPORTRANGE($A$2, CONCATENATE($A54,""!$B$5:$JB$48"")),AV$1,0)"),"#REF!")</f>
        <v>#REF!</v>
      </c>
      <c r="AW54" s="35" t="str">
        <f>IFERROR(__xludf.DUMMYFUNCTION("VLOOKUP($A$1,IMPORTRANGE($A$2, CONCATENATE($A54,""!$B$5:$JB$48"")),AW$1,0)"),"#REF!")</f>
        <v>#REF!</v>
      </c>
      <c r="AX54" s="35" t="str">
        <f>IFERROR(__xludf.DUMMYFUNCTION("VLOOKUP($A$1,IMPORTRANGE($A$2, CONCATENATE($A54,""!$B$5:$JB$48"")),AX$1,0)"),"#REF!")</f>
        <v>#REF!</v>
      </c>
      <c r="AY54" s="35" t="str">
        <f>IFERROR(__xludf.DUMMYFUNCTION("VLOOKUP($A$1,IMPORTRANGE($A$2, CONCATENATE($A54,""!$B$5:$JB$48"")),AY$1,0)"),"#REF!")</f>
        <v>#REF!</v>
      </c>
      <c r="AZ54" s="35" t="str">
        <f>IFERROR(__xludf.DUMMYFUNCTION("VLOOKUP($A$1,IMPORTRANGE($A$2, CONCATENATE($A54,""!$B$5:$JB$48"")),AZ$1,0)"),"#REF!")</f>
        <v>#REF!</v>
      </c>
      <c r="BA54" s="35" t="str">
        <f>IFERROR(__xludf.DUMMYFUNCTION("VLOOKUP($A$1,IMPORTRANGE($A$2, CONCATENATE($A54,""!$B$5:$JB$48"")),BA$1,0)"),"#REF!")</f>
        <v>#REF!</v>
      </c>
      <c r="BB54" s="35" t="str">
        <f>IFERROR(__xludf.DUMMYFUNCTION("VLOOKUP($A$1,IMPORTRANGE($A$2, CONCATENATE($A54,""!$B$5:$JB$48"")),BB$1,0)"),"#REF!")</f>
        <v>#REF!</v>
      </c>
      <c r="BC54" s="35" t="str">
        <f>IFERROR(__xludf.DUMMYFUNCTION("VLOOKUP($A$1,IMPORTRANGE($A$2, CONCATENATE($A54,""!$B$5:$JB$48"")),BC$1,0)"),"#REF!")</f>
        <v>#REF!</v>
      </c>
      <c r="BD54" s="35" t="str">
        <f>IFERROR(__xludf.DUMMYFUNCTION("VLOOKUP($A$1,IMPORTRANGE($A$2, CONCATENATE($A54,""!$B$5:$JB$48"")),BD$1,0)"),"#REF!")</f>
        <v>#REF!</v>
      </c>
      <c r="BE54" s="35" t="str">
        <f>IFERROR(__xludf.DUMMYFUNCTION("VLOOKUP($A$1,IMPORTRANGE($A$2, CONCATENATE($A54,""!$B$5:$JB$48"")),BE$1,0)"),"#REF!")</f>
        <v>#REF!</v>
      </c>
      <c r="BF54" s="35" t="str">
        <f>IFERROR(__xludf.DUMMYFUNCTION("VLOOKUP($A$1,IMPORTRANGE($A$2, CONCATENATE($A54,""!$B$5:$JB$48"")),BF$1,0)"),"#REF!")</f>
        <v>#REF!</v>
      </c>
      <c r="BG54" s="35" t="str">
        <f>IFERROR(__xludf.DUMMYFUNCTION("VLOOKUP($A$1,IMPORTRANGE($A$2, CONCATENATE($A54,""!$B$5:$JB$48"")),BG$1,0)"),"#REF!")</f>
        <v>#REF!</v>
      </c>
      <c r="BH54" s="35" t="str">
        <f>IFERROR(__xludf.DUMMYFUNCTION("VLOOKUP($A$1,IMPORTRANGE($A$2, CONCATENATE($A54,""!$B$5:$JB$48"")),BH$1,0)"),"#REF!")</f>
        <v>#REF!</v>
      </c>
      <c r="BI54" s="35" t="str">
        <f>IFERROR(__xludf.DUMMYFUNCTION("VLOOKUP($A$1,IMPORTRANGE($A$2, CONCATENATE($A54,""!$B$5:$JB$48"")),BI$1,0)"),"#REF!")</f>
        <v>#REF!</v>
      </c>
      <c r="BJ54" s="35" t="str">
        <f>IFERROR(__xludf.DUMMYFUNCTION("VLOOKUP($A$1,IMPORTRANGE($A$2, CONCATENATE($A54,""!$B$5:$JB$48"")),BJ$1,0)"),"#REF!")</f>
        <v>#REF!</v>
      </c>
      <c r="BK54" s="35" t="str">
        <f>IFERROR(__xludf.DUMMYFUNCTION("VLOOKUP($A$1,IMPORTRANGE($A$2, CONCATENATE($A54,""!$B$5:$JB$48"")),BK$1,0)"),"#REF!")</f>
        <v>#REF!</v>
      </c>
      <c r="BL54" s="35" t="str">
        <f>IFERROR(__xludf.DUMMYFUNCTION("VLOOKUP($A$1,IMPORTRANGE($A$2, CONCATENATE($A54,""!$B$5:$JB$48"")),BL$1,0)"),"#REF!")</f>
        <v>#REF!</v>
      </c>
      <c r="BM54" s="35" t="str">
        <f>IFERROR(__xludf.DUMMYFUNCTION("VLOOKUP($A$1,IMPORTRANGE($A$2, CONCATENATE($A54,""!$B$5:$JB$48"")),BM$1,0)"),"#REF!")</f>
        <v>#REF!</v>
      </c>
      <c r="BN54" s="35" t="str">
        <f>IFERROR(__xludf.DUMMYFUNCTION("VLOOKUP($A$1,IMPORTRANGE($A$2, CONCATENATE($A54,""!$B$5:$JB$48"")),BN$1,0)"),"#REF!")</f>
        <v>#REF!</v>
      </c>
      <c r="BO54" s="35" t="str">
        <f>IFERROR(__xludf.DUMMYFUNCTION("VLOOKUP($A$1,IMPORTRANGE($A$2, CONCATENATE($A54,""!$B$5:$JB$48"")),BO$1,0)"),"#REF!")</f>
        <v>#REF!</v>
      </c>
      <c r="BP54" s="35" t="str">
        <f>IFERROR(__xludf.DUMMYFUNCTION("VLOOKUP($A$1,IMPORTRANGE($A$2, CONCATENATE($A54,""!$B$5:$JB$48"")),BP$1,0)"),"#REF!")</f>
        <v>#REF!</v>
      </c>
      <c r="BQ54" s="35" t="str">
        <f>IFERROR(__xludf.DUMMYFUNCTION("VLOOKUP($A$1,IMPORTRANGE($A$2, CONCATENATE($A54,""!$B$5:$JB$48"")),BQ$1,0)"),"#REF!")</f>
        <v>#REF!</v>
      </c>
      <c r="BR54" s="35" t="str">
        <f>IFERROR(__xludf.DUMMYFUNCTION("VLOOKUP($A$1,IMPORTRANGE($A$2, CONCATENATE($A54,""!$B$5:$JB$48"")),BR$1,0)"),"#REF!")</f>
        <v>#REF!</v>
      </c>
      <c r="BS54" s="35" t="str">
        <f>IFERROR(__xludf.DUMMYFUNCTION("VLOOKUP($A$1,IMPORTRANGE($A$2, CONCATENATE($A54,""!$B$5:$JB$48"")),BS$1,0)"),"#REF!")</f>
        <v>#REF!</v>
      </c>
      <c r="BT54" s="35" t="str">
        <f>IFERROR(__xludf.DUMMYFUNCTION("VLOOKUP($A$1,IMPORTRANGE($A$2, CONCATENATE($A54,""!$B$5:$JB$48"")),BT$1,0)"),"#REF!")</f>
        <v>#REF!</v>
      </c>
      <c r="BU54" s="35" t="str">
        <f>IFERROR(__xludf.DUMMYFUNCTION("VLOOKUP($A$1,IMPORTRANGE($A$2, CONCATENATE($A54,""!$B$5:$JB$48"")),BU$1,0)"),"#REF!")</f>
        <v>#REF!</v>
      </c>
      <c r="BV54" s="35" t="str">
        <f>IFERROR(__xludf.DUMMYFUNCTION("VLOOKUP($A$1,IMPORTRANGE($A$2, CONCATENATE($A54,""!$B$5:$JB$48"")),BV$1,0)"),"#REF!")</f>
        <v>#REF!</v>
      </c>
      <c r="BW54" s="35" t="str">
        <f>IFERROR(__xludf.DUMMYFUNCTION("VLOOKUP($A$1,IMPORTRANGE($A$2, CONCATENATE($A54,""!$B$5:$JB$48"")),BW$1,0)"),"#REF!")</f>
        <v>#REF!</v>
      </c>
      <c r="BX54" s="35" t="str">
        <f>IFERROR(__xludf.DUMMYFUNCTION("VLOOKUP($A$1,IMPORTRANGE($A$2, CONCATENATE($A54,""!$B$5:$JB$48"")),BX$1,0)"),"#REF!")</f>
        <v>#REF!</v>
      </c>
      <c r="BY54" s="35" t="str">
        <f>IFERROR(__xludf.DUMMYFUNCTION("VLOOKUP($A$1,IMPORTRANGE($A$2, CONCATENATE($A54,""!$B$5:$JB$48"")),BY$1,0)"),"#REF!")</f>
        <v>#REF!</v>
      </c>
      <c r="BZ54" s="35" t="str">
        <f>IFERROR(__xludf.DUMMYFUNCTION("VLOOKUP($A$1,IMPORTRANGE($A$2, CONCATENATE($A54,""!$B$5:$JB$48"")),BZ$1,0)"),"#REF!")</f>
        <v>#REF!</v>
      </c>
      <c r="CA54" s="35" t="str">
        <f>IFERROR(__xludf.DUMMYFUNCTION("VLOOKUP($A$1,IMPORTRANGE($A$2, CONCATENATE($A54,""!$B$5:$JB$48"")),CA$1,0)"),"#REF!")</f>
        <v>#REF!</v>
      </c>
      <c r="CB54" s="35" t="str">
        <f>IFERROR(__xludf.DUMMYFUNCTION("VLOOKUP($A$1,IMPORTRANGE($A$2, CONCATENATE($A54,""!$B$5:$JB$48"")),CB$1,0)"),"#REF!")</f>
        <v>#REF!</v>
      </c>
      <c r="CC54" s="35" t="str">
        <f>IFERROR(__xludf.DUMMYFUNCTION("VLOOKUP($A$1,IMPORTRANGE($A$2, CONCATENATE($A54,""!$B$5:$JB$48"")),CC$1,0)"),"#REF!")</f>
        <v>#REF!</v>
      </c>
      <c r="CD54" s="35" t="str">
        <f>IFERROR(__xludf.DUMMYFUNCTION("VLOOKUP($A$1,IMPORTRANGE($A$2, CONCATENATE($A54,""!$B$5:$JB$48"")),CD$1,0)"),"#REF!")</f>
        <v>#REF!</v>
      </c>
      <c r="CE54" s="35" t="str">
        <f>IFERROR(__xludf.DUMMYFUNCTION("VLOOKUP($A$1,IMPORTRANGE($A$2, CONCATENATE($A54,""!$B$5:$JB$48"")),CE$1,0)"),"#REF!")</f>
        <v>#REF!</v>
      </c>
      <c r="CF54" s="35" t="str">
        <f>IFERROR(__xludf.DUMMYFUNCTION("VLOOKUP($A$1,IMPORTRANGE($A$2, CONCATENATE($A54,""!$B$5:$JB$48"")),CF$1,0)"),"#REF!")</f>
        <v>#REF!</v>
      </c>
      <c r="CG54" s="35" t="str">
        <f>IFERROR(__xludf.DUMMYFUNCTION("VLOOKUP($A$1,IMPORTRANGE($A$2, CONCATENATE($A54,""!$B$5:$JB$48"")),CG$1,0)"),"#REF!")</f>
        <v>#REF!</v>
      </c>
      <c r="CH54" s="35" t="str">
        <f>IFERROR(__xludf.DUMMYFUNCTION("VLOOKUP($A$1,IMPORTRANGE($A$2, CONCATENATE($A54,""!$B$5:$JB$48"")),CH$1,0)"),"#REF!")</f>
        <v>#REF!</v>
      </c>
      <c r="CI54" s="35" t="str">
        <f>IFERROR(__xludf.DUMMYFUNCTION("VLOOKUP($A$1,IMPORTRANGE($A$2, CONCATENATE($A54,""!$B$5:$JB$48"")),CI$1,0)"),"#REF!")</f>
        <v>#REF!</v>
      </c>
      <c r="CJ54" s="35" t="str">
        <f>IFERROR(__xludf.DUMMYFUNCTION("VLOOKUP($A$1,IMPORTRANGE($A$2, CONCATENATE($A54,""!$B$5:$JB$48"")),CJ$1,0)"),"#REF!")</f>
        <v>#REF!</v>
      </c>
      <c r="CK54" s="35" t="str">
        <f>IFERROR(__xludf.DUMMYFUNCTION("VLOOKUP($A$1,IMPORTRANGE($A$2, CONCATENATE($A54,""!$B$5:$JB$48"")),CK$1,0)"),"#REF!")</f>
        <v>#REF!</v>
      </c>
      <c r="CL54" s="35" t="str">
        <f>IFERROR(__xludf.DUMMYFUNCTION("VLOOKUP($A$1,IMPORTRANGE($A$2, CONCATENATE($A54,""!$B$5:$JB$48"")),CL$1,0)"),"#REF!")</f>
        <v>#REF!</v>
      </c>
      <c r="CM54" s="35" t="str">
        <f>IFERROR(__xludf.DUMMYFUNCTION("VLOOKUP($A$1,IMPORTRANGE($A$2, CONCATENATE($A54,""!$B$5:$JB$48"")),CM$1,0)"),"#REF!")</f>
        <v>#REF!</v>
      </c>
      <c r="CN54" s="35" t="str">
        <f>IFERROR(__xludf.DUMMYFUNCTION("VLOOKUP($A$1,IMPORTRANGE($A$2, CONCATENATE($A54,""!$B$5:$JB$48"")),CN$1,0)"),"#REF!")</f>
        <v>#REF!</v>
      </c>
      <c r="CO54" s="35" t="str">
        <f>IFERROR(__xludf.DUMMYFUNCTION("VLOOKUP($A$1,IMPORTRANGE($A$2, CONCATENATE($A54,""!$B$5:$JB$48"")),CO$1,0)"),"#REF!")</f>
        <v>#REF!</v>
      </c>
      <c r="CP54" s="35" t="str">
        <f>IFERROR(__xludf.DUMMYFUNCTION("VLOOKUP($A$1,IMPORTRANGE($A$2, CONCATENATE($A54,""!$B$5:$JB$48"")),CP$1,0)"),"#REF!")</f>
        <v>#REF!</v>
      </c>
      <c r="CQ54" s="35" t="str">
        <f>IFERROR(__xludf.DUMMYFUNCTION("VLOOKUP($A$1,IMPORTRANGE($A$2, CONCATENATE($A54,""!$B$5:$JB$48"")),CQ$1,0)"),"#REF!")</f>
        <v>#REF!</v>
      </c>
      <c r="CR54" s="35" t="str">
        <f>IFERROR(__xludf.DUMMYFUNCTION("VLOOKUP($A$1,IMPORTRANGE($A$2, CONCATENATE($A54,""!$B$5:$JB$48"")),CR$1,0)"),"#REF!")</f>
        <v>#REF!</v>
      </c>
      <c r="CS54" s="35" t="str">
        <f>IFERROR(__xludf.DUMMYFUNCTION("VLOOKUP($A$1,IMPORTRANGE($A$2, CONCATENATE($A54,""!$B$5:$JB$48"")),CS$1,0)"),"#REF!")</f>
        <v>#REF!</v>
      </c>
      <c r="CT54" s="35" t="str">
        <f>IFERROR(__xludf.DUMMYFUNCTION("VLOOKUP($A$1,IMPORTRANGE($A$2, CONCATENATE($A54,""!$B$5:$JB$48"")),CT$1,0)"),"#REF!")</f>
        <v>#REF!</v>
      </c>
      <c r="CU54" s="35" t="str">
        <f>IFERROR(__xludf.DUMMYFUNCTION("VLOOKUP($A$1,IMPORTRANGE($A$2, CONCATENATE($A54,""!$B$5:$JB$48"")),CU$1,0)"),"#REF!")</f>
        <v>#REF!</v>
      </c>
      <c r="CV54" s="35" t="str">
        <f>IFERROR(__xludf.DUMMYFUNCTION("VLOOKUP($A$1,IMPORTRANGE($A$2, CONCATENATE($A54,""!$B$5:$JB$48"")),CV$1,0)"),"#REF!")</f>
        <v>#REF!</v>
      </c>
      <c r="CW54" s="35" t="str">
        <f>IFERROR(__xludf.DUMMYFUNCTION("VLOOKUP($A$1,IMPORTRANGE($A$2, CONCATENATE($A54,""!$B$5:$JB$48"")),CW$1,0)"),"#REF!")</f>
        <v>#REF!</v>
      </c>
      <c r="CX54" s="35" t="str">
        <f>IFERROR(__xludf.DUMMYFUNCTION("VLOOKUP($A$1,IMPORTRANGE($A$2, CONCATENATE($A54,""!$B$5:$JB$48"")),CX$1,0)"),"#REF!")</f>
        <v>#REF!</v>
      </c>
      <c r="CY54" s="35" t="str">
        <f>IFERROR(__xludf.DUMMYFUNCTION("VLOOKUP($A$1,IMPORTRANGE($A$2, CONCATENATE($A54,""!$B$5:$JB$48"")),CY$1,0)"),"#REF!")</f>
        <v>#REF!</v>
      </c>
      <c r="CZ54" s="35" t="str">
        <f>IFERROR(__xludf.DUMMYFUNCTION("VLOOKUP($A$1,IMPORTRANGE($A$2, CONCATENATE($A54,""!$B$5:$JB$48"")),CZ$1,0)"),"#REF!")</f>
        <v>#REF!</v>
      </c>
      <c r="DA54" s="35" t="str">
        <f>IFERROR(__xludf.DUMMYFUNCTION("VLOOKUP($A$1,IMPORTRANGE($A$2, CONCATENATE($A54,""!$B$5:$JB$48"")),DA$1,0)"),"#REF!")</f>
        <v>#REF!</v>
      </c>
      <c r="DB54" s="35" t="str">
        <f>IFERROR(__xludf.DUMMYFUNCTION("VLOOKUP($A$1,IMPORTRANGE($A$2, CONCATENATE($A54,""!$B$5:$JB$48"")),DB$1,0)"),"#REF!")</f>
        <v>#REF!</v>
      </c>
      <c r="DC54" s="35" t="str">
        <f>IFERROR(__xludf.DUMMYFUNCTION("VLOOKUP($A$1,IMPORTRANGE($A$2, CONCATENATE($A54,""!$B$5:$JB$48"")),DC$1,0)"),"#REF!")</f>
        <v>#REF!</v>
      </c>
      <c r="DD54" s="35" t="str">
        <f>IFERROR(__xludf.DUMMYFUNCTION("VLOOKUP($A$1,IMPORTRANGE($A$2, CONCATENATE($A54,""!$B$5:$JB$48"")),DD$1,0)"),"#REF!")</f>
        <v>#REF!</v>
      </c>
      <c r="DE54" s="35" t="str">
        <f>IFERROR(__xludf.DUMMYFUNCTION("VLOOKUP($A$1,IMPORTRANGE($A$2, CONCATENATE($A54,""!$B$5:$JB$48"")),DE$1,0)"),"#REF!")</f>
        <v>#REF!</v>
      </c>
      <c r="DF54" s="35" t="str">
        <f>IFERROR(__xludf.DUMMYFUNCTION("VLOOKUP($A$1,IMPORTRANGE($A$2, CONCATENATE($A54,""!$B$5:$JB$48"")),DF$1,0)"),"#REF!")</f>
        <v>#REF!</v>
      </c>
      <c r="DG54" s="35" t="str">
        <f>IFERROR(__xludf.DUMMYFUNCTION("VLOOKUP($A$1,IMPORTRANGE($A$2, CONCATENATE($A54,""!$B$5:$JB$48"")),DG$1,0)"),"#REF!")</f>
        <v>#REF!</v>
      </c>
      <c r="DH54" s="35" t="str">
        <f>IFERROR(__xludf.DUMMYFUNCTION("VLOOKUP($A$1,IMPORTRANGE($A$2, CONCATENATE($A54,""!$B$5:$JB$48"")),DH$1,0)"),"#REF!")</f>
        <v>#REF!</v>
      </c>
      <c r="DI54" s="35" t="str">
        <f>IFERROR(__xludf.DUMMYFUNCTION("VLOOKUP($A$1,IMPORTRANGE($A$2, CONCATENATE($A54,""!$B$5:$JB$48"")),DI$1,0)"),"#REF!")</f>
        <v>#REF!</v>
      </c>
      <c r="DJ54" s="35" t="str">
        <f>IFERROR(__xludf.DUMMYFUNCTION("VLOOKUP($A$1,IMPORTRANGE($A$2, CONCATENATE($A54,""!$B$5:$JB$48"")),DJ$1,0)"),"#REF!")</f>
        <v>#REF!</v>
      </c>
      <c r="DK54" s="35" t="str">
        <f>IFERROR(__xludf.DUMMYFUNCTION("VLOOKUP($A$1,IMPORTRANGE($A$2, CONCATENATE($A54,""!$B$5:$JB$48"")),DK$1,0)"),"#REF!")</f>
        <v>#REF!</v>
      </c>
      <c r="DL54" s="35" t="str">
        <f>IFERROR(__xludf.DUMMYFUNCTION("VLOOKUP($A$1,IMPORTRANGE($A$2, CONCATENATE($A54,""!$B$5:$JB$48"")),DL$1,0)"),"#REF!")</f>
        <v>#REF!</v>
      </c>
      <c r="DM54" s="35" t="str">
        <f>IFERROR(__xludf.DUMMYFUNCTION("VLOOKUP($A$1,IMPORTRANGE($A$2, CONCATENATE($A54,""!$B$5:$JB$48"")),DM$1,0)"),"#REF!")</f>
        <v>#REF!</v>
      </c>
      <c r="DN54" s="35" t="str">
        <f>IFERROR(__xludf.DUMMYFUNCTION("VLOOKUP($A$1,IMPORTRANGE($A$2, CONCATENATE($A54,""!$B$5:$JB$48"")),DN$1,0)"),"#REF!")</f>
        <v>#REF!</v>
      </c>
      <c r="DO54" s="35" t="str">
        <f>IFERROR(__xludf.DUMMYFUNCTION("VLOOKUP($A$1,IMPORTRANGE($A$2, CONCATENATE($A54,""!$B$5:$JB$48"")),DO$1,0)"),"#REF!")</f>
        <v>#REF!</v>
      </c>
      <c r="DP54" s="35" t="str">
        <f>IFERROR(__xludf.DUMMYFUNCTION("VLOOKUP($A$1,IMPORTRANGE($A$2, CONCATENATE($A54,""!$B$5:$JB$48"")),DP$1,0)"),"#REF!")</f>
        <v>#REF!</v>
      </c>
      <c r="DQ54" s="35" t="str">
        <f>IFERROR(__xludf.DUMMYFUNCTION("VLOOKUP($A$1,IMPORTRANGE($A$2, CONCATENATE($A54,""!$B$5:$JB$48"")),DQ$1,0)"),"#REF!")</f>
        <v>#REF!</v>
      </c>
      <c r="DR54" s="35" t="str">
        <f>IFERROR(__xludf.DUMMYFUNCTION("VLOOKUP($A$1,IMPORTRANGE($A$2, CONCATENATE($A54,""!$B$5:$JB$48"")),DR$1,0)"),"#REF!")</f>
        <v>#REF!</v>
      </c>
      <c r="DS54" s="35" t="str">
        <f>IFERROR(__xludf.DUMMYFUNCTION("VLOOKUP($A$1,IMPORTRANGE($A$2, CONCATENATE($A54,""!$B$5:$JB$48"")),DS$1,0)"),"#REF!")</f>
        <v>#REF!</v>
      </c>
      <c r="DT54" s="35" t="str">
        <f>IFERROR(__xludf.DUMMYFUNCTION("VLOOKUP($A$1,IMPORTRANGE($A$2, CONCATENATE($A54,""!$B$5:$JB$48"")),DT$1,0)"),"#REF!")</f>
        <v>#REF!</v>
      </c>
      <c r="DU54" s="35" t="str">
        <f>IFERROR(__xludf.DUMMYFUNCTION("VLOOKUP($A$1,IMPORTRANGE($A$2, CONCATENATE($A54,""!$B$5:$JB$48"")),DU$1,0)"),"#REF!")</f>
        <v>#REF!</v>
      </c>
      <c r="DV54" s="35" t="str">
        <f>IFERROR(__xludf.DUMMYFUNCTION("VLOOKUP($A$1,IMPORTRANGE($A$2, CONCATENATE($A54,""!$B$5:$JB$48"")),DV$1,0)"),"#REF!")</f>
        <v>#REF!</v>
      </c>
      <c r="DW54" s="35" t="str">
        <f>IFERROR(__xludf.DUMMYFUNCTION("VLOOKUP($A$1,IMPORTRANGE($A$2, CONCATENATE($A54,""!$B$5:$JB$48"")),DW$1,0)"),"#REF!")</f>
        <v>#REF!</v>
      </c>
      <c r="DX54" s="35" t="str">
        <f>IFERROR(__xludf.DUMMYFUNCTION("VLOOKUP($A$1,IMPORTRANGE($A$2, CONCATENATE($A54,""!$B$5:$JB$48"")),DX$1,0)"),"#REF!")</f>
        <v>#REF!</v>
      </c>
      <c r="DY54" s="35" t="str">
        <f>IFERROR(__xludf.DUMMYFUNCTION("VLOOKUP($A$1,IMPORTRANGE($A$2, CONCATENATE($A54,""!$B$5:$JB$48"")),DY$1,0)"),"#REF!")</f>
        <v>#REF!</v>
      </c>
      <c r="DZ54" s="35" t="str">
        <f>IFERROR(__xludf.DUMMYFUNCTION("VLOOKUP($A$1,IMPORTRANGE($A$2, CONCATENATE($A54,""!$B$5:$JB$48"")),DZ$1,0)"),"#REF!")</f>
        <v>#REF!</v>
      </c>
      <c r="EA54" s="35" t="str">
        <f>IFERROR(__xludf.DUMMYFUNCTION("VLOOKUP($A$1,IMPORTRANGE($A$2, CONCATENATE($A54,""!$B$5:$JB$48"")),EA$1,0)"),"#REF!")</f>
        <v>#REF!</v>
      </c>
      <c r="EB54" s="35" t="str">
        <f>IFERROR(__xludf.DUMMYFUNCTION("VLOOKUP($A$1,IMPORTRANGE($A$2, CONCATENATE($A54,""!$B$5:$JB$48"")),EB$1,0)"),"#REF!")</f>
        <v>#REF!</v>
      </c>
      <c r="EC54" s="35" t="str">
        <f>IFERROR(__xludf.DUMMYFUNCTION("VLOOKUP($A$1,IMPORTRANGE($A$2, CONCATENATE($A54,""!$B$5:$JB$48"")),EC$1,0)"),"#REF!")</f>
        <v>#REF!</v>
      </c>
      <c r="ED54" s="35" t="str">
        <f>IFERROR(__xludf.DUMMYFUNCTION("VLOOKUP($A$1,IMPORTRANGE($A$2, CONCATENATE($A54,""!$B$5:$JB$48"")),ED$1,0)"),"#REF!")</f>
        <v>#REF!</v>
      </c>
      <c r="EE54" s="35" t="str">
        <f>IFERROR(__xludf.DUMMYFUNCTION("VLOOKUP($A$1,IMPORTRANGE($A$2, CONCATENATE($A54,""!$B$5:$JB$48"")),EE$1,0)"),"#REF!")</f>
        <v>#REF!</v>
      </c>
      <c r="EF54" s="35" t="str">
        <f>IFERROR(__xludf.DUMMYFUNCTION("VLOOKUP($A$1,IMPORTRANGE($A$2, CONCATENATE($A54,""!$B$5:$JB$48"")),EF$1,0)"),"#REF!")</f>
        <v>#REF!</v>
      </c>
      <c r="EG54" s="35" t="str">
        <f>IFERROR(__xludf.DUMMYFUNCTION("VLOOKUP($A$1,IMPORTRANGE($A$2, CONCATENATE($A54,""!$B$5:$JB$48"")),EG$1,0)"),"#REF!")</f>
        <v>#REF!</v>
      </c>
      <c r="EH54" s="35" t="str">
        <f>IFERROR(__xludf.DUMMYFUNCTION("VLOOKUP($A$1,IMPORTRANGE($A$2, CONCATENATE($A54,""!$B$5:$JB$48"")),EH$1,0)"),"#REF!")</f>
        <v>#REF!</v>
      </c>
      <c r="EI54" s="35" t="str">
        <f>IFERROR(__xludf.DUMMYFUNCTION("VLOOKUP($A$1,IMPORTRANGE($A$2, CONCATENATE($A54,""!$B$5:$JB$48"")),EI$1,0)"),"#REF!")</f>
        <v>#REF!</v>
      </c>
      <c r="EJ54" s="35" t="str">
        <f>IFERROR(__xludf.DUMMYFUNCTION("VLOOKUP($A$1,IMPORTRANGE($A$2, CONCATENATE($A54,""!$B$5:$JB$48"")),EJ$1,0)"),"#REF!")</f>
        <v>#REF!</v>
      </c>
      <c r="EK54" s="35" t="str">
        <f>IFERROR(__xludf.DUMMYFUNCTION("VLOOKUP($A$1,IMPORTRANGE($A$2, CONCATENATE($A54,""!$B$5:$JB$48"")),EK$1,0)"),"#REF!")</f>
        <v>#REF!</v>
      </c>
      <c r="EL54" s="35" t="str">
        <f>IFERROR(__xludf.DUMMYFUNCTION("VLOOKUP($A$1,IMPORTRANGE($A$2, CONCATENATE($A54,""!$B$5:$JB$48"")),EL$1,0)"),"#REF!")</f>
        <v>#REF!</v>
      </c>
      <c r="EM54" s="35" t="str">
        <f>IFERROR(__xludf.DUMMYFUNCTION("VLOOKUP($A$1,IMPORTRANGE($A$2, CONCATENATE($A54,""!$B$5:$JB$48"")),EM$1,0)"),"#REF!")</f>
        <v>#REF!</v>
      </c>
      <c r="EN54" s="35" t="str">
        <f>IFERROR(__xludf.DUMMYFUNCTION("VLOOKUP($A$1,IMPORTRANGE($A$2, CONCATENATE($A54,""!$B$5:$JB$48"")),EN$1,0)"),"#REF!")</f>
        <v>#REF!</v>
      </c>
      <c r="EO54" s="35" t="str">
        <f>IFERROR(__xludf.DUMMYFUNCTION("VLOOKUP($A$1,IMPORTRANGE($A$2, CONCATENATE($A54,""!$B$5:$JB$48"")),EO$1,0)"),"#REF!")</f>
        <v>#REF!</v>
      </c>
      <c r="EP54" s="35" t="str">
        <f>IFERROR(__xludf.DUMMYFUNCTION("VLOOKUP($A$1,IMPORTRANGE($A$2, CONCATENATE($A54,""!$B$5:$JB$48"")),EP$1,0)"),"#REF!")</f>
        <v>#REF!</v>
      </c>
      <c r="EQ54" s="35" t="str">
        <f>IFERROR(__xludf.DUMMYFUNCTION("VLOOKUP($A$1,IMPORTRANGE($A$2, CONCATENATE($A54,""!$B$5:$JB$48"")),EQ$1,0)"),"#REF!")</f>
        <v>#REF!</v>
      </c>
      <c r="ER54" s="35" t="str">
        <f>IFERROR(__xludf.DUMMYFUNCTION("VLOOKUP($A$1,IMPORTRANGE($A$2, CONCATENATE($A54,""!$B$5:$JB$48"")),ER$1,0)"),"#REF!")</f>
        <v>#REF!</v>
      </c>
      <c r="ES54" s="35" t="str">
        <f>IFERROR(__xludf.DUMMYFUNCTION("VLOOKUP($A$1,IMPORTRANGE($A$2, CONCATENATE($A54,""!$B$5:$JB$48"")),ES$1,0)"),"#REF!")</f>
        <v>#REF!</v>
      </c>
      <c r="ET54" s="35" t="str">
        <f>IFERROR(__xludf.DUMMYFUNCTION("VLOOKUP($A$1,IMPORTRANGE($A$2, CONCATENATE($A54,""!$B$5:$JB$48"")),ET$1,0)"),"#REF!")</f>
        <v>#REF!</v>
      </c>
      <c r="EU54" s="35" t="str">
        <f>IFERROR(__xludf.DUMMYFUNCTION("VLOOKUP($A$1,IMPORTRANGE($A$2, CONCATENATE($A54,""!$B$5:$JB$48"")),EU$1,0)"),"#REF!")</f>
        <v>#REF!</v>
      </c>
      <c r="EV54" s="35" t="str">
        <f>IFERROR(__xludf.DUMMYFUNCTION("VLOOKUP($A$1,IMPORTRANGE($A$2, CONCATENATE($A54,""!$B$5:$JB$48"")),EV$1,0)"),"#REF!")</f>
        <v>#REF!</v>
      </c>
      <c r="EW54" s="35" t="str">
        <f>IFERROR(__xludf.DUMMYFUNCTION("VLOOKUP($A$1,IMPORTRANGE($A$2, CONCATENATE($A54,""!$B$5:$JB$48"")),EW$1,0)"),"#REF!")</f>
        <v>#REF!</v>
      </c>
      <c r="EX54" s="35" t="str">
        <f>IFERROR(__xludf.DUMMYFUNCTION("VLOOKUP($A$1,IMPORTRANGE($A$2, CONCATENATE($A54,""!$B$5:$JB$48"")),EX$1,0)"),"#REF!")</f>
        <v>#REF!</v>
      </c>
      <c r="EY54" s="35" t="str">
        <f>IFERROR(__xludf.DUMMYFUNCTION("VLOOKUP($A$1,IMPORTRANGE($A$2, CONCATENATE($A54,""!$B$5:$JB$48"")),EY$1,0)"),"#REF!")</f>
        <v>#REF!</v>
      </c>
      <c r="EZ54" s="35" t="str">
        <f>IFERROR(__xludf.DUMMYFUNCTION("VLOOKUP($A$1,IMPORTRANGE($A$2, CONCATENATE($A54,""!$B$5:$JB$48"")),EZ$1,0)"),"#REF!")</f>
        <v>#REF!</v>
      </c>
      <c r="FA54" s="35" t="str">
        <f>IFERROR(__xludf.DUMMYFUNCTION("VLOOKUP($A$1,IMPORTRANGE($A$2, CONCATENATE($A54,""!$B$5:$JB$48"")),FA$1,0)"),"#REF!")</f>
        <v>#REF!</v>
      </c>
      <c r="FB54" s="35" t="str">
        <f>IFERROR(__xludf.DUMMYFUNCTION("VLOOKUP($A$1,IMPORTRANGE($A$2, CONCATENATE($A54,""!$B$5:$JB$48"")),FB$1,0)"),"#REF!")</f>
        <v>#REF!</v>
      </c>
      <c r="FC54" s="35" t="str">
        <f>IFERROR(__xludf.DUMMYFUNCTION("VLOOKUP($A$1,IMPORTRANGE($A$2, CONCATENATE($A54,""!$B$5:$JB$48"")),FC$1,0)"),"#REF!")</f>
        <v>#REF!</v>
      </c>
      <c r="FD54" s="35" t="str">
        <f>IFERROR(__xludf.DUMMYFUNCTION("VLOOKUP($A$1,IMPORTRANGE($A$2, CONCATENATE($A54,""!$B$5:$JB$48"")),FD$1,0)"),"#REF!")</f>
        <v>#REF!</v>
      </c>
      <c r="FE54" s="35" t="str">
        <f>IFERROR(__xludf.DUMMYFUNCTION("VLOOKUP($A$1,IMPORTRANGE($A$2, CONCATENATE($A54,""!$B$5:$JB$48"")),FE$1,0)"),"#REF!")</f>
        <v>#REF!</v>
      </c>
      <c r="FF54" s="35" t="str">
        <f>IFERROR(__xludf.DUMMYFUNCTION("VLOOKUP($A$1,IMPORTRANGE($A$2, CONCATENATE($A54,""!$B$5:$JB$48"")),FF$1,0)"),"#REF!")</f>
        <v>#REF!</v>
      </c>
      <c r="FG54" s="35" t="str">
        <f>IFERROR(__xludf.DUMMYFUNCTION("VLOOKUP($A$1,IMPORTRANGE($A$2, CONCATENATE($A54,""!$B$5:$JB$48"")),FG$1,0)"),"#REF!")</f>
        <v>#REF!</v>
      </c>
      <c r="FH54" s="35" t="str">
        <f>IFERROR(__xludf.DUMMYFUNCTION("VLOOKUP($A$1,IMPORTRANGE($A$2, CONCATENATE($A54,""!$B$5:$JB$48"")),FH$1,0)"),"#REF!")</f>
        <v>#REF!</v>
      </c>
      <c r="FI54" s="35" t="str">
        <f>IFERROR(__xludf.DUMMYFUNCTION("VLOOKUP($A$1,IMPORTRANGE($A$2, CONCATENATE($A54,""!$B$5:$JB$48"")),FI$1,0)"),"#REF!")</f>
        <v>#REF!</v>
      </c>
      <c r="FJ54" s="35" t="str">
        <f>IFERROR(__xludf.DUMMYFUNCTION("VLOOKUP($A$1,IMPORTRANGE($A$2, CONCATENATE($A54,""!$B$5:$JB$48"")),FJ$1,0)"),"#REF!")</f>
        <v>#REF!</v>
      </c>
      <c r="FK54" s="35" t="str">
        <f>IFERROR(__xludf.DUMMYFUNCTION("VLOOKUP($A$1,IMPORTRANGE($A$2, CONCATENATE($A54,""!$B$5:$JB$48"")),FK$1,0)"),"#REF!")</f>
        <v>#REF!</v>
      </c>
      <c r="FL54" s="35" t="str">
        <f>IFERROR(__xludf.DUMMYFUNCTION("VLOOKUP($A$1,IMPORTRANGE($A$2, CONCATENATE($A54,""!$B$5:$JB$48"")),FL$1,0)"),"#REF!")</f>
        <v>#REF!</v>
      </c>
      <c r="FM54" s="35" t="str">
        <f>IFERROR(__xludf.DUMMYFUNCTION("VLOOKUP($A$1,IMPORTRANGE($A$2, CONCATENATE($A54,""!$B$5:$JB$48"")),FM$1,0)"),"#REF!")</f>
        <v>#REF!</v>
      </c>
      <c r="FN54" s="35" t="str">
        <f>IFERROR(__xludf.DUMMYFUNCTION("VLOOKUP($A$1,IMPORTRANGE($A$2, CONCATENATE($A54,""!$B$5:$JB$48"")),FN$1,0)"),"#REF!")</f>
        <v>#REF!</v>
      </c>
      <c r="FO54" s="35" t="str">
        <f>IFERROR(__xludf.DUMMYFUNCTION("VLOOKUP($A$1,IMPORTRANGE($A$2, CONCATENATE($A54,""!$B$5:$JB$48"")),FO$1,0)"),"#REF!")</f>
        <v>#REF!</v>
      </c>
      <c r="FP54" s="35" t="str">
        <f>IFERROR(__xludf.DUMMYFUNCTION("VLOOKUP($A$1,IMPORTRANGE($A$2, CONCATENATE($A54,""!$B$5:$JB$48"")),FP$1,0)"),"#REF!")</f>
        <v>#REF!</v>
      </c>
      <c r="FQ54" s="35" t="str">
        <f>IFERROR(__xludf.DUMMYFUNCTION("VLOOKUP($A$1,IMPORTRANGE($A$2, CONCATENATE($A54,""!$B$5:$JB$48"")),FQ$1,0)"),"#REF!")</f>
        <v>#REF!</v>
      </c>
      <c r="FR54" s="35" t="str">
        <f>IFERROR(__xludf.DUMMYFUNCTION("VLOOKUP($A$1,IMPORTRANGE($A$2, CONCATENATE($A54,""!$B$5:$JB$48"")),FR$1,0)"),"#REF!")</f>
        <v>#REF!</v>
      </c>
      <c r="FS54" s="35" t="str">
        <f>IFERROR(__xludf.DUMMYFUNCTION("VLOOKUP($A$1,IMPORTRANGE($A$2, CONCATENATE($A54,""!$B$5:$JB$48"")),FS$1,0)"),"#REF!")</f>
        <v>#REF!</v>
      </c>
      <c r="FT54" s="35" t="str">
        <f>IFERROR(__xludf.DUMMYFUNCTION("VLOOKUP($A$1,IMPORTRANGE($A$2, CONCATENATE($A54,""!$B$5:$JB$48"")),FT$1,0)"),"#REF!")</f>
        <v>#REF!</v>
      </c>
      <c r="FU54" s="35" t="str">
        <f>IFERROR(__xludf.DUMMYFUNCTION("VLOOKUP($A$1,IMPORTRANGE($A$2, CONCATENATE($A54,""!$B$5:$JB$48"")),FU$1,0)"),"#REF!")</f>
        <v>#REF!</v>
      </c>
      <c r="FV54" s="35" t="str">
        <f>IFERROR(__xludf.DUMMYFUNCTION("VLOOKUP($A$1,IMPORTRANGE($A$2, CONCATENATE($A54,""!$B$5:$JB$48"")),FV$1,0)"),"#REF!")</f>
        <v>#REF!</v>
      </c>
      <c r="FW54" s="35" t="str">
        <f>IFERROR(__xludf.DUMMYFUNCTION("VLOOKUP($A$1,IMPORTRANGE($A$2, CONCATENATE($A54,""!$B$5:$JB$48"")),FW$1,0)"),"#REF!")</f>
        <v>#REF!</v>
      </c>
      <c r="FX54" s="35" t="str">
        <f>IFERROR(__xludf.DUMMYFUNCTION("VLOOKUP($A$1,IMPORTRANGE($A$2, CONCATENATE($A54,""!$B$5:$JB$48"")),FX$1,0)"),"#REF!")</f>
        <v>#REF!</v>
      </c>
      <c r="FY54" s="35" t="str">
        <f>IFERROR(__xludf.DUMMYFUNCTION("VLOOKUP($A$1,IMPORTRANGE($A$2, CONCATENATE($A54,""!$B$5:$JB$48"")),FY$1,0)"),"#REF!")</f>
        <v>#REF!</v>
      </c>
      <c r="FZ54" s="35" t="str">
        <f>IFERROR(__xludf.DUMMYFUNCTION("VLOOKUP($A$1,IMPORTRANGE($A$2, CONCATENATE($A54,""!$B$5:$JB$48"")),FZ$1,0)"),"#REF!")</f>
        <v>#REF!</v>
      </c>
      <c r="GA54" s="35" t="str">
        <f>IFERROR(__xludf.DUMMYFUNCTION("VLOOKUP($A$1,IMPORTRANGE($A$2, CONCATENATE($A54,""!$B$5:$JB$48"")),GA$1,0)"),"#REF!")</f>
        <v>#REF!</v>
      </c>
      <c r="GB54" s="35" t="str">
        <f>IFERROR(__xludf.DUMMYFUNCTION("VLOOKUP($A$1,IMPORTRANGE($A$2, CONCATENATE($A54,""!$B$5:$JB$48"")),GB$1,0)"),"#REF!")</f>
        <v>#REF!</v>
      </c>
      <c r="GC54" s="35" t="str">
        <f>IFERROR(__xludf.DUMMYFUNCTION("VLOOKUP($A$1,IMPORTRANGE($A$2, CONCATENATE($A54,""!$B$5:$JB$48"")),GC$1,0)"),"#REF!")</f>
        <v>#REF!</v>
      </c>
      <c r="GD54" s="35" t="str">
        <f>IFERROR(__xludf.DUMMYFUNCTION("VLOOKUP($A$1,IMPORTRANGE($A$2, CONCATENATE($A54,""!$B$5:$JB$48"")),GD$1,0)"),"#REF!")</f>
        <v>#REF!</v>
      </c>
      <c r="GE54" s="35" t="str">
        <f>IFERROR(__xludf.DUMMYFUNCTION("VLOOKUP($A$1,IMPORTRANGE($A$2, CONCATENATE($A54,""!$B$5:$JB$48"")),GE$1,0)"),"#REF!")</f>
        <v>#REF!</v>
      </c>
      <c r="GF54" s="35" t="str">
        <f>IFERROR(__xludf.DUMMYFUNCTION("VLOOKUP($A$1,IMPORTRANGE($A$2, CONCATENATE($A54,""!$B$5:$JB$48"")),GF$1,0)"),"#REF!")</f>
        <v>#REF!</v>
      </c>
      <c r="GG54" s="35" t="str">
        <f>IFERROR(__xludf.DUMMYFUNCTION("VLOOKUP($A$1,IMPORTRANGE($A$2, CONCATENATE($A54,""!$B$5:$JB$48"")),GG$1,0)"),"#REF!")</f>
        <v>#REF!</v>
      </c>
      <c r="GH54" s="35" t="str">
        <f>IFERROR(__xludf.DUMMYFUNCTION("VLOOKUP($A$1,IMPORTRANGE($A$2, CONCATENATE($A54,""!$B$5:$JB$48"")),GH$1,0)"),"#REF!")</f>
        <v>#REF!</v>
      </c>
      <c r="GI54" s="35" t="str">
        <f>IFERROR(__xludf.DUMMYFUNCTION("VLOOKUP($A$1,IMPORTRANGE($A$2, CONCATENATE($A54,""!$B$5:$JB$48"")),GI$1,0)"),"#REF!")</f>
        <v>#REF!</v>
      </c>
      <c r="GJ54" s="35" t="str">
        <f>IFERROR(__xludf.DUMMYFUNCTION("VLOOKUP($A$1,IMPORTRANGE($A$2, CONCATENATE($A54,""!$B$5:$JB$48"")),GJ$1,0)"),"#REF!")</f>
        <v>#REF!</v>
      </c>
      <c r="GK54" s="35" t="str">
        <f>IFERROR(__xludf.DUMMYFUNCTION("VLOOKUP($A$1,IMPORTRANGE($A$2, CONCATENATE($A54,""!$B$5:$JB$48"")),GK$1,0)"),"#REF!")</f>
        <v>#REF!</v>
      </c>
      <c r="GL54" s="35" t="str">
        <f>IFERROR(__xludf.DUMMYFUNCTION("VLOOKUP($A$1,IMPORTRANGE($A$2, CONCATENATE($A54,""!$B$5:$JB$48"")),GL$1,0)"),"#REF!")</f>
        <v>#REF!</v>
      </c>
      <c r="GM54" s="35" t="str">
        <f>IFERROR(__xludf.DUMMYFUNCTION("VLOOKUP($A$1,IMPORTRANGE($A$2, CONCATENATE($A54,""!$B$5:$JB$48"")),GM$1,0)"),"#REF!")</f>
        <v>#REF!</v>
      </c>
      <c r="GN54" s="35" t="str">
        <f>IFERROR(__xludf.DUMMYFUNCTION("VLOOKUP($A$1,IMPORTRANGE($A$2, CONCATENATE($A54,""!$B$5:$JB$48"")),GN$1,0)"),"#REF!")</f>
        <v>#REF!</v>
      </c>
      <c r="GO54" s="35" t="str">
        <f>IFERROR(__xludf.DUMMYFUNCTION("VLOOKUP($A$1,IMPORTRANGE($A$2, CONCATENATE($A54,""!$B$5:$JB$48"")),GO$1,0)"),"#REF!")</f>
        <v>#REF!</v>
      </c>
      <c r="GP54" s="35" t="str">
        <f>IFERROR(__xludf.DUMMYFUNCTION("VLOOKUP($A$1,IMPORTRANGE($A$2, CONCATENATE($A54,""!$B$5:$JB$48"")),GP$1,0)"),"#REF!")</f>
        <v>#REF!</v>
      </c>
      <c r="GQ54" s="35" t="str">
        <f>IFERROR(__xludf.DUMMYFUNCTION("VLOOKUP($A$1,IMPORTRANGE($A$2, CONCATENATE($A54,""!$B$5:$JB$48"")),GQ$1,0)"),"#REF!")</f>
        <v>#REF!</v>
      </c>
      <c r="GR54" s="35" t="str">
        <f>IFERROR(__xludf.DUMMYFUNCTION("VLOOKUP($A$1,IMPORTRANGE($A$2, CONCATENATE($A54,""!$B$5:$JB$48"")),GR$1,0)"),"#REF!")</f>
        <v>#REF!</v>
      </c>
      <c r="GS54" s="35" t="str">
        <f>IFERROR(__xludf.DUMMYFUNCTION("VLOOKUP($A$1,IMPORTRANGE($A$2, CONCATENATE($A54,""!$B$5:$JB$48"")),GS$1,0)"),"#REF!")</f>
        <v>#REF!</v>
      </c>
      <c r="GT54" s="35" t="str">
        <f>IFERROR(__xludf.DUMMYFUNCTION("VLOOKUP($A$1,IMPORTRANGE($A$2, CONCATENATE($A54,""!$B$5:$JB$48"")),GT$1,0)"),"#REF!")</f>
        <v>#REF!</v>
      </c>
      <c r="GU54" s="35" t="str">
        <f>IFERROR(__xludf.DUMMYFUNCTION("VLOOKUP($A$1,IMPORTRANGE($A$2, CONCATENATE($A54,""!$B$5:$JB$48"")),GU$1,0)"),"#REF!")</f>
        <v>#REF!</v>
      </c>
      <c r="GV54" s="35" t="str">
        <f>IFERROR(__xludf.DUMMYFUNCTION("VLOOKUP($A$1,IMPORTRANGE($A$2, CONCATENATE($A54,""!$B$5:$JB$48"")),GV$1,0)"),"#REF!")</f>
        <v>#REF!</v>
      </c>
      <c r="GW54" s="35" t="str">
        <f>IFERROR(__xludf.DUMMYFUNCTION("VLOOKUP($A$1,IMPORTRANGE($A$2, CONCATENATE($A54,""!$B$5:$JB$48"")),GW$1,0)"),"#REF!")</f>
        <v>#REF!</v>
      </c>
      <c r="GX54" s="35" t="str">
        <f>IFERROR(__xludf.DUMMYFUNCTION("VLOOKUP($A$1,IMPORTRANGE($A$2, CONCATENATE($A54,""!$B$5:$JB$48"")),GX$1,0)"),"#REF!")</f>
        <v>#REF!</v>
      </c>
      <c r="GY54" s="35" t="str">
        <f>IFERROR(__xludf.DUMMYFUNCTION("VLOOKUP($A$1,IMPORTRANGE($A$2, CONCATENATE($A54,""!$B$5:$JB$48"")),GY$1,0)"),"#REF!")</f>
        <v>#REF!</v>
      </c>
      <c r="GZ54" s="35" t="str">
        <f>IFERROR(__xludf.DUMMYFUNCTION("VLOOKUP($A$1,IMPORTRANGE($A$2, CONCATENATE($A54,""!$B$5:$JB$48"")),GZ$1,0)"),"#REF!")</f>
        <v>#REF!</v>
      </c>
      <c r="HA54" s="35" t="str">
        <f>IFERROR(__xludf.DUMMYFUNCTION("VLOOKUP($A$1,IMPORTRANGE($A$2, CONCATENATE($A54,""!$B$5:$JB$48"")),HA$1,0)"),"#REF!")</f>
        <v>#REF!</v>
      </c>
      <c r="HB54" s="35" t="str">
        <f>IFERROR(__xludf.DUMMYFUNCTION("VLOOKUP($A$1,IMPORTRANGE($A$2, CONCATENATE($A54,""!$B$5:$JB$48"")),HB$1,0)"),"#REF!")</f>
        <v>#REF!</v>
      </c>
      <c r="HC54" s="35" t="str">
        <f>IFERROR(__xludf.DUMMYFUNCTION("VLOOKUP($A$1,IMPORTRANGE($A$2, CONCATENATE($A54,""!$B$5:$JB$48"")),HC$1,0)"),"#REF!")</f>
        <v>#REF!</v>
      </c>
      <c r="HD54" s="35" t="str">
        <f>IFERROR(__xludf.DUMMYFUNCTION("VLOOKUP($A$1,IMPORTRANGE($A$2, CONCATENATE($A54,""!$B$5:$JB$48"")),HD$1,0)"),"#REF!")</f>
        <v>#REF!</v>
      </c>
      <c r="HE54" s="35" t="str">
        <f>IFERROR(__xludf.DUMMYFUNCTION("VLOOKUP($A$1,IMPORTRANGE($A$2, CONCATENATE($A54,""!$B$5:$JB$48"")),HE$1,0)"),"#REF!")</f>
        <v>#REF!</v>
      </c>
      <c r="HF54" s="35" t="str">
        <f>IFERROR(__xludf.DUMMYFUNCTION("VLOOKUP($A$1,IMPORTRANGE($A$2, CONCATENATE($A54,""!$B$5:$JB$48"")),HF$1,0)"),"#REF!")</f>
        <v>#REF!</v>
      </c>
      <c r="HG54" s="35" t="str">
        <f>IFERROR(__xludf.DUMMYFUNCTION("VLOOKUP($A$1,IMPORTRANGE($A$2, CONCATENATE($A54,""!$B$5:$JB$48"")),HG$1,0)"),"#REF!")</f>
        <v>#REF!</v>
      </c>
      <c r="HH54" s="35" t="str">
        <f>IFERROR(__xludf.DUMMYFUNCTION("VLOOKUP($A$1,IMPORTRANGE($A$2, CONCATENATE($A54,""!$B$5:$JB$48"")),HH$1,0)"),"#REF!")</f>
        <v>#REF!</v>
      </c>
      <c r="HI54" s="35" t="str">
        <f>IFERROR(__xludf.DUMMYFUNCTION("VLOOKUP($A$1,IMPORTRANGE($A$2, CONCATENATE($A54,""!$B$5:$JB$48"")),HI$1,0)"),"#REF!")</f>
        <v>#REF!</v>
      </c>
      <c r="HJ54" s="35" t="str">
        <f>IFERROR(__xludf.DUMMYFUNCTION("VLOOKUP($A$1,IMPORTRANGE($A$2, CONCATENATE($A54,""!$B$5:$JB$48"")),HJ$1,0)"),"#REF!")</f>
        <v>#REF!</v>
      </c>
      <c r="HK54" s="35" t="str">
        <f>IFERROR(__xludf.DUMMYFUNCTION("VLOOKUP($A$1,IMPORTRANGE($A$2, CONCATENATE($A54,""!$B$5:$JB$48"")),HK$1,0)"),"#REF!")</f>
        <v>#REF!</v>
      </c>
      <c r="HL54" s="35" t="str">
        <f>IFERROR(__xludf.DUMMYFUNCTION("VLOOKUP($A$1,IMPORTRANGE($A$2, CONCATENATE($A54,""!$B$5:$JB$48"")),HL$1,0)"),"#REF!")</f>
        <v>#REF!</v>
      </c>
      <c r="HM54" s="35" t="str">
        <f>IFERROR(__xludf.DUMMYFUNCTION("VLOOKUP($A$1,IMPORTRANGE($A$2, CONCATENATE($A54,""!$B$5:$JB$48"")),HM$1,0)"),"#REF!")</f>
        <v>#REF!</v>
      </c>
      <c r="HN54" s="35" t="str">
        <f>IFERROR(__xludf.DUMMYFUNCTION("VLOOKUP($A$1,IMPORTRANGE($A$2, CONCATENATE($A54,""!$B$5:$JB$48"")),HN$1,0)"),"#REF!")</f>
        <v>#REF!</v>
      </c>
      <c r="HO54" s="35" t="str">
        <f>IFERROR(__xludf.DUMMYFUNCTION("VLOOKUP($A$1,IMPORTRANGE($A$2, CONCATENATE($A54,""!$B$5:$JB$48"")),HO$1,0)"),"#REF!")</f>
        <v>#REF!</v>
      </c>
      <c r="HP54" s="35" t="str">
        <f>IFERROR(__xludf.DUMMYFUNCTION("VLOOKUP($A$1,IMPORTRANGE($A$2, CONCATENATE($A54,""!$B$5:$JB$48"")),HP$1,0)"),"#REF!")</f>
        <v>#REF!</v>
      </c>
      <c r="HQ54" s="35" t="str">
        <f>IFERROR(__xludf.DUMMYFUNCTION("VLOOKUP($A$1,IMPORTRANGE($A$2, CONCATENATE($A54,""!$B$5:$JB$48"")),HQ$1,0)"),"#REF!")</f>
        <v>#REF!</v>
      </c>
      <c r="HR54" s="35" t="str">
        <f>IFERROR(__xludf.DUMMYFUNCTION("VLOOKUP($A$1,IMPORTRANGE($A$2, CONCATENATE($A54,""!$B$5:$JB$48"")),HR$1,0)"),"#REF!")</f>
        <v>#REF!</v>
      </c>
      <c r="HS54" s="35" t="str">
        <f>IFERROR(__xludf.DUMMYFUNCTION("VLOOKUP($A$1,IMPORTRANGE($A$2, CONCATENATE($A54,""!$B$5:$JB$48"")),HS$1,0)"),"#REF!")</f>
        <v>#REF!</v>
      </c>
      <c r="HT54" s="35" t="str">
        <f>IFERROR(__xludf.DUMMYFUNCTION("VLOOKUP($A$1,IMPORTRANGE($A$2, CONCATENATE($A54,""!$B$5:$JB$48"")),HT$1,0)"),"#REF!")</f>
        <v>#REF!</v>
      </c>
      <c r="HU54" s="35" t="str">
        <f>IFERROR(__xludf.DUMMYFUNCTION("VLOOKUP($A$1,IMPORTRANGE($A$2, CONCATENATE($A54,""!$B$5:$JB$48"")),HU$1,0)"),"#REF!")</f>
        <v>#REF!</v>
      </c>
      <c r="HV54" s="35" t="str">
        <f>IFERROR(__xludf.DUMMYFUNCTION("VLOOKUP($A$1,IMPORTRANGE($A$2, CONCATENATE($A54,""!$B$5:$JB$48"")),HV$1,0)"),"#REF!")</f>
        <v>#REF!</v>
      </c>
      <c r="HW54" s="35" t="str">
        <f>IFERROR(__xludf.DUMMYFUNCTION("VLOOKUP($A$1,IMPORTRANGE($A$2, CONCATENATE($A54,""!$B$5:$JB$48"")),HW$1,0)"),"#REF!")</f>
        <v>#REF!</v>
      </c>
      <c r="HX54" s="35" t="str">
        <f>IFERROR(__xludf.DUMMYFUNCTION("VLOOKUP($A$1,IMPORTRANGE($A$2, CONCATENATE($A54,""!$B$5:$JB$48"")),HX$1,0)"),"#REF!")</f>
        <v>#REF!</v>
      </c>
      <c r="HY54" s="35" t="str">
        <f>IFERROR(__xludf.DUMMYFUNCTION("VLOOKUP($A$1,IMPORTRANGE($A$2, CONCATENATE($A54,""!$B$5:$JB$48"")),HY$1,0)"),"#REF!")</f>
        <v>#REF!</v>
      </c>
      <c r="HZ54" s="35" t="str">
        <f>IFERROR(__xludf.DUMMYFUNCTION("VLOOKUP($A$1,IMPORTRANGE($A$2, CONCATENATE($A54,""!$B$5:$JB$48"")),HZ$1,0)"),"#REF!")</f>
        <v>#REF!</v>
      </c>
      <c r="IA54" s="35" t="str">
        <f>IFERROR(__xludf.DUMMYFUNCTION("VLOOKUP($A$1,IMPORTRANGE($A$2, CONCATENATE($A54,""!$B$5:$JB$48"")),IA$1,0)"),"#REF!")</f>
        <v>#REF!</v>
      </c>
      <c r="IB54" s="35" t="str">
        <f>IFERROR(__xludf.DUMMYFUNCTION("VLOOKUP($A$1,IMPORTRANGE($A$2, CONCATENATE($A54,""!$B$5:$JB$48"")),IB$1,0)"),"#REF!")</f>
        <v>#REF!</v>
      </c>
      <c r="IC54" s="35" t="str">
        <f>IFERROR(__xludf.DUMMYFUNCTION("VLOOKUP($A$1,IMPORTRANGE($A$2, CONCATENATE($A54,""!$B$5:$JB$48"")),IC$1,0)"),"#REF!")</f>
        <v>#REF!</v>
      </c>
      <c r="ID54" s="35" t="str">
        <f>IFERROR(__xludf.DUMMYFUNCTION("VLOOKUP($A$1,IMPORTRANGE($A$2, CONCATENATE($A54,""!$B$5:$JB$48"")),ID$1,0)"),"#REF!")</f>
        <v>#REF!</v>
      </c>
      <c r="IE54" s="35" t="str">
        <f>IFERROR(__xludf.DUMMYFUNCTION("VLOOKUP($A$1,IMPORTRANGE($A$2, CONCATENATE($A54,""!$B$5:$JB$48"")),IE$1,0)"),"#REF!")</f>
        <v>#REF!</v>
      </c>
      <c r="IF54" s="35" t="str">
        <f>IFERROR(__xludf.DUMMYFUNCTION("VLOOKUP($A$1,IMPORTRANGE($A$2, CONCATENATE($A54,""!$B$5:$JB$48"")),IF$1,0)"),"#REF!")</f>
        <v>#REF!</v>
      </c>
      <c r="IG54" s="35" t="str">
        <f>IFERROR(__xludf.DUMMYFUNCTION("VLOOKUP($A$1,IMPORTRANGE($A$2, CONCATENATE($A54,""!$B$5:$JB$48"")),IG$1,0)"),"#REF!")</f>
        <v>#REF!</v>
      </c>
      <c r="IH54" s="35" t="str">
        <f>IFERROR(__xludf.DUMMYFUNCTION("VLOOKUP($A$1,IMPORTRANGE($A$2, CONCATENATE($A54,""!$B$5:$JB$48"")),IH$1,0)"),"#REF!")</f>
        <v>#REF!</v>
      </c>
      <c r="II54" s="35" t="str">
        <f>IFERROR(__xludf.DUMMYFUNCTION("VLOOKUP($A$1,IMPORTRANGE($A$2, CONCATENATE($A54,""!$B$5:$JB$48"")),II$1,0)"),"#REF!")</f>
        <v>#REF!</v>
      </c>
      <c r="IJ54" s="35" t="str">
        <f>IFERROR(__xludf.DUMMYFUNCTION("VLOOKUP($A$1,IMPORTRANGE($A$2, CONCATENATE($A54,""!$B$5:$JB$48"")),IJ$1,0)"),"#REF!")</f>
        <v>#REF!</v>
      </c>
      <c r="IK54" s="35" t="str">
        <f>IFERROR(__xludf.DUMMYFUNCTION("VLOOKUP($A$1,IMPORTRANGE($A$2, CONCATENATE($A54,""!$B$5:$JB$48"")),IK$1,0)"),"#REF!")</f>
        <v>#REF!</v>
      </c>
      <c r="IL54" s="35" t="str">
        <f>IFERROR(__xludf.DUMMYFUNCTION("VLOOKUP($A$1,IMPORTRANGE($A$2, CONCATENATE($A54,""!$B$5:$JB$48"")),IL$1,0)"),"#REF!")</f>
        <v>#REF!</v>
      </c>
      <c r="IM54" s="35" t="str">
        <f>IFERROR(__xludf.DUMMYFUNCTION("VLOOKUP($A$1,IMPORTRANGE($A$2, CONCATENATE($A54,""!$B$5:$JB$48"")),IM$1,0)"),"#REF!")</f>
        <v>#REF!</v>
      </c>
      <c r="IN54" s="35" t="str">
        <f>IFERROR(__xludf.DUMMYFUNCTION("VLOOKUP($A$1,IMPORTRANGE($A$2, CONCATENATE($A54,""!$B$5:$JB$48"")),IN$1,0)"),"#REF!")</f>
        <v>#REF!</v>
      </c>
      <c r="IO54" s="35" t="str">
        <f>IFERROR(__xludf.DUMMYFUNCTION("VLOOKUP($A$1,IMPORTRANGE($A$2, CONCATENATE($A54,""!$B$5:$JB$48"")),IO$1,0)"),"#REF!")</f>
        <v>#REF!</v>
      </c>
      <c r="IP54" s="35" t="str">
        <f>IFERROR(__xludf.DUMMYFUNCTION("VLOOKUP($A$1,IMPORTRANGE($A$2, CONCATENATE($A54,""!$B$5:$JB$48"")),IP$1,0)"),"#REF!")</f>
        <v>#REF!</v>
      </c>
      <c r="IQ54" s="35" t="str">
        <f>IFERROR(__xludf.DUMMYFUNCTION("VLOOKUP($A$1,IMPORTRANGE($A$2, CONCATENATE($A54,""!$B$5:$JB$48"")),IQ$1,0)"),"#REF!")</f>
        <v>#REF!</v>
      </c>
      <c r="IR54" s="35" t="str">
        <f>IFERROR(__xludf.DUMMYFUNCTION("VLOOKUP($A$1,IMPORTRANGE($A$2, CONCATENATE($A54,""!$B$5:$JB$48"")),IR$1,0)"),"#REF!")</f>
        <v>#REF!</v>
      </c>
      <c r="IS54" s="35" t="str">
        <f>IFERROR(__xludf.DUMMYFUNCTION("VLOOKUP($A$1,IMPORTRANGE($A$2, CONCATENATE($A54,""!$B$5:$JB$48"")),IS$1,0)"),"#REF!")</f>
        <v>#REF!</v>
      </c>
      <c r="IT54" s="35" t="str">
        <f>IFERROR(__xludf.DUMMYFUNCTION("VLOOKUP($A$1,IMPORTRANGE($A$2, CONCATENATE($A54,""!$B$5:$JB$48"")),IT$1,0)"),"#REF!")</f>
        <v>#REF!</v>
      </c>
      <c r="IU54" s="35" t="str">
        <f>IFERROR(__xludf.DUMMYFUNCTION("VLOOKUP($A$1,IMPORTRANGE($A$2, CONCATENATE($A54,""!$B$5:$JB$48"")),IU$1,0)"),"#REF!")</f>
        <v>#REF!</v>
      </c>
      <c r="IV54" s="35" t="str">
        <f>IFERROR(__xludf.DUMMYFUNCTION("VLOOKUP($A$1,IMPORTRANGE($A$2, CONCATENATE($A54,""!$B$5:$JB$48"")),IV$1,0)"),"#REF!")</f>
        <v>#REF!</v>
      </c>
      <c r="IW54" s="35" t="str">
        <f>IFERROR(__xludf.DUMMYFUNCTION("VLOOKUP($A$1,IMPORTRANGE($A$2, CONCATENATE($A54,""!$B$5:$JB$48"")),IW$1,0)"),"#REF!")</f>
        <v>#REF!</v>
      </c>
      <c r="IX54" s="35" t="str">
        <f>IFERROR(__xludf.DUMMYFUNCTION("VLOOKUP($A$1,IMPORTRANGE($A$2, CONCATENATE($A54,""!$B$5:$JB$48"")),IX$1,0)"),"#REF!")</f>
        <v>#REF!</v>
      </c>
      <c r="IY54" s="35" t="str">
        <f>IFERROR(__xludf.DUMMYFUNCTION("VLOOKUP($A$1,IMPORTRANGE($A$2, CONCATENATE($A54,""!$B$5:$JB$48"")),IY$1,0)"),"#REF!")</f>
        <v>#REF!</v>
      </c>
      <c r="IZ54" s="35" t="str">
        <f>IFERROR(__xludf.DUMMYFUNCTION("VLOOKUP($A$1,IMPORTRANGE($A$2, CONCATENATE($A54,""!$B$5:$JB$48"")),IZ$1,0)"),"#REF!")</f>
        <v>#REF!</v>
      </c>
      <c r="JA54" s="35" t="str">
        <f>IFERROR(__xludf.DUMMYFUNCTION("VLOOKUP($A$1,IMPORTRANGE($A$2, CONCATENATE($A54,""!$B$5:$JB$48"")),JA$1,0)"),"#REF!")</f>
        <v>#REF!</v>
      </c>
      <c r="JB54" s="37"/>
      <c r="JC54" s="37"/>
      <c r="JD54" s="37"/>
      <c r="JE54" s="37"/>
    </row>
    <row r="55">
      <c r="A55" s="43"/>
      <c r="B55" s="29"/>
      <c r="C55" s="37"/>
      <c r="D55" s="38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37"/>
      <c r="FH55" s="37"/>
      <c r="FI55" s="37"/>
      <c r="FJ55" s="37"/>
      <c r="FK55" s="37"/>
      <c r="FL55" s="37"/>
      <c r="FM55" s="37"/>
      <c r="FN55" s="37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  <c r="GB55" s="37"/>
      <c r="GC55" s="37"/>
      <c r="GD55" s="37"/>
      <c r="GE55" s="37"/>
      <c r="GF55" s="37"/>
      <c r="GG55" s="37"/>
      <c r="GH55" s="37"/>
      <c r="GI55" s="37"/>
      <c r="GJ55" s="37"/>
      <c r="GK55" s="37"/>
      <c r="GL55" s="37"/>
      <c r="GM55" s="37"/>
      <c r="GN55" s="37"/>
      <c r="GO55" s="37"/>
      <c r="GP55" s="37"/>
      <c r="GQ55" s="37"/>
      <c r="GR55" s="37"/>
      <c r="GS55" s="37"/>
      <c r="GT55" s="37"/>
      <c r="GU55" s="37"/>
      <c r="GV55" s="37"/>
      <c r="GW55" s="37"/>
      <c r="GX55" s="37"/>
      <c r="GY55" s="37"/>
      <c r="GZ55" s="37"/>
      <c r="HA55" s="37"/>
      <c r="HB55" s="37"/>
      <c r="HC55" s="37"/>
      <c r="HD55" s="37"/>
      <c r="HE55" s="37"/>
      <c r="HF55" s="37"/>
      <c r="HG55" s="37"/>
      <c r="HH55" s="37"/>
      <c r="HI55" s="37"/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37"/>
      <c r="HU55" s="37"/>
      <c r="HV55" s="37"/>
      <c r="HW55" s="37"/>
      <c r="HX55" s="37"/>
      <c r="HY55" s="37"/>
      <c r="HZ55" s="37"/>
      <c r="IA55" s="37"/>
      <c r="IB55" s="37"/>
      <c r="IC55" s="37"/>
      <c r="ID55" s="37"/>
      <c r="IE55" s="37"/>
      <c r="IF55" s="37"/>
      <c r="IG55" s="37"/>
      <c r="IH55" s="37"/>
      <c r="II55" s="37"/>
      <c r="IJ55" s="37"/>
      <c r="IK55" s="37"/>
      <c r="IL55" s="37"/>
      <c r="IM55" s="37"/>
      <c r="IN55" s="37"/>
      <c r="IO55" s="37"/>
      <c r="IP55" s="37"/>
      <c r="IQ55" s="37"/>
      <c r="IR55" s="37"/>
      <c r="IS55" s="37"/>
      <c r="IT55" s="37"/>
      <c r="IU55" s="37"/>
      <c r="IV55" s="37"/>
      <c r="IW55" s="37"/>
      <c r="IX55" s="37"/>
      <c r="IY55" s="37"/>
      <c r="IZ55" s="37"/>
      <c r="JA55" s="37"/>
      <c r="JB55" s="37"/>
      <c r="JC55" s="37"/>
      <c r="JD55" s="37"/>
      <c r="JE55" s="37"/>
    </row>
    <row r="56">
      <c r="A56" s="43"/>
      <c r="B56" s="32" t="str">
        <f>IFERROR(__xludf.DUMMYFUNCTION("IMPORTRANGE($A$2, CONCATENATE($A57,""!C4:JB4""))"),"Физика")</f>
        <v>Физика</v>
      </c>
      <c r="C56" s="37"/>
      <c r="D56" s="38" t="str">
        <f>IFERROR(__xludf.DUMMYFUNCTION("""COMPUTED_VALUE"""),"История Узб")</f>
        <v>История Узб</v>
      </c>
      <c r="E56" s="37"/>
      <c r="F56" s="37" t="str">
        <f>IFERROR(__xludf.DUMMYFUNCTION("""COMPUTED_VALUE"""),"Информатика")</f>
        <v>Информатика</v>
      </c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  <c r="FG56" s="37"/>
      <c r="FH56" s="37"/>
      <c r="FI56" s="37"/>
      <c r="FJ56" s="37"/>
      <c r="FK56" s="37"/>
      <c r="FL56" s="37"/>
      <c r="FM56" s="37"/>
      <c r="FN56" s="37"/>
      <c r="FO56" s="37"/>
      <c r="FP56" s="37"/>
      <c r="FQ56" s="37"/>
      <c r="FR56" s="37"/>
      <c r="FS56" s="37"/>
      <c r="FT56" s="37"/>
      <c r="FU56" s="37"/>
      <c r="FV56" s="37"/>
      <c r="FW56" s="37"/>
      <c r="FX56" s="37"/>
      <c r="FY56" s="37"/>
      <c r="FZ56" s="37"/>
      <c r="GA56" s="37"/>
      <c r="GB56" s="37"/>
      <c r="GC56" s="37"/>
      <c r="GD56" s="37"/>
      <c r="GE56" s="37"/>
      <c r="GF56" s="37"/>
      <c r="GG56" s="37"/>
      <c r="GH56" s="37"/>
      <c r="GI56" s="37"/>
      <c r="GJ56" s="37"/>
      <c r="GK56" s="37"/>
      <c r="GL56" s="37"/>
      <c r="GM56" s="37"/>
      <c r="GN56" s="37"/>
      <c r="GO56" s="37"/>
      <c r="GP56" s="37"/>
      <c r="GQ56" s="37"/>
      <c r="GR56" s="37"/>
      <c r="GS56" s="37"/>
      <c r="GT56" s="37"/>
      <c r="GU56" s="37"/>
      <c r="GV56" s="37"/>
      <c r="GW56" s="37"/>
      <c r="GX56" s="37"/>
      <c r="GY56" s="37"/>
      <c r="GZ56" s="37"/>
      <c r="HA56" s="37"/>
      <c r="HB56" s="37"/>
      <c r="HC56" s="37"/>
      <c r="HD56" s="37"/>
      <c r="HE56" s="37"/>
      <c r="HF56" s="37"/>
      <c r="HG56" s="37"/>
      <c r="HH56" s="37"/>
      <c r="HI56" s="37"/>
      <c r="HJ56" s="37"/>
      <c r="HK56" s="37"/>
      <c r="HL56" s="37"/>
      <c r="HM56" s="37"/>
      <c r="HN56" s="37"/>
      <c r="HO56" s="37"/>
      <c r="HP56" s="37"/>
      <c r="HQ56" s="37"/>
      <c r="HR56" s="37"/>
      <c r="HS56" s="37"/>
      <c r="HT56" s="37"/>
      <c r="HU56" s="37"/>
      <c r="HV56" s="37"/>
      <c r="HW56" s="37"/>
      <c r="HX56" s="37"/>
      <c r="HY56" s="37"/>
      <c r="HZ56" s="37"/>
      <c r="IA56" s="37"/>
      <c r="IB56" s="37"/>
      <c r="IC56" s="37"/>
      <c r="ID56" s="37"/>
      <c r="IE56" s="37"/>
      <c r="IF56" s="37"/>
      <c r="IG56" s="37"/>
      <c r="IH56" s="37"/>
      <c r="II56" s="37"/>
      <c r="IJ56" s="37"/>
      <c r="IK56" s="37"/>
      <c r="IL56" s="37"/>
      <c r="IM56" s="37"/>
      <c r="IN56" s="37"/>
      <c r="IO56" s="37"/>
      <c r="IP56" s="37"/>
      <c r="IQ56" s="37"/>
      <c r="IR56" s="37"/>
      <c r="IS56" s="37"/>
      <c r="IT56" s="37"/>
      <c r="IU56" s="37"/>
      <c r="IV56" s="37"/>
      <c r="IW56" s="37"/>
      <c r="IX56" s="37"/>
      <c r="IY56" s="37"/>
      <c r="IZ56" s="37"/>
      <c r="JA56" s="37"/>
      <c r="JB56" s="37"/>
      <c r="JC56" s="37"/>
      <c r="JD56" s="37"/>
      <c r="JE56" s="37"/>
    </row>
    <row r="57">
      <c r="A57" s="42"/>
      <c r="B57" s="35" t="str">
        <f>IFERROR(__xludf.DUMMYFUNCTION("VLOOKUP($A$1,IMPORTRANGE($A$2, CONCATENATE($A57,""!$B$5:$JB$48"")),B$1,0)"),"#N/A")</f>
        <v>#N/A</v>
      </c>
      <c r="C57" s="35" t="str">
        <f>IFERROR(__xludf.DUMMYFUNCTION("VLOOKUP($A$1,IMPORTRANGE($A$2, CONCATENATE($A57,""!$B$5:$JB$48"")),C$1,0)"),"#N/A")</f>
        <v>#N/A</v>
      </c>
      <c r="D57" s="35" t="str">
        <f>IFERROR(__xludf.DUMMYFUNCTION("VLOOKUP($A$1,IMPORTRANGE($A$2, CONCATENATE($A57,""!$B$5:$JB$48"")),D$1,0)"),"#N/A")</f>
        <v>#N/A</v>
      </c>
      <c r="E57" s="35" t="str">
        <f>IFERROR(__xludf.DUMMYFUNCTION("VLOOKUP($A$1,IMPORTRANGE($A$2, CONCATENATE($A57,""!$B$5:$JB$48"")),E$1,0)"),"#N/A")</f>
        <v>#N/A</v>
      </c>
      <c r="F57" s="35" t="str">
        <f>IFERROR(__xludf.DUMMYFUNCTION("VLOOKUP($A$1,IMPORTRANGE($A$2, CONCATENATE($A57,""!$B$5:$JB$48"")),F$1,0)"),"#N/A")</f>
        <v>#N/A</v>
      </c>
      <c r="G57" s="35" t="str">
        <f>IFERROR(__xludf.DUMMYFUNCTION("VLOOKUP($A$1,IMPORTRANGE($A$2, CONCATENATE($A57,""!$B$5:$JB$48"")),G$1,0)"),"#REF!")</f>
        <v>#REF!</v>
      </c>
      <c r="H57" s="35" t="str">
        <f>IFERROR(__xludf.DUMMYFUNCTION("VLOOKUP($A$1,IMPORTRANGE($A$2, CONCATENATE($A57,""!$B$5:$JB$48"")),H$1,0)"),"#REF!")</f>
        <v>#REF!</v>
      </c>
      <c r="I57" s="35" t="str">
        <f>IFERROR(__xludf.DUMMYFUNCTION("VLOOKUP($A$1,IMPORTRANGE($A$2, CONCATENATE($A57,""!$B$5:$JB$48"")),I$1,0)"),"#REF!")</f>
        <v>#REF!</v>
      </c>
      <c r="J57" s="35" t="str">
        <f>IFERROR(__xludf.DUMMYFUNCTION("VLOOKUP($A$1,IMPORTRANGE($A$2, CONCATENATE($A57,""!$B$5:$JB$48"")),J$1,0)"),"#REF!")</f>
        <v>#REF!</v>
      </c>
      <c r="K57" s="35" t="str">
        <f>IFERROR(__xludf.DUMMYFUNCTION("VLOOKUP($A$1,IMPORTRANGE($A$2, CONCATENATE($A57,""!$B$5:$JB$48"")),K$1,0)"),"#REF!")</f>
        <v>#REF!</v>
      </c>
      <c r="L57" s="35" t="str">
        <f>IFERROR(__xludf.DUMMYFUNCTION("VLOOKUP($A$1,IMPORTRANGE($A$2, CONCATENATE($A57,""!$B$5:$JB$48"")),L$1,0)"),"#REF!")</f>
        <v>#REF!</v>
      </c>
      <c r="M57" s="35" t="str">
        <f>IFERROR(__xludf.DUMMYFUNCTION("VLOOKUP($A$1,IMPORTRANGE($A$2, CONCATENATE($A57,""!$B$5:$JB$48"")),M$1,0)"),"#REF!")</f>
        <v>#REF!</v>
      </c>
      <c r="N57" s="35" t="str">
        <f>IFERROR(__xludf.DUMMYFUNCTION("VLOOKUP($A$1,IMPORTRANGE($A$2, CONCATENATE($A57,""!$B$5:$JB$48"")),N$1,0)"),"#REF!")</f>
        <v>#REF!</v>
      </c>
      <c r="O57" s="35" t="str">
        <f>IFERROR(__xludf.DUMMYFUNCTION("VLOOKUP($A$1,IMPORTRANGE($A$2, CONCATENATE($A57,""!$B$5:$JB$48"")),O$1,0)"),"#REF!")</f>
        <v>#REF!</v>
      </c>
      <c r="P57" s="35" t="str">
        <f>IFERROR(__xludf.DUMMYFUNCTION("VLOOKUP($A$1,IMPORTRANGE($A$2, CONCATENATE($A57,""!$B$5:$JB$48"")),P$1,0)"),"#REF!")</f>
        <v>#REF!</v>
      </c>
      <c r="Q57" s="35" t="str">
        <f>IFERROR(__xludf.DUMMYFUNCTION("VLOOKUP($A$1,IMPORTRANGE($A$2, CONCATENATE($A57,""!$B$5:$JB$48"")),Q$1,0)"),"#REF!")</f>
        <v>#REF!</v>
      </c>
      <c r="R57" s="35" t="str">
        <f>IFERROR(__xludf.DUMMYFUNCTION("VLOOKUP($A$1,IMPORTRANGE($A$2, CONCATENATE($A57,""!$B$5:$JB$48"")),R$1,0)"),"#REF!")</f>
        <v>#REF!</v>
      </c>
      <c r="S57" s="35" t="str">
        <f>IFERROR(__xludf.DUMMYFUNCTION("VLOOKUP($A$1,IMPORTRANGE($A$2, CONCATENATE($A57,""!$B$5:$JB$48"")),S$1,0)"),"#REF!")</f>
        <v>#REF!</v>
      </c>
      <c r="T57" s="35" t="str">
        <f>IFERROR(__xludf.DUMMYFUNCTION("VLOOKUP($A$1,IMPORTRANGE($A$2, CONCATENATE($A57,""!$B$5:$JB$48"")),T$1,0)"),"#REF!")</f>
        <v>#REF!</v>
      </c>
      <c r="U57" s="35" t="str">
        <f>IFERROR(__xludf.DUMMYFUNCTION("VLOOKUP($A$1,IMPORTRANGE($A$2, CONCATENATE($A57,""!$B$5:$JB$48"")),U$1,0)"),"#REF!")</f>
        <v>#REF!</v>
      </c>
      <c r="V57" s="35" t="str">
        <f>IFERROR(__xludf.DUMMYFUNCTION("VLOOKUP($A$1,IMPORTRANGE($A$2, CONCATENATE($A57,""!$B$5:$JB$48"")),V$1,0)"),"#REF!")</f>
        <v>#REF!</v>
      </c>
      <c r="W57" s="35" t="str">
        <f>IFERROR(__xludf.DUMMYFUNCTION("VLOOKUP($A$1,IMPORTRANGE($A$2, CONCATENATE($A57,""!$B$5:$JB$48"")),W$1,0)"),"#REF!")</f>
        <v>#REF!</v>
      </c>
      <c r="X57" s="35" t="str">
        <f>IFERROR(__xludf.DUMMYFUNCTION("VLOOKUP($A$1,IMPORTRANGE($A$2, CONCATENATE($A57,""!$B$5:$JB$48"")),X$1,0)"),"#REF!")</f>
        <v>#REF!</v>
      </c>
      <c r="Y57" s="35" t="str">
        <f>IFERROR(__xludf.DUMMYFUNCTION("VLOOKUP($A$1,IMPORTRANGE($A$2, CONCATENATE($A57,""!$B$5:$JB$48"")),Y$1,0)"),"#REF!")</f>
        <v>#REF!</v>
      </c>
      <c r="Z57" s="35" t="str">
        <f>IFERROR(__xludf.DUMMYFUNCTION("VLOOKUP($A$1,IMPORTRANGE($A$2, CONCATENATE($A57,""!$B$5:$JB$48"")),Z$1,0)"),"#REF!")</f>
        <v>#REF!</v>
      </c>
      <c r="AA57" s="35" t="str">
        <f>IFERROR(__xludf.DUMMYFUNCTION("VLOOKUP($A$1,IMPORTRANGE($A$2, CONCATENATE($A57,""!$B$5:$JB$48"")),AA$1,0)"),"#REF!")</f>
        <v>#REF!</v>
      </c>
      <c r="AB57" s="35" t="str">
        <f>IFERROR(__xludf.DUMMYFUNCTION("VLOOKUP($A$1,IMPORTRANGE($A$2, CONCATENATE($A57,""!$B$5:$JB$48"")),AB$1,0)"),"#REF!")</f>
        <v>#REF!</v>
      </c>
      <c r="AC57" s="35" t="str">
        <f>IFERROR(__xludf.DUMMYFUNCTION("VLOOKUP($A$1,IMPORTRANGE($A$2, CONCATENATE($A57,""!$B$5:$JB$48"")),AC$1,0)"),"#REF!")</f>
        <v>#REF!</v>
      </c>
      <c r="AD57" s="35" t="str">
        <f>IFERROR(__xludf.DUMMYFUNCTION("VLOOKUP($A$1,IMPORTRANGE($A$2, CONCATENATE($A57,""!$B$5:$JB$48"")),AD$1,0)"),"#REF!")</f>
        <v>#REF!</v>
      </c>
      <c r="AE57" s="35" t="str">
        <f>IFERROR(__xludf.DUMMYFUNCTION("VLOOKUP($A$1,IMPORTRANGE($A$2, CONCATENATE($A57,""!$B$5:$JB$48"")),AE$1,0)"),"#REF!")</f>
        <v>#REF!</v>
      </c>
      <c r="AF57" s="35" t="str">
        <f>IFERROR(__xludf.DUMMYFUNCTION("VLOOKUP($A$1,IMPORTRANGE($A$2, CONCATENATE($A57,""!$B$5:$JB$48"")),AF$1,0)"),"#REF!")</f>
        <v>#REF!</v>
      </c>
      <c r="AG57" s="35" t="str">
        <f>IFERROR(__xludf.DUMMYFUNCTION("VLOOKUP($A$1,IMPORTRANGE($A$2, CONCATENATE($A57,""!$B$5:$JB$48"")),AG$1,0)"),"#REF!")</f>
        <v>#REF!</v>
      </c>
      <c r="AH57" s="35" t="str">
        <f>IFERROR(__xludf.DUMMYFUNCTION("VLOOKUP($A$1,IMPORTRANGE($A$2, CONCATENATE($A57,""!$B$5:$JB$48"")),AH$1,0)"),"#REF!")</f>
        <v>#REF!</v>
      </c>
      <c r="AI57" s="35" t="str">
        <f>IFERROR(__xludf.DUMMYFUNCTION("VLOOKUP($A$1,IMPORTRANGE($A$2, CONCATENATE($A57,""!$B$5:$JB$48"")),AI$1,0)"),"#REF!")</f>
        <v>#REF!</v>
      </c>
      <c r="AJ57" s="35" t="str">
        <f>IFERROR(__xludf.DUMMYFUNCTION("VLOOKUP($A$1,IMPORTRANGE($A$2, CONCATENATE($A57,""!$B$5:$JB$48"")),AJ$1,0)"),"#REF!")</f>
        <v>#REF!</v>
      </c>
      <c r="AK57" s="35" t="str">
        <f>IFERROR(__xludf.DUMMYFUNCTION("VLOOKUP($A$1,IMPORTRANGE($A$2, CONCATENATE($A57,""!$B$5:$JB$48"")),AK$1,0)"),"#REF!")</f>
        <v>#REF!</v>
      </c>
      <c r="AL57" s="35" t="str">
        <f>IFERROR(__xludf.DUMMYFUNCTION("VLOOKUP($A$1,IMPORTRANGE($A$2, CONCATENATE($A57,""!$B$5:$JB$48"")),AL$1,0)"),"#REF!")</f>
        <v>#REF!</v>
      </c>
      <c r="AM57" s="35" t="str">
        <f>IFERROR(__xludf.DUMMYFUNCTION("VLOOKUP($A$1,IMPORTRANGE($A$2, CONCATENATE($A57,""!$B$5:$JB$48"")),AM$1,0)"),"#REF!")</f>
        <v>#REF!</v>
      </c>
      <c r="AN57" s="35" t="str">
        <f>IFERROR(__xludf.DUMMYFUNCTION("VLOOKUP($A$1,IMPORTRANGE($A$2, CONCATENATE($A57,""!$B$5:$JB$48"")),AN$1,0)"),"#REF!")</f>
        <v>#REF!</v>
      </c>
      <c r="AO57" s="35" t="str">
        <f>IFERROR(__xludf.DUMMYFUNCTION("VLOOKUP($A$1,IMPORTRANGE($A$2, CONCATENATE($A57,""!$B$5:$JB$48"")),AO$1,0)"),"#REF!")</f>
        <v>#REF!</v>
      </c>
      <c r="AP57" s="35" t="str">
        <f>IFERROR(__xludf.DUMMYFUNCTION("VLOOKUP($A$1,IMPORTRANGE($A$2, CONCATENATE($A57,""!$B$5:$JB$48"")),AP$1,0)"),"#REF!")</f>
        <v>#REF!</v>
      </c>
      <c r="AQ57" s="35" t="str">
        <f>IFERROR(__xludf.DUMMYFUNCTION("VLOOKUP($A$1,IMPORTRANGE($A$2, CONCATENATE($A57,""!$B$5:$JB$48"")),AQ$1,0)"),"#REF!")</f>
        <v>#REF!</v>
      </c>
      <c r="AR57" s="35" t="str">
        <f>IFERROR(__xludf.DUMMYFUNCTION("VLOOKUP($A$1,IMPORTRANGE($A$2, CONCATENATE($A57,""!$B$5:$JB$48"")),AR$1,0)"),"#REF!")</f>
        <v>#REF!</v>
      </c>
      <c r="AS57" s="35" t="str">
        <f>IFERROR(__xludf.DUMMYFUNCTION("VLOOKUP($A$1,IMPORTRANGE($A$2, CONCATENATE($A57,""!$B$5:$JB$48"")),AS$1,0)"),"#REF!")</f>
        <v>#REF!</v>
      </c>
      <c r="AT57" s="35" t="str">
        <f>IFERROR(__xludf.DUMMYFUNCTION("VLOOKUP($A$1,IMPORTRANGE($A$2, CONCATENATE($A57,""!$B$5:$JB$48"")),AT$1,0)"),"#REF!")</f>
        <v>#REF!</v>
      </c>
      <c r="AU57" s="35" t="str">
        <f>IFERROR(__xludf.DUMMYFUNCTION("VLOOKUP($A$1,IMPORTRANGE($A$2, CONCATENATE($A57,""!$B$5:$JB$48"")),AU$1,0)"),"#REF!")</f>
        <v>#REF!</v>
      </c>
      <c r="AV57" s="35" t="str">
        <f>IFERROR(__xludf.DUMMYFUNCTION("VLOOKUP($A$1,IMPORTRANGE($A$2, CONCATENATE($A57,""!$B$5:$JB$48"")),AV$1,0)"),"#REF!")</f>
        <v>#REF!</v>
      </c>
      <c r="AW57" s="35" t="str">
        <f>IFERROR(__xludf.DUMMYFUNCTION("VLOOKUP($A$1,IMPORTRANGE($A$2, CONCATENATE($A57,""!$B$5:$JB$48"")),AW$1,0)"),"#REF!")</f>
        <v>#REF!</v>
      </c>
      <c r="AX57" s="35" t="str">
        <f>IFERROR(__xludf.DUMMYFUNCTION("VLOOKUP($A$1,IMPORTRANGE($A$2, CONCATENATE($A57,""!$B$5:$JB$48"")),AX$1,0)"),"#REF!")</f>
        <v>#REF!</v>
      </c>
      <c r="AY57" s="35" t="str">
        <f>IFERROR(__xludf.DUMMYFUNCTION("VLOOKUP($A$1,IMPORTRANGE($A$2, CONCATENATE($A57,""!$B$5:$JB$48"")),AY$1,0)"),"#REF!")</f>
        <v>#REF!</v>
      </c>
      <c r="AZ57" s="35" t="str">
        <f>IFERROR(__xludf.DUMMYFUNCTION("VLOOKUP($A$1,IMPORTRANGE($A$2, CONCATENATE($A57,""!$B$5:$JB$48"")),AZ$1,0)"),"#REF!")</f>
        <v>#REF!</v>
      </c>
      <c r="BA57" s="35" t="str">
        <f>IFERROR(__xludf.DUMMYFUNCTION("VLOOKUP($A$1,IMPORTRANGE($A$2, CONCATENATE($A57,""!$B$5:$JB$48"")),BA$1,0)"),"#REF!")</f>
        <v>#REF!</v>
      </c>
      <c r="BB57" s="35" t="str">
        <f>IFERROR(__xludf.DUMMYFUNCTION("VLOOKUP($A$1,IMPORTRANGE($A$2, CONCATENATE($A57,""!$B$5:$JB$48"")),BB$1,0)"),"#REF!")</f>
        <v>#REF!</v>
      </c>
      <c r="BC57" s="35" t="str">
        <f>IFERROR(__xludf.DUMMYFUNCTION("VLOOKUP($A$1,IMPORTRANGE($A$2, CONCATENATE($A57,""!$B$5:$JB$48"")),BC$1,0)"),"#REF!")</f>
        <v>#REF!</v>
      </c>
      <c r="BD57" s="35" t="str">
        <f>IFERROR(__xludf.DUMMYFUNCTION("VLOOKUP($A$1,IMPORTRANGE($A$2, CONCATENATE($A57,""!$B$5:$JB$48"")),BD$1,0)"),"#REF!")</f>
        <v>#REF!</v>
      </c>
      <c r="BE57" s="35" t="str">
        <f>IFERROR(__xludf.DUMMYFUNCTION("VLOOKUP($A$1,IMPORTRANGE($A$2, CONCATENATE($A57,""!$B$5:$JB$48"")),BE$1,0)"),"#REF!")</f>
        <v>#REF!</v>
      </c>
      <c r="BF57" s="35" t="str">
        <f>IFERROR(__xludf.DUMMYFUNCTION("VLOOKUP($A$1,IMPORTRANGE($A$2, CONCATENATE($A57,""!$B$5:$JB$48"")),BF$1,0)"),"#REF!")</f>
        <v>#REF!</v>
      </c>
      <c r="BG57" s="35" t="str">
        <f>IFERROR(__xludf.DUMMYFUNCTION("VLOOKUP($A$1,IMPORTRANGE($A$2, CONCATENATE($A57,""!$B$5:$JB$48"")),BG$1,0)"),"#REF!")</f>
        <v>#REF!</v>
      </c>
      <c r="BH57" s="35" t="str">
        <f>IFERROR(__xludf.DUMMYFUNCTION("VLOOKUP($A$1,IMPORTRANGE($A$2, CONCATENATE($A57,""!$B$5:$JB$48"")),BH$1,0)"),"#REF!")</f>
        <v>#REF!</v>
      </c>
      <c r="BI57" s="35" t="str">
        <f>IFERROR(__xludf.DUMMYFUNCTION("VLOOKUP($A$1,IMPORTRANGE($A$2, CONCATENATE($A57,""!$B$5:$JB$48"")),BI$1,0)"),"#REF!")</f>
        <v>#REF!</v>
      </c>
      <c r="BJ57" s="35" t="str">
        <f>IFERROR(__xludf.DUMMYFUNCTION("VLOOKUP($A$1,IMPORTRANGE($A$2, CONCATENATE($A57,""!$B$5:$JB$48"")),BJ$1,0)"),"#REF!")</f>
        <v>#REF!</v>
      </c>
      <c r="BK57" s="35" t="str">
        <f>IFERROR(__xludf.DUMMYFUNCTION("VLOOKUP($A$1,IMPORTRANGE($A$2, CONCATENATE($A57,""!$B$5:$JB$48"")),BK$1,0)"),"#REF!")</f>
        <v>#REF!</v>
      </c>
      <c r="BL57" s="35" t="str">
        <f>IFERROR(__xludf.DUMMYFUNCTION("VLOOKUP($A$1,IMPORTRANGE($A$2, CONCATENATE($A57,""!$B$5:$JB$48"")),BL$1,0)"),"#REF!")</f>
        <v>#REF!</v>
      </c>
      <c r="BM57" s="35" t="str">
        <f>IFERROR(__xludf.DUMMYFUNCTION("VLOOKUP($A$1,IMPORTRANGE($A$2, CONCATENATE($A57,""!$B$5:$JB$48"")),BM$1,0)"),"#REF!")</f>
        <v>#REF!</v>
      </c>
      <c r="BN57" s="35" t="str">
        <f>IFERROR(__xludf.DUMMYFUNCTION("VLOOKUP($A$1,IMPORTRANGE($A$2, CONCATENATE($A57,""!$B$5:$JB$48"")),BN$1,0)"),"#REF!")</f>
        <v>#REF!</v>
      </c>
      <c r="BO57" s="35" t="str">
        <f>IFERROR(__xludf.DUMMYFUNCTION("VLOOKUP($A$1,IMPORTRANGE($A$2, CONCATENATE($A57,""!$B$5:$JB$48"")),BO$1,0)"),"#REF!")</f>
        <v>#REF!</v>
      </c>
      <c r="BP57" s="35" t="str">
        <f>IFERROR(__xludf.DUMMYFUNCTION("VLOOKUP($A$1,IMPORTRANGE($A$2, CONCATENATE($A57,""!$B$5:$JB$48"")),BP$1,0)"),"#REF!")</f>
        <v>#REF!</v>
      </c>
      <c r="BQ57" s="35" t="str">
        <f>IFERROR(__xludf.DUMMYFUNCTION("VLOOKUP($A$1,IMPORTRANGE($A$2, CONCATENATE($A57,""!$B$5:$JB$48"")),BQ$1,0)"),"#REF!")</f>
        <v>#REF!</v>
      </c>
      <c r="BR57" s="35" t="str">
        <f>IFERROR(__xludf.DUMMYFUNCTION("VLOOKUP($A$1,IMPORTRANGE($A$2, CONCATENATE($A57,""!$B$5:$JB$48"")),BR$1,0)"),"#REF!")</f>
        <v>#REF!</v>
      </c>
      <c r="BS57" s="35" t="str">
        <f>IFERROR(__xludf.DUMMYFUNCTION("VLOOKUP($A$1,IMPORTRANGE($A$2, CONCATENATE($A57,""!$B$5:$JB$48"")),BS$1,0)"),"#REF!")</f>
        <v>#REF!</v>
      </c>
      <c r="BT57" s="35" t="str">
        <f>IFERROR(__xludf.DUMMYFUNCTION("VLOOKUP($A$1,IMPORTRANGE($A$2, CONCATENATE($A57,""!$B$5:$JB$48"")),BT$1,0)"),"#REF!")</f>
        <v>#REF!</v>
      </c>
      <c r="BU57" s="35" t="str">
        <f>IFERROR(__xludf.DUMMYFUNCTION("VLOOKUP($A$1,IMPORTRANGE($A$2, CONCATENATE($A57,""!$B$5:$JB$48"")),BU$1,0)"),"#REF!")</f>
        <v>#REF!</v>
      </c>
      <c r="BV57" s="35" t="str">
        <f>IFERROR(__xludf.DUMMYFUNCTION("VLOOKUP($A$1,IMPORTRANGE($A$2, CONCATENATE($A57,""!$B$5:$JB$48"")),BV$1,0)"),"#REF!")</f>
        <v>#REF!</v>
      </c>
      <c r="BW57" s="35" t="str">
        <f>IFERROR(__xludf.DUMMYFUNCTION("VLOOKUP($A$1,IMPORTRANGE($A$2, CONCATENATE($A57,""!$B$5:$JB$48"")),BW$1,0)"),"#REF!")</f>
        <v>#REF!</v>
      </c>
      <c r="BX57" s="35" t="str">
        <f>IFERROR(__xludf.DUMMYFUNCTION("VLOOKUP($A$1,IMPORTRANGE($A$2, CONCATENATE($A57,""!$B$5:$JB$48"")),BX$1,0)"),"#REF!")</f>
        <v>#REF!</v>
      </c>
      <c r="BY57" s="35" t="str">
        <f>IFERROR(__xludf.DUMMYFUNCTION("VLOOKUP($A$1,IMPORTRANGE($A$2, CONCATENATE($A57,""!$B$5:$JB$48"")),BY$1,0)"),"#REF!")</f>
        <v>#REF!</v>
      </c>
      <c r="BZ57" s="35" t="str">
        <f>IFERROR(__xludf.DUMMYFUNCTION("VLOOKUP($A$1,IMPORTRANGE($A$2, CONCATENATE($A57,""!$B$5:$JB$48"")),BZ$1,0)"),"#REF!")</f>
        <v>#REF!</v>
      </c>
      <c r="CA57" s="35" t="str">
        <f>IFERROR(__xludf.DUMMYFUNCTION("VLOOKUP($A$1,IMPORTRANGE($A$2, CONCATENATE($A57,""!$B$5:$JB$48"")),CA$1,0)"),"#REF!")</f>
        <v>#REF!</v>
      </c>
      <c r="CB57" s="35" t="str">
        <f>IFERROR(__xludf.DUMMYFUNCTION("VLOOKUP($A$1,IMPORTRANGE($A$2, CONCATENATE($A57,""!$B$5:$JB$48"")),CB$1,0)"),"#REF!")</f>
        <v>#REF!</v>
      </c>
      <c r="CC57" s="35" t="str">
        <f>IFERROR(__xludf.DUMMYFUNCTION("VLOOKUP($A$1,IMPORTRANGE($A$2, CONCATENATE($A57,""!$B$5:$JB$48"")),CC$1,0)"),"#REF!")</f>
        <v>#REF!</v>
      </c>
      <c r="CD57" s="35" t="str">
        <f>IFERROR(__xludf.DUMMYFUNCTION("VLOOKUP($A$1,IMPORTRANGE($A$2, CONCATENATE($A57,""!$B$5:$JB$48"")),CD$1,0)"),"#REF!")</f>
        <v>#REF!</v>
      </c>
      <c r="CE57" s="35" t="str">
        <f>IFERROR(__xludf.DUMMYFUNCTION("VLOOKUP($A$1,IMPORTRANGE($A$2, CONCATENATE($A57,""!$B$5:$JB$48"")),CE$1,0)"),"#REF!")</f>
        <v>#REF!</v>
      </c>
      <c r="CF57" s="35" t="str">
        <f>IFERROR(__xludf.DUMMYFUNCTION("VLOOKUP($A$1,IMPORTRANGE($A$2, CONCATENATE($A57,""!$B$5:$JB$48"")),CF$1,0)"),"#REF!")</f>
        <v>#REF!</v>
      </c>
      <c r="CG57" s="35" t="str">
        <f>IFERROR(__xludf.DUMMYFUNCTION("VLOOKUP($A$1,IMPORTRANGE($A$2, CONCATENATE($A57,""!$B$5:$JB$48"")),CG$1,0)"),"#REF!")</f>
        <v>#REF!</v>
      </c>
      <c r="CH57" s="35" t="str">
        <f>IFERROR(__xludf.DUMMYFUNCTION("VLOOKUP($A$1,IMPORTRANGE($A$2, CONCATENATE($A57,""!$B$5:$JB$48"")),CH$1,0)"),"#REF!")</f>
        <v>#REF!</v>
      </c>
      <c r="CI57" s="35" t="str">
        <f>IFERROR(__xludf.DUMMYFUNCTION("VLOOKUP($A$1,IMPORTRANGE($A$2, CONCATENATE($A57,""!$B$5:$JB$48"")),CI$1,0)"),"#REF!")</f>
        <v>#REF!</v>
      </c>
      <c r="CJ57" s="35" t="str">
        <f>IFERROR(__xludf.DUMMYFUNCTION("VLOOKUP($A$1,IMPORTRANGE($A$2, CONCATENATE($A57,""!$B$5:$JB$48"")),CJ$1,0)"),"#REF!")</f>
        <v>#REF!</v>
      </c>
      <c r="CK57" s="35" t="str">
        <f>IFERROR(__xludf.DUMMYFUNCTION("VLOOKUP($A$1,IMPORTRANGE($A$2, CONCATENATE($A57,""!$B$5:$JB$48"")),CK$1,0)"),"#REF!")</f>
        <v>#REF!</v>
      </c>
      <c r="CL57" s="35" t="str">
        <f>IFERROR(__xludf.DUMMYFUNCTION("VLOOKUP($A$1,IMPORTRANGE($A$2, CONCATENATE($A57,""!$B$5:$JB$48"")),CL$1,0)"),"#REF!")</f>
        <v>#REF!</v>
      </c>
      <c r="CM57" s="35" t="str">
        <f>IFERROR(__xludf.DUMMYFUNCTION("VLOOKUP($A$1,IMPORTRANGE($A$2, CONCATENATE($A57,""!$B$5:$JB$48"")),CM$1,0)"),"#REF!")</f>
        <v>#REF!</v>
      </c>
      <c r="CN57" s="35" t="str">
        <f>IFERROR(__xludf.DUMMYFUNCTION("VLOOKUP($A$1,IMPORTRANGE($A$2, CONCATENATE($A57,""!$B$5:$JB$48"")),CN$1,0)"),"#REF!")</f>
        <v>#REF!</v>
      </c>
      <c r="CO57" s="35" t="str">
        <f>IFERROR(__xludf.DUMMYFUNCTION("VLOOKUP($A$1,IMPORTRANGE($A$2, CONCATENATE($A57,""!$B$5:$JB$48"")),CO$1,0)"),"#REF!")</f>
        <v>#REF!</v>
      </c>
      <c r="CP57" s="35" t="str">
        <f>IFERROR(__xludf.DUMMYFUNCTION("VLOOKUP($A$1,IMPORTRANGE($A$2, CONCATENATE($A57,""!$B$5:$JB$48"")),CP$1,0)"),"#REF!")</f>
        <v>#REF!</v>
      </c>
      <c r="CQ57" s="35" t="str">
        <f>IFERROR(__xludf.DUMMYFUNCTION("VLOOKUP($A$1,IMPORTRANGE($A$2, CONCATENATE($A57,""!$B$5:$JB$48"")),CQ$1,0)"),"#REF!")</f>
        <v>#REF!</v>
      </c>
      <c r="CR57" s="35" t="str">
        <f>IFERROR(__xludf.DUMMYFUNCTION("VLOOKUP($A$1,IMPORTRANGE($A$2, CONCATENATE($A57,""!$B$5:$JB$48"")),CR$1,0)"),"#REF!")</f>
        <v>#REF!</v>
      </c>
      <c r="CS57" s="35" t="str">
        <f>IFERROR(__xludf.DUMMYFUNCTION("VLOOKUP($A$1,IMPORTRANGE($A$2, CONCATENATE($A57,""!$B$5:$JB$48"")),CS$1,0)"),"#REF!")</f>
        <v>#REF!</v>
      </c>
      <c r="CT57" s="35" t="str">
        <f>IFERROR(__xludf.DUMMYFUNCTION("VLOOKUP($A$1,IMPORTRANGE($A$2, CONCATENATE($A57,""!$B$5:$JB$48"")),CT$1,0)"),"#REF!")</f>
        <v>#REF!</v>
      </c>
      <c r="CU57" s="35" t="str">
        <f>IFERROR(__xludf.DUMMYFUNCTION("VLOOKUP($A$1,IMPORTRANGE($A$2, CONCATENATE($A57,""!$B$5:$JB$48"")),CU$1,0)"),"#REF!")</f>
        <v>#REF!</v>
      </c>
      <c r="CV57" s="35" t="str">
        <f>IFERROR(__xludf.DUMMYFUNCTION("VLOOKUP($A$1,IMPORTRANGE($A$2, CONCATENATE($A57,""!$B$5:$JB$48"")),CV$1,0)"),"#REF!")</f>
        <v>#REF!</v>
      </c>
      <c r="CW57" s="35" t="str">
        <f>IFERROR(__xludf.DUMMYFUNCTION("VLOOKUP($A$1,IMPORTRANGE($A$2, CONCATENATE($A57,""!$B$5:$JB$48"")),CW$1,0)"),"#REF!")</f>
        <v>#REF!</v>
      </c>
      <c r="CX57" s="35" t="str">
        <f>IFERROR(__xludf.DUMMYFUNCTION("VLOOKUP($A$1,IMPORTRANGE($A$2, CONCATENATE($A57,""!$B$5:$JB$48"")),CX$1,0)"),"#REF!")</f>
        <v>#REF!</v>
      </c>
      <c r="CY57" s="35" t="str">
        <f>IFERROR(__xludf.DUMMYFUNCTION("VLOOKUP($A$1,IMPORTRANGE($A$2, CONCATENATE($A57,""!$B$5:$JB$48"")),CY$1,0)"),"#REF!")</f>
        <v>#REF!</v>
      </c>
      <c r="CZ57" s="35" t="str">
        <f>IFERROR(__xludf.DUMMYFUNCTION("VLOOKUP($A$1,IMPORTRANGE($A$2, CONCATENATE($A57,""!$B$5:$JB$48"")),CZ$1,0)"),"#REF!")</f>
        <v>#REF!</v>
      </c>
      <c r="DA57" s="35" t="str">
        <f>IFERROR(__xludf.DUMMYFUNCTION("VLOOKUP($A$1,IMPORTRANGE($A$2, CONCATENATE($A57,""!$B$5:$JB$48"")),DA$1,0)"),"#REF!")</f>
        <v>#REF!</v>
      </c>
      <c r="DB57" s="35" t="str">
        <f>IFERROR(__xludf.DUMMYFUNCTION("VLOOKUP($A$1,IMPORTRANGE($A$2, CONCATENATE($A57,""!$B$5:$JB$48"")),DB$1,0)"),"#REF!")</f>
        <v>#REF!</v>
      </c>
      <c r="DC57" s="35" t="str">
        <f>IFERROR(__xludf.DUMMYFUNCTION("VLOOKUP($A$1,IMPORTRANGE($A$2, CONCATENATE($A57,""!$B$5:$JB$48"")),DC$1,0)"),"#REF!")</f>
        <v>#REF!</v>
      </c>
      <c r="DD57" s="35" t="str">
        <f>IFERROR(__xludf.DUMMYFUNCTION("VLOOKUP($A$1,IMPORTRANGE($A$2, CONCATENATE($A57,""!$B$5:$JB$48"")),DD$1,0)"),"#REF!")</f>
        <v>#REF!</v>
      </c>
      <c r="DE57" s="35" t="str">
        <f>IFERROR(__xludf.DUMMYFUNCTION("VLOOKUP($A$1,IMPORTRANGE($A$2, CONCATENATE($A57,""!$B$5:$JB$48"")),DE$1,0)"),"#REF!")</f>
        <v>#REF!</v>
      </c>
      <c r="DF57" s="35" t="str">
        <f>IFERROR(__xludf.DUMMYFUNCTION("VLOOKUP($A$1,IMPORTRANGE($A$2, CONCATENATE($A57,""!$B$5:$JB$48"")),DF$1,0)"),"#REF!")</f>
        <v>#REF!</v>
      </c>
      <c r="DG57" s="35" t="str">
        <f>IFERROR(__xludf.DUMMYFUNCTION("VLOOKUP($A$1,IMPORTRANGE($A$2, CONCATENATE($A57,""!$B$5:$JB$48"")),DG$1,0)"),"#REF!")</f>
        <v>#REF!</v>
      </c>
      <c r="DH57" s="35" t="str">
        <f>IFERROR(__xludf.DUMMYFUNCTION("VLOOKUP($A$1,IMPORTRANGE($A$2, CONCATENATE($A57,""!$B$5:$JB$48"")),DH$1,0)"),"#REF!")</f>
        <v>#REF!</v>
      </c>
      <c r="DI57" s="35" t="str">
        <f>IFERROR(__xludf.DUMMYFUNCTION("VLOOKUP($A$1,IMPORTRANGE($A$2, CONCATENATE($A57,""!$B$5:$JB$48"")),DI$1,0)"),"#REF!")</f>
        <v>#REF!</v>
      </c>
      <c r="DJ57" s="35" t="str">
        <f>IFERROR(__xludf.DUMMYFUNCTION("VLOOKUP($A$1,IMPORTRANGE($A$2, CONCATENATE($A57,""!$B$5:$JB$48"")),DJ$1,0)"),"#REF!")</f>
        <v>#REF!</v>
      </c>
      <c r="DK57" s="35" t="str">
        <f>IFERROR(__xludf.DUMMYFUNCTION("VLOOKUP($A$1,IMPORTRANGE($A$2, CONCATENATE($A57,""!$B$5:$JB$48"")),DK$1,0)"),"#REF!")</f>
        <v>#REF!</v>
      </c>
      <c r="DL57" s="35" t="str">
        <f>IFERROR(__xludf.DUMMYFUNCTION("VLOOKUP($A$1,IMPORTRANGE($A$2, CONCATENATE($A57,""!$B$5:$JB$48"")),DL$1,0)"),"#REF!")</f>
        <v>#REF!</v>
      </c>
      <c r="DM57" s="35" t="str">
        <f>IFERROR(__xludf.DUMMYFUNCTION("VLOOKUP($A$1,IMPORTRANGE($A$2, CONCATENATE($A57,""!$B$5:$JB$48"")),DM$1,0)"),"#REF!")</f>
        <v>#REF!</v>
      </c>
      <c r="DN57" s="35" t="str">
        <f>IFERROR(__xludf.DUMMYFUNCTION("VLOOKUP($A$1,IMPORTRANGE($A$2, CONCATENATE($A57,""!$B$5:$JB$48"")),DN$1,0)"),"#REF!")</f>
        <v>#REF!</v>
      </c>
      <c r="DO57" s="35" t="str">
        <f>IFERROR(__xludf.DUMMYFUNCTION("VLOOKUP($A$1,IMPORTRANGE($A$2, CONCATENATE($A57,""!$B$5:$JB$48"")),DO$1,0)"),"#REF!")</f>
        <v>#REF!</v>
      </c>
      <c r="DP57" s="35" t="str">
        <f>IFERROR(__xludf.DUMMYFUNCTION("VLOOKUP($A$1,IMPORTRANGE($A$2, CONCATENATE($A57,""!$B$5:$JB$48"")),DP$1,0)"),"#REF!")</f>
        <v>#REF!</v>
      </c>
      <c r="DQ57" s="35" t="str">
        <f>IFERROR(__xludf.DUMMYFUNCTION("VLOOKUP($A$1,IMPORTRANGE($A$2, CONCATENATE($A57,""!$B$5:$JB$48"")),DQ$1,0)"),"#REF!")</f>
        <v>#REF!</v>
      </c>
      <c r="DR57" s="35" t="str">
        <f>IFERROR(__xludf.DUMMYFUNCTION("VLOOKUP($A$1,IMPORTRANGE($A$2, CONCATENATE($A57,""!$B$5:$JB$48"")),DR$1,0)"),"#REF!")</f>
        <v>#REF!</v>
      </c>
      <c r="DS57" s="35" t="str">
        <f>IFERROR(__xludf.DUMMYFUNCTION("VLOOKUP($A$1,IMPORTRANGE($A$2, CONCATENATE($A57,""!$B$5:$JB$48"")),DS$1,0)"),"#REF!")</f>
        <v>#REF!</v>
      </c>
      <c r="DT57" s="35" t="str">
        <f>IFERROR(__xludf.DUMMYFUNCTION("VLOOKUP($A$1,IMPORTRANGE($A$2, CONCATENATE($A57,""!$B$5:$JB$48"")),DT$1,0)"),"#REF!")</f>
        <v>#REF!</v>
      </c>
      <c r="DU57" s="35" t="str">
        <f>IFERROR(__xludf.DUMMYFUNCTION("VLOOKUP($A$1,IMPORTRANGE($A$2, CONCATENATE($A57,""!$B$5:$JB$48"")),DU$1,0)"),"#REF!")</f>
        <v>#REF!</v>
      </c>
      <c r="DV57" s="35" t="str">
        <f>IFERROR(__xludf.DUMMYFUNCTION("VLOOKUP($A$1,IMPORTRANGE($A$2, CONCATENATE($A57,""!$B$5:$JB$48"")),DV$1,0)"),"#REF!")</f>
        <v>#REF!</v>
      </c>
      <c r="DW57" s="35" t="str">
        <f>IFERROR(__xludf.DUMMYFUNCTION("VLOOKUP($A$1,IMPORTRANGE($A$2, CONCATENATE($A57,""!$B$5:$JB$48"")),DW$1,0)"),"#REF!")</f>
        <v>#REF!</v>
      </c>
      <c r="DX57" s="35" t="str">
        <f>IFERROR(__xludf.DUMMYFUNCTION("VLOOKUP($A$1,IMPORTRANGE($A$2, CONCATENATE($A57,""!$B$5:$JB$48"")),DX$1,0)"),"#REF!")</f>
        <v>#REF!</v>
      </c>
      <c r="DY57" s="35" t="str">
        <f>IFERROR(__xludf.DUMMYFUNCTION("VLOOKUP($A$1,IMPORTRANGE($A$2, CONCATENATE($A57,""!$B$5:$JB$48"")),DY$1,0)"),"#REF!")</f>
        <v>#REF!</v>
      </c>
      <c r="DZ57" s="35" t="str">
        <f>IFERROR(__xludf.DUMMYFUNCTION("VLOOKUP($A$1,IMPORTRANGE($A$2, CONCATENATE($A57,""!$B$5:$JB$48"")),DZ$1,0)"),"#REF!")</f>
        <v>#REF!</v>
      </c>
      <c r="EA57" s="35" t="str">
        <f>IFERROR(__xludf.DUMMYFUNCTION("VLOOKUP($A$1,IMPORTRANGE($A$2, CONCATENATE($A57,""!$B$5:$JB$48"")),EA$1,0)"),"#REF!")</f>
        <v>#REF!</v>
      </c>
      <c r="EB57" s="35" t="str">
        <f>IFERROR(__xludf.DUMMYFUNCTION("VLOOKUP($A$1,IMPORTRANGE($A$2, CONCATENATE($A57,""!$B$5:$JB$48"")),EB$1,0)"),"#REF!")</f>
        <v>#REF!</v>
      </c>
      <c r="EC57" s="35" t="str">
        <f>IFERROR(__xludf.DUMMYFUNCTION("VLOOKUP($A$1,IMPORTRANGE($A$2, CONCATENATE($A57,""!$B$5:$JB$48"")),EC$1,0)"),"#REF!")</f>
        <v>#REF!</v>
      </c>
      <c r="ED57" s="35" t="str">
        <f>IFERROR(__xludf.DUMMYFUNCTION("VLOOKUP($A$1,IMPORTRANGE($A$2, CONCATENATE($A57,""!$B$5:$JB$48"")),ED$1,0)"),"#REF!")</f>
        <v>#REF!</v>
      </c>
      <c r="EE57" s="35" t="str">
        <f>IFERROR(__xludf.DUMMYFUNCTION("VLOOKUP($A$1,IMPORTRANGE($A$2, CONCATENATE($A57,""!$B$5:$JB$48"")),EE$1,0)"),"#REF!")</f>
        <v>#REF!</v>
      </c>
      <c r="EF57" s="35" t="str">
        <f>IFERROR(__xludf.DUMMYFUNCTION("VLOOKUP($A$1,IMPORTRANGE($A$2, CONCATENATE($A57,""!$B$5:$JB$48"")),EF$1,0)"),"#REF!")</f>
        <v>#REF!</v>
      </c>
      <c r="EG57" s="35" t="str">
        <f>IFERROR(__xludf.DUMMYFUNCTION("VLOOKUP($A$1,IMPORTRANGE($A$2, CONCATENATE($A57,""!$B$5:$JB$48"")),EG$1,0)"),"#REF!")</f>
        <v>#REF!</v>
      </c>
      <c r="EH57" s="35" t="str">
        <f>IFERROR(__xludf.DUMMYFUNCTION("VLOOKUP($A$1,IMPORTRANGE($A$2, CONCATENATE($A57,""!$B$5:$JB$48"")),EH$1,0)"),"#REF!")</f>
        <v>#REF!</v>
      </c>
      <c r="EI57" s="35" t="str">
        <f>IFERROR(__xludf.DUMMYFUNCTION("VLOOKUP($A$1,IMPORTRANGE($A$2, CONCATENATE($A57,""!$B$5:$JB$48"")),EI$1,0)"),"#REF!")</f>
        <v>#REF!</v>
      </c>
      <c r="EJ57" s="35" t="str">
        <f>IFERROR(__xludf.DUMMYFUNCTION("VLOOKUP($A$1,IMPORTRANGE($A$2, CONCATENATE($A57,""!$B$5:$JB$48"")),EJ$1,0)"),"#REF!")</f>
        <v>#REF!</v>
      </c>
      <c r="EK57" s="35" t="str">
        <f>IFERROR(__xludf.DUMMYFUNCTION("VLOOKUP($A$1,IMPORTRANGE($A$2, CONCATENATE($A57,""!$B$5:$JB$48"")),EK$1,0)"),"#REF!")</f>
        <v>#REF!</v>
      </c>
      <c r="EL57" s="35" t="str">
        <f>IFERROR(__xludf.DUMMYFUNCTION("VLOOKUP($A$1,IMPORTRANGE($A$2, CONCATENATE($A57,""!$B$5:$JB$48"")),EL$1,0)"),"#REF!")</f>
        <v>#REF!</v>
      </c>
      <c r="EM57" s="35" t="str">
        <f>IFERROR(__xludf.DUMMYFUNCTION("VLOOKUP($A$1,IMPORTRANGE($A$2, CONCATENATE($A57,""!$B$5:$JB$48"")),EM$1,0)"),"#REF!")</f>
        <v>#REF!</v>
      </c>
      <c r="EN57" s="35" t="str">
        <f>IFERROR(__xludf.DUMMYFUNCTION("VLOOKUP($A$1,IMPORTRANGE($A$2, CONCATENATE($A57,""!$B$5:$JB$48"")),EN$1,0)"),"#REF!")</f>
        <v>#REF!</v>
      </c>
      <c r="EO57" s="35" t="str">
        <f>IFERROR(__xludf.DUMMYFUNCTION("VLOOKUP($A$1,IMPORTRANGE($A$2, CONCATENATE($A57,""!$B$5:$JB$48"")),EO$1,0)"),"#REF!")</f>
        <v>#REF!</v>
      </c>
      <c r="EP57" s="35" t="str">
        <f>IFERROR(__xludf.DUMMYFUNCTION("VLOOKUP($A$1,IMPORTRANGE($A$2, CONCATENATE($A57,""!$B$5:$JB$48"")),EP$1,0)"),"#REF!")</f>
        <v>#REF!</v>
      </c>
      <c r="EQ57" s="35" t="str">
        <f>IFERROR(__xludf.DUMMYFUNCTION("VLOOKUP($A$1,IMPORTRANGE($A$2, CONCATENATE($A57,""!$B$5:$JB$48"")),EQ$1,0)"),"#REF!")</f>
        <v>#REF!</v>
      </c>
      <c r="ER57" s="35" t="str">
        <f>IFERROR(__xludf.DUMMYFUNCTION("VLOOKUP($A$1,IMPORTRANGE($A$2, CONCATENATE($A57,""!$B$5:$JB$48"")),ER$1,0)"),"#REF!")</f>
        <v>#REF!</v>
      </c>
      <c r="ES57" s="35" t="str">
        <f>IFERROR(__xludf.DUMMYFUNCTION("VLOOKUP($A$1,IMPORTRANGE($A$2, CONCATENATE($A57,""!$B$5:$JB$48"")),ES$1,0)"),"#REF!")</f>
        <v>#REF!</v>
      </c>
      <c r="ET57" s="35" t="str">
        <f>IFERROR(__xludf.DUMMYFUNCTION("VLOOKUP($A$1,IMPORTRANGE($A$2, CONCATENATE($A57,""!$B$5:$JB$48"")),ET$1,0)"),"#REF!")</f>
        <v>#REF!</v>
      </c>
      <c r="EU57" s="35" t="str">
        <f>IFERROR(__xludf.DUMMYFUNCTION("VLOOKUP($A$1,IMPORTRANGE($A$2, CONCATENATE($A57,""!$B$5:$JB$48"")),EU$1,0)"),"#REF!")</f>
        <v>#REF!</v>
      </c>
      <c r="EV57" s="35" t="str">
        <f>IFERROR(__xludf.DUMMYFUNCTION("VLOOKUP($A$1,IMPORTRANGE($A$2, CONCATENATE($A57,""!$B$5:$JB$48"")),EV$1,0)"),"#REF!")</f>
        <v>#REF!</v>
      </c>
      <c r="EW57" s="35" t="str">
        <f>IFERROR(__xludf.DUMMYFUNCTION("VLOOKUP($A$1,IMPORTRANGE($A$2, CONCATENATE($A57,""!$B$5:$JB$48"")),EW$1,0)"),"#REF!")</f>
        <v>#REF!</v>
      </c>
      <c r="EX57" s="35" t="str">
        <f>IFERROR(__xludf.DUMMYFUNCTION("VLOOKUP($A$1,IMPORTRANGE($A$2, CONCATENATE($A57,""!$B$5:$JB$48"")),EX$1,0)"),"#REF!")</f>
        <v>#REF!</v>
      </c>
      <c r="EY57" s="35" t="str">
        <f>IFERROR(__xludf.DUMMYFUNCTION("VLOOKUP($A$1,IMPORTRANGE($A$2, CONCATENATE($A57,""!$B$5:$JB$48"")),EY$1,0)"),"#REF!")</f>
        <v>#REF!</v>
      </c>
      <c r="EZ57" s="35" t="str">
        <f>IFERROR(__xludf.DUMMYFUNCTION("VLOOKUP($A$1,IMPORTRANGE($A$2, CONCATENATE($A57,""!$B$5:$JB$48"")),EZ$1,0)"),"#REF!")</f>
        <v>#REF!</v>
      </c>
      <c r="FA57" s="35" t="str">
        <f>IFERROR(__xludf.DUMMYFUNCTION("VLOOKUP($A$1,IMPORTRANGE($A$2, CONCATENATE($A57,""!$B$5:$JB$48"")),FA$1,0)"),"#REF!")</f>
        <v>#REF!</v>
      </c>
      <c r="FB57" s="35" t="str">
        <f>IFERROR(__xludf.DUMMYFUNCTION("VLOOKUP($A$1,IMPORTRANGE($A$2, CONCATENATE($A57,""!$B$5:$JB$48"")),FB$1,0)"),"#REF!")</f>
        <v>#REF!</v>
      </c>
      <c r="FC57" s="35" t="str">
        <f>IFERROR(__xludf.DUMMYFUNCTION("VLOOKUP($A$1,IMPORTRANGE($A$2, CONCATENATE($A57,""!$B$5:$JB$48"")),FC$1,0)"),"#REF!")</f>
        <v>#REF!</v>
      </c>
      <c r="FD57" s="35" t="str">
        <f>IFERROR(__xludf.DUMMYFUNCTION("VLOOKUP($A$1,IMPORTRANGE($A$2, CONCATENATE($A57,""!$B$5:$JB$48"")),FD$1,0)"),"#REF!")</f>
        <v>#REF!</v>
      </c>
      <c r="FE57" s="35" t="str">
        <f>IFERROR(__xludf.DUMMYFUNCTION("VLOOKUP($A$1,IMPORTRANGE($A$2, CONCATENATE($A57,""!$B$5:$JB$48"")),FE$1,0)"),"#REF!")</f>
        <v>#REF!</v>
      </c>
      <c r="FF57" s="35" t="str">
        <f>IFERROR(__xludf.DUMMYFUNCTION("VLOOKUP($A$1,IMPORTRANGE($A$2, CONCATENATE($A57,""!$B$5:$JB$48"")),FF$1,0)"),"#REF!")</f>
        <v>#REF!</v>
      </c>
      <c r="FG57" s="35" t="str">
        <f>IFERROR(__xludf.DUMMYFUNCTION("VLOOKUP($A$1,IMPORTRANGE($A$2, CONCATENATE($A57,""!$B$5:$JB$48"")),FG$1,0)"),"#REF!")</f>
        <v>#REF!</v>
      </c>
      <c r="FH57" s="35" t="str">
        <f>IFERROR(__xludf.DUMMYFUNCTION("VLOOKUP($A$1,IMPORTRANGE($A$2, CONCATENATE($A57,""!$B$5:$JB$48"")),FH$1,0)"),"#REF!")</f>
        <v>#REF!</v>
      </c>
      <c r="FI57" s="35" t="str">
        <f>IFERROR(__xludf.DUMMYFUNCTION("VLOOKUP($A$1,IMPORTRANGE($A$2, CONCATENATE($A57,""!$B$5:$JB$48"")),FI$1,0)"),"#REF!")</f>
        <v>#REF!</v>
      </c>
      <c r="FJ57" s="35" t="str">
        <f>IFERROR(__xludf.DUMMYFUNCTION("VLOOKUP($A$1,IMPORTRANGE($A$2, CONCATENATE($A57,""!$B$5:$JB$48"")),FJ$1,0)"),"#REF!")</f>
        <v>#REF!</v>
      </c>
      <c r="FK57" s="35" t="str">
        <f>IFERROR(__xludf.DUMMYFUNCTION("VLOOKUP($A$1,IMPORTRANGE($A$2, CONCATENATE($A57,""!$B$5:$JB$48"")),FK$1,0)"),"#REF!")</f>
        <v>#REF!</v>
      </c>
      <c r="FL57" s="35" t="str">
        <f>IFERROR(__xludf.DUMMYFUNCTION("VLOOKUP($A$1,IMPORTRANGE($A$2, CONCATENATE($A57,""!$B$5:$JB$48"")),FL$1,0)"),"#REF!")</f>
        <v>#REF!</v>
      </c>
      <c r="FM57" s="35" t="str">
        <f>IFERROR(__xludf.DUMMYFUNCTION("VLOOKUP($A$1,IMPORTRANGE($A$2, CONCATENATE($A57,""!$B$5:$JB$48"")),FM$1,0)"),"#REF!")</f>
        <v>#REF!</v>
      </c>
      <c r="FN57" s="35" t="str">
        <f>IFERROR(__xludf.DUMMYFUNCTION("VLOOKUP($A$1,IMPORTRANGE($A$2, CONCATENATE($A57,""!$B$5:$JB$48"")),FN$1,0)"),"#REF!")</f>
        <v>#REF!</v>
      </c>
      <c r="FO57" s="35" t="str">
        <f>IFERROR(__xludf.DUMMYFUNCTION("VLOOKUP($A$1,IMPORTRANGE($A$2, CONCATENATE($A57,""!$B$5:$JB$48"")),FO$1,0)"),"#REF!")</f>
        <v>#REF!</v>
      </c>
      <c r="FP57" s="35" t="str">
        <f>IFERROR(__xludf.DUMMYFUNCTION("VLOOKUP($A$1,IMPORTRANGE($A$2, CONCATENATE($A57,""!$B$5:$JB$48"")),FP$1,0)"),"#REF!")</f>
        <v>#REF!</v>
      </c>
      <c r="FQ57" s="35" t="str">
        <f>IFERROR(__xludf.DUMMYFUNCTION("VLOOKUP($A$1,IMPORTRANGE($A$2, CONCATENATE($A57,""!$B$5:$JB$48"")),FQ$1,0)"),"#REF!")</f>
        <v>#REF!</v>
      </c>
      <c r="FR57" s="35" t="str">
        <f>IFERROR(__xludf.DUMMYFUNCTION("VLOOKUP($A$1,IMPORTRANGE($A$2, CONCATENATE($A57,""!$B$5:$JB$48"")),FR$1,0)"),"#REF!")</f>
        <v>#REF!</v>
      </c>
      <c r="FS57" s="35" t="str">
        <f>IFERROR(__xludf.DUMMYFUNCTION("VLOOKUP($A$1,IMPORTRANGE($A$2, CONCATENATE($A57,""!$B$5:$JB$48"")),FS$1,0)"),"#REF!")</f>
        <v>#REF!</v>
      </c>
      <c r="FT57" s="35" t="str">
        <f>IFERROR(__xludf.DUMMYFUNCTION("VLOOKUP($A$1,IMPORTRANGE($A$2, CONCATENATE($A57,""!$B$5:$JB$48"")),FT$1,0)"),"#REF!")</f>
        <v>#REF!</v>
      </c>
      <c r="FU57" s="35" t="str">
        <f>IFERROR(__xludf.DUMMYFUNCTION("VLOOKUP($A$1,IMPORTRANGE($A$2, CONCATENATE($A57,""!$B$5:$JB$48"")),FU$1,0)"),"#REF!")</f>
        <v>#REF!</v>
      </c>
      <c r="FV57" s="35" t="str">
        <f>IFERROR(__xludf.DUMMYFUNCTION("VLOOKUP($A$1,IMPORTRANGE($A$2, CONCATENATE($A57,""!$B$5:$JB$48"")),FV$1,0)"),"#REF!")</f>
        <v>#REF!</v>
      </c>
      <c r="FW57" s="35" t="str">
        <f>IFERROR(__xludf.DUMMYFUNCTION("VLOOKUP($A$1,IMPORTRANGE($A$2, CONCATENATE($A57,""!$B$5:$JB$48"")),FW$1,0)"),"#REF!")</f>
        <v>#REF!</v>
      </c>
      <c r="FX57" s="35" t="str">
        <f>IFERROR(__xludf.DUMMYFUNCTION("VLOOKUP($A$1,IMPORTRANGE($A$2, CONCATENATE($A57,""!$B$5:$JB$48"")),FX$1,0)"),"#REF!")</f>
        <v>#REF!</v>
      </c>
      <c r="FY57" s="35" t="str">
        <f>IFERROR(__xludf.DUMMYFUNCTION("VLOOKUP($A$1,IMPORTRANGE($A$2, CONCATENATE($A57,""!$B$5:$JB$48"")),FY$1,0)"),"#REF!")</f>
        <v>#REF!</v>
      </c>
      <c r="FZ57" s="35" t="str">
        <f>IFERROR(__xludf.DUMMYFUNCTION("VLOOKUP($A$1,IMPORTRANGE($A$2, CONCATENATE($A57,""!$B$5:$JB$48"")),FZ$1,0)"),"#REF!")</f>
        <v>#REF!</v>
      </c>
      <c r="GA57" s="35" t="str">
        <f>IFERROR(__xludf.DUMMYFUNCTION("VLOOKUP($A$1,IMPORTRANGE($A$2, CONCATENATE($A57,""!$B$5:$JB$48"")),GA$1,0)"),"#REF!")</f>
        <v>#REF!</v>
      </c>
      <c r="GB57" s="35" t="str">
        <f>IFERROR(__xludf.DUMMYFUNCTION("VLOOKUP($A$1,IMPORTRANGE($A$2, CONCATENATE($A57,""!$B$5:$JB$48"")),GB$1,0)"),"#REF!")</f>
        <v>#REF!</v>
      </c>
      <c r="GC57" s="35" t="str">
        <f>IFERROR(__xludf.DUMMYFUNCTION("VLOOKUP($A$1,IMPORTRANGE($A$2, CONCATENATE($A57,""!$B$5:$JB$48"")),GC$1,0)"),"#REF!")</f>
        <v>#REF!</v>
      </c>
      <c r="GD57" s="35" t="str">
        <f>IFERROR(__xludf.DUMMYFUNCTION("VLOOKUP($A$1,IMPORTRANGE($A$2, CONCATENATE($A57,""!$B$5:$JB$48"")),GD$1,0)"),"#REF!")</f>
        <v>#REF!</v>
      </c>
      <c r="GE57" s="35" t="str">
        <f>IFERROR(__xludf.DUMMYFUNCTION("VLOOKUP($A$1,IMPORTRANGE($A$2, CONCATENATE($A57,""!$B$5:$JB$48"")),GE$1,0)"),"#REF!")</f>
        <v>#REF!</v>
      </c>
      <c r="GF57" s="35" t="str">
        <f>IFERROR(__xludf.DUMMYFUNCTION("VLOOKUP($A$1,IMPORTRANGE($A$2, CONCATENATE($A57,""!$B$5:$JB$48"")),GF$1,0)"),"#REF!")</f>
        <v>#REF!</v>
      </c>
      <c r="GG57" s="35" t="str">
        <f>IFERROR(__xludf.DUMMYFUNCTION("VLOOKUP($A$1,IMPORTRANGE($A$2, CONCATENATE($A57,""!$B$5:$JB$48"")),GG$1,0)"),"#REF!")</f>
        <v>#REF!</v>
      </c>
      <c r="GH57" s="35" t="str">
        <f>IFERROR(__xludf.DUMMYFUNCTION("VLOOKUP($A$1,IMPORTRANGE($A$2, CONCATENATE($A57,""!$B$5:$JB$48"")),GH$1,0)"),"#REF!")</f>
        <v>#REF!</v>
      </c>
      <c r="GI57" s="35" t="str">
        <f>IFERROR(__xludf.DUMMYFUNCTION("VLOOKUP($A$1,IMPORTRANGE($A$2, CONCATENATE($A57,""!$B$5:$JB$48"")),GI$1,0)"),"#REF!")</f>
        <v>#REF!</v>
      </c>
      <c r="GJ57" s="35" t="str">
        <f>IFERROR(__xludf.DUMMYFUNCTION("VLOOKUP($A$1,IMPORTRANGE($A$2, CONCATENATE($A57,""!$B$5:$JB$48"")),GJ$1,0)"),"#REF!")</f>
        <v>#REF!</v>
      </c>
      <c r="GK57" s="35" t="str">
        <f>IFERROR(__xludf.DUMMYFUNCTION("VLOOKUP($A$1,IMPORTRANGE($A$2, CONCATENATE($A57,""!$B$5:$JB$48"")),GK$1,0)"),"#REF!")</f>
        <v>#REF!</v>
      </c>
      <c r="GL57" s="35" t="str">
        <f>IFERROR(__xludf.DUMMYFUNCTION("VLOOKUP($A$1,IMPORTRANGE($A$2, CONCATENATE($A57,""!$B$5:$JB$48"")),GL$1,0)"),"#REF!")</f>
        <v>#REF!</v>
      </c>
      <c r="GM57" s="35" t="str">
        <f>IFERROR(__xludf.DUMMYFUNCTION("VLOOKUP($A$1,IMPORTRANGE($A$2, CONCATENATE($A57,""!$B$5:$JB$48"")),GM$1,0)"),"#REF!")</f>
        <v>#REF!</v>
      </c>
      <c r="GN57" s="35" t="str">
        <f>IFERROR(__xludf.DUMMYFUNCTION("VLOOKUP($A$1,IMPORTRANGE($A$2, CONCATENATE($A57,""!$B$5:$JB$48"")),GN$1,0)"),"#REF!")</f>
        <v>#REF!</v>
      </c>
      <c r="GO57" s="35" t="str">
        <f>IFERROR(__xludf.DUMMYFUNCTION("VLOOKUP($A$1,IMPORTRANGE($A$2, CONCATENATE($A57,""!$B$5:$JB$48"")),GO$1,0)"),"#REF!")</f>
        <v>#REF!</v>
      </c>
      <c r="GP57" s="35" t="str">
        <f>IFERROR(__xludf.DUMMYFUNCTION("VLOOKUP($A$1,IMPORTRANGE($A$2, CONCATENATE($A57,""!$B$5:$JB$48"")),GP$1,0)"),"#REF!")</f>
        <v>#REF!</v>
      </c>
      <c r="GQ57" s="35" t="str">
        <f>IFERROR(__xludf.DUMMYFUNCTION("VLOOKUP($A$1,IMPORTRANGE($A$2, CONCATENATE($A57,""!$B$5:$JB$48"")),GQ$1,0)"),"#REF!")</f>
        <v>#REF!</v>
      </c>
      <c r="GR57" s="35" t="str">
        <f>IFERROR(__xludf.DUMMYFUNCTION("VLOOKUP($A$1,IMPORTRANGE($A$2, CONCATENATE($A57,""!$B$5:$JB$48"")),GR$1,0)"),"#REF!")</f>
        <v>#REF!</v>
      </c>
      <c r="GS57" s="35" t="str">
        <f>IFERROR(__xludf.DUMMYFUNCTION("VLOOKUP($A$1,IMPORTRANGE($A$2, CONCATENATE($A57,""!$B$5:$JB$48"")),GS$1,0)"),"#REF!")</f>
        <v>#REF!</v>
      </c>
      <c r="GT57" s="35" t="str">
        <f>IFERROR(__xludf.DUMMYFUNCTION("VLOOKUP($A$1,IMPORTRANGE($A$2, CONCATENATE($A57,""!$B$5:$JB$48"")),GT$1,0)"),"#REF!")</f>
        <v>#REF!</v>
      </c>
      <c r="GU57" s="35" t="str">
        <f>IFERROR(__xludf.DUMMYFUNCTION("VLOOKUP($A$1,IMPORTRANGE($A$2, CONCATENATE($A57,""!$B$5:$JB$48"")),GU$1,0)"),"#REF!")</f>
        <v>#REF!</v>
      </c>
      <c r="GV57" s="35" t="str">
        <f>IFERROR(__xludf.DUMMYFUNCTION("VLOOKUP($A$1,IMPORTRANGE($A$2, CONCATENATE($A57,""!$B$5:$JB$48"")),GV$1,0)"),"#REF!")</f>
        <v>#REF!</v>
      </c>
      <c r="GW57" s="35" t="str">
        <f>IFERROR(__xludf.DUMMYFUNCTION("VLOOKUP($A$1,IMPORTRANGE($A$2, CONCATENATE($A57,""!$B$5:$JB$48"")),GW$1,0)"),"#REF!")</f>
        <v>#REF!</v>
      </c>
      <c r="GX57" s="35" t="str">
        <f>IFERROR(__xludf.DUMMYFUNCTION("VLOOKUP($A$1,IMPORTRANGE($A$2, CONCATENATE($A57,""!$B$5:$JB$48"")),GX$1,0)"),"#REF!")</f>
        <v>#REF!</v>
      </c>
      <c r="GY57" s="35" t="str">
        <f>IFERROR(__xludf.DUMMYFUNCTION("VLOOKUP($A$1,IMPORTRANGE($A$2, CONCATENATE($A57,""!$B$5:$JB$48"")),GY$1,0)"),"#REF!")</f>
        <v>#REF!</v>
      </c>
      <c r="GZ57" s="35" t="str">
        <f>IFERROR(__xludf.DUMMYFUNCTION("VLOOKUP($A$1,IMPORTRANGE($A$2, CONCATENATE($A57,""!$B$5:$JB$48"")),GZ$1,0)"),"#REF!")</f>
        <v>#REF!</v>
      </c>
      <c r="HA57" s="35" t="str">
        <f>IFERROR(__xludf.DUMMYFUNCTION("VLOOKUP($A$1,IMPORTRANGE($A$2, CONCATENATE($A57,""!$B$5:$JB$48"")),HA$1,0)"),"#REF!")</f>
        <v>#REF!</v>
      </c>
      <c r="HB57" s="35" t="str">
        <f>IFERROR(__xludf.DUMMYFUNCTION("VLOOKUP($A$1,IMPORTRANGE($A$2, CONCATENATE($A57,""!$B$5:$JB$48"")),HB$1,0)"),"#REF!")</f>
        <v>#REF!</v>
      </c>
      <c r="HC57" s="35" t="str">
        <f>IFERROR(__xludf.DUMMYFUNCTION("VLOOKUP($A$1,IMPORTRANGE($A$2, CONCATENATE($A57,""!$B$5:$JB$48"")),HC$1,0)"),"#REF!")</f>
        <v>#REF!</v>
      </c>
      <c r="HD57" s="35" t="str">
        <f>IFERROR(__xludf.DUMMYFUNCTION("VLOOKUP($A$1,IMPORTRANGE($A$2, CONCATENATE($A57,""!$B$5:$JB$48"")),HD$1,0)"),"#REF!")</f>
        <v>#REF!</v>
      </c>
      <c r="HE57" s="35" t="str">
        <f>IFERROR(__xludf.DUMMYFUNCTION("VLOOKUP($A$1,IMPORTRANGE($A$2, CONCATENATE($A57,""!$B$5:$JB$48"")),HE$1,0)"),"#REF!")</f>
        <v>#REF!</v>
      </c>
      <c r="HF57" s="35" t="str">
        <f>IFERROR(__xludf.DUMMYFUNCTION("VLOOKUP($A$1,IMPORTRANGE($A$2, CONCATENATE($A57,""!$B$5:$JB$48"")),HF$1,0)"),"#REF!")</f>
        <v>#REF!</v>
      </c>
      <c r="HG57" s="35" t="str">
        <f>IFERROR(__xludf.DUMMYFUNCTION("VLOOKUP($A$1,IMPORTRANGE($A$2, CONCATENATE($A57,""!$B$5:$JB$48"")),HG$1,0)"),"#REF!")</f>
        <v>#REF!</v>
      </c>
      <c r="HH57" s="35" t="str">
        <f>IFERROR(__xludf.DUMMYFUNCTION("VLOOKUP($A$1,IMPORTRANGE($A$2, CONCATENATE($A57,""!$B$5:$JB$48"")),HH$1,0)"),"#REF!")</f>
        <v>#REF!</v>
      </c>
      <c r="HI57" s="35" t="str">
        <f>IFERROR(__xludf.DUMMYFUNCTION("VLOOKUP($A$1,IMPORTRANGE($A$2, CONCATENATE($A57,""!$B$5:$JB$48"")),HI$1,0)"),"#REF!")</f>
        <v>#REF!</v>
      </c>
      <c r="HJ57" s="35" t="str">
        <f>IFERROR(__xludf.DUMMYFUNCTION("VLOOKUP($A$1,IMPORTRANGE($A$2, CONCATENATE($A57,""!$B$5:$JB$48"")),HJ$1,0)"),"#REF!")</f>
        <v>#REF!</v>
      </c>
      <c r="HK57" s="35" t="str">
        <f>IFERROR(__xludf.DUMMYFUNCTION("VLOOKUP($A$1,IMPORTRANGE($A$2, CONCATENATE($A57,""!$B$5:$JB$48"")),HK$1,0)"),"#REF!")</f>
        <v>#REF!</v>
      </c>
      <c r="HL57" s="35" t="str">
        <f>IFERROR(__xludf.DUMMYFUNCTION("VLOOKUP($A$1,IMPORTRANGE($A$2, CONCATENATE($A57,""!$B$5:$JB$48"")),HL$1,0)"),"#REF!")</f>
        <v>#REF!</v>
      </c>
      <c r="HM57" s="35" t="str">
        <f>IFERROR(__xludf.DUMMYFUNCTION("VLOOKUP($A$1,IMPORTRANGE($A$2, CONCATENATE($A57,""!$B$5:$JB$48"")),HM$1,0)"),"#REF!")</f>
        <v>#REF!</v>
      </c>
      <c r="HN57" s="35" t="str">
        <f>IFERROR(__xludf.DUMMYFUNCTION("VLOOKUP($A$1,IMPORTRANGE($A$2, CONCATENATE($A57,""!$B$5:$JB$48"")),HN$1,0)"),"#REF!")</f>
        <v>#REF!</v>
      </c>
      <c r="HO57" s="35" t="str">
        <f>IFERROR(__xludf.DUMMYFUNCTION("VLOOKUP($A$1,IMPORTRANGE($A$2, CONCATENATE($A57,""!$B$5:$JB$48"")),HO$1,0)"),"#REF!")</f>
        <v>#REF!</v>
      </c>
      <c r="HP57" s="35" t="str">
        <f>IFERROR(__xludf.DUMMYFUNCTION("VLOOKUP($A$1,IMPORTRANGE($A$2, CONCATENATE($A57,""!$B$5:$JB$48"")),HP$1,0)"),"#REF!")</f>
        <v>#REF!</v>
      </c>
      <c r="HQ57" s="35" t="str">
        <f>IFERROR(__xludf.DUMMYFUNCTION("VLOOKUP($A$1,IMPORTRANGE($A$2, CONCATENATE($A57,""!$B$5:$JB$48"")),HQ$1,0)"),"#REF!")</f>
        <v>#REF!</v>
      </c>
      <c r="HR57" s="35" t="str">
        <f>IFERROR(__xludf.DUMMYFUNCTION("VLOOKUP($A$1,IMPORTRANGE($A$2, CONCATENATE($A57,""!$B$5:$JB$48"")),HR$1,0)"),"#REF!")</f>
        <v>#REF!</v>
      </c>
      <c r="HS57" s="35" t="str">
        <f>IFERROR(__xludf.DUMMYFUNCTION("VLOOKUP($A$1,IMPORTRANGE($A$2, CONCATENATE($A57,""!$B$5:$JB$48"")),HS$1,0)"),"#REF!")</f>
        <v>#REF!</v>
      </c>
      <c r="HT57" s="35" t="str">
        <f>IFERROR(__xludf.DUMMYFUNCTION("VLOOKUP($A$1,IMPORTRANGE($A$2, CONCATENATE($A57,""!$B$5:$JB$48"")),HT$1,0)"),"#REF!")</f>
        <v>#REF!</v>
      </c>
      <c r="HU57" s="35" t="str">
        <f>IFERROR(__xludf.DUMMYFUNCTION("VLOOKUP($A$1,IMPORTRANGE($A$2, CONCATENATE($A57,""!$B$5:$JB$48"")),HU$1,0)"),"#REF!")</f>
        <v>#REF!</v>
      </c>
      <c r="HV57" s="35" t="str">
        <f>IFERROR(__xludf.DUMMYFUNCTION("VLOOKUP($A$1,IMPORTRANGE($A$2, CONCATENATE($A57,""!$B$5:$JB$48"")),HV$1,0)"),"#REF!")</f>
        <v>#REF!</v>
      </c>
      <c r="HW57" s="35" t="str">
        <f>IFERROR(__xludf.DUMMYFUNCTION("VLOOKUP($A$1,IMPORTRANGE($A$2, CONCATENATE($A57,""!$B$5:$JB$48"")),HW$1,0)"),"#REF!")</f>
        <v>#REF!</v>
      </c>
      <c r="HX57" s="35" t="str">
        <f>IFERROR(__xludf.DUMMYFUNCTION("VLOOKUP($A$1,IMPORTRANGE($A$2, CONCATENATE($A57,""!$B$5:$JB$48"")),HX$1,0)"),"#REF!")</f>
        <v>#REF!</v>
      </c>
      <c r="HY57" s="35" t="str">
        <f>IFERROR(__xludf.DUMMYFUNCTION("VLOOKUP($A$1,IMPORTRANGE($A$2, CONCATENATE($A57,""!$B$5:$JB$48"")),HY$1,0)"),"#REF!")</f>
        <v>#REF!</v>
      </c>
      <c r="HZ57" s="35" t="str">
        <f>IFERROR(__xludf.DUMMYFUNCTION("VLOOKUP($A$1,IMPORTRANGE($A$2, CONCATENATE($A57,""!$B$5:$JB$48"")),HZ$1,0)"),"#REF!")</f>
        <v>#REF!</v>
      </c>
      <c r="IA57" s="35" t="str">
        <f>IFERROR(__xludf.DUMMYFUNCTION("VLOOKUP($A$1,IMPORTRANGE($A$2, CONCATENATE($A57,""!$B$5:$JB$48"")),IA$1,0)"),"#REF!")</f>
        <v>#REF!</v>
      </c>
      <c r="IB57" s="35" t="str">
        <f>IFERROR(__xludf.DUMMYFUNCTION("VLOOKUP($A$1,IMPORTRANGE($A$2, CONCATENATE($A57,""!$B$5:$JB$48"")),IB$1,0)"),"#REF!")</f>
        <v>#REF!</v>
      </c>
      <c r="IC57" s="35" t="str">
        <f>IFERROR(__xludf.DUMMYFUNCTION("VLOOKUP($A$1,IMPORTRANGE($A$2, CONCATENATE($A57,""!$B$5:$JB$48"")),IC$1,0)"),"#REF!")</f>
        <v>#REF!</v>
      </c>
      <c r="ID57" s="35" t="str">
        <f>IFERROR(__xludf.DUMMYFUNCTION("VLOOKUP($A$1,IMPORTRANGE($A$2, CONCATENATE($A57,""!$B$5:$JB$48"")),ID$1,0)"),"#REF!")</f>
        <v>#REF!</v>
      </c>
      <c r="IE57" s="35" t="str">
        <f>IFERROR(__xludf.DUMMYFUNCTION("VLOOKUP($A$1,IMPORTRANGE($A$2, CONCATENATE($A57,""!$B$5:$JB$48"")),IE$1,0)"),"#REF!")</f>
        <v>#REF!</v>
      </c>
      <c r="IF57" s="35" t="str">
        <f>IFERROR(__xludf.DUMMYFUNCTION("VLOOKUP($A$1,IMPORTRANGE($A$2, CONCATENATE($A57,""!$B$5:$JB$48"")),IF$1,0)"),"#REF!")</f>
        <v>#REF!</v>
      </c>
      <c r="IG57" s="35" t="str">
        <f>IFERROR(__xludf.DUMMYFUNCTION("VLOOKUP($A$1,IMPORTRANGE($A$2, CONCATENATE($A57,""!$B$5:$JB$48"")),IG$1,0)"),"#REF!")</f>
        <v>#REF!</v>
      </c>
      <c r="IH57" s="35" t="str">
        <f>IFERROR(__xludf.DUMMYFUNCTION("VLOOKUP($A$1,IMPORTRANGE($A$2, CONCATENATE($A57,""!$B$5:$JB$48"")),IH$1,0)"),"#REF!")</f>
        <v>#REF!</v>
      </c>
      <c r="II57" s="35" t="str">
        <f>IFERROR(__xludf.DUMMYFUNCTION("VLOOKUP($A$1,IMPORTRANGE($A$2, CONCATENATE($A57,""!$B$5:$JB$48"")),II$1,0)"),"#REF!")</f>
        <v>#REF!</v>
      </c>
      <c r="IJ57" s="35" t="str">
        <f>IFERROR(__xludf.DUMMYFUNCTION("VLOOKUP($A$1,IMPORTRANGE($A$2, CONCATENATE($A57,""!$B$5:$JB$48"")),IJ$1,0)"),"#REF!")</f>
        <v>#REF!</v>
      </c>
      <c r="IK57" s="35" t="str">
        <f>IFERROR(__xludf.DUMMYFUNCTION("VLOOKUP($A$1,IMPORTRANGE($A$2, CONCATENATE($A57,""!$B$5:$JB$48"")),IK$1,0)"),"#REF!")</f>
        <v>#REF!</v>
      </c>
      <c r="IL57" s="35" t="str">
        <f>IFERROR(__xludf.DUMMYFUNCTION("VLOOKUP($A$1,IMPORTRANGE($A$2, CONCATENATE($A57,""!$B$5:$JB$48"")),IL$1,0)"),"#REF!")</f>
        <v>#REF!</v>
      </c>
      <c r="IM57" s="35" t="str">
        <f>IFERROR(__xludf.DUMMYFUNCTION("VLOOKUP($A$1,IMPORTRANGE($A$2, CONCATENATE($A57,""!$B$5:$JB$48"")),IM$1,0)"),"#REF!")</f>
        <v>#REF!</v>
      </c>
      <c r="IN57" s="35" t="str">
        <f>IFERROR(__xludf.DUMMYFUNCTION("VLOOKUP($A$1,IMPORTRANGE($A$2, CONCATENATE($A57,""!$B$5:$JB$48"")),IN$1,0)"),"#REF!")</f>
        <v>#REF!</v>
      </c>
      <c r="IO57" s="35" t="str">
        <f>IFERROR(__xludf.DUMMYFUNCTION("VLOOKUP($A$1,IMPORTRANGE($A$2, CONCATENATE($A57,""!$B$5:$JB$48"")),IO$1,0)"),"#REF!")</f>
        <v>#REF!</v>
      </c>
      <c r="IP57" s="35" t="str">
        <f>IFERROR(__xludf.DUMMYFUNCTION("VLOOKUP($A$1,IMPORTRANGE($A$2, CONCATENATE($A57,""!$B$5:$JB$48"")),IP$1,0)"),"#REF!")</f>
        <v>#REF!</v>
      </c>
      <c r="IQ57" s="35" t="str">
        <f>IFERROR(__xludf.DUMMYFUNCTION("VLOOKUP($A$1,IMPORTRANGE($A$2, CONCATENATE($A57,""!$B$5:$JB$48"")),IQ$1,0)"),"#REF!")</f>
        <v>#REF!</v>
      </c>
      <c r="IR57" s="35" t="str">
        <f>IFERROR(__xludf.DUMMYFUNCTION("VLOOKUP($A$1,IMPORTRANGE($A$2, CONCATENATE($A57,""!$B$5:$JB$48"")),IR$1,0)"),"#REF!")</f>
        <v>#REF!</v>
      </c>
      <c r="IS57" s="35" t="str">
        <f>IFERROR(__xludf.DUMMYFUNCTION("VLOOKUP($A$1,IMPORTRANGE($A$2, CONCATENATE($A57,""!$B$5:$JB$48"")),IS$1,0)"),"#REF!")</f>
        <v>#REF!</v>
      </c>
      <c r="IT57" s="35" t="str">
        <f>IFERROR(__xludf.DUMMYFUNCTION("VLOOKUP($A$1,IMPORTRANGE($A$2, CONCATENATE($A57,""!$B$5:$JB$48"")),IT$1,0)"),"#REF!")</f>
        <v>#REF!</v>
      </c>
      <c r="IU57" s="35" t="str">
        <f>IFERROR(__xludf.DUMMYFUNCTION("VLOOKUP($A$1,IMPORTRANGE($A$2, CONCATENATE($A57,""!$B$5:$JB$48"")),IU$1,0)"),"#REF!")</f>
        <v>#REF!</v>
      </c>
      <c r="IV57" s="35" t="str">
        <f>IFERROR(__xludf.DUMMYFUNCTION("VLOOKUP($A$1,IMPORTRANGE($A$2, CONCATENATE($A57,""!$B$5:$JB$48"")),IV$1,0)"),"#REF!")</f>
        <v>#REF!</v>
      </c>
      <c r="IW57" s="35" t="str">
        <f>IFERROR(__xludf.DUMMYFUNCTION("VLOOKUP($A$1,IMPORTRANGE($A$2, CONCATENATE($A57,""!$B$5:$JB$48"")),IW$1,0)"),"#REF!")</f>
        <v>#REF!</v>
      </c>
      <c r="IX57" s="35" t="str">
        <f>IFERROR(__xludf.DUMMYFUNCTION("VLOOKUP($A$1,IMPORTRANGE($A$2, CONCATENATE($A57,""!$B$5:$JB$48"")),IX$1,0)"),"#REF!")</f>
        <v>#REF!</v>
      </c>
      <c r="IY57" s="35" t="str">
        <f>IFERROR(__xludf.DUMMYFUNCTION("VLOOKUP($A$1,IMPORTRANGE($A$2, CONCATENATE($A57,""!$B$5:$JB$48"")),IY$1,0)"),"#REF!")</f>
        <v>#REF!</v>
      </c>
      <c r="IZ57" s="35" t="str">
        <f>IFERROR(__xludf.DUMMYFUNCTION("VLOOKUP($A$1,IMPORTRANGE($A$2, CONCATENATE($A57,""!$B$5:$JB$48"")),IZ$1,0)"),"#REF!")</f>
        <v>#REF!</v>
      </c>
      <c r="JA57" s="35" t="str">
        <f>IFERROR(__xludf.DUMMYFUNCTION("VLOOKUP($A$1,IMPORTRANGE($A$2, CONCATENATE($A57,""!$B$5:$JB$48"")),JA$1,0)"),"#REF!")</f>
        <v>#REF!</v>
      </c>
      <c r="JB57" s="37"/>
      <c r="JC57" s="37"/>
      <c r="JD57" s="37"/>
      <c r="JE57" s="37"/>
    </row>
    <row r="58">
      <c r="A58" s="43"/>
      <c r="B58" s="29"/>
      <c r="C58" s="37"/>
      <c r="D58" s="38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37"/>
      <c r="IE58" s="37"/>
      <c r="IF58" s="37"/>
      <c r="IG58" s="37"/>
      <c r="IH58" s="37"/>
      <c r="II58" s="37"/>
      <c r="IJ58" s="37"/>
      <c r="IK58" s="37"/>
      <c r="IL58" s="37"/>
      <c r="IM58" s="37"/>
      <c r="IN58" s="37"/>
      <c r="IO58" s="37"/>
      <c r="IP58" s="37"/>
      <c r="IQ58" s="37"/>
      <c r="IR58" s="37"/>
      <c r="IS58" s="37"/>
      <c r="IT58" s="37"/>
      <c r="IU58" s="37"/>
      <c r="IV58" s="37"/>
      <c r="IW58" s="37"/>
      <c r="IX58" s="37"/>
      <c r="IY58" s="37"/>
      <c r="IZ58" s="37"/>
      <c r="JA58" s="37"/>
      <c r="JB58" s="37"/>
      <c r="JC58" s="37"/>
      <c r="JD58" s="37"/>
      <c r="JE58" s="37"/>
    </row>
    <row r="59">
      <c r="A59" s="44"/>
      <c r="B59" s="32" t="str">
        <f>IFERROR(__xludf.DUMMYFUNCTION("IMPORTRANGE($A$2, CONCATENATE($A60,""!C4:JB4""))"),"02.09")</f>
        <v>02.09</v>
      </c>
      <c r="C59" s="32" t="str">
        <f>IFERROR(__xludf.DUMMYFUNCTION("""COMPUTED_VALUE"""),"03.09")</f>
        <v>03.09</v>
      </c>
      <c r="D59" s="32" t="str">
        <f>IFERROR(__xludf.DUMMYFUNCTION("""COMPUTED_VALUE"""),"04.09")</f>
        <v>04.09</v>
      </c>
      <c r="E59" s="32" t="str">
        <f>IFERROR(__xludf.DUMMYFUNCTION("""COMPUTED_VALUE"""),"05.09")</f>
        <v>05.09</v>
      </c>
      <c r="F59" s="32" t="str">
        <f>IFERROR(__xludf.DUMMYFUNCTION("""COMPUTED_VALUE"""),"06.09")</f>
        <v>06.09</v>
      </c>
      <c r="G59" s="32" t="str">
        <f>IFERROR(__xludf.DUMMYFUNCTION("""COMPUTED_VALUE"""),"08.09")</f>
        <v>08.09</v>
      </c>
      <c r="H59" s="32" t="str">
        <f>IFERROR(__xludf.DUMMYFUNCTION("""COMPUTED_VALUE"""),"09.09")</f>
        <v>09.09</v>
      </c>
      <c r="I59" s="32" t="str">
        <f>IFERROR(__xludf.DUMMYFUNCTION("""COMPUTED_VALUE"""),"10.09")</f>
        <v>10.09</v>
      </c>
      <c r="J59" s="32" t="str">
        <f>IFERROR(__xludf.DUMMYFUNCTION("""COMPUTED_VALUE"""),"11.09")</f>
        <v>11.09</v>
      </c>
      <c r="K59" s="32" t="str">
        <f>IFERROR(__xludf.DUMMYFUNCTION("""COMPUTED_VALUE"""),"12.09")</f>
        <v>12.09</v>
      </c>
      <c r="L59" s="32" t="str">
        <f>IFERROR(__xludf.DUMMYFUNCTION("""COMPUTED_VALUE"""),"13.09")</f>
        <v>13.09</v>
      </c>
      <c r="M59" s="32" t="str">
        <f>IFERROR(__xludf.DUMMYFUNCTION("""COMPUTED_VALUE"""),"15.09")</f>
        <v>15.09</v>
      </c>
      <c r="N59" s="32" t="str">
        <f>IFERROR(__xludf.DUMMYFUNCTION("""COMPUTED_VALUE"""),"16.09")</f>
        <v>16.09</v>
      </c>
      <c r="O59" s="32" t="str">
        <f>IFERROR(__xludf.DUMMYFUNCTION("""COMPUTED_VALUE"""),"17.09")</f>
        <v>17.09</v>
      </c>
      <c r="P59" s="32" t="str">
        <f>IFERROR(__xludf.DUMMYFUNCTION("""COMPUTED_VALUE"""),"18.09")</f>
        <v>18.09</v>
      </c>
      <c r="Q59" s="32" t="str">
        <f>IFERROR(__xludf.DUMMYFUNCTION("""COMPUTED_VALUE"""),"19.09")</f>
        <v>19.09</v>
      </c>
      <c r="R59" s="32" t="str">
        <f>IFERROR(__xludf.DUMMYFUNCTION("""COMPUTED_VALUE"""),"20.09")</f>
        <v>20.09</v>
      </c>
      <c r="S59" s="32" t="str">
        <f>IFERROR(__xludf.DUMMYFUNCTION("""COMPUTED_VALUE"""),"22.09")</f>
        <v>22.09</v>
      </c>
      <c r="T59" s="32" t="str">
        <f>IFERROR(__xludf.DUMMYFUNCTION("""COMPUTED_VALUE"""),"23.09")</f>
        <v>23.09</v>
      </c>
      <c r="U59" s="32" t="str">
        <f>IFERROR(__xludf.DUMMYFUNCTION("""COMPUTED_VALUE"""),"24.09")</f>
        <v>24.09</v>
      </c>
      <c r="V59" s="32" t="str">
        <f>IFERROR(__xludf.DUMMYFUNCTION("""COMPUTED_VALUE"""),"25.09")</f>
        <v>25.09</v>
      </c>
      <c r="W59" s="32" t="str">
        <f>IFERROR(__xludf.DUMMYFUNCTION("""COMPUTED_VALUE"""),"26.09")</f>
        <v>26.09</v>
      </c>
      <c r="X59" s="32" t="str">
        <f>IFERROR(__xludf.DUMMYFUNCTION("""COMPUTED_VALUE"""),"27.09")</f>
        <v>27.09</v>
      </c>
      <c r="Y59" s="32" t="str">
        <f>IFERROR(__xludf.DUMMYFUNCTION("""COMPUTED_VALUE"""),"29.09")</f>
        <v>29.09</v>
      </c>
      <c r="Z59" s="32" t="str">
        <f>IFERROR(__xludf.DUMMYFUNCTION("""COMPUTED_VALUE"""),"30.09")</f>
        <v>30.09</v>
      </c>
      <c r="AA59" s="32" t="str">
        <f>IFERROR(__xludf.DUMMYFUNCTION("""COMPUTED_VALUE"""),"02.10")</f>
        <v>02.10</v>
      </c>
      <c r="AB59" s="32" t="str">
        <f>IFERROR(__xludf.DUMMYFUNCTION("""COMPUTED_VALUE"""),"03.10")</f>
        <v>03.10</v>
      </c>
      <c r="AC59" s="32" t="str">
        <f>IFERROR(__xludf.DUMMYFUNCTION("""COMPUTED_VALUE"""),"04.10")</f>
        <v>04.10</v>
      </c>
      <c r="AD59" s="32" t="str">
        <f>IFERROR(__xludf.DUMMYFUNCTION("""COMPUTED_VALUE"""),"06.10")</f>
        <v>06.10</v>
      </c>
      <c r="AE59" s="32" t="str">
        <f>IFERROR(__xludf.DUMMYFUNCTION("""COMPUTED_VALUE"""),"07.10")</f>
        <v>07.10</v>
      </c>
      <c r="AF59" s="32" t="str">
        <f>IFERROR(__xludf.DUMMYFUNCTION("""COMPUTED_VALUE"""),"08.10")</f>
        <v>08.10</v>
      </c>
      <c r="AG59" s="32" t="str">
        <f>IFERROR(__xludf.DUMMYFUNCTION("""COMPUTED_VALUE"""),"09.10")</f>
        <v>09.10</v>
      </c>
      <c r="AH59" s="32" t="str">
        <f>IFERROR(__xludf.DUMMYFUNCTION("""COMPUTED_VALUE"""),"10.10")</f>
        <v>10.10</v>
      </c>
      <c r="AI59" s="32" t="str">
        <f>IFERROR(__xludf.DUMMYFUNCTION("""COMPUTED_VALUE"""),"11.10")</f>
        <v>11.10</v>
      </c>
      <c r="AJ59" s="32" t="str">
        <f>IFERROR(__xludf.DUMMYFUNCTION("""COMPUTED_VALUE"""),"13.10")</f>
        <v>13.10</v>
      </c>
      <c r="AK59" s="32" t="str">
        <f>IFERROR(__xludf.DUMMYFUNCTION("""COMPUTED_VALUE"""),"14.10")</f>
        <v>14.10</v>
      </c>
      <c r="AL59" s="32" t="str">
        <f>IFERROR(__xludf.DUMMYFUNCTION("""COMPUTED_VALUE"""),"15.10")</f>
        <v>15.10</v>
      </c>
      <c r="AM59" s="32" t="str">
        <f>IFERROR(__xludf.DUMMYFUNCTION("""COMPUTED_VALUE"""),"16.10")</f>
        <v>16.10</v>
      </c>
      <c r="AN59" s="32" t="str">
        <f>IFERROR(__xludf.DUMMYFUNCTION("""COMPUTED_VALUE"""),"17.10")</f>
        <v>17.10</v>
      </c>
      <c r="AO59" s="32" t="str">
        <f>IFERROR(__xludf.DUMMYFUNCTION("""COMPUTED_VALUE"""),"18.10")</f>
        <v>18.10</v>
      </c>
      <c r="AP59" s="32" t="str">
        <f>IFERROR(__xludf.DUMMYFUNCTION("""COMPUTED_VALUE"""),"20.10")</f>
        <v>20.10</v>
      </c>
      <c r="AQ59" s="32" t="str">
        <f>IFERROR(__xludf.DUMMYFUNCTION("""COMPUTED_VALUE"""),"21.10")</f>
        <v>21.10</v>
      </c>
      <c r="AR59" s="32" t="str">
        <f>IFERROR(__xludf.DUMMYFUNCTION("""COMPUTED_VALUE"""),"22.10")</f>
        <v>22.10</v>
      </c>
      <c r="AS59" s="32" t="str">
        <f>IFERROR(__xludf.DUMMYFUNCTION("""COMPUTED_VALUE"""),"23.10")</f>
        <v>23.10</v>
      </c>
      <c r="AT59" s="32" t="str">
        <f>IFERROR(__xludf.DUMMYFUNCTION("""COMPUTED_VALUE"""),"24.10")</f>
        <v>24.10</v>
      </c>
      <c r="AU59" s="32" t="str">
        <f>IFERROR(__xludf.DUMMYFUNCTION("""COMPUTED_VALUE"""),"25.10")</f>
        <v>25.10</v>
      </c>
      <c r="AV59" s="32" t="str">
        <f>IFERROR(__xludf.DUMMYFUNCTION("""COMPUTED_VALUE"""),"27.10")</f>
        <v>27.10</v>
      </c>
      <c r="AW59" s="32" t="str">
        <f>IFERROR(__xludf.DUMMYFUNCTION("""COMPUTED_VALUE"""),"28.10")</f>
        <v>28.10</v>
      </c>
      <c r="AX59" s="32" t="str">
        <f>IFERROR(__xludf.DUMMYFUNCTION("""COMPUTED_VALUE"""),"29.10")</f>
        <v>29.10</v>
      </c>
      <c r="AY59" s="32" t="str">
        <f>IFERROR(__xludf.DUMMYFUNCTION("""COMPUTED_VALUE"""),"30.10")</f>
        <v>30.10</v>
      </c>
      <c r="AZ59" s="32" t="str">
        <f>IFERROR(__xludf.DUMMYFUNCTION("""COMPUTED_VALUE"""),"31.10")</f>
        <v>31.10</v>
      </c>
      <c r="BA59" s="32" t="str">
        <f>IFERROR(__xludf.DUMMYFUNCTION("""COMPUTED_VALUE"""),"10.11")</f>
        <v>10.11</v>
      </c>
      <c r="BB59" s="32" t="str">
        <f>IFERROR(__xludf.DUMMYFUNCTION("""COMPUTED_VALUE"""),"11.11")</f>
        <v>11.11</v>
      </c>
      <c r="BC59" s="32" t="str">
        <f>IFERROR(__xludf.DUMMYFUNCTION("""COMPUTED_VALUE"""),"12.11")</f>
        <v>12.11</v>
      </c>
      <c r="BD59" s="32" t="str">
        <f>IFERROR(__xludf.DUMMYFUNCTION("""COMPUTED_VALUE"""),"13.11")</f>
        <v>13.11</v>
      </c>
      <c r="BE59" s="32" t="str">
        <f>IFERROR(__xludf.DUMMYFUNCTION("""COMPUTED_VALUE"""),"14.11")</f>
        <v>14.11</v>
      </c>
      <c r="BF59" s="32" t="str">
        <f>IFERROR(__xludf.DUMMYFUNCTION("""COMPUTED_VALUE"""),"15.11")</f>
        <v>15.11</v>
      </c>
      <c r="BG59" s="32" t="str">
        <f>IFERROR(__xludf.DUMMYFUNCTION("""COMPUTED_VALUE"""),"17.11")</f>
        <v>17.11</v>
      </c>
      <c r="BH59" s="32" t="str">
        <f>IFERROR(__xludf.DUMMYFUNCTION("""COMPUTED_VALUE"""),"18.11")</f>
        <v>18.11</v>
      </c>
      <c r="BI59" s="32" t="str">
        <f>IFERROR(__xludf.DUMMYFUNCTION("""COMPUTED_VALUE"""),"19.11")</f>
        <v>19.11</v>
      </c>
      <c r="BJ59" s="32" t="str">
        <f>IFERROR(__xludf.DUMMYFUNCTION("""COMPUTED_VALUE"""),"20.11")</f>
        <v>20.11</v>
      </c>
      <c r="BK59" s="32" t="str">
        <f>IFERROR(__xludf.DUMMYFUNCTION("""COMPUTED_VALUE"""),"21.11")</f>
        <v>21.11</v>
      </c>
      <c r="BL59" s="32" t="str">
        <f>IFERROR(__xludf.DUMMYFUNCTION("""COMPUTED_VALUE"""),"22.11")</f>
        <v>22.11</v>
      </c>
      <c r="BM59" s="32" t="str">
        <f>IFERROR(__xludf.DUMMYFUNCTION("""COMPUTED_VALUE"""),"24.11")</f>
        <v>24.11</v>
      </c>
      <c r="BN59" s="32" t="str">
        <f>IFERROR(__xludf.DUMMYFUNCTION("""COMPUTED_VALUE"""),"25.11")</f>
        <v>25.11</v>
      </c>
      <c r="BO59" s="32" t="str">
        <f>IFERROR(__xludf.DUMMYFUNCTION("""COMPUTED_VALUE"""),"26.11")</f>
        <v>26.11</v>
      </c>
      <c r="BP59" s="32" t="str">
        <f>IFERROR(__xludf.DUMMYFUNCTION("""COMPUTED_VALUE"""),"27.11")</f>
        <v>27.11</v>
      </c>
      <c r="BQ59" s="32" t="str">
        <f>IFERROR(__xludf.DUMMYFUNCTION("""COMPUTED_VALUE"""),"28.11")</f>
        <v>28.11</v>
      </c>
      <c r="BR59" s="32" t="str">
        <f>IFERROR(__xludf.DUMMYFUNCTION("""COMPUTED_VALUE"""),"29.11")</f>
        <v>29.11</v>
      </c>
      <c r="BS59" s="32" t="str">
        <f>IFERROR(__xludf.DUMMYFUNCTION("""COMPUTED_VALUE"""),"01.12")</f>
        <v>01.12</v>
      </c>
      <c r="BT59" s="32" t="str">
        <f>IFERROR(__xludf.DUMMYFUNCTION("""COMPUTED_VALUE"""),"02.12")</f>
        <v>02.12</v>
      </c>
      <c r="BU59" s="32" t="str">
        <f>IFERROR(__xludf.DUMMYFUNCTION("""COMPUTED_VALUE"""),"03.12")</f>
        <v>03.12</v>
      </c>
      <c r="BV59" s="32" t="str">
        <f>IFERROR(__xludf.DUMMYFUNCTION("""COMPUTED_VALUE"""),"04.12")</f>
        <v>04.12</v>
      </c>
      <c r="BW59" s="32" t="str">
        <f>IFERROR(__xludf.DUMMYFUNCTION("""COMPUTED_VALUE"""),"05.12")</f>
        <v>05.12</v>
      </c>
      <c r="BX59" s="32" t="str">
        <f>IFERROR(__xludf.DUMMYFUNCTION("""COMPUTED_VALUE"""),"06.12")</f>
        <v>06.12</v>
      </c>
      <c r="BY59" s="32" t="str">
        <f>IFERROR(__xludf.DUMMYFUNCTION("""COMPUTED_VALUE"""),"08.12")</f>
        <v>08.12</v>
      </c>
      <c r="BZ59" s="32" t="str">
        <f>IFERROR(__xludf.DUMMYFUNCTION("""COMPUTED_VALUE"""),"09.12")</f>
        <v>09.12</v>
      </c>
      <c r="CA59" s="32" t="str">
        <f>IFERROR(__xludf.DUMMYFUNCTION("""COMPUTED_VALUE"""),"10.12")</f>
        <v>10.12</v>
      </c>
      <c r="CB59" s="32" t="str">
        <f>IFERROR(__xludf.DUMMYFUNCTION("""COMPUTED_VALUE"""),"11.12")</f>
        <v>11.12</v>
      </c>
      <c r="CC59" s="32" t="str">
        <f>IFERROR(__xludf.DUMMYFUNCTION("""COMPUTED_VALUE"""),"12.12")</f>
        <v>12.12</v>
      </c>
      <c r="CD59" s="32" t="str">
        <f>IFERROR(__xludf.DUMMYFUNCTION("""COMPUTED_VALUE"""),"13.12")</f>
        <v>13.12</v>
      </c>
      <c r="CE59" s="32" t="str">
        <f>IFERROR(__xludf.DUMMYFUNCTION("""COMPUTED_VALUE"""),"15.12")</f>
        <v>15.12</v>
      </c>
      <c r="CF59" s="32" t="str">
        <f>IFERROR(__xludf.DUMMYFUNCTION("""COMPUTED_VALUE"""),"16.12")</f>
        <v>16.12</v>
      </c>
      <c r="CG59" s="32" t="str">
        <f>IFERROR(__xludf.DUMMYFUNCTION("""COMPUTED_VALUE"""),"17.12")</f>
        <v>17.12</v>
      </c>
      <c r="CH59" s="32" t="str">
        <f>IFERROR(__xludf.DUMMYFUNCTION("""COMPUTED_VALUE"""),"18.12")</f>
        <v>18.12</v>
      </c>
      <c r="CI59" s="32" t="str">
        <f>IFERROR(__xludf.DUMMYFUNCTION("""COMPUTED_VALUE"""),"19.12")</f>
        <v>19.12</v>
      </c>
      <c r="CJ59" s="32" t="str">
        <f>IFERROR(__xludf.DUMMYFUNCTION("""COMPUTED_VALUE"""),"20.12")</f>
        <v>20.12</v>
      </c>
      <c r="CK59" s="32" t="str">
        <f>IFERROR(__xludf.DUMMYFUNCTION("""COMPUTED_VALUE"""),"22.12")</f>
        <v>22.12</v>
      </c>
      <c r="CL59" s="32" t="str">
        <f>IFERROR(__xludf.DUMMYFUNCTION("""COMPUTED_VALUE"""),"23.12")</f>
        <v>23.12</v>
      </c>
      <c r="CM59" s="32" t="str">
        <f>IFERROR(__xludf.DUMMYFUNCTION("""COMPUTED_VALUE"""),"24.12")</f>
        <v>24.12</v>
      </c>
      <c r="CN59" s="32" t="str">
        <f>IFERROR(__xludf.DUMMYFUNCTION("""COMPUTED_VALUE"""),"25.12")</f>
        <v>25.12</v>
      </c>
      <c r="CO59" s="32" t="str">
        <f>IFERROR(__xludf.DUMMYFUNCTION("""COMPUTED_VALUE"""),"26.12")</f>
        <v>26.12</v>
      </c>
      <c r="CP59" s="32" t="str">
        <f>IFERROR(__xludf.DUMMYFUNCTION("""COMPUTED_VALUE"""),"27.12")</f>
        <v>27.12</v>
      </c>
      <c r="CQ59" s="32" t="str">
        <f>IFERROR(__xludf.DUMMYFUNCTION("""COMPUTED_VALUE"""),"12.01")</f>
        <v>12.01</v>
      </c>
      <c r="CR59" s="32" t="str">
        <f>IFERROR(__xludf.DUMMYFUNCTION("""COMPUTED_VALUE"""),"13.01")</f>
        <v>13.01</v>
      </c>
      <c r="CS59" s="32" t="str">
        <f>IFERROR(__xludf.DUMMYFUNCTION("""COMPUTED_VALUE"""),"14.01")</f>
        <v>14.01</v>
      </c>
      <c r="CT59" s="32" t="str">
        <f>IFERROR(__xludf.DUMMYFUNCTION("""COMPUTED_VALUE"""),"15.01")</f>
        <v>15.01</v>
      </c>
      <c r="CU59" s="32" t="str">
        <f>IFERROR(__xludf.DUMMYFUNCTION("""COMPUTED_VALUE"""),"16.01")</f>
        <v>16.01</v>
      </c>
      <c r="CV59" s="32" t="str">
        <f>IFERROR(__xludf.DUMMYFUNCTION("""COMPUTED_VALUE"""),"17.01")</f>
        <v>17.01</v>
      </c>
      <c r="CW59" s="32" t="str">
        <f>IFERROR(__xludf.DUMMYFUNCTION("""COMPUTED_VALUE"""),"19.01")</f>
        <v>19.01</v>
      </c>
      <c r="CX59" s="32" t="str">
        <f>IFERROR(__xludf.DUMMYFUNCTION("""COMPUTED_VALUE"""),"20.01")</f>
        <v>20.01</v>
      </c>
      <c r="CY59" s="32" t="str">
        <f>IFERROR(__xludf.DUMMYFUNCTION("""COMPUTED_VALUE"""),"21.01")</f>
        <v>21.01</v>
      </c>
      <c r="CZ59" s="32" t="str">
        <f>IFERROR(__xludf.DUMMYFUNCTION("""COMPUTED_VALUE"""),"22.01")</f>
        <v>22.01</v>
      </c>
      <c r="DA59" s="32" t="str">
        <f>IFERROR(__xludf.DUMMYFUNCTION("""COMPUTED_VALUE"""),"23.01")</f>
        <v>23.01</v>
      </c>
      <c r="DB59" s="32" t="str">
        <f>IFERROR(__xludf.DUMMYFUNCTION("""COMPUTED_VALUE"""),"24.01")</f>
        <v>24.01</v>
      </c>
      <c r="DC59" s="32" t="str">
        <f>IFERROR(__xludf.DUMMYFUNCTION("""COMPUTED_VALUE"""),"26.01")</f>
        <v>26.01</v>
      </c>
      <c r="DD59" s="32" t="str">
        <f>IFERROR(__xludf.DUMMYFUNCTION("""COMPUTED_VALUE"""),"27.01")</f>
        <v>27.01</v>
      </c>
      <c r="DE59" s="32" t="str">
        <f>IFERROR(__xludf.DUMMYFUNCTION("""COMPUTED_VALUE"""),"28.01")</f>
        <v>28.01</v>
      </c>
      <c r="DF59" s="32" t="str">
        <f>IFERROR(__xludf.DUMMYFUNCTION("""COMPUTED_VALUE"""),"29.01")</f>
        <v>29.01</v>
      </c>
      <c r="DG59" s="32" t="str">
        <f>IFERROR(__xludf.DUMMYFUNCTION("""COMPUTED_VALUE"""),"30.01")</f>
        <v>30.01</v>
      </c>
      <c r="DH59" s="32" t="str">
        <f>IFERROR(__xludf.DUMMYFUNCTION("""COMPUTED_VALUE"""),"31.01")</f>
        <v>31.01</v>
      </c>
      <c r="DI59" s="32" t="str">
        <f>IFERROR(__xludf.DUMMYFUNCTION("""COMPUTED_VALUE"""),"02.02")</f>
        <v>02.02</v>
      </c>
      <c r="DJ59" s="32" t="str">
        <f>IFERROR(__xludf.DUMMYFUNCTION("""COMPUTED_VALUE"""),"03.02")</f>
        <v>03.02</v>
      </c>
      <c r="DK59" s="32" t="str">
        <f>IFERROR(__xludf.DUMMYFUNCTION("""COMPUTED_VALUE"""),"04.02")</f>
        <v>04.02</v>
      </c>
      <c r="DL59" s="32" t="str">
        <f>IFERROR(__xludf.DUMMYFUNCTION("""COMPUTED_VALUE"""),"05.02")</f>
        <v>05.02</v>
      </c>
      <c r="DM59" s="32" t="str">
        <f>IFERROR(__xludf.DUMMYFUNCTION("""COMPUTED_VALUE"""),"06.01")</f>
        <v>06.01</v>
      </c>
      <c r="DN59" s="32" t="str">
        <f>IFERROR(__xludf.DUMMYFUNCTION("""COMPUTED_VALUE"""),"07.01")</f>
        <v>07.01</v>
      </c>
      <c r="DO59" s="32" t="str">
        <f>IFERROR(__xludf.DUMMYFUNCTION("""COMPUTED_VALUE"""),"09.02")</f>
        <v>09.02</v>
      </c>
      <c r="DP59" s="32" t="str">
        <f>IFERROR(__xludf.DUMMYFUNCTION("""COMPUTED_VALUE"""),"10.02")</f>
        <v>10.02</v>
      </c>
      <c r="DQ59" s="32" t="str">
        <f>IFERROR(__xludf.DUMMYFUNCTION("""COMPUTED_VALUE"""),"11.02")</f>
        <v>11.02</v>
      </c>
      <c r="DR59" s="32" t="str">
        <f>IFERROR(__xludf.DUMMYFUNCTION("""COMPUTED_VALUE"""),"12.02")</f>
        <v>12.02</v>
      </c>
      <c r="DS59" s="32" t="str">
        <f>IFERROR(__xludf.DUMMYFUNCTION("""COMPUTED_VALUE"""),"13.02")</f>
        <v>13.02</v>
      </c>
      <c r="DT59" s="32" t="str">
        <f>IFERROR(__xludf.DUMMYFUNCTION("""COMPUTED_VALUE"""),"14.02")</f>
        <v>14.02</v>
      </c>
      <c r="DU59" s="32" t="str">
        <f>IFERROR(__xludf.DUMMYFUNCTION("""COMPUTED_VALUE"""),"16.02")</f>
        <v>16.02</v>
      </c>
      <c r="DV59" s="32" t="str">
        <f>IFERROR(__xludf.DUMMYFUNCTION("""COMPUTED_VALUE"""),"17.02")</f>
        <v>17.02</v>
      </c>
      <c r="DW59" s="32" t="str">
        <f>IFERROR(__xludf.DUMMYFUNCTION("""COMPUTED_VALUE"""),"18.02")</f>
        <v>18.02</v>
      </c>
      <c r="DX59" s="32" t="str">
        <f>IFERROR(__xludf.DUMMYFUNCTION("""COMPUTED_VALUE"""),"19.02")</f>
        <v>19.02</v>
      </c>
      <c r="DY59" s="32" t="str">
        <f>IFERROR(__xludf.DUMMYFUNCTION("""COMPUTED_VALUE"""),"20.02")</f>
        <v>20.02</v>
      </c>
      <c r="DZ59" s="32" t="str">
        <f>IFERROR(__xludf.DUMMYFUNCTION("""COMPUTED_VALUE"""),"21.02")</f>
        <v>21.02</v>
      </c>
      <c r="EA59" s="32" t="str">
        <f>IFERROR(__xludf.DUMMYFUNCTION("""COMPUTED_VALUE"""),"23.02")</f>
        <v>23.02</v>
      </c>
      <c r="EB59" s="32" t="str">
        <f>IFERROR(__xludf.DUMMYFUNCTION("""COMPUTED_VALUE"""),"24.02")</f>
        <v>24.02</v>
      </c>
      <c r="EC59" s="32" t="str">
        <f>IFERROR(__xludf.DUMMYFUNCTION("""COMPUTED_VALUE"""),"25.02")</f>
        <v>25.02</v>
      </c>
      <c r="ED59" s="32" t="str">
        <f>IFERROR(__xludf.DUMMYFUNCTION("""COMPUTED_VALUE"""),"26.02")</f>
        <v>26.02</v>
      </c>
      <c r="EE59" s="32" t="str">
        <f>IFERROR(__xludf.DUMMYFUNCTION("""COMPUTED_VALUE"""),"27.02")</f>
        <v>27.02</v>
      </c>
      <c r="EF59" s="32" t="str">
        <f>IFERROR(__xludf.DUMMYFUNCTION("""COMPUTED_VALUE"""),"28.02")</f>
        <v>28.02</v>
      </c>
      <c r="EG59" s="32" t="str">
        <f>IFERROR(__xludf.DUMMYFUNCTION("""COMPUTED_VALUE"""),"02.03")</f>
        <v>02.03</v>
      </c>
      <c r="EH59" s="32" t="str">
        <f>IFERROR(__xludf.DUMMYFUNCTION("""COMPUTED_VALUE"""),"03.03")</f>
        <v>03.03</v>
      </c>
      <c r="EI59" s="32" t="str">
        <f>IFERROR(__xludf.DUMMYFUNCTION("""COMPUTED_VALUE"""),"04.03")</f>
        <v>04.03</v>
      </c>
      <c r="EJ59" s="32" t="str">
        <f>IFERROR(__xludf.DUMMYFUNCTION("""COMPUTED_VALUE"""),"05.03")</f>
        <v>05.03</v>
      </c>
      <c r="EK59" s="32" t="str">
        <f>IFERROR(__xludf.DUMMYFUNCTION("""COMPUTED_VALUE"""),"06.03")</f>
        <v>06.03</v>
      </c>
      <c r="EL59" s="32" t="str">
        <f>IFERROR(__xludf.DUMMYFUNCTION("""COMPUTED_VALUE"""),"07.03")</f>
        <v>07.03</v>
      </c>
      <c r="EM59" s="32" t="str">
        <f>IFERROR(__xludf.DUMMYFUNCTION("""COMPUTED_VALUE"""),"09.03")</f>
        <v>09.03</v>
      </c>
      <c r="EN59" s="32" t="str">
        <f>IFERROR(__xludf.DUMMYFUNCTION("""COMPUTED_VALUE"""),"10.03")</f>
        <v>10.03</v>
      </c>
      <c r="EO59" s="32" t="str">
        <f>IFERROR(__xludf.DUMMYFUNCTION("""COMPUTED_VALUE"""),"11.03")</f>
        <v>11.03</v>
      </c>
      <c r="EP59" s="32" t="str">
        <f>IFERROR(__xludf.DUMMYFUNCTION("""COMPUTED_VALUE"""),"12.03")</f>
        <v>12.03</v>
      </c>
      <c r="EQ59" s="32" t="str">
        <f>IFERROR(__xludf.DUMMYFUNCTION("""COMPUTED_VALUE"""),"13.03")</f>
        <v>13.03</v>
      </c>
      <c r="ER59" s="32" t="str">
        <f>IFERROR(__xludf.DUMMYFUNCTION("""COMPUTED_VALUE"""),"14.03")</f>
        <v>14.03</v>
      </c>
      <c r="ES59" s="32" t="str">
        <f>IFERROR(__xludf.DUMMYFUNCTION("""COMPUTED_VALUE"""),"16.03")</f>
        <v>16.03</v>
      </c>
      <c r="ET59" s="32" t="str">
        <f>IFERROR(__xludf.DUMMYFUNCTION("""COMPUTED_VALUE"""),"17.03")</f>
        <v>17.03</v>
      </c>
      <c r="EU59" s="32" t="str">
        <f>IFERROR(__xludf.DUMMYFUNCTION("""COMPUTED_VALUE"""),"18.03")</f>
        <v>18.03</v>
      </c>
      <c r="EV59" s="32" t="str">
        <f>IFERROR(__xludf.DUMMYFUNCTION("""COMPUTED_VALUE"""),"19.03")</f>
        <v>19.03</v>
      </c>
      <c r="EW59" s="32" t="str">
        <f>IFERROR(__xludf.DUMMYFUNCTION("""COMPUTED_VALUE"""),"20.03")</f>
        <v>20.03</v>
      </c>
      <c r="EX59" s="32" t="str">
        <f>IFERROR(__xludf.DUMMYFUNCTION("""COMPUTED_VALUE"""),"30.03")</f>
        <v>30.03</v>
      </c>
      <c r="EY59" s="32" t="str">
        <f>IFERROR(__xludf.DUMMYFUNCTION("""COMPUTED_VALUE"""),"31.03")</f>
        <v>31.03</v>
      </c>
      <c r="EZ59" s="32" t="str">
        <f>IFERROR(__xludf.DUMMYFUNCTION("""COMPUTED_VALUE"""),"01.04")</f>
        <v>01.04</v>
      </c>
      <c r="FA59" s="32" t="str">
        <f>IFERROR(__xludf.DUMMYFUNCTION("""COMPUTED_VALUE"""),"02.04")</f>
        <v>02.04</v>
      </c>
      <c r="FB59" s="32" t="str">
        <f>IFERROR(__xludf.DUMMYFUNCTION("""COMPUTED_VALUE"""),"03.04")</f>
        <v>03.04</v>
      </c>
      <c r="FC59" s="32" t="str">
        <f>IFERROR(__xludf.DUMMYFUNCTION("""COMPUTED_VALUE"""),"04.04")</f>
        <v>04.04</v>
      </c>
      <c r="FD59" s="32" t="str">
        <f>IFERROR(__xludf.DUMMYFUNCTION("""COMPUTED_VALUE"""),"06.04")</f>
        <v>06.04</v>
      </c>
      <c r="FE59" s="32" t="str">
        <f>IFERROR(__xludf.DUMMYFUNCTION("""COMPUTED_VALUE"""),"07.04")</f>
        <v>07.04</v>
      </c>
      <c r="FF59" s="32" t="str">
        <f>IFERROR(__xludf.DUMMYFUNCTION("""COMPUTED_VALUE"""),"08.04")</f>
        <v>08.04</v>
      </c>
      <c r="FG59" s="32" t="str">
        <f>IFERROR(__xludf.DUMMYFUNCTION("""COMPUTED_VALUE"""),"09.04")</f>
        <v>09.04</v>
      </c>
      <c r="FH59" s="32" t="str">
        <f>IFERROR(__xludf.DUMMYFUNCTION("""COMPUTED_VALUE"""),"10.04")</f>
        <v>10.04</v>
      </c>
      <c r="FI59" s="32" t="str">
        <f>IFERROR(__xludf.DUMMYFUNCTION("""COMPUTED_VALUE"""),"11.04")</f>
        <v>11.04</v>
      </c>
      <c r="FJ59" s="32" t="str">
        <f>IFERROR(__xludf.DUMMYFUNCTION("""COMPUTED_VALUE"""),"13.04")</f>
        <v>13.04</v>
      </c>
      <c r="FK59" s="32" t="str">
        <f>IFERROR(__xludf.DUMMYFUNCTION("""COMPUTED_VALUE"""),"14.04")</f>
        <v>14.04</v>
      </c>
      <c r="FL59" s="32" t="str">
        <f>IFERROR(__xludf.DUMMYFUNCTION("""COMPUTED_VALUE"""),"15.04")</f>
        <v>15.04</v>
      </c>
      <c r="FM59" s="32" t="str">
        <f>IFERROR(__xludf.DUMMYFUNCTION("""COMPUTED_VALUE"""),"16.04")</f>
        <v>16.04</v>
      </c>
      <c r="FN59" s="32" t="str">
        <f>IFERROR(__xludf.DUMMYFUNCTION("""COMPUTED_VALUE"""),"17.04")</f>
        <v>17.04</v>
      </c>
      <c r="FO59" s="32" t="str">
        <f>IFERROR(__xludf.DUMMYFUNCTION("""COMPUTED_VALUE"""),"18.04")</f>
        <v>18.04</v>
      </c>
      <c r="FP59" s="32" t="str">
        <f>IFERROR(__xludf.DUMMYFUNCTION("""COMPUTED_VALUE"""),"20.04")</f>
        <v>20.04</v>
      </c>
      <c r="FQ59" s="32" t="str">
        <f>IFERROR(__xludf.DUMMYFUNCTION("""COMPUTED_VALUE"""),"21.04")</f>
        <v>21.04</v>
      </c>
      <c r="FR59" s="32" t="str">
        <f>IFERROR(__xludf.DUMMYFUNCTION("""COMPUTED_VALUE"""),"22.04")</f>
        <v>22.04</v>
      </c>
      <c r="FS59" s="32" t="str">
        <f>IFERROR(__xludf.DUMMYFUNCTION("""COMPUTED_VALUE"""),"23.04")</f>
        <v>23.04</v>
      </c>
      <c r="FT59" s="32" t="str">
        <f>IFERROR(__xludf.DUMMYFUNCTION("""COMPUTED_VALUE"""),"24.04")</f>
        <v>24.04</v>
      </c>
      <c r="FU59" s="32" t="str">
        <f>IFERROR(__xludf.DUMMYFUNCTION("""COMPUTED_VALUE"""),"25.04")</f>
        <v>25.04</v>
      </c>
      <c r="FV59" s="32" t="str">
        <f>IFERROR(__xludf.DUMMYFUNCTION("""COMPUTED_VALUE"""),"27.04")</f>
        <v>27.04</v>
      </c>
      <c r="FW59" s="32" t="str">
        <f>IFERROR(__xludf.DUMMYFUNCTION("""COMPUTED_VALUE"""),"28.04")</f>
        <v>28.04</v>
      </c>
      <c r="FX59" s="32" t="str">
        <f>IFERROR(__xludf.DUMMYFUNCTION("""COMPUTED_VALUE"""),"29.04")</f>
        <v>29.04</v>
      </c>
      <c r="FY59" s="32" t="str">
        <f>IFERROR(__xludf.DUMMYFUNCTION("""COMPUTED_VALUE"""),"30.04")</f>
        <v>30.04</v>
      </c>
      <c r="FZ59" s="32" t="str">
        <f>IFERROR(__xludf.DUMMYFUNCTION("""COMPUTED_VALUE"""),"01.05")</f>
        <v>01.05</v>
      </c>
      <c r="GA59" s="32" t="str">
        <f>IFERROR(__xludf.DUMMYFUNCTION("""COMPUTED_VALUE"""),"02.05")</f>
        <v>02.05</v>
      </c>
      <c r="GB59" s="32" t="str">
        <f>IFERROR(__xludf.DUMMYFUNCTION("""COMPUTED_VALUE"""),"04.05")</f>
        <v>04.05</v>
      </c>
      <c r="GC59" s="32" t="str">
        <f>IFERROR(__xludf.DUMMYFUNCTION("""COMPUTED_VALUE"""),"05.05")</f>
        <v>05.05</v>
      </c>
      <c r="GD59" s="32" t="str">
        <f>IFERROR(__xludf.DUMMYFUNCTION("""COMPUTED_VALUE"""),"06.05")</f>
        <v>06.05</v>
      </c>
      <c r="GE59" s="32" t="str">
        <f>IFERROR(__xludf.DUMMYFUNCTION("""COMPUTED_VALUE"""),"07.05")</f>
        <v>07.05</v>
      </c>
      <c r="GF59" s="32" t="str">
        <f>IFERROR(__xludf.DUMMYFUNCTION("""COMPUTED_VALUE"""),"08.05")</f>
        <v>08.05</v>
      </c>
      <c r="GG59" s="32" t="str">
        <f>IFERROR(__xludf.DUMMYFUNCTION("""COMPUTED_VALUE"""),"09.05")</f>
        <v>09.05</v>
      </c>
      <c r="GH59" s="32" t="str">
        <f>IFERROR(__xludf.DUMMYFUNCTION("""COMPUTED_VALUE"""),"11.05")</f>
        <v>11.05</v>
      </c>
      <c r="GI59" s="32" t="str">
        <f>IFERROR(__xludf.DUMMYFUNCTION("""COMPUTED_VALUE"""),"12.05")</f>
        <v>12.05</v>
      </c>
      <c r="GJ59" s="32" t="str">
        <f>IFERROR(__xludf.DUMMYFUNCTION("""COMPUTED_VALUE"""),"13.05")</f>
        <v>13.05</v>
      </c>
      <c r="GK59" s="32" t="str">
        <f>IFERROR(__xludf.DUMMYFUNCTION("""COMPUTED_VALUE"""),"14.05")</f>
        <v>14.05</v>
      </c>
      <c r="GL59" s="32" t="str">
        <f>IFERROR(__xludf.DUMMYFUNCTION("""COMPUTED_VALUE"""),"15.05")</f>
        <v>15.05</v>
      </c>
      <c r="GM59" s="32" t="str">
        <f>IFERROR(__xludf.DUMMYFUNCTION("""COMPUTED_VALUE"""),"16.05")</f>
        <v>16.05</v>
      </c>
      <c r="GN59" s="32" t="str">
        <f>IFERROR(__xludf.DUMMYFUNCTION("""COMPUTED_VALUE"""),"18.05")</f>
        <v>18.05</v>
      </c>
      <c r="GO59" s="32" t="str">
        <f>IFERROR(__xludf.DUMMYFUNCTION("""COMPUTED_VALUE"""),"19.05")</f>
        <v>19.05</v>
      </c>
      <c r="GP59" s="32" t="str">
        <f>IFERROR(__xludf.DUMMYFUNCTION("""COMPUTED_VALUE"""),"20.05")</f>
        <v>20.05</v>
      </c>
      <c r="GQ59" s="32" t="str">
        <f>IFERROR(__xludf.DUMMYFUNCTION("""COMPUTED_VALUE"""),"21.05")</f>
        <v>21.05</v>
      </c>
      <c r="GR59" s="32" t="str">
        <f>IFERROR(__xludf.DUMMYFUNCTION("""COMPUTED_VALUE"""),"22.05")</f>
        <v>22.05</v>
      </c>
      <c r="GS59" s="32" t="str">
        <f>IFERROR(__xludf.DUMMYFUNCTION("""COMPUTED_VALUE"""),"23.05")</f>
        <v>23.05</v>
      </c>
      <c r="GT59" s="32" t="str">
        <f>IFERROR(__xludf.DUMMYFUNCTION("""COMPUTED_VALUE"""),"25.05")</f>
        <v>25.05</v>
      </c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</row>
    <row r="60">
      <c r="A60" s="42" t="s">
        <v>292</v>
      </c>
      <c r="B60" s="35" t="str">
        <f>IFERROR(__xludf.DUMMYFUNCTION("VLOOKUP($A$1,IMPORTRANGE($A$2, CONCATENATE($A60,""!$B$5:$JB$48"")),B$1,0)"),"")</f>
        <v/>
      </c>
      <c r="C60" s="35" t="str">
        <f>IFERROR(__xludf.DUMMYFUNCTION("VLOOKUP($A$1,IMPORTRANGE($A$2, CONCATENATE($A60,""!$B$5:$JB$48"")),C$1,0)"),"")</f>
        <v/>
      </c>
      <c r="D60" s="35" t="str">
        <f>IFERROR(__xludf.DUMMYFUNCTION("VLOOKUP($A$1,IMPORTRANGE($A$2, CONCATENATE($A60,""!$B$5:$JB$48"")),D$1,0)"),"")</f>
        <v/>
      </c>
      <c r="E60" s="35" t="str">
        <f>IFERROR(__xludf.DUMMYFUNCTION("VLOOKUP($A$1,IMPORTRANGE($A$2, CONCATENATE($A60,""!$B$5:$JB$48"")),E$1,0)"),"")</f>
        <v/>
      </c>
      <c r="F60" s="35" t="str">
        <f>IFERROR(__xludf.DUMMYFUNCTION("VLOOKUP($A$1,IMPORTRANGE($A$2, CONCATENATE($A60,""!$B$5:$JB$48"")),F$1,0)"),"")</f>
        <v/>
      </c>
      <c r="G60" s="35" t="str">
        <f>IFERROR(__xludf.DUMMYFUNCTION("VLOOKUP($A$1,IMPORTRANGE($A$2, CONCATENATE($A60,""!$B$5:$JB$48"")),G$1,0)"),"")</f>
        <v/>
      </c>
      <c r="H60" s="35" t="str">
        <f>IFERROR(__xludf.DUMMYFUNCTION("VLOOKUP($A$1,IMPORTRANGE($A$2, CONCATENATE($A60,""!$B$5:$JB$48"")),H$1,0)"),"")</f>
        <v/>
      </c>
      <c r="I60" s="35" t="str">
        <f>IFERROR(__xludf.DUMMYFUNCTION("VLOOKUP($A$1,IMPORTRANGE($A$2, CONCATENATE($A60,""!$B$5:$JB$48"")),I$1,0)"),"")</f>
        <v/>
      </c>
      <c r="J60" s="35" t="str">
        <f>IFERROR(__xludf.DUMMYFUNCTION("VLOOKUP($A$1,IMPORTRANGE($A$2, CONCATENATE($A60,""!$B$5:$JB$48"")),J$1,0)"),"")</f>
        <v/>
      </c>
      <c r="K60" s="35" t="str">
        <f>IFERROR(__xludf.DUMMYFUNCTION("VLOOKUP($A$1,IMPORTRANGE($A$2, CONCATENATE($A60,""!$B$5:$JB$48"")),K$1,0)"),"")</f>
        <v/>
      </c>
      <c r="L60" s="35" t="str">
        <f>IFERROR(__xludf.DUMMYFUNCTION("VLOOKUP($A$1,IMPORTRANGE($A$2, CONCATENATE($A60,""!$B$5:$JB$48"")),L$1,0)"),"")</f>
        <v/>
      </c>
      <c r="M60" s="35" t="str">
        <f>IFERROR(__xludf.DUMMYFUNCTION("VLOOKUP($A$1,IMPORTRANGE($A$2, CONCATENATE($A60,""!$B$5:$JB$48"")),M$1,0)"),"")</f>
        <v/>
      </c>
      <c r="N60" s="35" t="str">
        <f>IFERROR(__xludf.DUMMYFUNCTION("VLOOKUP($A$1,IMPORTRANGE($A$2, CONCATENATE($A60,""!$B$5:$JB$48"")),N$1,0)"),"")</f>
        <v/>
      </c>
      <c r="O60" s="35" t="str">
        <f>IFERROR(__xludf.DUMMYFUNCTION("VLOOKUP($A$1,IMPORTRANGE($A$2, CONCATENATE($A60,""!$B$5:$JB$48"")),O$1,0)"),"")</f>
        <v/>
      </c>
      <c r="P60" s="35" t="str">
        <f>IFERROR(__xludf.DUMMYFUNCTION("VLOOKUP($A$1,IMPORTRANGE($A$2, CONCATENATE($A60,""!$B$5:$JB$48"")),P$1,0)"),"")</f>
        <v/>
      </c>
      <c r="Q60" s="35" t="str">
        <f>IFERROR(__xludf.DUMMYFUNCTION("VLOOKUP($A$1,IMPORTRANGE($A$2, CONCATENATE($A60,""!$B$5:$JB$48"")),Q$1,0)"),"")</f>
        <v/>
      </c>
      <c r="R60" s="35" t="str">
        <f>IFERROR(__xludf.DUMMYFUNCTION("VLOOKUP($A$1,IMPORTRANGE($A$2, CONCATENATE($A60,""!$B$5:$JB$48"")),R$1,0)"),"")</f>
        <v/>
      </c>
      <c r="S60" s="35" t="str">
        <f>IFERROR(__xludf.DUMMYFUNCTION("VLOOKUP($A$1,IMPORTRANGE($A$2, CONCATENATE($A60,""!$B$5:$JB$48"")),S$1,0)"),"")</f>
        <v/>
      </c>
      <c r="T60" s="35" t="str">
        <f>IFERROR(__xludf.DUMMYFUNCTION("VLOOKUP($A$1,IMPORTRANGE($A$2, CONCATENATE($A60,""!$B$5:$JB$48"")),T$1,0)"),"")</f>
        <v/>
      </c>
      <c r="U60" s="35" t="str">
        <f>IFERROR(__xludf.DUMMYFUNCTION("VLOOKUP($A$1,IMPORTRANGE($A$2, CONCATENATE($A60,""!$B$5:$JB$48"")),U$1,0)"),"")</f>
        <v/>
      </c>
      <c r="V60" s="35" t="str">
        <f>IFERROR(__xludf.DUMMYFUNCTION("VLOOKUP($A$1,IMPORTRANGE($A$2, CONCATENATE($A60,""!$B$5:$JB$48"")),V$1,0)"),"")</f>
        <v/>
      </c>
      <c r="W60" s="35" t="str">
        <f>IFERROR(__xludf.DUMMYFUNCTION("VLOOKUP($A$1,IMPORTRANGE($A$2, CONCATENATE($A60,""!$B$5:$JB$48"")),W$1,0)"),"")</f>
        <v/>
      </c>
      <c r="X60" s="35" t="str">
        <f>IFERROR(__xludf.DUMMYFUNCTION("VLOOKUP($A$1,IMPORTRANGE($A$2, CONCATENATE($A60,""!$B$5:$JB$48"")),X$1,0)"),"")</f>
        <v/>
      </c>
      <c r="Y60" s="35" t="str">
        <f>IFERROR(__xludf.DUMMYFUNCTION("VLOOKUP($A$1,IMPORTRANGE($A$2, CONCATENATE($A60,""!$B$5:$JB$48"")),Y$1,0)"),"")</f>
        <v/>
      </c>
      <c r="Z60" s="35" t="str">
        <f>IFERROR(__xludf.DUMMYFUNCTION("VLOOKUP($A$1,IMPORTRANGE($A$2, CONCATENATE($A60,""!$B$5:$JB$48"")),Z$1,0)"),"")</f>
        <v/>
      </c>
      <c r="AA60" s="35" t="str">
        <f>IFERROR(__xludf.DUMMYFUNCTION("VLOOKUP($A$1,IMPORTRANGE($A$2, CONCATENATE($A60,""!$B$5:$JB$48"")),AA$1,0)"),"")</f>
        <v/>
      </c>
      <c r="AB60" s="35" t="str">
        <f>IFERROR(__xludf.DUMMYFUNCTION("VLOOKUP($A$1,IMPORTRANGE($A$2, CONCATENATE($A60,""!$B$5:$JB$48"")),AB$1,0)"),"")</f>
        <v/>
      </c>
      <c r="AC60" s="35" t="str">
        <f>IFERROR(__xludf.DUMMYFUNCTION("VLOOKUP($A$1,IMPORTRANGE($A$2, CONCATENATE($A60,""!$B$5:$JB$48"")),AC$1,0)"),"")</f>
        <v/>
      </c>
      <c r="AD60" s="35" t="str">
        <f>IFERROR(__xludf.DUMMYFUNCTION("VLOOKUP($A$1,IMPORTRANGE($A$2, CONCATENATE($A60,""!$B$5:$JB$48"")),AD$1,0)"),"")</f>
        <v/>
      </c>
      <c r="AE60" s="35" t="str">
        <f>IFERROR(__xludf.DUMMYFUNCTION("VLOOKUP($A$1,IMPORTRANGE($A$2, CONCATENATE($A60,""!$B$5:$JB$48"")),AE$1,0)"),"")</f>
        <v/>
      </c>
      <c r="AF60" s="35" t="str">
        <f>IFERROR(__xludf.DUMMYFUNCTION("VLOOKUP($A$1,IMPORTRANGE($A$2, CONCATENATE($A60,""!$B$5:$JB$48"")),AF$1,0)"),"")</f>
        <v/>
      </c>
      <c r="AG60" s="35" t="str">
        <f>IFERROR(__xludf.DUMMYFUNCTION("VLOOKUP($A$1,IMPORTRANGE($A$2, CONCATENATE($A60,""!$B$5:$JB$48"")),AG$1,0)"),"")</f>
        <v/>
      </c>
      <c r="AH60" s="35" t="str">
        <f>IFERROR(__xludf.DUMMYFUNCTION("VLOOKUP($A$1,IMPORTRANGE($A$2, CONCATENATE($A60,""!$B$5:$JB$48"")),AH$1,0)"),"")</f>
        <v/>
      </c>
      <c r="AI60" s="35" t="str">
        <f>IFERROR(__xludf.DUMMYFUNCTION("VLOOKUP($A$1,IMPORTRANGE($A$2, CONCATENATE($A60,""!$B$5:$JB$48"")),AI$1,0)"),"")</f>
        <v/>
      </c>
      <c r="AJ60" s="35" t="str">
        <f>IFERROR(__xludf.DUMMYFUNCTION("VLOOKUP($A$1,IMPORTRANGE($A$2, CONCATENATE($A60,""!$B$5:$JB$48"")),AJ$1,0)"),"")</f>
        <v/>
      </c>
      <c r="AK60" s="35" t="str">
        <f>IFERROR(__xludf.DUMMYFUNCTION("VLOOKUP($A$1,IMPORTRANGE($A$2, CONCATENATE($A60,""!$B$5:$JB$48"")),AK$1,0)"),"")</f>
        <v/>
      </c>
      <c r="AL60" s="35" t="str">
        <f>IFERROR(__xludf.DUMMYFUNCTION("VLOOKUP($A$1,IMPORTRANGE($A$2, CONCATENATE($A60,""!$B$5:$JB$48"")),AL$1,0)"),"")</f>
        <v/>
      </c>
      <c r="AM60" s="35" t="str">
        <f>IFERROR(__xludf.DUMMYFUNCTION("VLOOKUP($A$1,IMPORTRANGE($A$2, CONCATENATE($A60,""!$B$5:$JB$48"")),AM$1,0)"),"")</f>
        <v/>
      </c>
      <c r="AN60" s="35" t="str">
        <f>IFERROR(__xludf.DUMMYFUNCTION("VLOOKUP($A$1,IMPORTRANGE($A$2, CONCATENATE($A60,""!$B$5:$JB$48"")),AN$1,0)"),"")</f>
        <v/>
      </c>
      <c r="AO60" s="35" t="str">
        <f>IFERROR(__xludf.DUMMYFUNCTION("VLOOKUP($A$1,IMPORTRANGE($A$2, CONCATENATE($A60,""!$B$5:$JB$48"")),AO$1,0)"),"")</f>
        <v/>
      </c>
      <c r="AP60" s="35" t="str">
        <f>IFERROR(__xludf.DUMMYFUNCTION("VLOOKUP($A$1,IMPORTRANGE($A$2, CONCATENATE($A60,""!$B$5:$JB$48"")),AP$1,0)"),"")</f>
        <v/>
      </c>
      <c r="AQ60" s="35" t="str">
        <f>IFERROR(__xludf.DUMMYFUNCTION("VLOOKUP($A$1,IMPORTRANGE($A$2, CONCATENATE($A60,""!$B$5:$JB$48"")),AQ$1,0)"),"")</f>
        <v/>
      </c>
      <c r="AR60" s="35" t="str">
        <f>IFERROR(__xludf.DUMMYFUNCTION("VLOOKUP($A$1,IMPORTRANGE($A$2, CONCATENATE($A60,""!$B$5:$JB$48"")),AR$1,0)"),"")</f>
        <v/>
      </c>
      <c r="AS60" s="35" t="str">
        <f>IFERROR(__xludf.DUMMYFUNCTION("VLOOKUP($A$1,IMPORTRANGE($A$2, CONCATENATE($A60,""!$B$5:$JB$48"")),AS$1,0)"),"")</f>
        <v/>
      </c>
      <c r="AT60" s="35" t="str">
        <f>IFERROR(__xludf.DUMMYFUNCTION("VLOOKUP($A$1,IMPORTRANGE($A$2, CONCATENATE($A60,""!$B$5:$JB$48"")),AT$1,0)"),"")</f>
        <v/>
      </c>
      <c r="AU60" s="35" t="str">
        <f>IFERROR(__xludf.DUMMYFUNCTION("VLOOKUP($A$1,IMPORTRANGE($A$2, CONCATENATE($A60,""!$B$5:$JB$48"")),AU$1,0)"),"")</f>
        <v/>
      </c>
      <c r="AV60" s="35" t="str">
        <f>IFERROR(__xludf.DUMMYFUNCTION("VLOOKUP($A$1,IMPORTRANGE($A$2, CONCATENATE($A60,""!$B$5:$JB$48"")),AV$1,0)"),"")</f>
        <v/>
      </c>
      <c r="AW60" s="35" t="str">
        <f>IFERROR(__xludf.DUMMYFUNCTION("VLOOKUP($A$1,IMPORTRANGE($A$2, CONCATENATE($A60,""!$B$5:$JB$48"")),AW$1,0)"),"")</f>
        <v/>
      </c>
      <c r="AX60" s="35" t="str">
        <f>IFERROR(__xludf.DUMMYFUNCTION("VLOOKUP($A$1,IMPORTRANGE($A$2, CONCATENATE($A60,""!$B$5:$JB$48"")),AX$1,0)"),"")</f>
        <v/>
      </c>
      <c r="AY60" s="35" t="str">
        <f>IFERROR(__xludf.DUMMYFUNCTION("VLOOKUP($A$1,IMPORTRANGE($A$2, CONCATENATE($A60,""!$B$5:$JB$48"")),AY$1,0)"),"")</f>
        <v/>
      </c>
      <c r="AZ60" s="35" t="str">
        <f>IFERROR(__xludf.DUMMYFUNCTION("VLOOKUP($A$1,IMPORTRANGE($A$2, CONCATENATE($A60,""!$B$5:$JB$48"")),AZ$1,0)"),"")</f>
        <v/>
      </c>
      <c r="BA60" s="35" t="str">
        <f>IFERROR(__xludf.DUMMYFUNCTION("VLOOKUP($A$1,IMPORTRANGE($A$2, CONCATENATE($A60,""!$B$5:$JB$48"")),BA$1,0)"),"")</f>
        <v/>
      </c>
      <c r="BB60" s="35" t="str">
        <f>IFERROR(__xludf.DUMMYFUNCTION("VLOOKUP($A$1,IMPORTRANGE($A$2, CONCATENATE($A60,""!$B$5:$JB$48"")),BB$1,0)"),"")</f>
        <v/>
      </c>
      <c r="BC60" s="35" t="str">
        <f>IFERROR(__xludf.DUMMYFUNCTION("VLOOKUP($A$1,IMPORTRANGE($A$2, CONCATENATE($A60,""!$B$5:$JB$48"")),BC$1,0)"),"")</f>
        <v/>
      </c>
      <c r="BD60" s="35" t="str">
        <f>IFERROR(__xludf.DUMMYFUNCTION("VLOOKUP($A$1,IMPORTRANGE($A$2, CONCATENATE($A60,""!$B$5:$JB$48"")),BD$1,0)"),"")</f>
        <v/>
      </c>
      <c r="BE60" s="35" t="str">
        <f>IFERROR(__xludf.DUMMYFUNCTION("VLOOKUP($A$1,IMPORTRANGE($A$2, CONCATENATE($A60,""!$B$5:$JB$48"")),BE$1,0)"),"")</f>
        <v/>
      </c>
      <c r="BF60" s="35" t="str">
        <f>IFERROR(__xludf.DUMMYFUNCTION("VLOOKUP($A$1,IMPORTRANGE($A$2, CONCATENATE($A60,""!$B$5:$JB$48"")),BF$1,0)"),"")</f>
        <v/>
      </c>
      <c r="BG60" s="35" t="str">
        <f>IFERROR(__xludf.DUMMYFUNCTION("VLOOKUP($A$1,IMPORTRANGE($A$2, CONCATENATE($A60,""!$B$5:$JB$48"")),BG$1,0)"),"")</f>
        <v/>
      </c>
      <c r="BH60" s="35" t="str">
        <f>IFERROR(__xludf.DUMMYFUNCTION("VLOOKUP($A$1,IMPORTRANGE($A$2, CONCATENATE($A60,""!$B$5:$JB$48"")),BH$1,0)"),"")</f>
        <v/>
      </c>
      <c r="BI60" s="35" t="str">
        <f>IFERROR(__xludf.DUMMYFUNCTION("VLOOKUP($A$1,IMPORTRANGE($A$2, CONCATENATE($A60,""!$B$5:$JB$48"")),BI$1,0)"),"")</f>
        <v/>
      </c>
      <c r="BJ60" s="35" t="str">
        <f>IFERROR(__xludf.DUMMYFUNCTION("VLOOKUP($A$1,IMPORTRANGE($A$2, CONCATENATE($A60,""!$B$5:$JB$48"")),BJ$1,0)"),"")</f>
        <v/>
      </c>
      <c r="BK60" s="35" t="str">
        <f>IFERROR(__xludf.DUMMYFUNCTION("VLOOKUP($A$1,IMPORTRANGE($A$2, CONCATENATE($A60,""!$B$5:$JB$48"")),BK$1,0)"),"")</f>
        <v/>
      </c>
      <c r="BL60" s="35" t="str">
        <f>IFERROR(__xludf.DUMMYFUNCTION("VLOOKUP($A$1,IMPORTRANGE($A$2, CONCATENATE($A60,""!$B$5:$JB$48"")),BL$1,0)"),"")</f>
        <v/>
      </c>
      <c r="BM60" s="35" t="str">
        <f>IFERROR(__xludf.DUMMYFUNCTION("VLOOKUP($A$1,IMPORTRANGE($A$2, CONCATENATE($A60,""!$B$5:$JB$48"")),BM$1,0)"),"")</f>
        <v/>
      </c>
      <c r="BN60" s="35" t="str">
        <f>IFERROR(__xludf.DUMMYFUNCTION("VLOOKUP($A$1,IMPORTRANGE($A$2, CONCATENATE($A60,""!$B$5:$JB$48"")),BN$1,0)"),"")</f>
        <v/>
      </c>
      <c r="BO60" s="35" t="str">
        <f>IFERROR(__xludf.DUMMYFUNCTION("VLOOKUP($A$1,IMPORTRANGE($A$2, CONCATENATE($A60,""!$B$5:$JB$48"")),BO$1,0)"),"")</f>
        <v/>
      </c>
      <c r="BP60" s="35" t="str">
        <f>IFERROR(__xludf.DUMMYFUNCTION("VLOOKUP($A$1,IMPORTRANGE($A$2, CONCATENATE($A60,""!$B$5:$JB$48"")),BP$1,0)"),"")</f>
        <v/>
      </c>
      <c r="BQ60" s="35" t="str">
        <f>IFERROR(__xludf.DUMMYFUNCTION("VLOOKUP($A$1,IMPORTRANGE($A$2, CONCATENATE($A60,""!$B$5:$JB$48"")),BQ$1,0)"),"")</f>
        <v/>
      </c>
      <c r="BR60" s="35" t="str">
        <f>IFERROR(__xludf.DUMMYFUNCTION("VLOOKUP($A$1,IMPORTRANGE($A$2, CONCATENATE($A60,""!$B$5:$JB$48"")),BR$1,0)"),"")</f>
        <v/>
      </c>
      <c r="BS60" s="35" t="str">
        <f>IFERROR(__xludf.DUMMYFUNCTION("VLOOKUP($A$1,IMPORTRANGE($A$2, CONCATENATE($A60,""!$B$5:$JB$48"")),BS$1,0)"),"")</f>
        <v/>
      </c>
      <c r="BT60" s="35">
        <f>IFERROR(__xludf.DUMMYFUNCTION("VLOOKUP($A$1,IMPORTRANGE($A$2, CONCATENATE($A60,""!$B$5:$JB$48"")),BT$1,0)"),7.0)</f>
        <v>7</v>
      </c>
      <c r="BU60" s="35">
        <f>IFERROR(__xludf.DUMMYFUNCTION("VLOOKUP($A$1,IMPORTRANGE($A$2, CONCATENATE($A60,""!$B$5:$JB$48"")),BU$1,0)"),7.0)</f>
        <v>7</v>
      </c>
      <c r="BV60" s="35" t="str">
        <f>IFERROR(__xludf.DUMMYFUNCTION("VLOOKUP($A$1,IMPORTRANGE($A$2, CONCATENATE($A60,""!$B$5:$JB$48"")),BV$1,0)"),"")</f>
        <v/>
      </c>
      <c r="BW60" s="35" t="str">
        <f>IFERROR(__xludf.DUMMYFUNCTION("VLOOKUP($A$1,IMPORTRANGE($A$2, CONCATENATE($A60,""!$B$5:$JB$48"")),BW$1,0)"),"")</f>
        <v/>
      </c>
      <c r="BX60" s="35" t="str">
        <f>IFERROR(__xludf.DUMMYFUNCTION("VLOOKUP($A$1,IMPORTRANGE($A$2, CONCATENATE($A60,""!$B$5:$JB$48"")),BX$1,0)"),"")</f>
        <v/>
      </c>
      <c r="BY60" s="35" t="str">
        <f>IFERROR(__xludf.DUMMYFUNCTION("VLOOKUP($A$1,IMPORTRANGE($A$2, CONCATENATE($A60,""!$B$5:$JB$48"")),BY$1,0)"),"")</f>
        <v/>
      </c>
      <c r="BZ60" s="35" t="str">
        <f>IFERROR(__xludf.DUMMYFUNCTION("VLOOKUP($A$1,IMPORTRANGE($A$2, CONCATENATE($A60,""!$B$5:$JB$48"")),BZ$1,0)"),"")</f>
        <v/>
      </c>
      <c r="CA60" s="35" t="str">
        <f>IFERROR(__xludf.DUMMYFUNCTION("VLOOKUP($A$1,IMPORTRANGE($A$2, CONCATENATE($A60,""!$B$5:$JB$48"")),CA$1,0)"),"")</f>
        <v/>
      </c>
      <c r="CB60" s="35" t="str">
        <f>IFERROR(__xludf.DUMMYFUNCTION("VLOOKUP($A$1,IMPORTRANGE($A$2, CONCATENATE($A60,""!$B$5:$JB$48"")),CB$1,0)"),"")</f>
        <v/>
      </c>
      <c r="CC60" s="35" t="str">
        <f>IFERROR(__xludf.DUMMYFUNCTION("VLOOKUP($A$1,IMPORTRANGE($A$2, CONCATENATE($A60,""!$B$5:$JB$48"")),CC$1,0)"),"")</f>
        <v/>
      </c>
      <c r="CD60" s="35" t="str">
        <f>IFERROR(__xludf.DUMMYFUNCTION("VLOOKUP($A$1,IMPORTRANGE($A$2, CONCATENATE($A60,""!$B$5:$JB$48"")),CD$1,0)"),"")</f>
        <v/>
      </c>
      <c r="CE60" s="35" t="str">
        <f>IFERROR(__xludf.DUMMYFUNCTION("VLOOKUP($A$1,IMPORTRANGE($A$2, CONCATENATE($A60,""!$B$5:$JB$48"")),CE$1,0)"),"")</f>
        <v/>
      </c>
      <c r="CF60" s="35" t="str">
        <f>IFERROR(__xludf.DUMMYFUNCTION("VLOOKUP($A$1,IMPORTRANGE($A$2, CONCATENATE($A60,""!$B$5:$JB$48"")),CF$1,0)"),"")</f>
        <v/>
      </c>
      <c r="CG60" s="35" t="str">
        <f>IFERROR(__xludf.DUMMYFUNCTION("VLOOKUP($A$1,IMPORTRANGE($A$2, CONCATENATE($A60,""!$B$5:$JB$48"")),CG$1,0)"),"")</f>
        <v/>
      </c>
      <c r="CH60" s="35" t="str">
        <f>IFERROR(__xludf.DUMMYFUNCTION("VLOOKUP($A$1,IMPORTRANGE($A$2, CONCATENATE($A60,""!$B$5:$JB$48"")),CH$1,0)"),"")</f>
        <v/>
      </c>
      <c r="CI60" s="35" t="str">
        <f>IFERROR(__xludf.DUMMYFUNCTION("VLOOKUP($A$1,IMPORTRANGE($A$2, CONCATENATE($A60,""!$B$5:$JB$48"")),CI$1,0)"),"")</f>
        <v/>
      </c>
      <c r="CJ60" s="35" t="str">
        <f>IFERROR(__xludf.DUMMYFUNCTION("VLOOKUP($A$1,IMPORTRANGE($A$2, CONCATENATE($A60,""!$B$5:$JB$48"")),CJ$1,0)"),"")</f>
        <v/>
      </c>
      <c r="CK60" s="35" t="str">
        <f>IFERROR(__xludf.DUMMYFUNCTION("VLOOKUP($A$1,IMPORTRANGE($A$2, CONCATENATE($A60,""!$B$5:$JB$48"")),CK$1,0)"),"")</f>
        <v/>
      </c>
      <c r="CL60" s="35" t="str">
        <f>IFERROR(__xludf.DUMMYFUNCTION("VLOOKUP($A$1,IMPORTRANGE($A$2, CONCATENATE($A60,""!$B$5:$JB$48"")),CL$1,0)"),"")</f>
        <v/>
      </c>
      <c r="CM60" s="35" t="str">
        <f>IFERROR(__xludf.DUMMYFUNCTION("VLOOKUP($A$1,IMPORTRANGE($A$2, CONCATENATE($A60,""!$B$5:$JB$48"")),CM$1,0)"),"")</f>
        <v/>
      </c>
      <c r="CN60" s="35" t="str">
        <f>IFERROR(__xludf.DUMMYFUNCTION("VLOOKUP($A$1,IMPORTRANGE($A$2, CONCATENATE($A60,""!$B$5:$JB$48"")),CN$1,0)"),"")</f>
        <v/>
      </c>
      <c r="CO60" s="35" t="str">
        <f>IFERROR(__xludf.DUMMYFUNCTION("VLOOKUP($A$1,IMPORTRANGE($A$2, CONCATENATE($A60,""!$B$5:$JB$48"")),CO$1,0)"),"")</f>
        <v/>
      </c>
      <c r="CP60" s="35" t="str">
        <f>IFERROR(__xludf.DUMMYFUNCTION("VLOOKUP($A$1,IMPORTRANGE($A$2, CONCATENATE($A60,""!$B$5:$JB$48"")),CP$1,0)"),"")</f>
        <v/>
      </c>
      <c r="CQ60" s="35" t="str">
        <f>IFERROR(__xludf.DUMMYFUNCTION("VLOOKUP($A$1,IMPORTRANGE($A$2, CONCATENATE($A60,""!$B$5:$JB$48"")),CQ$1,0)"),"")</f>
        <v/>
      </c>
      <c r="CR60" s="35" t="str">
        <f>IFERROR(__xludf.DUMMYFUNCTION("VLOOKUP($A$1,IMPORTRANGE($A$2, CONCATENATE($A60,""!$B$5:$JB$48"")),CR$1,0)"),"")</f>
        <v/>
      </c>
      <c r="CS60" s="35" t="str">
        <f>IFERROR(__xludf.DUMMYFUNCTION("VLOOKUP($A$1,IMPORTRANGE($A$2, CONCATENATE($A60,""!$B$5:$JB$48"")),CS$1,0)"),"")</f>
        <v/>
      </c>
      <c r="CT60" s="35" t="str">
        <f>IFERROR(__xludf.DUMMYFUNCTION("VLOOKUP($A$1,IMPORTRANGE($A$2, CONCATENATE($A60,""!$B$5:$JB$48"")),CT$1,0)"),"")</f>
        <v/>
      </c>
      <c r="CU60" s="35" t="str">
        <f>IFERROR(__xludf.DUMMYFUNCTION("VLOOKUP($A$1,IMPORTRANGE($A$2, CONCATENATE($A60,""!$B$5:$JB$48"")),CU$1,0)"),"")</f>
        <v/>
      </c>
      <c r="CV60" s="35" t="str">
        <f>IFERROR(__xludf.DUMMYFUNCTION("VLOOKUP($A$1,IMPORTRANGE($A$2, CONCATENATE($A60,""!$B$5:$JB$48"")),CV$1,0)"),"")</f>
        <v/>
      </c>
      <c r="CW60" s="35" t="str">
        <f>IFERROR(__xludf.DUMMYFUNCTION("VLOOKUP($A$1,IMPORTRANGE($A$2, CONCATENATE($A60,""!$B$5:$JB$48"")),CW$1,0)"),"")</f>
        <v/>
      </c>
      <c r="CX60" s="35" t="str">
        <f>IFERROR(__xludf.DUMMYFUNCTION("VLOOKUP($A$1,IMPORTRANGE($A$2, CONCATENATE($A60,""!$B$5:$JB$48"")),CX$1,0)"),"")</f>
        <v/>
      </c>
      <c r="CY60" s="35" t="str">
        <f>IFERROR(__xludf.DUMMYFUNCTION("VLOOKUP($A$1,IMPORTRANGE($A$2, CONCATENATE($A60,""!$B$5:$JB$48"")),CY$1,0)"),"")</f>
        <v/>
      </c>
      <c r="CZ60" s="35" t="str">
        <f>IFERROR(__xludf.DUMMYFUNCTION("VLOOKUP($A$1,IMPORTRANGE($A$2, CONCATENATE($A60,""!$B$5:$JB$48"")),CZ$1,0)"),"")</f>
        <v/>
      </c>
      <c r="DA60" s="35" t="str">
        <f>IFERROR(__xludf.DUMMYFUNCTION("VLOOKUP($A$1,IMPORTRANGE($A$2, CONCATENATE($A60,""!$B$5:$JB$48"")),DA$1,0)"),"")</f>
        <v/>
      </c>
      <c r="DB60" s="35" t="str">
        <f>IFERROR(__xludf.DUMMYFUNCTION("VLOOKUP($A$1,IMPORTRANGE($A$2, CONCATENATE($A60,""!$B$5:$JB$48"")),DB$1,0)"),"")</f>
        <v/>
      </c>
      <c r="DC60" s="35" t="str">
        <f>IFERROR(__xludf.DUMMYFUNCTION("VLOOKUP($A$1,IMPORTRANGE($A$2, CONCATENATE($A60,""!$B$5:$JB$48"")),DC$1,0)"),"")</f>
        <v/>
      </c>
      <c r="DD60" s="35" t="str">
        <f>IFERROR(__xludf.DUMMYFUNCTION("VLOOKUP($A$1,IMPORTRANGE($A$2, CONCATENATE($A60,""!$B$5:$JB$48"")),DD$1,0)"),"")</f>
        <v/>
      </c>
      <c r="DE60" s="35" t="str">
        <f>IFERROR(__xludf.DUMMYFUNCTION("VLOOKUP($A$1,IMPORTRANGE($A$2, CONCATENATE($A60,""!$B$5:$JB$48"")),DE$1,0)"),"")</f>
        <v/>
      </c>
      <c r="DF60" s="35" t="str">
        <f>IFERROR(__xludf.DUMMYFUNCTION("VLOOKUP($A$1,IMPORTRANGE($A$2, CONCATENATE($A60,""!$B$5:$JB$48"")),DF$1,0)"),"")</f>
        <v/>
      </c>
      <c r="DG60" s="35" t="str">
        <f>IFERROR(__xludf.DUMMYFUNCTION("VLOOKUP($A$1,IMPORTRANGE($A$2, CONCATENATE($A60,""!$B$5:$JB$48"")),DG$1,0)"),"")</f>
        <v/>
      </c>
      <c r="DH60" s="35" t="str">
        <f>IFERROR(__xludf.DUMMYFUNCTION("VLOOKUP($A$1,IMPORTRANGE($A$2, CONCATENATE($A60,""!$B$5:$JB$48"")),DH$1,0)"),"")</f>
        <v/>
      </c>
      <c r="DI60" s="35" t="str">
        <f>IFERROR(__xludf.DUMMYFUNCTION("VLOOKUP($A$1,IMPORTRANGE($A$2, CONCATENATE($A60,""!$B$5:$JB$48"")),DI$1,0)"),"")</f>
        <v/>
      </c>
      <c r="DJ60" s="35" t="str">
        <f>IFERROR(__xludf.DUMMYFUNCTION("VLOOKUP($A$1,IMPORTRANGE($A$2, CONCATENATE($A60,""!$B$5:$JB$48"")),DJ$1,0)"),"")</f>
        <v/>
      </c>
      <c r="DK60" s="35" t="str">
        <f>IFERROR(__xludf.DUMMYFUNCTION("VLOOKUP($A$1,IMPORTRANGE($A$2, CONCATENATE($A60,""!$B$5:$JB$48"")),DK$1,0)"),"")</f>
        <v/>
      </c>
      <c r="DL60" s="35" t="str">
        <f>IFERROR(__xludf.DUMMYFUNCTION("VLOOKUP($A$1,IMPORTRANGE($A$2, CONCATENATE($A60,""!$B$5:$JB$48"")),DL$1,0)"),"")</f>
        <v/>
      </c>
      <c r="DM60" s="35" t="str">
        <f>IFERROR(__xludf.DUMMYFUNCTION("VLOOKUP($A$1,IMPORTRANGE($A$2, CONCATENATE($A60,""!$B$5:$JB$48"")),DM$1,0)"),"")</f>
        <v/>
      </c>
      <c r="DN60" s="35" t="str">
        <f>IFERROR(__xludf.DUMMYFUNCTION("VLOOKUP($A$1,IMPORTRANGE($A$2, CONCATENATE($A60,""!$B$5:$JB$48"")),DN$1,0)"),"")</f>
        <v/>
      </c>
      <c r="DO60" s="35" t="str">
        <f>IFERROR(__xludf.DUMMYFUNCTION("VLOOKUP($A$1,IMPORTRANGE($A$2, CONCATENATE($A60,""!$B$5:$JB$48"")),DO$1,0)"),"")</f>
        <v/>
      </c>
      <c r="DP60" s="35" t="str">
        <f>IFERROR(__xludf.DUMMYFUNCTION("VLOOKUP($A$1,IMPORTRANGE($A$2, CONCATENATE($A60,""!$B$5:$JB$48"")),DP$1,0)"),"")</f>
        <v/>
      </c>
      <c r="DQ60" s="35" t="str">
        <f>IFERROR(__xludf.DUMMYFUNCTION("VLOOKUP($A$1,IMPORTRANGE($A$2, CONCATENATE($A60,""!$B$5:$JB$48"")),DQ$1,0)"),"")</f>
        <v/>
      </c>
      <c r="DR60" s="35" t="str">
        <f>IFERROR(__xludf.DUMMYFUNCTION("VLOOKUP($A$1,IMPORTRANGE($A$2, CONCATENATE($A60,""!$B$5:$JB$48"")),DR$1,0)"),"")</f>
        <v/>
      </c>
      <c r="DS60" s="35" t="str">
        <f>IFERROR(__xludf.DUMMYFUNCTION("VLOOKUP($A$1,IMPORTRANGE($A$2, CONCATENATE($A60,""!$B$5:$JB$48"")),DS$1,0)"),"")</f>
        <v/>
      </c>
      <c r="DT60" s="35" t="str">
        <f>IFERROR(__xludf.DUMMYFUNCTION("VLOOKUP($A$1,IMPORTRANGE($A$2, CONCATENATE($A60,""!$B$5:$JB$48"")),DT$1,0)"),"")</f>
        <v/>
      </c>
      <c r="DU60" s="35" t="str">
        <f>IFERROR(__xludf.DUMMYFUNCTION("VLOOKUP($A$1,IMPORTRANGE($A$2, CONCATENATE($A60,""!$B$5:$JB$48"")),DU$1,0)"),"")</f>
        <v/>
      </c>
      <c r="DV60" s="35" t="str">
        <f>IFERROR(__xludf.DUMMYFUNCTION("VLOOKUP($A$1,IMPORTRANGE($A$2, CONCATENATE($A60,""!$B$5:$JB$48"")),DV$1,0)"),"")</f>
        <v/>
      </c>
      <c r="DW60" s="35" t="str">
        <f>IFERROR(__xludf.DUMMYFUNCTION("VLOOKUP($A$1,IMPORTRANGE($A$2, CONCATENATE($A60,""!$B$5:$JB$48"")),DW$1,0)"),"")</f>
        <v/>
      </c>
      <c r="DX60" s="35" t="str">
        <f>IFERROR(__xludf.DUMMYFUNCTION("VLOOKUP($A$1,IMPORTRANGE($A$2, CONCATENATE($A60,""!$B$5:$JB$48"")),DX$1,0)"),"")</f>
        <v/>
      </c>
      <c r="DY60" s="35" t="str">
        <f>IFERROR(__xludf.DUMMYFUNCTION("VLOOKUP($A$1,IMPORTRANGE($A$2, CONCATENATE($A60,""!$B$5:$JB$48"")),DY$1,0)"),"")</f>
        <v/>
      </c>
      <c r="DZ60" s="35" t="str">
        <f>IFERROR(__xludf.DUMMYFUNCTION("VLOOKUP($A$1,IMPORTRANGE($A$2, CONCATENATE($A60,""!$B$5:$JB$48"")),DZ$1,0)"),"")</f>
        <v/>
      </c>
      <c r="EA60" s="35" t="str">
        <f>IFERROR(__xludf.DUMMYFUNCTION("VLOOKUP($A$1,IMPORTRANGE($A$2, CONCATENATE($A60,""!$B$5:$JB$48"")),EA$1,0)"),"")</f>
        <v/>
      </c>
      <c r="EB60" s="35" t="str">
        <f>IFERROR(__xludf.DUMMYFUNCTION("VLOOKUP($A$1,IMPORTRANGE($A$2, CONCATENATE($A60,""!$B$5:$JB$48"")),EB$1,0)"),"")</f>
        <v/>
      </c>
      <c r="EC60" s="35" t="str">
        <f>IFERROR(__xludf.DUMMYFUNCTION("VLOOKUP($A$1,IMPORTRANGE($A$2, CONCATENATE($A60,""!$B$5:$JB$48"")),EC$1,0)"),"")</f>
        <v/>
      </c>
      <c r="ED60" s="35" t="str">
        <f>IFERROR(__xludf.DUMMYFUNCTION("VLOOKUP($A$1,IMPORTRANGE($A$2, CONCATENATE($A60,""!$B$5:$JB$48"")),ED$1,0)"),"")</f>
        <v/>
      </c>
      <c r="EE60" s="35" t="str">
        <f>IFERROR(__xludf.DUMMYFUNCTION("VLOOKUP($A$1,IMPORTRANGE($A$2, CONCATENATE($A60,""!$B$5:$JB$48"")),EE$1,0)"),"")</f>
        <v/>
      </c>
      <c r="EF60" s="35" t="str">
        <f>IFERROR(__xludf.DUMMYFUNCTION("VLOOKUP($A$1,IMPORTRANGE($A$2, CONCATENATE($A60,""!$B$5:$JB$48"")),EF$1,0)"),"")</f>
        <v/>
      </c>
      <c r="EG60" s="35" t="str">
        <f>IFERROR(__xludf.DUMMYFUNCTION("VLOOKUP($A$1,IMPORTRANGE($A$2, CONCATENATE($A60,""!$B$5:$JB$48"")),EG$1,0)"),"")</f>
        <v/>
      </c>
      <c r="EH60" s="35" t="str">
        <f>IFERROR(__xludf.DUMMYFUNCTION("VLOOKUP($A$1,IMPORTRANGE($A$2, CONCATENATE($A60,""!$B$5:$JB$48"")),EH$1,0)"),"")</f>
        <v/>
      </c>
      <c r="EI60" s="35" t="str">
        <f>IFERROR(__xludf.DUMMYFUNCTION("VLOOKUP($A$1,IMPORTRANGE($A$2, CONCATENATE($A60,""!$B$5:$JB$48"")),EI$1,0)"),"")</f>
        <v/>
      </c>
      <c r="EJ60" s="35" t="str">
        <f>IFERROR(__xludf.DUMMYFUNCTION("VLOOKUP($A$1,IMPORTRANGE($A$2, CONCATENATE($A60,""!$B$5:$JB$48"")),EJ$1,0)"),"")</f>
        <v/>
      </c>
      <c r="EK60" s="35" t="str">
        <f>IFERROR(__xludf.DUMMYFUNCTION("VLOOKUP($A$1,IMPORTRANGE($A$2, CONCATENATE($A60,""!$B$5:$JB$48"")),EK$1,0)"),"")</f>
        <v/>
      </c>
      <c r="EL60" s="35" t="str">
        <f>IFERROR(__xludf.DUMMYFUNCTION("VLOOKUP($A$1,IMPORTRANGE($A$2, CONCATENATE($A60,""!$B$5:$JB$48"")),EL$1,0)"),"")</f>
        <v/>
      </c>
      <c r="EM60" s="35" t="str">
        <f>IFERROR(__xludf.DUMMYFUNCTION("VLOOKUP($A$1,IMPORTRANGE($A$2, CONCATENATE($A60,""!$B$5:$JB$48"")),EM$1,0)"),"")</f>
        <v/>
      </c>
      <c r="EN60" s="35" t="str">
        <f>IFERROR(__xludf.DUMMYFUNCTION("VLOOKUP($A$1,IMPORTRANGE($A$2, CONCATENATE($A60,""!$B$5:$JB$48"")),EN$1,0)"),"")</f>
        <v/>
      </c>
      <c r="EO60" s="35" t="str">
        <f>IFERROR(__xludf.DUMMYFUNCTION("VLOOKUP($A$1,IMPORTRANGE($A$2, CONCATENATE($A60,""!$B$5:$JB$48"")),EO$1,0)"),"")</f>
        <v/>
      </c>
      <c r="EP60" s="35" t="str">
        <f>IFERROR(__xludf.DUMMYFUNCTION("VLOOKUP($A$1,IMPORTRANGE($A$2, CONCATENATE($A60,""!$B$5:$JB$48"")),EP$1,0)"),"")</f>
        <v/>
      </c>
      <c r="EQ60" s="35" t="str">
        <f>IFERROR(__xludf.DUMMYFUNCTION("VLOOKUP($A$1,IMPORTRANGE($A$2, CONCATENATE($A60,""!$B$5:$JB$48"")),EQ$1,0)"),"")</f>
        <v/>
      </c>
      <c r="ER60" s="35" t="str">
        <f>IFERROR(__xludf.DUMMYFUNCTION("VLOOKUP($A$1,IMPORTRANGE($A$2, CONCATENATE($A60,""!$B$5:$JB$48"")),ER$1,0)"),"")</f>
        <v/>
      </c>
      <c r="ES60" s="35" t="str">
        <f>IFERROR(__xludf.DUMMYFUNCTION("VLOOKUP($A$1,IMPORTRANGE($A$2, CONCATENATE($A60,""!$B$5:$JB$48"")),ES$1,0)"),"")</f>
        <v/>
      </c>
      <c r="ET60" s="35" t="str">
        <f>IFERROR(__xludf.DUMMYFUNCTION("VLOOKUP($A$1,IMPORTRANGE($A$2, CONCATENATE($A60,""!$B$5:$JB$48"")),ET$1,0)"),"")</f>
        <v/>
      </c>
      <c r="EU60" s="35" t="str">
        <f>IFERROR(__xludf.DUMMYFUNCTION("VLOOKUP($A$1,IMPORTRANGE($A$2, CONCATENATE($A60,""!$B$5:$JB$48"")),EU$1,0)"),"")</f>
        <v/>
      </c>
      <c r="EV60" s="35" t="str">
        <f>IFERROR(__xludf.DUMMYFUNCTION("VLOOKUP($A$1,IMPORTRANGE($A$2, CONCATENATE($A60,""!$B$5:$JB$48"")),EV$1,0)"),"")</f>
        <v/>
      </c>
      <c r="EW60" s="35" t="str">
        <f>IFERROR(__xludf.DUMMYFUNCTION("VLOOKUP($A$1,IMPORTRANGE($A$2, CONCATENATE($A60,""!$B$5:$JB$48"")),EW$1,0)"),"")</f>
        <v/>
      </c>
      <c r="EX60" s="35" t="str">
        <f>IFERROR(__xludf.DUMMYFUNCTION("VLOOKUP($A$1,IMPORTRANGE($A$2, CONCATENATE($A60,""!$B$5:$JB$48"")),EX$1,0)"),"")</f>
        <v/>
      </c>
      <c r="EY60" s="35" t="str">
        <f>IFERROR(__xludf.DUMMYFUNCTION("VLOOKUP($A$1,IMPORTRANGE($A$2, CONCATENATE($A60,""!$B$5:$JB$48"")),EY$1,0)"),"")</f>
        <v/>
      </c>
      <c r="EZ60" s="35" t="str">
        <f>IFERROR(__xludf.DUMMYFUNCTION("VLOOKUP($A$1,IMPORTRANGE($A$2, CONCATENATE($A60,""!$B$5:$JB$48"")),EZ$1,0)"),"")</f>
        <v/>
      </c>
      <c r="FA60" s="35" t="str">
        <f>IFERROR(__xludf.DUMMYFUNCTION("VLOOKUP($A$1,IMPORTRANGE($A$2, CONCATENATE($A60,""!$B$5:$JB$48"")),FA$1,0)"),"")</f>
        <v/>
      </c>
      <c r="FB60" s="35" t="str">
        <f>IFERROR(__xludf.DUMMYFUNCTION("VLOOKUP($A$1,IMPORTRANGE($A$2, CONCATENATE($A60,""!$B$5:$JB$48"")),FB$1,0)"),"")</f>
        <v/>
      </c>
      <c r="FC60" s="35" t="str">
        <f>IFERROR(__xludf.DUMMYFUNCTION("VLOOKUP($A$1,IMPORTRANGE($A$2, CONCATENATE($A60,""!$B$5:$JB$48"")),FC$1,0)"),"")</f>
        <v/>
      </c>
      <c r="FD60" s="35" t="str">
        <f>IFERROR(__xludf.DUMMYFUNCTION("VLOOKUP($A$1,IMPORTRANGE($A$2, CONCATENATE($A60,""!$B$5:$JB$48"")),FD$1,0)"),"")</f>
        <v/>
      </c>
      <c r="FE60" s="35" t="str">
        <f>IFERROR(__xludf.DUMMYFUNCTION("VLOOKUP($A$1,IMPORTRANGE($A$2, CONCATENATE($A60,""!$B$5:$JB$48"")),FE$1,0)"),"")</f>
        <v/>
      </c>
      <c r="FF60" s="35" t="str">
        <f>IFERROR(__xludf.DUMMYFUNCTION("VLOOKUP($A$1,IMPORTRANGE($A$2, CONCATENATE($A60,""!$B$5:$JB$48"")),FF$1,0)"),"")</f>
        <v/>
      </c>
      <c r="FG60" s="35" t="str">
        <f>IFERROR(__xludf.DUMMYFUNCTION("VLOOKUP($A$1,IMPORTRANGE($A$2, CONCATENATE($A60,""!$B$5:$JB$48"")),FG$1,0)"),"")</f>
        <v/>
      </c>
      <c r="FH60" s="35" t="str">
        <f>IFERROR(__xludf.DUMMYFUNCTION("VLOOKUP($A$1,IMPORTRANGE($A$2, CONCATENATE($A60,""!$B$5:$JB$48"")),FH$1,0)"),"")</f>
        <v/>
      </c>
      <c r="FI60" s="35" t="str">
        <f>IFERROR(__xludf.DUMMYFUNCTION("VLOOKUP($A$1,IMPORTRANGE($A$2, CONCATENATE($A60,""!$B$5:$JB$48"")),FI$1,0)"),"")</f>
        <v/>
      </c>
      <c r="FJ60" s="35" t="str">
        <f>IFERROR(__xludf.DUMMYFUNCTION("VLOOKUP($A$1,IMPORTRANGE($A$2, CONCATENATE($A60,""!$B$5:$JB$48"")),FJ$1,0)"),"")</f>
        <v/>
      </c>
      <c r="FK60" s="35" t="str">
        <f>IFERROR(__xludf.DUMMYFUNCTION("VLOOKUP($A$1,IMPORTRANGE($A$2, CONCATENATE($A60,""!$B$5:$JB$48"")),FK$1,0)"),"")</f>
        <v/>
      </c>
      <c r="FL60" s="35" t="str">
        <f>IFERROR(__xludf.DUMMYFUNCTION("VLOOKUP($A$1,IMPORTRANGE($A$2, CONCATENATE($A60,""!$B$5:$JB$48"")),FL$1,0)"),"")</f>
        <v/>
      </c>
      <c r="FM60" s="35" t="str">
        <f>IFERROR(__xludf.DUMMYFUNCTION("VLOOKUP($A$1,IMPORTRANGE($A$2, CONCATENATE($A60,""!$B$5:$JB$48"")),FM$1,0)"),"")</f>
        <v/>
      </c>
      <c r="FN60" s="35" t="str">
        <f>IFERROR(__xludf.DUMMYFUNCTION("VLOOKUP($A$1,IMPORTRANGE($A$2, CONCATENATE($A60,""!$B$5:$JB$48"")),FN$1,0)"),"")</f>
        <v/>
      </c>
      <c r="FO60" s="35" t="str">
        <f>IFERROR(__xludf.DUMMYFUNCTION("VLOOKUP($A$1,IMPORTRANGE($A$2, CONCATENATE($A60,""!$B$5:$JB$48"")),FO$1,0)"),"")</f>
        <v/>
      </c>
      <c r="FP60" s="35" t="str">
        <f>IFERROR(__xludf.DUMMYFUNCTION("VLOOKUP($A$1,IMPORTRANGE($A$2, CONCATENATE($A60,""!$B$5:$JB$48"")),FP$1,0)"),"")</f>
        <v/>
      </c>
      <c r="FQ60" s="35" t="str">
        <f>IFERROR(__xludf.DUMMYFUNCTION("VLOOKUP($A$1,IMPORTRANGE($A$2, CONCATENATE($A60,""!$B$5:$JB$48"")),FQ$1,0)"),"")</f>
        <v/>
      </c>
      <c r="FR60" s="35" t="str">
        <f>IFERROR(__xludf.DUMMYFUNCTION("VLOOKUP($A$1,IMPORTRANGE($A$2, CONCATENATE($A60,""!$B$5:$JB$48"")),FR$1,0)"),"")</f>
        <v/>
      </c>
      <c r="FS60" s="35" t="str">
        <f>IFERROR(__xludf.DUMMYFUNCTION("VLOOKUP($A$1,IMPORTRANGE($A$2, CONCATENATE($A60,""!$B$5:$JB$48"")),FS$1,0)"),"")</f>
        <v/>
      </c>
      <c r="FT60" s="35" t="str">
        <f>IFERROR(__xludf.DUMMYFUNCTION("VLOOKUP($A$1,IMPORTRANGE($A$2, CONCATENATE($A60,""!$B$5:$JB$48"")),FT$1,0)"),"")</f>
        <v/>
      </c>
      <c r="FU60" s="35" t="str">
        <f>IFERROR(__xludf.DUMMYFUNCTION("VLOOKUP($A$1,IMPORTRANGE($A$2, CONCATENATE($A60,""!$B$5:$JB$48"")),FU$1,0)"),"")</f>
        <v/>
      </c>
      <c r="FV60" s="35" t="str">
        <f>IFERROR(__xludf.DUMMYFUNCTION("VLOOKUP($A$1,IMPORTRANGE($A$2, CONCATENATE($A60,""!$B$5:$JB$48"")),FV$1,0)"),"")</f>
        <v/>
      </c>
      <c r="FW60" s="35" t="str">
        <f>IFERROR(__xludf.DUMMYFUNCTION("VLOOKUP($A$1,IMPORTRANGE($A$2, CONCATENATE($A60,""!$B$5:$JB$48"")),FW$1,0)"),"")</f>
        <v/>
      </c>
      <c r="FX60" s="35" t="str">
        <f>IFERROR(__xludf.DUMMYFUNCTION("VLOOKUP($A$1,IMPORTRANGE($A$2, CONCATENATE($A60,""!$B$5:$JB$48"")),FX$1,0)"),"")</f>
        <v/>
      </c>
      <c r="FY60" s="35" t="str">
        <f>IFERROR(__xludf.DUMMYFUNCTION("VLOOKUP($A$1,IMPORTRANGE($A$2, CONCATENATE($A60,""!$B$5:$JB$48"")),FY$1,0)"),"")</f>
        <v/>
      </c>
      <c r="FZ60" s="35" t="str">
        <f>IFERROR(__xludf.DUMMYFUNCTION("VLOOKUP($A$1,IMPORTRANGE($A$2, CONCATENATE($A60,""!$B$5:$JB$48"")),FZ$1,0)"),"")</f>
        <v/>
      </c>
      <c r="GA60" s="35" t="str">
        <f>IFERROR(__xludf.DUMMYFUNCTION("VLOOKUP($A$1,IMPORTRANGE($A$2, CONCATENATE($A60,""!$B$5:$JB$48"")),GA$1,0)"),"")</f>
        <v/>
      </c>
      <c r="GB60" s="35" t="str">
        <f>IFERROR(__xludf.DUMMYFUNCTION("VLOOKUP($A$1,IMPORTRANGE($A$2, CONCATENATE($A60,""!$B$5:$JB$48"")),GB$1,0)"),"")</f>
        <v/>
      </c>
      <c r="GC60" s="35" t="str">
        <f>IFERROR(__xludf.DUMMYFUNCTION("VLOOKUP($A$1,IMPORTRANGE($A$2, CONCATENATE($A60,""!$B$5:$JB$48"")),GC$1,0)"),"")</f>
        <v/>
      </c>
      <c r="GD60" s="35" t="str">
        <f>IFERROR(__xludf.DUMMYFUNCTION("VLOOKUP($A$1,IMPORTRANGE($A$2, CONCATENATE($A60,""!$B$5:$JB$48"")),GD$1,0)"),"")</f>
        <v/>
      </c>
      <c r="GE60" s="35" t="str">
        <f>IFERROR(__xludf.DUMMYFUNCTION("VLOOKUP($A$1,IMPORTRANGE($A$2, CONCATENATE($A60,""!$B$5:$JB$48"")),GE$1,0)"),"")</f>
        <v/>
      </c>
      <c r="GF60" s="35" t="str">
        <f>IFERROR(__xludf.DUMMYFUNCTION("VLOOKUP($A$1,IMPORTRANGE($A$2, CONCATENATE($A60,""!$B$5:$JB$48"")),GF$1,0)"),"")</f>
        <v/>
      </c>
      <c r="GG60" s="35" t="str">
        <f>IFERROR(__xludf.DUMMYFUNCTION("VLOOKUP($A$1,IMPORTRANGE($A$2, CONCATENATE($A60,""!$B$5:$JB$48"")),GG$1,0)"),"")</f>
        <v/>
      </c>
      <c r="GH60" s="35" t="str">
        <f>IFERROR(__xludf.DUMMYFUNCTION("VLOOKUP($A$1,IMPORTRANGE($A$2, CONCATENATE($A60,""!$B$5:$JB$48"")),GH$1,0)"),"")</f>
        <v/>
      </c>
      <c r="GI60" s="35" t="str">
        <f>IFERROR(__xludf.DUMMYFUNCTION("VLOOKUP($A$1,IMPORTRANGE($A$2, CONCATENATE($A60,""!$B$5:$JB$48"")),GI$1,0)"),"")</f>
        <v/>
      </c>
      <c r="GJ60" s="35" t="str">
        <f>IFERROR(__xludf.DUMMYFUNCTION("VLOOKUP($A$1,IMPORTRANGE($A$2, CONCATENATE($A60,""!$B$5:$JB$48"")),GJ$1,0)"),"")</f>
        <v/>
      </c>
      <c r="GK60" s="35" t="str">
        <f>IFERROR(__xludf.DUMMYFUNCTION("VLOOKUP($A$1,IMPORTRANGE($A$2, CONCATENATE($A60,""!$B$5:$JB$48"")),GK$1,0)"),"")</f>
        <v/>
      </c>
      <c r="GL60" s="35" t="str">
        <f>IFERROR(__xludf.DUMMYFUNCTION("VLOOKUP($A$1,IMPORTRANGE($A$2, CONCATENATE($A60,""!$B$5:$JB$48"")),GL$1,0)"),"")</f>
        <v/>
      </c>
      <c r="GM60" s="35" t="str">
        <f>IFERROR(__xludf.DUMMYFUNCTION("VLOOKUP($A$1,IMPORTRANGE($A$2, CONCATENATE($A60,""!$B$5:$JB$48"")),GM$1,0)"),"")</f>
        <v/>
      </c>
      <c r="GN60" s="35" t="str">
        <f>IFERROR(__xludf.DUMMYFUNCTION("VLOOKUP($A$1,IMPORTRANGE($A$2, CONCATENATE($A60,""!$B$5:$JB$48"")),GN$1,0)"),"")</f>
        <v/>
      </c>
      <c r="GO60" s="35" t="str">
        <f>IFERROR(__xludf.DUMMYFUNCTION("VLOOKUP($A$1,IMPORTRANGE($A$2, CONCATENATE($A60,""!$B$5:$JB$48"")),GO$1,0)"),"")</f>
        <v/>
      </c>
      <c r="GP60" s="35" t="str">
        <f>IFERROR(__xludf.DUMMYFUNCTION("VLOOKUP($A$1,IMPORTRANGE($A$2, CONCATENATE($A60,""!$B$5:$JB$48"")),GP$1,0)"),"")</f>
        <v/>
      </c>
      <c r="GQ60" s="35" t="str">
        <f>IFERROR(__xludf.DUMMYFUNCTION("VLOOKUP($A$1,IMPORTRANGE($A$2, CONCATENATE($A60,""!$B$5:$JB$48"")),GQ$1,0)"),"")</f>
        <v/>
      </c>
      <c r="GR60" s="35" t="str">
        <f>IFERROR(__xludf.DUMMYFUNCTION("VLOOKUP($A$1,IMPORTRANGE($A$2, CONCATENATE($A60,""!$B$5:$JB$48"")),GR$1,0)"),"")</f>
        <v/>
      </c>
      <c r="GS60" s="35" t="str">
        <f>IFERROR(__xludf.DUMMYFUNCTION("VLOOKUP($A$1,IMPORTRANGE($A$2, CONCATENATE($A60,""!$B$5:$JB$48"")),GS$1,0)"),"")</f>
        <v/>
      </c>
      <c r="GT60" s="35" t="str">
        <f>IFERROR(__xludf.DUMMYFUNCTION("VLOOKUP($A$1,IMPORTRANGE($A$2, CONCATENATE($A60,""!$B$5:$JB$48"")),GT$1,0)"),"")</f>
        <v/>
      </c>
      <c r="GU60" s="35" t="str">
        <f>IFERROR(__xludf.DUMMYFUNCTION("VLOOKUP($A$1,IMPORTRANGE($A$2, CONCATENATE($A60,""!$B$5:$JB$48"")),GU$1,0)"),"")</f>
        <v/>
      </c>
      <c r="GV60" s="35" t="str">
        <f>IFERROR(__xludf.DUMMYFUNCTION("VLOOKUP($A$1,IMPORTRANGE($A$2, CONCATENATE($A60,""!$B$5:$JB$48"")),GV$1,0)"),"")</f>
        <v/>
      </c>
      <c r="GW60" s="35" t="str">
        <f>IFERROR(__xludf.DUMMYFUNCTION("VLOOKUP($A$1,IMPORTRANGE($A$2, CONCATENATE($A60,""!$B$5:$JB$48"")),GW$1,0)"),"")</f>
        <v/>
      </c>
      <c r="GX60" s="35" t="str">
        <f>IFERROR(__xludf.DUMMYFUNCTION("VLOOKUP($A$1,IMPORTRANGE($A$2, CONCATENATE($A60,""!$B$5:$JB$48"")),GX$1,0)"),"")</f>
        <v/>
      </c>
      <c r="GY60" s="35" t="str">
        <f>IFERROR(__xludf.DUMMYFUNCTION("VLOOKUP($A$1,IMPORTRANGE($A$2, CONCATENATE($A60,""!$B$5:$JB$48"")),GY$1,0)"),"")</f>
        <v/>
      </c>
      <c r="GZ60" s="35" t="str">
        <f>IFERROR(__xludf.DUMMYFUNCTION("VLOOKUP($A$1,IMPORTRANGE($A$2, CONCATENATE($A60,""!$B$5:$JB$48"")),GZ$1,0)"),"")</f>
        <v/>
      </c>
      <c r="HA60" s="35" t="str">
        <f>IFERROR(__xludf.DUMMYFUNCTION("VLOOKUP($A$1,IMPORTRANGE($A$2, CONCATENATE($A60,""!$B$5:$JB$48"")),HA$1,0)"),"")</f>
        <v/>
      </c>
      <c r="HB60" s="35" t="str">
        <f>IFERROR(__xludf.DUMMYFUNCTION("VLOOKUP($A$1,IMPORTRANGE($A$2, CONCATENATE($A60,""!$B$5:$JB$48"")),HB$1,0)"),"")</f>
        <v/>
      </c>
      <c r="HC60" s="35" t="str">
        <f>IFERROR(__xludf.DUMMYFUNCTION("VLOOKUP($A$1,IMPORTRANGE($A$2, CONCATENATE($A60,""!$B$5:$JB$48"")),HC$1,0)"),"")</f>
        <v/>
      </c>
      <c r="HD60" s="35" t="str">
        <f>IFERROR(__xludf.DUMMYFUNCTION("VLOOKUP($A$1,IMPORTRANGE($A$2, CONCATENATE($A60,""!$B$5:$JB$48"")),HD$1,0)"),"")</f>
        <v/>
      </c>
      <c r="HE60" s="35" t="str">
        <f>IFERROR(__xludf.DUMMYFUNCTION("VLOOKUP($A$1,IMPORTRANGE($A$2, CONCATENATE($A60,""!$B$5:$JB$48"")),HE$1,0)"),"")</f>
        <v/>
      </c>
      <c r="HF60" s="35" t="str">
        <f>IFERROR(__xludf.DUMMYFUNCTION("VLOOKUP($A$1,IMPORTRANGE($A$2, CONCATENATE($A60,""!$B$5:$JB$48"")),HF$1,0)"),"")</f>
        <v/>
      </c>
      <c r="HG60" s="35" t="str">
        <f>IFERROR(__xludf.DUMMYFUNCTION("VLOOKUP($A$1,IMPORTRANGE($A$2, CONCATENATE($A60,""!$B$5:$JB$48"")),HG$1,0)"),"")</f>
        <v/>
      </c>
      <c r="HH60" s="35" t="str">
        <f>IFERROR(__xludf.DUMMYFUNCTION("VLOOKUP($A$1,IMPORTRANGE($A$2, CONCATENATE($A60,""!$B$5:$JB$48"")),HH$1,0)"),"")</f>
        <v/>
      </c>
      <c r="HI60" s="35" t="str">
        <f>IFERROR(__xludf.DUMMYFUNCTION("VLOOKUP($A$1,IMPORTRANGE($A$2, CONCATENATE($A60,""!$B$5:$JB$48"")),HI$1,0)"),"")</f>
        <v/>
      </c>
      <c r="HJ60" s="35" t="str">
        <f>IFERROR(__xludf.DUMMYFUNCTION("VLOOKUP($A$1,IMPORTRANGE($A$2, CONCATENATE($A60,""!$B$5:$JB$48"")),HJ$1,0)"),"")</f>
        <v/>
      </c>
      <c r="HK60" s="35" t="str">
        <f>IFERROR(__xludf.DUMMYFUNCTION("VLOOKUP($A$1,IMPORTRANGE($A$2, CONCATENATE($A60,""!$B$5:$JB$48"")),HK$1,0)"),"")</f>
        <v/>
      </c>
      <c r="HL60" s="35" t="str">
        <f>IFERROR(__xludf.DUMMYFUNCTION("VLOOKUP($A$1,IMPORTRANGE($A$2, CONCATENATE($A60,""!$B$5:$JB$48"")),HL$1,0)"),"")</f>
        <v/>
      </c>
      <c r="HM60" s="35" t="str">
        <f>IFERROR(__xludf.DUMMYFUNCTION("VLOOKUP($A$1,IMPORTRANGE($A$2, CONCATENATE($A60,""!$B$5:$JB$48"")),HM$1,0)"),"")</f>
        <v/>
      </c>
      <c r="HN60" s="35" t="str">
        <f>IFERROR(__xludf.DUMMYFUNCTION("VLOOKUP($A$1,IMPORTRANGE($A$2, CONCATENATE($A60,""!$B$5:$JB$48"")),HN$1,0)"),"")</f>
        <v/>
      </c>
      <c r="HO60" s="35" t="str">
        <f>IFERROR(__xludf.DUMMYFUNCTION("VLOOKUP($A$1,IMPORTRANGE($A$2, CONCATENATE($A60,""!$B$5:$JB$48"")),HO$1,0)"),"")</f>
        <v/>
      </c>
      <c r="HP60" s="35" t="str">
        <f>IFERROR(__xludf.DUMMYFUNCTION("VLOOKUP($A$1,IMPORTRANGE($A$2, CONCATENATE($A60,""!$B$5:$JB$48"")),HP$1,0)"),"")</f>
        <v/>
      </c>
      <c r="HQ60" s="35" t="str">
        <f>IFERROR(__xludf.DUMMYFUNCTION("VLOOKUP($A$1,IMPORTRANGE($A$2, CONCATENATE($A60,""!$B$5:$JB$48"")),HQ$1,0)"),"")</f>
        <v/>
      </c>
      <c r="HR60" s="35" t="str">
        <f>IFERROR(__xludf.DUMMYFUNCTION("VLOOKUP($A$1,IMPORTRANGE($A$2, CONCATENATE($A60,""!$B$5:$JB$48"")),HR$1,0)"),"")</f>
        <v/>
      </c>
      <c r="HS60" s="35" t="str">
        <f>IFERROR(__xludf.DUMMYFUNCTION("VLOOKUP($A$1,IMPORTRANGE($A$2, CONCATENATE($A60,""!$B$5:$JB$48"")),HS$1,0)"),"")</f>
        <v/>
      </c>
      <c r="HT60" s="35" t="str">
        <f>IFERROR(__xludf.DUMMYFUNCTION("VLOOKUP($A$1,IMPORTRANGE($A$2, CONCATENATE($A60,""!$B$5:$JB$48"")),HT$1,0)"),"")</f>
        <v/>
      </c>
      <c r="HU60" s="35" t="str">
        <f>IFERROR(__xludf.DUMMYFUNCTION("VLOOKUP($A$1,IMPORTRANGE($A$2, CONCATENATE($A60,""!$B$5:$JB$48"")),HU$1,0)"),"")</f>
        <v/>
      </c>
      <c r="HV60" s="35" t="str">
        <f>IFERROR(__xludf.DUMMYFUNCTION("VLOOKUP($A$1,IMPORTRANGE($A$2, CONCATENATE($A60,""!$B$5:$JB$48"")),HV$1,0)"),"")</f>
        <v/>
      </c>
      <c r="HW60" s="35" t="str">
        <f>IFERROR(__xludf.DUMMYFUNCTION("VLOOKUP($A$1,IMPORTRANGE($A$2, CONCATENATE($A60,""!$B$5:$JB$48"")),HW$1,0)"),"")</f>
        <v/>
      </c>
      <c r="HX60" s="35" t="str">
        <f>IFERROR(__xludf.DUMMYFUNCTION("VLOOKUP($A$1,IMPORTRANGE($A$2, CONCATENATE($A60,""!$B$5:$JB$48"")),HX$1,0)"),"")</f>
        <v/>
      </c>
      <c r="HY60" s="35" t="str">
        <f>IFERROR(__xludf.DUMMYFUNCTION("VLOOKUP($A$1,IMPORTRANGE($A$2, CONCATENATE($A60,""!$B$5:$JB$48"")),HY$1,0)"),"")</f>
        <v/>
      </c>
      <c r="HZ60" s="35" t="str">
        <f>IFERROR(__xludf.DUMMYFUNCTION("VLOOKUP($A$1,IMPORTRANGE($A$2, CONCATENATE($A60,""!$B$5:$JB$48"")),HZ$1,0)"),"")</f>
        <v/>
      </c>
      <c r="IA60" s="35" t="str">
        <f>IFERROR(__xludf.DUMMYFUNCTION("VLOOKUP($A$1,IMPORTRANGE($A$2, CONCATENATE($A60,""!$B$5:$JB$48"")),IA$1,0)"),"")</f>
        <v/>
      </c>
      <c r="IB60" s="35" t="str">
        <f>IFERROR(__xludf.DUMMYFUNCTION("VLOOKUP($A$1,IMPORTRANGE($A$2, CONCATENATE($A60,""!$B$5:$JB$48"")),IB$1,0)"),"")</f>
        <v/>
      </c>
      <c r="IC60" s="35" t="str">
        <f>IFERROR(__xludf.DUMMYFUNCTION("VLOOKUP($A$1,IMPORTRANGE($A$2, CONCATENATE($A60,""!$B$5:$JB$48"")),IC$1,0)"),"")</f>
        <v/>
      </c>
      <c r="ID60" s="35" t="str">
        <f>IFERROR(__xludf.DUMMYFUNCTION("VLOOKUP($A$1,IMPORTRANGE($A$2, CONCATENATE($A60,""!$B$5:$JB$48"")),ID$1,0)"),"")</f>
        <v/>
      </c>
      <c r="IE60" s="35" t="str">
        <f>IFERROR(__xludf.DUMMYFUNCTION("VLOOKUP($A$1,IMPORTRANGE($A$2, CONCATENATE($A60,""!$B$5:$JB$48"")),IE$1,0)"),"")</f>
        <v/>
      </c>
      <c r="IF60" s="35" t="str">
        <f>IFERROR(__xludf.DUMMYFUNCTION("VLOOKUP($A$1,IMPORTRANGE($A$2, CONCATENATE($A60,""!$B$5:$JB$48"")),IF$1,0)"),"")</f>
        <v/>
      </c>
      <c r="IG60" s="35" t="str">
        <f>IFERROR(__xludf.DUMMYFUNCTION("VLOOKUP($A$1,IMPORTRANGE($A$2, CONCATENATE($A60,""!$B$5:$JB$48"")),IG$1,0)"),"")</f>
        <v/>
      </c>
      <c r="IH60" s="35" t="str">
        <f>IFERROR(__xludf.DUMMYFUNCTION("VLOOKUP($A$1,IMPORTRANGE($A$2, CONCATENATE($A60,""!$B$5:$JB$48"")),IH$1,0)"),"")</f>
        <v/>
      </c>
      <c r="II60" s="35" t="str">
        <f>IFERROR(__xludf.DUMMYFUNCTION("VLOOKUP($A$1,IMPORTRANGE($A$2, CONCATENATE($A60,""!$B$5:$JB$48"")),II$1,0)"),"")</f>
        <v/>
      </c>
      <c r="IJ60" s="35" t="str">
        <f>IFERROR(__xludf.DUMMYFUNCTION("VLOOKUP($A$1,IMPORTRANGE($A$2, CONCATENATE($A60,""!$B$5:$JB$48"")),IJ$1,0)"),"")</f>
        <v/>
      </c>
      <c r="IK60" s="35" t="str">
        <f>IFERROR(__xludf.DUMMYFUNCTION("VLOOKUP($A$1,IMPORTRANGE($A$2, CONCATENATE($A60,""!$B$5:$JB$48"")),IK$1,0)"),"")</f>
        <v/>
      </c>
      <c r="IL60" s="35" t="str">
        <f>IFERROR(__xludf.DUMMYFUNCTION("VLOOKUP($A$1,IMPORTRANGE($A$2, CONCATENATE($A60,""!$B$5:$JB$48"")),IL$1,0)"),"")</f>
        <v/>
      </c>
      <c r="IM60" s="35" t="str">
        <f>IFERROR(__xludf.DUMMYFUNCTION("VLOOKUP($A$1,IMPORTRANGE($A$2, CONCATENATE($A60,""!$B$5:$JB$48"")),IM$1,0)"),"")</f>
        <v/>
      </c>
      <c r="IN60" s="35" t="str">
        <f>IFERROR(__xludf.DUMMYFUNCTION("VLOOKUP($A$1,IMPORTRANGE($A$2, CONCATENATE($A60,""!$B$5:$JB$48"")),IN$1,0)"),"")</f>
        <v/>
      </c>
      <c r="IO60" s="35" t="str">
        <f>IFERROR(__xludf.DUMMYFUNCTION("VLOOKUP($A$1,IMPORTRANGE($A$2, CONCATENATE($A60,""!$B$5:$JB$48"")),IO$1,0)"),"")</f>
        <v/>
      </c>
      <c r="IP60" s="35" t="str">
        <f>IFERROR(__xludf.DUMMYFUNCTION("VLOOKUP($A$1,IMPORTRANGE($A$2, CONCATENATE($A60,""!$B$5:$JB$48"")),IP$1,0)"),"")</f>
        <v/>
      </c>
      <c r="IQ60" s="35" t="str">
        <f>IFERROR(__xludf.DUMMYFUNCTION("VLOOKUP($A$1,IMPORTRANGE($A$2, CONCATENATE($A60,""!$B$5:$JB$48"")),IQ$1,0)"),"")</f>
        <v/>
      </c>
      <c r="IR60" s="35" t="str">
        <f>IFERROR(__xludf.DUMMYFUNCTION("VLOOKUP($A$1,IMPORTRANGE($A$2, CONCATENATE($A60,""!$B$5:$JB$48"")),IR$1,0)"),"#REF!")</f>
        <v>#REF!</v>
      </c>
      <c r="IS60" s="35" t="str">
        <f>IFERROR(__xludf.DUMMYFUNCTION("VLOOKUP($A$1,IMPORTRANGE($A$2, CONCATENATE($A60,""!$B$5:$JB$48"")),IS$1,0)"),"#REF!")</f>
        <v>#REF!</v>
      </c>
      <c r="IT60" s="35" t="str">
        <f>IFERROR(__xludf.DUMMYFUNCTION("VLOOKUP($A$1,IMPORTRANGE($A$2, CONCATENATE($A60,""!$B$5:$JB$48"")),IT$1,0)"),"#REF!")</f>
        <v>#REF!</v>
      </c>
      <c r="IU60" s="35" t="str">
        <f>IFERROR(__xludf.DUMMYFUNCTION("VLOOKUP($A$1,IMPORTRANGE($A$2, CONCATENATE($A60,""!$B$5:$JB$48"")),IU$1,0)"),"#REF!")</f>
        <v>#REF!</v>
      </c>
      <c r="IV60" s="35" t="str">
        <f>IFERROR(__xludf.DUMMYFUNCTION("VLOOKUP($A$1,IMPORTRANGE($A$2, CONCATENATE($A60,""!$B$5:$JB$48"")),IV$1,0)"),"#REF!")</f>
        <v>#REF!</v>
      </c>
      <c r="IW60" s="35" t="str">
        <f>IFERROR(__xludf.DUMMYFUNCTION("VLOOKUP($A$1,IMPORTRANGE($A$2, CONCATENATE($A60,""!$B$5:$JB$48"")),IW$1,0)"),"#REF!")</f>
        <v>#REF!</v>
      </c>
      <c r="IX60" s="35" t="str">
        <f>IFERROR(__xludf.DUMMYFUNCTION("VLOOKUP($A$1,IMPORTRANGE($A$2, CONCATENATE($A60,""!$B$5:$JB$48"")),IX$1,0)"),"#REF!")</f>
        <v>#REF!</v>
      </c>
      <c r="IY60" s="35" t="str">
        <f>IFERROR(__xludf.DUMMYFUNCTION("VLOOKUP($A$1,IMPORTRANGE($A$2, CONCATENATE($A60,""!$B$5:$JB$48"")),IY$1,0)"),"#REF!")</f>
        <v>#REF!</v>
      </c>
      <c r="IZ60" s="35"/>
      <c r="JA60" s="35"/>
      <c r="JB60" s="35"/>
      <c r="JC60" s="35"/>
      <c r="JD60" s="35"/>
      <c r="JE60" s="35"/>
    </row>
    <row r="61">
      <c r="A61" s="42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</row>
    <row r="62">
      <c r="A62" s="42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5"/>
      <c r="HG62" s="35"/>
      <c r="HH62" s="35"/>
      <c r="HI62" s="35"/>
      <c r="HJ62" s="35"/>
      <c r="HK62" s="35"/>
      <c r="HL62" s="35"/>
      <c r="HM62" s="35"/>
      <c r="HN62" s="35"/>
      <c r="HO62" s="35"/>
      <c r="HP62" s="35"/>
      <c r="HQ62" s="35"/>
      <c r="HR62" s="35"/>
      <c r="HS62" s="35"/>
      <c r="HT62" s="35"/>
      <c r="HU62" s="35"/>
      <c r="HV62" s="35"/>
      <c r="HW62" s="35"/>
      <c r="HX62" s="35"/>
      <c r="HY62" s="35"/>
      <c r="HZ62" s="35"/>
      <c r="IA62" s="35"/>
      <c r="IB62" s="35"/>
      <c r="IC62" s="35"/>
      <c r="ID62" s="35"/>
      <c r="IE62" s="35"/>
      <c r="IF62" s="35"/>
      <c r="IG62" s="35"/>
      <c r="IH62" s="35"/>
      <c r="II62" s="35"/>
      <c r="IJ62" s="35"/>
      <c r="IK62" s="35"/>
      <c r="IL62" s="35"/>
      <c r="IM62" s="35"/>
      <c r="IN62" s="35"/>
      <c r="IO62" s="35"/>
      <c r="IP62" s="35"/>
      <c r="IQ62" s="35"/>
      <c r="IR62" s="35"/>
      <c r="IS62" s="35"/>
      <c r="IT62" s="35"/>
      <c r="IU62" s="35"/>
      <c r="IV62" s="35"/>
      <c r="IW62" s="35"/>
      <c r="IX62" s="35"/>
      <c r="IY62" s="35"/>
      <c r="IZ62" s="35"/>
      <c r="JA62" s="35"/>
      <c r="JB62" s="35"/>
      <c r="JC62" s="35"/>
      <c r="JD62" s="35"/>
      <c r="JE62" s="35"/>
    </row>
    <row r="63">
      <c r="A63" s="42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5"/>
      <c r="HE63" s="35"/>
      <c r="HF63" s="35"/>
      <c r="HG63" s="35"/>
      <c r="HH63" s="35"/>
      <c r="HI63" s="35"/>
      <c r="HJ63" s="35"/>
      <c r="HK63" s="35"/>
      <c r="HL63" s="35"/>
      <c r="HM63" s="35"/>
      <c r="HN63" s="35"/>
      <c r="HO63" s="35"/>
      <c r="HP63" s="35"/>
      <c r="HQ63" s="35"/>
      <c r="HR63" s="35"/>
      <c r="HS63" s="35"/>
      <c r="HT63" s="35"/>
      <c r="HU63" s="35"/>
      <c r="HV63" s="35"/>
      <c r="HW63" s="35"/>
      <c r="HX63" s="35"/>
      <c r="HY63" s="35"/>
      <c r="HZ63" s="35"/>
      <c r="IA63" s="35"/>
      <c r="IB63" s="35"/>
      <c r="IC63" s="35"/>
      <c r="ID63" s="35"/>
      <c r="IE63" s="35"/>
      <c r="IF63" s="35"/>
      <c r="IG63" s="35"/>
      <c r="IH63" s="35"/>
      <c r="II63" s="35"/>
      <c r="IJ63" s="35"/>
      <c r="IK63" s="35"/>
      <c r="IL63" s="35"/>
      <c r="IM63" s="35"/>
      <c r="IN63" s="35"/>
      <c r="IO63" s="35"/>
      <c r="IP63" s="35"/>
      <c r="IQ63" s="35"/>
      <c r="IR63" s="35"/>
      <c r="IS63" s="35"/>
      <c r="IT63" s="35"/>
      <c r="IU63" s="35"/>
      <c r="IV63" s="35"/>
      <c r="IW63" s="35"/>
      <c r="IX63" s="35"/>
      <c r="IY63" s="35"/>
      <c r="IZ63" s="35"/>
      <c r="JA63" s="35"/>
      <c r="JB63" s="35"/>
      <c r="JC63" s="35"/>
      <c r="JD63" s="35"/>
      <c r="JE63" s="35"/>
    </row>
    <row r="64">
      <c r="A64" s="42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5"/>
      <c r="HE64" s="35"/>
      <c r="HF64" s="35"/>
      <c r="HG64" s="35"/>
      <c r="HH64" s="35"/>
      <c r="HI64" s="35"/>
      <c r="HJ64" s="35"/>
      <c r="HK64" s="35"/>
      <c r="HL64" s="35"/>
      <c r="HM64" s="35"/>
      <c r="HN64" s="35"/>
      <c r="HO64" s="35"/>
      <c r="HP64" s="35"/>
      <c r="HQ64" s="35"/>
      <c r="HR64" s="35"/>
      <c r="HS64" s="35"/>
      <c r="HT64" s="35"/>
      <c r="HU64" s="35"/>
      <c r="HV64" s="35"/>
      <c r="HW64" s="35"/>
      <c r="HX64" s="35"/>
      <c r="HY64" s="35"/>
      <c r="HZ64" s="35"/>
      <c r="IA64" s="35"/>
      <c r="IB64" s="35"/>
      <c r="IC64" s="35"/>
      <c r="ID64" s="35"/>
      <c r="IE64" s="35"/>
      <c r="IF64" s="35"/>
      <c r="IG64" s="35"/>
      <c r="IH64" s="35"/>
      <c r="II64" s="35"/>
      <c r="IJ64" s="35"/>
      <c r="IK64" s="35"/>
      <c r="IL64" s="35"/>
      <c r="IM64" s="35"/>
      <c r="IN64" s="35"/>
      <c r="IO64" s="35"/>
      <c r="IP64" s="35"/>
      <c r="IQ64" s="35"/>
      <c r="IR64" s="35"/>
      <c r="IS64" s="35"/>
      <c r="IT64" s="35"/>
      <c r="IU64" s="35"/>
      <c r="IV64" s="35"/>
      <c r="IW64" s="35"/>
      <c r="IX64" s="35"/>
      <c r="IY64" s="35"/>
      <c r="IZ64" s="35"/>
      <c r="JA64" s="35"/>
      <c r="JB64" s="35"/>
      <c r="JC64" s="35"/>
      <c r="JD64" s="35"/>
      <c r="JE64" s="35"/>
    </row>
    <row r="65">
      <c r="A65" s="42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5"/>
      <c r="HE65" s="35"/>
      <c r="HF65" s="35"/>
      <c r="HG65" s="35"/>
      <c r="HH65" s="35"/>
      <c r="HI65" s="35"/>
      <c r="HJ65" s="35"/>
      <c r="HK65" s="35"/>
      <c r="HL65" s="35"/>
      <c r="HM65" s="35"/>
      <c r="HN65" s="35"/>
      <c r="HO65" s="35"/>
      <c r="HP65" s="35"/>
      <c r="HQ65" s="35"/>
      <c r="HR65" s="35"/>
      <c r="HS65" s="35"/>
      <c r="HT65" s="35"/>
      <c r="HU65" s="35"/>
      <c r="HV65" s="35"/>
      <c r="HW65" s="35"/>
      <c r="HX65" s="35"/>
      <c r="HY65" s="35"/>
      <c r="HZ65" s="35"/>
      <c r="IA65" s="35"/>
      <c r="IB65" s="35"/>
      <c r="IC65" s="35"/>
      <c r="ID65" s="35"/>
      <c r="IE65" s="35"/>
      <c r="IF65" s="35"/>
      <c r="IG65" s="35"/>
      <c r="IH65" s="35"/>
      <c r="II65" s="35"/>
      <c r="IJ65" s="35"/>
      <c r="IK65" s="35"/>
      <c r="IL65" s="35"/>
      <c r="IM65" s="35"/>
      <c r="IN65" s="35"/>
      <c r="IO65" s="35"/>
      <c r="IP65" s="35"/>
      <c r="IQ65" s="35"/>
      <c r="IR65" s="35"/>
      <c r="IS65" s="35"/>
      <c r="IT65" s="35"/>
      <c r="IU65" s="35"/>
      <c r="IV65" s="35"/>
      <c r="IW65" s="35"/>
      <c r="IX65" s="35"/>
      <c r="IY65" s="35"/>
      <c r="IZ65" s="35"/>
      <c r="JA65" s="35"/>
      <c r="JB65" s="35"/>
      <c r="JC65" s="35"/>
      <c r="JD65" s="35"/>
      <c r="JE65" s="35"/>
    </row>
    <row r="66">
      <c r="A66" s="42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5"/>
      <c r="HE66" s="35"/>
      <c r="HF66" s="35"/>
      <c r="HG66" s="35"/>
      <c r="HH66" s="35"/>
      <c r="HI66" s="35"/>
      <c r="HJ66" s="35"/>
      <c r="HK66" s="35"/>
      <c r="HL66" s="35"/>
      <c r="HM66" s="35"/>
      <c r="HN66" s="35"/>
      <c r="HO66" s="35"/>
      <c r="HP66" s="35"/>
      <c r="HQ66" s="35"/>
      <c r="HR66" s="35"/>
      <c r="HS66" s="35"/>
      <c r="HT66" s="35"/>
      <c r="HU66" s="35"/>
      <c r="HV66" s="35"/>
      <c r="HW66" s="35"/>
      <c r="HX66" s="35"/>
      <c r="HY66" s="35"/>
      <c r="HZ66" s="35"/>
      <c r="IA66" s="35"/>
      <c r="IB66" s="35"/>
      <c r="IC66" s="35"/>
      <c r="ID66" s="35"/>
      <c r="IE66" s="35"/>
      <c r="IF66" s="35"/>
      <c r="IG66" s="35"/>
      <c r="IH66" s="35"/>
      <c r="II66" s="35"/>
      <c r="IJ66" s="35"/>
      <c r="IK66" s="35"/>
      <c r="IL66" s="35"/>
      <c r="IM66" s="35"/>
      <c r="IN66" s="35"/>
      <c r="IO66" s="35"/>
      <c r="IP66" s="35"/>
      <c r="IQ66" s="35"/>
      <c r="IR66" s="35"/>
      <c r="IS66" s="35"/>
      <c r="IT66" s="35"/>
      <c r="IU66" s="35"/>
      <c r="IV66" s="35"/>
      <c r="IW66" s="35"/>
      <c r="IX66" s="35"/>
      <c r="IY66" s="35"/>
      <c r="IZ66" s="35"/>
      <c r="JA66" s="35"/>
      <c r="JB66" s="35"/>
      <c r="JC66" s="35"/>
      <c r="JD66" s="35"/>
      <c r="JE66" s="35"/>
    </row>
    <row r="67">
      <c r="A67" s="42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5"/>
      <c r="HE67" s="35"/>
      <c r="HF67" s="35"/>
      <c r="HG67" s="35"/>
      <c r="HH67" s="35"/>
      <c r="HI67" s="35"/>
      <c r="HJ67" s="35"/>
      <c r="HK67" s="35"/>
      <c r="HL67" s="35"/>
      <c r="HM67" s="35"/>
      <c r="HN67" s="35"/>
      <c r="HO67" s="35"/>
      <c r="HP67" s="35"/>
      <c r="HQ67" s="35"/>
      <c r="HR67" s="35"/>
      <c r="HS67" s="35"/>
      <c r="HT67" s="35"/>
      <c r="HU67" s="35"/>
      <c r="HV67" s="35"/>
      <c r="HW67" s="35"/>
      <c r="HX67" s="35"/>
      <c r="HY67" s="35"/>
      <c r="HZ67" s="35"/>
      <c r="IA67" s="35"/>
      <c r="IB67" s="35"/>
      <c r="IC67" s="35"/>
      <c r="ID67" s="35"/>
      <c r="IE67" s="35"/>
      <c r="IF67" s="35"/>
      <c r="IG67" s="35"/>
      <c r="IH67" s="35"/>
      <c r="II67" s="35"/>
      <c r="IJ67" s="35"/>
      <c r="IK67" s="35"/>
      <c r="IL67" s="35"/>
      <c r="IM67" s="35"/>
      <c r="IN67" s="35"/>
      <c r="IO67" s="35"/>
      <c r="IP67" s="35"/>
      <c r="IQ67" s="35"/>
      <c r="IR67" s="35"/>
      <c r="IS67" s="35"/>
      <c r="IT67" s="35"/>
      <c r="IU67" s="35"/>
      <c r="IV67" s="35"/>
      <c r="IW67" s="35"/>
      <c r="IX67" s="35"/>
      <c r="IY67" s="35"/>
      <c r="IZ67" s="35"/>
      <c r="JA67" s="35"/>
      <c r="JB67" s="35"/>
      <c r="JC67" s="35"/>
      <c r="JD67" s="35"/>
      <c r="JE67" s="35"/>
    </row>
    <row r="68">
      <c r="A68" s="42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5"/>
      <c r="HE68" s="35"/>
      <c r="HF68" s="35"/>
      <c r="HG68" s="35"/>
      <c r="HH68" s="35"/>
      <c r="HI68" s="35"/>
      <c r="HJ68" s="35"/>
      <c r="HK68" s="35"/>
      <c r="HL68" s="35"/>
      <c r="HM68" s="35"/>
      <c r="HN68" s="35"/>
      <c r="HO68" s="35"/>
      <c r="HP68" s="35"/>
      <c r="HQ68" s="35"/>
      <c r="HR68" s="35"/>
      <c r="HS68" s="35"/>
      <c r="HT68" s="35"/>
      <c r="HU68" s="35"/>
      <c r="HV68" s="35"/>
      <c r="HW68" s="35"/>
      <c r="HX68" s="35"/>
      <c r="HY68" s="35"/>
      <c r="HZ68" s="35"/>
      <c r="IA68" s="35"/>
      <c r="IB68" s="35"/>
      <c r="IC68" s="35"/>
      <c r="ID68" s="35"/>
      <c r="IE68" s="35"/>
      <c r="IF68" s="35"/>
      <c r="IG68" s="35"/>
      <c r="IH68" s="35"/>
      <c r="II68" s="35"/>
      <c r="IJ68" s="35"/>
      <c r="IK68" s="35"/>
      <c r="IL68" s="35"/>
      <c r="IM68" s="35"/>
      <c r="IN68" s="35"/>
      <c r="IO68" s="35"/>
      <c r="IP68" s="35"/>
      <c r="IQ68" s="35"/>
      <c r="IR68" s="35"/>
      <c r="IS68" s="35"/>
      <c r="IT68" s="35"/>
      <c r="IU68" s="35"/>
      <c r="IV68" s="35"/>
      <c r="IW68" s="35"/>
      <c r="IX68" s="35"/>
      <c r="IY68" s="35"/>
      <c r="IZ68" s="35"/>
      <c r="JA68" s="35"/>
      <c r="JB68" s="35"/>
      <c r="JC68" s="35"/>
      <c r="JD68" s="35"/>
      <c r="JE68" s="35"/>
    </row>
    <row r="69">
      <c r="A69" s="45" t="s">
        <v>2</v>
      </c>
      <c r="B69" s="46" t="str">
        <f t="shared" ref="B69:JE69" si="1">TEXT(B97,"d mmmm")</f>
        <v>2 сентября</v>
      </c>
      <c r="C69" s="46" t="str">
        <f t="shared" si="1"/>
        <v>3 сентября</v>
      </c>
      <c r="D69" s="46" t="str">
        <f t="shared" si="1"/>
        <v>4 сентября</v>
      </c>
      <c r="E69" s="46" t="str">
        <f t="shared" si="1"/>
        <v>5 сентября</v>
      </c>
      <c r="F69" s="46" t="str">
        <f t="shared" si="1"/>
        <v>6 сентября</v>
      </c>
      <c r="G69" s="46" t="str">
        <f t="shared" si="1"/>
        <v>7 сентября</v>
      </c>
      <c r="H69" s="46" t="str">
        <f t="shared" si="1"/>
        <v>8 сентября</v>
      </c>
      <c r="I69" s="46" t="str">
        <f t="shared" si="1"/>
        <v>9 сентября</v>
      </c>
      <c r="J69" s="46" t="str">
        <f t="shared" si="1"/>
        <v>10 сентября</v>
      </c>
      <c r="K69" s="46" t="str">
        <f t="shared" si="1"/>
        <v>11 сентября</v>
      </c>
      <c r="L69" s="46" t="str">
        <f t="shared" si="1"/>
        <v>12 сентября</v>
      </c>
      <c r="M69" s="46" t="str">
        <f t="shared" si="1"/>
        <v>13 сентября</v>
      </c>
      <c r="N69" s="46" t="str">
        <f t="shared" si="1"/>
        <v>14 сентября</v>
      </c>
      <c r="O69" s="46" t="str">
        <f t="shared" si="1"/>
        <v>15 сентября</v>
      </c>
      <c r="P69" s="46" t="str">
        <f t="shared" si="1"/>
        <v>16 сентября</v>
      </c>
      <c r="Q69" s="46" t="str">
        <f t="shared" si="1"/>
        <v>17 сентября</v>
      </c>
      <c r="R69" s="46" t="str">
        <f t="shared" si="1"/>
        <v>18 сентября</v>
      </c>
      <c r="S69" s="46" t="str">
        <f t="shared" si="1"/>
        <v>19 сентября</v>
      </c>
      <c r="T69" s="46" t="str">
        <f t="shared" si="1"/>
        <v>20 сентября</v>
      </c>
      <c r="U69" s="46" t="str">
        <f t="shared" si="1"/>
        <v>21 сентября</v>
      </c>
      <c r="V69" s="46" t="str">
        <f t="shared" si="1"/>
        <v>22 сентября</v>
      </c>
      <c r="W69" s="46" t="str">
        <f t="shared" si="1"/>
        <v>23 сентября</v>
      </c>
      <c r="X69" s="46" t="str">
        <f t="shared" si="1"/>
        <v>24 сентября</v>
      </c>
      <c r="Y69" s="46" t="str">
        <f t="shared" si="1"/>
        <v>25 сентября</v>
      </c>
      <c r="Z69" s="46" t="str">
        <f t="shared" si="1"/>
        <v>26 сентября</v>
      </c>
      <c r="AA69" s="46" t="str">
        <f t="shared" si="1"/>
        <v>27 сентября</v>
      </c>
      <c r="AB69" s="46" t="str">
        <f t="shared" si="1"/>
        <v>28 сентября</v>
      </c>
      <c r="AC69" s="46" t="str">
        <f t="shared" si="1"/>
        <v>29 сентября</v>
      </c>
      <c r="AD69" s="46" t="str">
        <f t="shared" si="1"/>
        <v>30 сентября</v>
      </c>
      <c r="AE69" s="46" t="str">
        <f t="shared" si="1"/>
        <v>1 октября</v>
      </c>
      <c r="AF69" s="46" t="str">
        <f t="shared" si="1"/>
        <v>2 октября</v>
      </c>
      <c r="AG69" s="46" t="str">
        <f t="shared" si="1"/>
        <v>3 октября</v>
      </c>
      <c r="AH69" s="46" t="str">
        <f t="shared" si="1"/>
        <v>4 октября</v>
      </c>
      <c r="AI69" s="46" t="str">
        <f t="shared" si="1"/>
        <v>5 октября</v>
      </c>
      <c r="AJ69" s="46" t="str">
        <f t="shared" si="1"/>
        <v>6 октября</v>
      </c>
      <c r="AK69" s="46" t="str">
        <f t="shared" si="1"/>
        <v>7 октября</v>
      </c>
      <c r="AL69" s="46" t="str">
        <f t="shared" si="1"/>
        <v>8 октября</v>
      </c>
      <c r="AM69" s="46" t="str">
        <f t="shared" si="1"/>
        <v>9 октября</v>
      </c>
      <c r="AN69" s="46" t="str">
        <f t="shared" si="1"/>
        <v>10 октября</v>
      </c>
      <c r="AO69" s="46" t="str">
        <f t="shared" si="1"/>
        <v>11 октября</v>
      </c>
      <c r="AP69" s="46" t="str">
        <f t="shared" si="1"/>
        <v>12 октября</v>
      </c>
      <c r="AQ69" s="46" t="str">
        <f t="shared" si="1"/>
        <v>13 октября</v>
      </c>
      <c r="AR69" s="46" t="str">
        <f t="shared" si="1"/>
        <v>14 октября</v>
      </c>
      <c r="AS69" s="46" t="str">
        <f t="shared" si="1"/>
        <v>15 октября</v>
      </c>
      <c r="AT69" s="46" t="str">
        <f t="shared" si="1"/>
        <v>16 октября</v>
      </c>
      <c r="AU69" s="46" t="str">
        <f t="shared" si="1"/>
        <v>17 октября</v>
      </c>
      <c r="AV69" s="46" t="str">
        <f t="shared" si="1"/>
        <v>18 октября</v>
      </c>
      <c r="AW69" s="46" t="str">
        <f t="shared" si="1"/>
        <v>19 октября</v>
      </c>
      <c r="AX69" s="46" t="str">
        <f t="shared" si="1"/>
        <v>20 октября</v>
      </c>
      <c r="AY69" s="46" t="str">
        <f t="shared" si="1"/>
        <v>21 октября</v>
      </c>
      <c r="AZ69" s="46" t="str">
        <f t="shared" si="1"/>
        <v>22 октября</v>
      </c>
      <c r="BA69" s="46" t="str">
        <f t="shared" si="1"/>
        <v>23 октября</v>
      </c>
      <c r="BB69" s="46" t="str">
        <f t="shared" si="1"/>
        <v>24 октября</v>
      </c>
      <c r="BC69" s="46" t="str">
        <f t="shared" si="1"/>
        <v>25 октября</v>
      </c>
      <c r="BD69" s="46" t="str">
        <f t="shared" si="1"/>
        <v>26 октября</v>
      </c>
      <c r="BE69" s="46" t="str">
        <f t="shared" si="1"/>
        <v>27 октября</v>
      </c>
      <c r="BF69" s="46" t="str">
        <f t="shared" si="1"/>
        <v>28 октября</v>
      </c>
      <c r="BG69" s="46" t="str">
        <f t="shared" si="1"/>
        <v>29 октября</v>
      </c>
      <c r="BH69" s="46" t="str">
        <f t="shared" si="1"/>
        <v>30 октября</v>
      </c>
      <c r="BI69" s="46" t="str">
        <f t="shared" si="1"/>
        <v>31 октября</v>
      </c>
      <c r="BJ69" s="46" t="str">
        <f t="shared" si="1"/>
        <v>1 ноября</v>
      </c>
      <c r="BK69" s="46" t="str">
        <f t="shared" si="1"/>
        <v>2 ноября</v>
      </c>
      <c r="BL69" s="46" t="str">
        <f t="shared" si="1"/>
        <v>3 ноября</v>
      </c>
      <c r="BM69" s="46" t="str">
        <f t="shared" si="1"/>
        <v>4 ноября</v>
      </c>
      <c r="BN69" s="46" t="str">
        <f t="shared" si="1"/>
        <v>5 ноября</v>
      </c>
      <c r="BO69" s="46" t="str">
        <f t="shared" si="1"/>
        <v>6 ноября</v>
      </c>
      <c r="BP69" s="46" t="str">
        <f t="shared" si="1"/>
        <v>7 ноября</v>
      </c>
      <c r="BQ69" s="46" t="str">
        <f t="shared" si="1"/>
        <v>8 ноября</v>
      </c>
      <c r="BR69" s="46" t="str">
        <f t="shared" si="1"/>
        <v>9 ноября</v>
      </c>
      <c r="BS69" s="46" t="str">
        <f t="shared" si="1"/>
        <v>10 ноября</v>
      </c>
      <c r="BT69" s="46" t="str">
        <f t="shared" si="1"/>
        <v>11 ноября</v>
      </c>
      <c r="BU69" s="46" t="str">
        <f t="shared" si="1"/>
        <v>12 ноября</v>
      </c>
      <c r="BV69" s="46" t="str">
        <f t="shared" si="1"/>
        <v>13 ноября</v>
      </c>
      <c r="BW69" s="46" t="str">
        <f t="shared" si="1"/>
        <v>14 ноября</v>
      </c>
      <c r="BX69" s="46" t="str">
        <f t="shared" si="1"/>
        <v>15 ноября</v>
      </c>
      <c r="BY69" s="46" t="str">
        <f t="shared" si="1"/>
        <v>16 ноября</v>
      </c>
      <c r="BZ69" s="46" t="str">
        <f t="shared" si="1"/>
        <v>17 ноября</v>
      </c>
      <c r="CA69" s="46" t="str">
        <f t="shared" si="1"/>
        <v>18 ноября</v>
      </c>
      <c r="CB69" s="46" t="str">
        <f t="shared" si="1"/>
        <v>19 ноября</v>
      </c>
      <c r="CC69" s="46" t="str">
        <f t="shared" si="1"/>
        <v>20 ноября</v>
      </c>
      <c r="CD69" s="46" t="str">
        <f t="shared" si="1"/>
        <v>21 ноября</v>
      </c>
      <c r="CE69" s="46" t="str">
        <f t="shared" si="1"/>
        <v>22 ноября</v>
      </c>
      <c r="CF69" s="46" t="str">
        <f t="shared" si="1"/>
        <v>23 ноября</v>
      </c>
      <c r="CG69" s="46" t="str">
        <f t="shared" si="1"/>
        <v>24 ноября</v>
      </c>
      <c r="CH69" s="46" t="str">
        <f t="shared" si="1"/>
        <v>25 ноября</v>
      </c>
      <c r="CI69" s="46" t="str">
        <f t="shared" si="1"/>
        <v>26 ноября</v>
      </c>
      <c r="CJ69" s="46" t="str">
        <f t="shared" si="1"/>
        <v>27 ноября</v>
      </c>
      <c r="CK69" s="46" t="str">
        <f t="shared" si="1"/>
        <v>28 ноября</v>
      </c>
      <c r="CL69" s="46" t="str">
        <f t="shared" si="1"/>
        <v>29 ноября</v>
      </c>
      <c r="CM69" s="46" t="str">
        <f t="shared" si="1"/>
        <v>30 ноября</v>
      </c>
      <c r="CN69" s="46" t="str">
        <f t="shared" si="1"/>
        <v>1 декабря</v>
      </c>
      <c r="CO69" s="46" t="str">
        <f t="shared" si="1"/>
        <v>2 декабря</v>
      </c>
      <c r="CP69" s="46" t="str">
        <f t="shared" si="1"/>
        <v>3 декабря</v>
      </c>
      <c r="CQ69" s="46" t="str">
        <f t="shared" si="1"/>
        <v>4 декабря</v>
      </c>
      <c r="CR69" s="46" t="str">
        <f t="shared" si="1"/>
        <v>5 декабря</v>
      </c>
      <c r="CS69" s="46" t="str">
        <f t="shared" si="1"/>
        <v>6 декабря</v>
      </c>
      <c r="CT69" s="46" t="str">
        <f t="shared" si="1"/>
        <v>7 декабря</v>
      </c>
      <c r="CU69" s="46" t="str">
        <f t="shared" si="1"/>
        <v>8 декабря</v>
      </c>
      <c r="CV69" s="46" t="str">
        <f t="shared" si="1"/>
        <v>9 декабря</v>
      </c>
      <c r="CW69" s="46" t="str">
        <f t="shared" si="1"/>
        <v>10 декабря</v>
      </c>
      <c r="CX69" s="46" t="str">
        <f t="shared" si="1"/>
        <v>11 декабря</v>
      </c>
      <c r="CY69" s="46" t="str">
        <f t="shared" si="1"/>
        <v>12 декабря</v>
      </c>
      <c r="CZ69" s="46" t="str">
        <f t="shared" si="1"/>
        <v>13 декабря</v>
      </c>
      <c r="DA69" s="46" t="str">
        <f t="shared" si="1"/>
        <v>14 декабря</v>
      </c>
      <c r="DB69" s="46" t="str">
        <f t="shared" si="1"/>
        <v>15 декабря</v>
      </c>
      <c r="DC69" s="46" t="str">
        <f t="shared" si="1"/>
        <v>16 декабря</v>
      </c>
      <c r="DD69" s="46" t="str">
        <f t="shared" si="1"/>
        <v>17 декабря</v>
      </c>
      <c r="DE69" s="46" t="str">
        <f t="shared" si="1"/>
        <v>18 декабря</v>
      </c>
      <c r="DF69" s="46" t="str">
        <f t="shared" si="1"/>
        <v>19 декабря</v>
      </c>
      <c r="DG69" s="46" t="str">
        <f t="shared" si="1"/>
        <v>20 декабря</v>
      </c>
      <c r="DH69" s="46" t="str">
        <f t="shared" si="1"/>
        <v>21 декабря</v>
      </c>
      <c r="DI69" s="46" t="str">
        <f t="shared" si="1"/>
        <v>22 декабря</v>
      </c>
      <c r="DJ69" s="46" t="str">
        <f t="shared" si="1"/>
        <v>23 декабря</v>
      </c>
      <c r="DK69" s="46" t="str">
        <f t="shared" si="1"/>
        <v>24 декабря</v>
      </c>
      <c r="DL69" s="46" t="str">
        <f t="shared" si="1"/>
        <v>25 декабря</v>
      </c>
      <c r="DM69" s="46" t="str">
        <f t="shared" si="1"/>
        <v>26 декабря</v>
      </c>
      <c r="DN69" s="46" t="str">
        <f t="shared" si="1"/>
        <v>27 декабря</v>
      </c>
      <c r="DO69" s="46" t="str">
        <f t="shared" si="1"/>
        <v>28 декабря</v>
      </c>
      <c r="DP69" s="46" t="str">
        <f t="shared" si="1"/>
        <v>29 декабря</v>
      </c>
      <c r="DQ69" s="46" t="str">
        <f t="shared" si="1"/>
        <v>30 декабря</v>
      </c>
      <c r="DR69" s="46" t="str">
        <f t="shared" si="1"/>
        <v>31 декабря</v>
      </c>
      <c r="DS69" s="46" t="str">
        <f t="shared" si="1"/>
        <v>1 января</v>
      </c>
      <c r="DT69" s="46" t="str">
        <f t="shared" si="1"/>
        <v>2 января</v>
      </c>
      <c r="DU69" s="46" t="str">
        <f t="shared" si="1"/>
        <v>3 января</v>
      </c>
      <c r="DV69" s="46" t="str">
        <f t="shared" si="1"/>
        <v>4 января</v>
      </c>
      <c r="DW69" s="46" t="str">
        <f t="shared" si="1"/>
        <v>5 января</v>
      </c>
      <c r="DX69" s="46" t="str">
        <f t="shared" si="1"/>
        <v>6 января</v>
      </c>
      <c r="DY69" s="46" t="str">
        <f t="shared" si="1"/>
        <v>7 января</v>
      </c>
      <c r="DZ69" s="46" t="str">
        <f t="shared" si="1"/>
        <v>8 января</v>
      </c>
      <c r="EA69" s="46" t="str">
        <f t="shared" si="1"/>
        <v>9 января</v>
      </c>
      <c r="EB69" s="46" t="str">
        <f t="shared" si="1"/>
        <v>10 января</v>
      </c>
      <c r="EC69" s="46" t="str">
        <f t="shared" si="1"/>
        <v>11 января</v>
      </c>
      <c r="ED69" s="46" t="str">
        <f t="shared" si="1"/>
        <v>12 января</v>
      </c>
      <c r="EE69" s="46" t="str">
        <f t="shared" si="1"/>
        <v>13 января</v>
      </c>
      <c r="EF69" s="46" t="str">
        <f t="shared" si="1"/>
        <v>14 января</v>
      </c>
      <c r="EG69" s="46" t="str">
        <f t="shared" si="1"/>
        <v>15 января</v>
      </c>
      <c r="EH69" s="46" t="str">
        <f t="shared" si="1"/>
        <v>16 января</v>
      </c>
      <c r="EI69" s="46" t="str">
        <f t="shared" si="1"/>
        <v>17 января</v>
      </c>
      <c r="EJ69" s="46" t="str">
        <f t="shared" si="1"/>
        <v>18 января</v>
      </c>
      <c r="EK69" s="46" t="str">
        <f t="shared" si="1"/>
        <v>19 января</v>
      </c>
      <c r="EL69" s="46" t="str">
        <f t="shared" si="1"/>
        <v>20 января</v>
      </c>
      <c r="EM69" s="46" t="str">
        <f t="shared" si="1"/>
        <v>21 января</v>
      </c>
      <c r="EN69" s="46" t="str">
        <f t="shared" si="1"/>
        <v>22 января</v>
      </c>
      <c r="EO69" s="46" t="str">
        <f t="shared" si="1"/>
        <v>23 января</v>
      </c>
      <c r="EP69" s="46" t="str">
        <f t="shared" si="1"/>
        <v>24 января</v>
      </c>
      <c r="EQ69" s="46" t="str">
        <f t="shared" si="1"/>
        <v>25 января</v>
      </c>
      <c r="ER69" s="46" t="str">
        <f t="shared" si="1"/>
        <v>26 января</v>
      </c>
      <c r="ES69" s="46" t="str">
        <f t="shared" si="1"/>
        <v>27 января</v>
      </c>
      <c r="ET69" s="46" t="str">
        <f t="shared" si="1"/>
        <v>28 января</v>
      </c>
      <c r="EU69" s="46" t="str">
        <f t="shared" si="1"/>
        <v>29 января</v>
      </c>
      <c r="EV69" s="46" t="str">
        <f t="shared" si="1"/>
        <v>30 января</v>
      </c>
      <c r="EW69" s="46" t="str">
        <f t="shared" si="1"/>
        <v>31 января</v>
      </c>
      <c r="EX69" s="46" t="str">
        <f t="shared" si="1"/>
        <v>1 февраля</v>
      </c>
      <c r="EY69" s="46" t="str">
        <f t="shared" si="1"/>
        <v>2 февраля</v>
      </c>
      <c r="EZ69" s="46" t="str">
        <f t="shared" si="1"/>
        <v>3 февраля</v>
      </c>
      <c r="FA69" s="46" t="str">
        <f t="shared" si="1"/>
        <v>4 февраля</v>
      </c>
      <c r="FB69" s="46" t="str">
        <f t="shared" si="1"/>
        <v>5 февраля</v>
      </c>
      <c r="FC69" s="46" t="str">
        <f t="shared" si="1"/>
        <v>6 февраля</v>
      </c>
      <c r="FD69" s="46" t="str">
        <f t="shared" si="1"/>
        <v>7 февраля</v>
      </c>
      <c r="FE69" s="46" t="str">
        <f t="shared" si="1"/>
        <v>8 февраля</v>
      </c>
      <c r="FF69" s="46" t="str">
        <f t="shared" si="1"/>
        <v>9 февраля</v>
      </c>
      <c r="FG69" s="46" t="str">
        <f t="shared" si="1"/>
        <v>10 февраля</v>
      </c>
      <c r="FH69" s="46" t="str">
        <f t="shared" si="1"/>
        <v>11 февраля</v>
      </c>
      <c r="FI69" s="46" t="str">
        <f t="shared" si="1"/>
        <v>12 февраля</v>
      </c>
      <c r="FJ69" s="46" t="str">
        <f t="shared" si="1"/>
        <v>13 февраля</v>
      </c>
      <c r="FK69" s="46" t="str">
        <f t="shared" si="1"/>
        <v>14 февраля</v>
      </c>
      <c r="FL69" s="46" t="str">
        <f t="shared" si="1"/>
        <v>15 февраля</v>
      </c>
      <c r="FM69" s="46" t="str">
        <f t="shared" si="1"/>
        <v>16 февраля</v>
      </c>
      <c r="FN69" s="46" t="str">
        <f t="shared" si="1"/>
        <v>17 февраля</v>
      </c>
      <c r="FO69" s="46" t="str">
        <f t="shared" si="1"/>
        <v>18 февраля</v>
      </c>
      <c r="FP69" s="46" t="str">
        <f t="shared" si="1"/>
        <v>19 февраля</v>
      </c>
      <c r="FQ69" s="46" t="str">
        <f t="shared" si="1"/>
        <v>20 февраля</v>
      </c>
      <c r="FR69" s="46" t="str">
        <f t="shared" si="1"/>
        <v>21 февраля</v>
      </c>
      <c r="FS69" s="46" t="str">
        <f t="shared" si="1"/>
        <v>22 февраля</v>
      </c>
      <c r="FT69" s="46" t="str">
        <f t="shared" si="1"/>
        <v>23 февраля</v>
      </c>
      <c r="FU69" s="46" t="str">
        <f t="shared" si="1"/>
        <v>24 февраля</v>
      </c>
      <c r="FV69" s="46" t="str">
        <f t="shared" si="1"/>
        <v>25 февраля</v>
      </c>
      <c r="FW69" s="46" t="str">
        <f t="shared" si="1"/>
        <v>26 февраля</v>
      </c>
      <c r="FX69" s="46" t="str">
        <f t="shared" si="1"/>
        <v>27 февраля</v>
      </c>
      <c r="FY69" s="46" t="str">
        <f t="shared" si="1"/>
        <v>28 февраля</v>
      </c>
      <c r="FZ69" s="46" t="str">
        <f t="shared" si="1"/>
        <v>1 марта</v>
      </c>
      <c r="GA69" s="46" t="str">
        <f t="shared" si="1"/>
        <v>2 марта</v>
      </c>
      <c r="GB69" s="46" t="str">
        <f t="shared" si="1"/>
        <v>3 марта</v>
      </c>
      <c r="GC69" s="46" t="str">
        <f t="shared" si="1"/>
        <v>4 марта</v>
      </c>
      <c r="GD69" s="46" t="str">
        <f t="shared" si="1"/>
        <v>5 марта</v>
      </c>
      <c r="GE69" s="46" t="str">
        <f t="shared" si="1"/>
        <v>6 марта</v>
      </c>
      <c r="GF69" s="46" t="str">
        <f t="shared" si="1"/>
        <v>7 марта</v>
      </c>
      <c r="GG69" s="46" t="str">
        <f t="shared" si="1"/>
        <v>8 марта</v>
      </c>
      <c r="GH69" s="46" t="str">
        <f t="shared" si="1"/>
        <v>9 марта</v>
      </c>
      <c r="GI69" s="46" t="str">
        <f t="shared" si="1"/>
        <v>10 марта</v>
      </c>
      <c r="GJ69" s="46" t="str">
        <f t="shared" si="1"/>
        <v>11 марта</v>
      </c>
      <c r="GK69" s="46" t="str">
        <f t="shared" si="1"/>
        <v>12 марта</v>
      </c>
      <c r="GL69" s="46" t="str">
        <f t="shared" si="1"/>
        <v>13 марта</v>
      </c>
      <c r="GM69" s="46" t="str">
        <f t="shared" si="1"/>
        <v>14 марта</v>
      </c>
      <c r="GN69" s="46" t="str">
        <f t="shared" si="1"/>
        <v>15 марта</v>
      </c>
      <c r="GO69" s="46" t="str">
        <f t="shared" si="1"/>
        <v>16 марта</v>
      </c>
      <c r="GP69" s="46" t="str">
        <f t="shared" si="1"/>
        <v>17 марта</v>
      </c>
      <c r="GQ69" s="46" t="str">
        <f t="shared" si="1"/>
        <v>18 марта</v>
      </c>
      <c r="GR69" s="46" t="str">
        <f t="shared" si="1"/>
        <v>19 марта</v>
      </c>
      <c r="GS69" s="46" t="str">
        <f t="shared" si="1"/>
        <v>20 марта</v>
      </c>
      <c r="GT69" s="46" t="str">
        <f t="shared" si="1"/>
        <v>21 марта</v>
      </c>
      <c r="GU69" s="46" t="str">
        <f t="shared" si="1"/>
        <v>22 марта</v>
      </c>
      <c r="GV69" s="46" t="str">
        <f t="shared" si="1"/>
        <v>23 марта</v>
      </c>
      <c r="GW69" s="46" t="str">
        <f t="shared" si="1"/>
        <v>24 марта</v>
      </c>
      <c r="GX69" s="46" t="str">
        <f t="shared" si="1"/>
        <v>25 марта</v>
      </c>
      <c r="GY69" s="46" t="str">
        <f t="shared" si="1"/>
        <v>26 марта</v>
      </c>
      <c r="GZ69" s="46" t="str">
        <f t="shared" si="1"/>
        <v>27 марта</v>
      </c>
      <c r="HA69" s="46" t="str">
        <f t="shared" si="1"/>
        <v>28 марта</v>
      </c>
      <c r="HB69" s="46" t="str">
        <f t="shared" si="1"/>
        <v>29 марта</v>
      </c>
      <c r="HC69" s="46" t="str">
        <f t="shared" si="1"/>
        <v>30 марта</v>
      </c>
      <c r="HD69" s="46" t="str">
        <f t="shared" si="1"/>
        <v>31 марта</v>
      </c>
      <c r="HE69" s="46" t="str">
        <f t="shared" si="1"/>
        <v>1 апреля</v>
      </c>
      <c r="HF69" s="46" t="str">
        <f t="shared" si="1"/>
        <v>2 апреля</v>
      </c>
      <c r="HG69" s="46" t="str">
        <f t="shared" si="1"/>
        <v>3 апреля</v>
      </c>
      <c r="HH69" s="46" t="str">
        <f t="shared" si="1"/>
        <v>4 апреля</v>
      </c>
      <c r="HI69" s="46" t="str">
        <f t="shared" si="1"/>
        <v>5 апреля</v>
      </c>
      <c r="HJ69" s="46" t="str">
        <f t="shared" si="1"/>
        <v>6 апреля</v>
      </c>
      <c r="HK69" s="46" t="str">
        <f t="shared" si="1"/>
        <v>7 апреля</v>
      </c>
      <c r="HL69" s="46" t="str">
        <f t="shared" si="1"/>
        <v>8 апреля</v>
      </c>
      <c r="HM69" s="46" t="str">
        <f t="shared" si="1"/>
        <v>9 апреля</v>
      </c>
      <c r="HN69" s="46" t="str">
        <f t="shared" si="1"/>
        <v>10 апреля</v>
      </c>
      <c r="HO69" s="46" t="str">
        <f t="shared" si="1"/>
        <v>11 апреля</v>
      </c>
      <c r="HP69" s="46" t="str">
        <f t="shared" si="1"/>
        <v>12 апреля</v>
      </c>
      <c r="HQ69" s="46" t="str">
        <f t="shared" si="1"/>
        <v>13 апреля</v>
      </c>
      <c r="HR69" s="46" t="str">
        <f t="shared" si="1"/>
        <v>14 апреля</v>
      </c>
      <c r="HS69" s="46" t="str">
        <f t="shared" si="1"/>
        <v>15 апреля</v>
      </c>
      <c r="HT69" s="46" t="str">
        <f t="shared" si="1"/>
        <v>16 апреля</v>
      </c>
      <c r="HU69" s="46" t="str">
        <f t="shared" si="1"/>
        <v>17 апреля</v>
      </c>
      <c r="HV69" s="46" t="str">
        <f t="shared" si="1"/>
        <v>18 апреля</v>
      </c>
      <c r="HW69" s="46" t="str">
        <f t="shared" si="1"/>
        <v>19 апреля</v>
      </c>
      <c r="HX69" s="46" t="str">
        <f t="shared" si="1"/>
        <v>20 апреля</v>
      </c>
      <c r="HY69" s="46" t="str">
        <f t="shared" si="1"/>
        <v>21 апреля</v>
      </c>
      <c r="HZ69" s="46" t="str">
        <f t="shared" si="1"/>
        <v>22 апреля</v>
      </c>
      <c r="IA69" s="46" t="str">
        <f t="shared" si="1"/>
        <v>23 апреля</v>
      </c>
      <c r="IB69" s="46" t="str">
        <f t="shared" si="1"/>
        <v>24 апреля</v>
      </c>
      <c r="IC69" s="46" t="str">
        <f t="shared" si="1"/>
        <v>25 апреля</v>
      </c>
      <c r="ID69" s="46" t="str">
        <f t="shared" si="1"/>
        <v>26 апреля</v>
      </c>
      <c r="IE69" s="46" t="str">
        <f t="shared" si="1"/>
        <v>27 апреля</v>
      </c>
      <c r="IF69" s="46" t="str">
        <f t="shared" si="1"/>
        <v>28 апреля</v>
      </c>
      <c r="IG69" s="46" t="str">
        <f t="shared" si="1"/>
        <v>29 апреля</v>
      </c>
      <c r="IH69" s="46" t="str">
        <f t="shared" si="1"/>
        <v>30 апреля</v>
      </c>
      <c r="II69" s="46" t="str">
        <f t="shared" si="1"/>
        <v>1 мая</v>
      </c>
      <c r="IJ69" s="46" t="str">
        <f t="shared" si="1"/>
        <v>2 мая</v>
      </c>
      <c r="IK69" s="46" t="str">
        <f t="shared" si="1"/>
        <v>3 мая</v>
      </c>
      <c r="IL69" s="46" t="str">
        <f t="shared" si="1"/>
        <v>4 мая</v>
      </c>
      <c r="IM69" s="46" t="str">
        <f t="shared" si="1"/>
        <v>5 мая</v>
      </c>
      <c r="IN69" s="46" t="str">
        <f t="shared" si="1"/>
        <v>6 мая</v>
      </c>
      <c r="IO69" s="46" t="str">
        <f t="shared" si="1"/>
        <v>7 мая</v>
      </c>
      <c r="IP69" s="46" t="str">
        <f t="shared" si="1"/>
        <v>8 мая</v>
      </c>
      <c r="IQ69" s="46" t="str">
        <f t="shared" si="1"/>
        <v>9 мая</v>
      </c>
      <c r="IR69" s="46" t="str">
        <f t="shared" si="1"/>
        <v>10 мая</v>
      </c>
      <c r="IS69" s="46" t="str">
        <f t="shared" si="1"/>
        <v>11 мая</v>
      </c>
      <c r="IT69" s="46" t="str">
        <f t="shared" si="1"/>
        <v>12 мая</v>
      </c>
      <c r="IU69" s="46" t="str">
        <f t="shared" si="1"/>
        <v>13 мая</v>
      </c>
      <c r="IV69" s="46" t="str">
        <f t="shared" si="1"/>
        <v>14 мая</v>
      </c>
      <c r="IW69" s="46" t="str">
        <f t="shared" si="1"/>
        <v>15 мая</v>
      </c>
      <c r="IX69" s="46" t="str">
        <f t="shared" si="1"/>
        <v>16 мая</v>
      </c>
      <c r="IY69" s="46" t="str">
        <f t="shared" si="1"/>
        <v>17 мая</v>
      </c>
      <c r="IZ69" s="46" t="str">
        <f t="shared" si="1"/>
        <v>18 мая</v>
      </c>
      <c r="JA69" s="46" t="str">
        <f t="shared" si="1"/>
        <v>19 мая</v>
      </c>
      <c r="JB69" s="46" t="str">
        <f t="shared" si="1"/>
        <v>20 мая</v>
      </c>
      <c r="JC69" s="46" t="str">
        <f t="shared" si="1"/>
        <v>21 мая</v>
      </c>
      <c r="JD69" s="46" t="str">
        <f t="shared" si="1"/>
        <v>22 мая</v>
      </c>
      <c r="JE69" s="46" t="str">
        <f t="shared" si="1"/>
        <v>23 мая</v>
      </c>
    </row>
    <row r="70">
      <c r="A70" s="47" t="str">
        <f>IFERROR(__xludf.DUMMYFUNCTION("FILTER(A3:A67,A3:A67&gt;0)"),"Русский язык")</f>
        <v>Русский язык</v>
      </c>
      <c r="B70" s="48" t="str">
        <f>IFERROR(__xludf.DUMMYFUNCTION("IFERROR(TEXTJOIN(""/"",1,FILTER($B$3:$IV$3,$B$2:$IV$2=B$97)),"" "")"),"")</f>
        <v/>
      </c>
      <c r="C70" s="48" t="str">
        <f>IFERROR(__xludf.DUMMYFUNCTION("IFERROR(TEXTJOIN(""/"",1,FILTER($B$3:$IV$3,$B$2:$IV$2=C$97)),"" "")")," ")</f>
        <v> </v>
      </c>
      <c r="D70" s="48" t="str">
        <f>IFERROR(__xludf.DUMMYFUNCTION("IFERROR(TEXTJOIN(""/"",1,FILTER($B$3:$IV$3,$B$2:$IV$2=D$97)),"" "")"),"5")</f>
        <v>5</v>
      </c>
      <c r="E70" s="48" t="str">
        <f>IFERROR(__xludf.DUMMYFUNCTION("IFERROR(TEXTJOIN(""/"",1,FILTER($B$3:$IV$3,$B$2:$IV$2=E$97)),"" "")")," ")</f>
        <v> </v>
      </c>
      <c r="F70" s="48" t="str">
        <f>IFERROR(__xludf.DUMMYFUNCTION("IFERROR(TEXTJOIN(""/"",1,FILTER($B$3:$IV$3,$B$2:$IV$2=F$97)),"" "")")," ")</f>
        <v> </v>
      </c>
      <c r="G70" s="48" t="str">
        <f>IFERROR(__xludf.DUMMYFUNCTION("IFERROR(TEXTJOIN(""/"",1,FILTER($B$3:$IV$3,$B$2:$IV$2=G$97)),"" "")")," ")</f>
        <v> </v>
      </c>
      <c r="H70" s="48" t="str">
        <f>IFERROR(__xludf.DUMMYFUNCTION("IFERROR(TEXTJOIN(""/"",1,FILTER($B$3:$IV$3,$B$2:$IV$2=H$97)),"" "")")," ")</f>
        <v> </v>
      </c>
      <c r="I70" s="48" t="str">
        <f>IFERROR(__xludf.DUMMYFUNCTION("IFERROR(TEXTJOIN(""/"",1,FILTER($B$3:$IV$3,$B$2:$IV$2=I$97)),"" "")"),"")</f>
        <v/>
      </c>
      <c r="J70" s="48" t="str">
        <f>IFERROR(__xludf.DUMMYFUNCTION("IFERROR(TEXTJOIN(""/"",1,FILTER($B$3:$IV$3,$B$2:$IV$2=J$97)),"" "")")," ")</f>
        <v> </v>
      </c>
      <c r="K70" s="48" t="str">
        <f>IFERROR(__xludf.DUMMYFUNCTION("IFERROR(TEXTJOIN(""/"",1,FILTER($B$3:$IV$3,$B$2:$IV$2=K$97)),"" "")"),"")</f>
        <v/>
      </c>
      <c r="L70" s="48" t="str">
        <f>IFERROR(__xludf.DUMMYFUNCTION("IFERROR(TEXTJOIN(""/"",1,FILTER($B$3:$IV$3,$B$2:$IV$2=L$97)),"" "")")," ")</f>
        <v> </v>
      </c>
      <c r="M70" s="48" t="str">
        <f>IFERROR(__xludf.DUMMYFUNCTION("IFERROR(TEXTJOIN(""/"",1,FILTER($B$3:$IV$3,$B$2:$IV$2=M$97)),"" "")")," ")</f>
        <v> </v>
      </c>
      <c r="N70" s="48" t="str">
        <f>IFERROR(__xludf.DUMMYFUNCTION("IFERROR(TEXTJOIN(""/"",1,FILTER($B$3:$IV$3,$B$2:$IV$2=N$97)),"" "")")," ")</f>
        <v> </v>
      </c>
      <c r="O70" s="48" t="str">
        <f>IFERROR(__xludf.DUMMYFUNCTION("IFERROR(TEXTJOIN(""/"",1,FILTER($B$3:$IV$3,$B$2:$IV$2=O$97)),"" "")")," ")</f>
        <v> </v>
      </c>
      <c r="P70" s="48" t="str">
        <f>IFERROR(__xludf.DUMMYFUNCTION("IFERROR(TEXTJOIN(""/"",1,FILTER($B$3:$IV$3,$B$2:$IV$2=P$97)),"" "")")," ")</f>
        <v> </v>
      </c>
      <c r="Q70" s="48" t="str">
        <f>IFERROR(__xludf.DUMMYFUNCTION("IFERROR(TEXTJOIN(""/"",1,FILTER($B$3:$IV$3,$B$2:$IV$2=Q$97)),"" "")")," ")</f>
        <v> </v>
      </c>
      <c r="R70" s="48" t="str">
        <f>IFERROR(__xludf.DUMMYFUNCTION("IFERROR(TEXTJOIN(""/"",1,FILTER($B$3:$IV$3,$B$2:$IV$2=R$97)),"" "")")," ")</f>
        <v> </v>
      </c>
      <c r="S70" s="48" t="str">
        <f>IFERROR(__xludf.DUMMYFUNCTION("IFERROR(TEXTJOIN(""/"",1,FILTER($B$3:$IV$3,$B$2:$IV$2=S$97)),"" "")")," ")</f>
        <v> </v>
      </c>
      <c r="T70" s="48" t="str">
        <f>IFERROR(__xludf.DUMMYFUNCTION("IFERROR(TEXTJOIN(""/"",1,FILTER($B$3:$IV$3,$B$2:$IV$2=T$97)),"" "")")," ")</f>
        <v> </v>
      </c>
      <c r="U70" s="48" t="str">
        <f>IFERROR(__xludf.DUMMYFUNCTION("IFERROR(TEXTJOIN(""/"",1,FILTER($B$3:$IV$3,$B$2:$IV$2=U$97)),"" "")")," ")</f>
        <v> </v>
      </c>
      <c r="V70" s="48" t="str">
        <f>IFERROR(__xludf.DUMMYFUNCTION("IFERROR(TEXTJOIN(""/"",1,FILTER($B$3:$IV$3,$B$2:$IV$2=V$97)),"" "")")," ")</f>
        <v> </v>
      </c>
      <c r="W70" s="48" t="str">
        <f>IFERROR(__xludf.DUMMYFUNCTION("IFERROR(TEXTJOIN(""/"",1,FILTER($B$3:$IV$3,$B$2:$IV$2=W$97)),"" "")"),"3")</f>
        <v>3</v>
      </c>
      <c r="X70" s="48" t="str">
        <f>IFERROR(__xludf.DUMMYFUNCTION("IFERROR(TEXTJOIN(""/"",1,FILTER($B$3:$IV$3,$B$2:$IV$2=X$97)),"" "")")," ")</f>
        <v> </v>
      </c>
      <c r="Y70" s="48" t="str">
        <f>IFERROR(__xludf.DUMMYFUNCTION("IFERROR(TEXTJOIN(""/"",1,FILTER($B$3:$IV$3,$B$2:$IV$2=Y$97)),"" "")")," ")</f>
        <v> </v>
      </c>
      <c r="Z70" s="48" t="str">
        <f>IFERROR(__xludf.DUMMYFUNCTION("IFERROR(TEXTJOIN(""/"",1,FILTER($B$3:$IV$3,$B$2:$IV$2=Z$97)),"" "")")," ")</f>
        <v> </v>
      </c>
      <c r="AA70" s="48" t="str">
        <f>IFERROR(__xludf.DUMMYFUNCTION("IFERROR(TEXTJOIN(""/"",1,FILTER($B$3:$IV$3,$B$2:$IV$2=AA$97)),"" "")")," ")</f>
        <v> </v>
      </c>
      <c r="AB70" s="48" t="str">
        <f>IFERROR(__xludf.DUMMYFUNCTION("IFERROR(TEXTJOIN(""/"",1,FILTER($B$3:$IV$3,$B$2:$IV$2=AB$97)),"" "")")," ")</f>
        <v> </v>
      </c>
      <c r="AC70" s="48" t="str">
        <f>IFERROR(__xludf.DUMMYFUNCTION("IFERROR(TEXTJOIN(""/"",1,FILTER($B$3:$IV$3,$B$2:$IV$2=AC$97)),"" "")")," ")</f>
        <v> </v>
      </c>
      <c r="AD70" s="48" t="str">
        <f>IFERROR(__xludf.DUMMYFUNCTION("IFERROR(TEXTJOIN(""/"",1,FILTER($B$3:$IV$3,$B$2:$IV$2=AD$97)),"" "")")," ")</f>
        <v> </v>
      </c>
      <c r="AE70" s="48" t="str">
        <f>IFERROR(__xludf.DUMMYFUNCTION("IFERROR(TEXTJOIN(""/"",1,FILTER($B$3:$IV$3,$B$2:$IV$2=AE$97)),"" "")")," ")</f>
        <v> </v>
      </c>
      <c r="AF70" s="48" t="str">
        <f>IFERROR(__xludf.DUMMYFUNCTION("IFERROR(TEXTJOIN(""/"",1,FILTER($B$3:$IV$3,$B$2:$IV$2=AF$97)),"" "")")," ")</f>
        <v> </v>
      </c>
      <c r="AG70" s="48" t="str">
        <f>IFERROR(__xludf.DUMMYFUNCTION("IFERROR(TEXTJOIN(""/"",1,FILTER($B$3:$IV$3,$B$2:$IV$2=AG$97)),"" "")")," ")</f>
        <v> </v>
      </c>
      <c r="AH70" s="48" t="str">
        <f>IFERROR(__xludf.DUMMYFUNCTION("IFERROR(TEXTJOIN(""/"",1,FILTER($B$3:$IV$3,$B$2:$IV$2=AH$97)),"" "")")," ")</f>
        <v> </v>
      </c>
      <c r="AI70" s="48" t="str">
        <f>IFERROR(__xludf.DUMMYFUNCTION("IFERROR(TEXTJOIN(""/"",1,FILTER($B$3:$IV$3,$B$2:$IV$2=AI$97)),"" "")")," ")</f>
        <v> </v>
      </c>
      <c r="AJ70" s="48" t="str">
        <f>IFERROR(__xludf.DUMMYFUNCTION("IFERROR(TEXTJOIN(""/"",1,FILTER($B$3:$IV$3,$B$2:$IV$2=AJ$97)),"" "")")," ")</f>
        <v> </v>
      </c>
      <c r="AK70" s="48" t="str">
        <f>IFERROR(__xludf.DUMMYFUNCTION("IFERROR(TEXTJOIN(""/"",1,FILTER($B$3:$IV$3,$B$2:$IV$2=AK$97)),"" "")"),"")</f>
        <v/>
      </c>
      <c r="AL70" s="48" t="str">
        <f>IFERROR(__xludf.DUMMYFUNCTION("IFERROR(TEXTJOIN(""/"",1,FILTER($B$3:$IV$3,$B$2:$IV$2=AL$97)),"" "")")," ")</f>
        <v> </v>
      </c>
      <c r="AM70" s="48" t="str">
        <f>IFERROR(__xludf.DUMMYFUNCTION("IFERROR(TEXTJOIN(""/"",1,FILTER($B$3:$IV$3,$B$2:$IV$2=AM$97)),"" "")"),"")</f>
        <v/>
      </c>
      <c r="AN70" s="48" t="str">
        <f>IFERROR(__xludf.DUMMYFUNCTION("IFERROR(TEXTJOIN(""/"",1,FILTER($B$3:$IV$3,$B$2:$IV$2=AN$97)),"" "")")," ")</f>
        <v> </v>
      </c>
      <c r="AO70" s="48" t="str">
        <f>IFERROR(__xludf.DUMMYFUNCTION("IFERROR(TEXTJOIN(""/"",1,FILTER($B$3:$IV$3,$B$2:$IV$2=AO$97)),"" "")")," ")</f>
        <v> </v>
      </c>
      <c r="AP70" s="48" t="str">
        <f>IFERROR(__xludf.DUMMYFUNCTION("IFERROR(TEXTJOIN(""/"",1,FILTER($B$3:$IV$3,$B$2:$IV$2=AP$97)),"" "")")," ")</f>
        <v> </v>
      </c>
      <c r="AQ70" s="48" t="str">
        <f>IFERROR(__xludf.DUMMYFUNCTION("IFERROR(TEXTJOIN(""/"",1,FILTER($B$3:$IV$3,$B$2:$IV$2=AQ$97)),"" "")")," ")</f>
        <v> </v>
      </c>
      <c r="AR70" s="48" t="str">
        <f>IFERROR(__xludf.DUMMYFUNCTION("IFERROR(TEXTJOIN(""/"",1,FILTER($B$3:$IV$3,$B$2:$IV$2=AR$97)),"" "")")," ")</f>
        <v> </v>
      </c>
      <c r="AS70" s="48" t="str">
        <f>IFERROR(__xludf.DUMMYFUNCTION("IFERROR(TEXTJOIN(""/"",1,FILTER($B$3:$IV$3,$B$2:$IV$2=AS$97)),"" "")")," ")</f>
        <v> </v>
      </c>
      <c r="AT70" s="48" t="str">
        <f>IFERROR(__xludf.DUMMYFUNCTION("IFERROR(TEXTJOIN(""/"",1,FILTER($B$3:$IV$3,$B$2:$IV$2=AT$97)),"" "")")," ")</f>
        <v> </v>
      </c>
      <c r="AU70" s="48" t="str">
        <f>IFERROR(__xludf.DUMMYFUNCTION("IFERROR(TEXTJOIN(""/"",1,FILTER($B$3:$IV$3,$B$2:$IV$2=AU$97)),"" "")")," ")</f>
        <v> </v>
      </c>
      <c r="AV70" s="48" t="str">
        <f>IFERROR(__xludf.DUMMYFUNCTION("IFERROR(TEXTJOIN(""/"",1,FILTER($B$3:$IV$3,$B$2:$IV$2=AV$97)),"" "")")," ")</f>
        <v> </v>
      </c>
      <c r="AW70" s="48" t="str">
        <f>IFERROR(__xludf.DUMMYFUNCTION("IFERROR(TEXTJOIN(""/"",1,FILTER($B$3:$IV$3,$B$2:$IV$2=AW$97)),"" "")")," ")</f>
        <v> </v>
      </c>
      <c r="AX70" s="48" t="str">
        <f>IFERROR(__xludf.DUMMYFUNCTION("IFERROR(TEXTJOIN(""/"",1,FILTER($B$3:$IV$3,$B$2:$IV$2=AX$97)),"" "")")," ")</f>
        <v> </v>
      </c>
      <c r="AY70" s="48" t="str">
        <f>IFERROR(__xludf.DUMMYFUNCTION("IFERROR(TEXTJOIN(""/"",1,FILTER($B$3:$IV$3,$B$2:$IV$2=AY$97)),"" "")"),"2")</f>
        <v>2</v>
      </c>
      <c r="AZ70" s="48" t="str">
        <f>IFERROR(__xludf.DUMMYFUNCTION("IFERROR(TEXTJOIN(""/"",1,FILTER($B$3:$IV$3,$B$2:$IV$2=AZ$97)),"" "")")," ")</f>
        <v> </v>
      </c>
      <c r="BA70" s="48" t="str">
        <f>IFERROR(__xludf.DUMMYFUNCTION("IFERROR(TEXTJOIN(""/"",1,FILTER($B$3:$IV$3,$B$2:$IV$2=BA$97)),"" "")"),"")</f>
        <v/>
      </c>
      <c r="BB70" s="48" t="str">
        <f>IFERROR(__xludf.DUMMYFUNCTION("IFERROR(TEXTJOIN(""/"",1,FILTER($B$3:$IV$3,$B$2:$IV$2=BB$97)),"" "")")," ")</f>
        <v> </v>
      </c>
      <c r="BC70" s="48" t="str">
        <f>IFERROR(__xludf.DUMMYFUNCTION("IFERROR(TEXTJOIN(""/"",1,FILTER($B$3:$IV$3,$B$2:$IV$2=BC$97)),"" "")")," ")</f>
        <v> </v>
      </c>
      <c r="BD70" s="48" t="str">
        <f>IFERROR(__xludf.DUMMYFUNCTION("IFERROR(TEXTJOIN(""/"",1,FILTER($B$3:$IV$3,$B$2:$IV$2=BD$97)),"" "")")," ")</f>
        <v> </v>
      </c>
      <c r="BE70" s="48" t="str">
        <f>IFERROR(__xludf.DUMMYFUNCTION("IFERROR(TEXTJOIN(""/"",1,FILTER($B$3:$IV$3,$B$2:$IV$2=BE$97)),"" "")")," ")</f>
        <v> </v>
      </c>
      <c r="BF70" s="48" t="str">
        <f>IFERROR(__xludf.DUMMYFUNCTION("IFERROR(TEXTJOIN(""/"",1,FILTER($B$3:$IV$3,$B$2:$IV$2=BF$97)),"" "")"),"5")</f>
        <v>5</v>
      </c>
      <c r="BG70" s="48" t="str">
        <f>IFERROR(__xludf.DUMMYFUNCTION("IFERROR(TEXTJOIN(""/"",1,FILTER($B$3:$IV$3,$B$2:$IV$2=BG$97)),"" "")")," ")</f>
        <v> </v>
      </c>
      <c r="BH70" s="48" t="str">
        <f>IFERROR(__xludf.DUMMYFUNCTION("IFERROR(TEXTJOIN(""/"",1,FILTER($B$3:$IV$3,$B$2:$IV$2=BH$97)),"" "")"),"")</f>
        <v/>
      </c>
      <c r="BI70" s="48" t="str">
        <f>IFERROR(__xludf.DUMMYFUNCTION("IFERROR(TEXTJOIN(""/"",1,FILTER($B$3:$IV$3,$B$2:$IV$2=BI$97)),"" "")")," ")</f>
        <v> </v>
      </c>
      <c r="BJ70" s="48" t="str">
        <f>IFERROR(__xludf.DUMMYFUNCTION("IFERROR(TEXTJOIN(""/"",1,FILTER($B$3:$IV$3,$B$2:$IV$2=BJ$97)),"" "")")," ")</f>
        <v> </v>
      </c>
      <c r="BK70" s="48" t="str">
        <f>IFERROR(__xludf.DUMMYFUNCTION("IFERROR(TEXTJOIN(""/"",1,FILTER($B$3:$IV$3,$B$2:$IV$2=BK$97)),"" "")")," ")</f>
        <v> </v>
      </c>
      <c r="BL70" s="48" t="str">
        <f>IFERROR(__xludf.DUMMYFUNCTION("IFERROR(TEXTJOIN(""/"",1,FILTER($B$3:$IV$3,$B$2:$IV$2=BL$97)),"" "")")," ")</f>
        <v> </v>
      </c>
      <c r="BM70" s="48" t="str">
        <f>IFERROR(__xludf.DUMMYFUNCTION("IFERROR(TEXTJOIN(""/"",1,FILTER($B$3:$IV$3,$B$2:$IV$2=BM$97)),"" "")")," ")</f>
        <v> </v>
      </c>
      <c r="BN70" s="48" t="str">
        <f>IFERROR(__xludf.DUMMYFUNCTION("IFERROR(TEXTJOIN(""/"",1,FILTER($B$3:$IV$3,$B$2:$IV$2=BN$97)),"" "")")," ")</f>
        <v> </v>
      </c>
      <c r="BO70" s="48" t="str">
        <f>IFERROR(__xludf.DUMMYFUNCTION("IFERROR(TEXTJOIN(""/"",1,FILTER($B$3:$IV$3,$B$2:$IV$2=BO$97)),"" "")")," ")</f>
        <v> </v>
      </c>
      <c r="BP70" s="48" t="str">
        <f>IFERROR(__xludf.DUMMYFUNCTION("IFERROR(TEXTJOIN(""/"",1,FILTER($B$3:$IV$3,$B$2:$IV$2=BP$97)),"" "")")," ")</f>
        <v> </v>
      </c>
      <c r="BQ70" s="48" t="str">
        <f>IFERROR(__xludf.DUMMYFUNCTION("IFERROR(TEXTJOIN(""/"",1,FILTER($B$3:$IV$3,$B$2:$IV$2=BQ$97)),"" "")")," ")</f>
        <v> </v>
      </c>
      <c r="BR70" s="48" t="str">
        <f>IFERROR(__xludf.DUMMYFUNCTION("IFERROR(TEXTJOIN(""/"",1,FILTER($B$3:$IV$3,$B$2:$IV$2=BR$97)),"" "")")," ")</f>
        <v> </v>
      </c>
      <c r="BS70" s="48" t="str">
        <f>IFERROR(__xludf.DUMMYFUNCTION("IFERROR(TEXTJOIN(""/"",1,FILTER($B$3:$IV$3,$B$2:$IV$2=BS$97)),"" "")")," ")</f>
        <v> </v>
      </c>
      <c r="BT70" s="48" t="str">
        <f>IFERROR(__xludf.DUMMYFUNCTION("IFERROR(TEXTJOIN(""/"",1,FILTER($B$3:$IV$3,$B$2:$IV$2=BT$97)),"" "")"),"")</f>
        <v/>
      </c>
      <c r="BU70" s="48" t="str">
        <f>IFERROR(__xludf.DUMMYFUNCTION("IFERROR(TEXTJOIN(""/"",1,FILTER($B$3:$IV$3,$B$2:$IV$2=BU$97)),"" "")")," ")</f>
        <v> </v>
      </c>
      <c r="BV70" s="48" t="str">
        <f>IFERROR(__xludf.DUMMYFUNCTION("IFERROR(TEXTJOIN(""/"",1,FILTER($B$3:$IV$3,$B$2:$IV$2=BV$97)),"" "")")," ")</f>
        <v> </v>
      </c>
      <c r="BW70" s="48" t="str">
        <f>IFERROR(__xludf.DUMMYFUNCTION("IFERROR(TEXTJOIN(""/"",1,FILTER($B$3:$IV$3,$B$2:$IV$2=BW$97)),"" "")"),"5")</f>
        <v>5</v>
      </c>
      <c r="BX70" s="48" t="str">
        <f>IFERROR(__xludf.DUMMYFUNCTION("IFERROR(TEXTJOIN(""/"",1,FILTER($B$3:$IV$3,$B$2:$IV$2=BX$97)),"" "")")," ")</f>
        <v> </v>
      </c>
      <c r="BY70" s="48" t="str">
        <f>IFERROR(__xludf.DUMMYFUNCTION("IFERROR(TEXTJOIN(""/"",1,FILTER($B$3:$IV$3,$B$2:$IV$2=BY$97)),"" "")")," ")</f>
        <v> </v>
      </c>
      <c r="BZ70" s="48" t="str">
        <f>IFERROR(__xludf.DUMMYFUNCTION("IFERROR(TEXTJOIN(""/"",1,FILTER($B$3:$IV$3,$B$2:$IV$2=BZ$97)),"" "")")," ")</f>
        <v> </v>
      </c>
      <c r="CA70" s="48" t="str">
        <f>IFERROR(__xludf.DUMMYFUNCTION("IFERROR(TEXTJOIN(""/"",1,FILTER($B$3:$IV$3,$B$2:$IV$2=CA$97)),"" "")"),"")</f>
        <v/>
      </c>
      <c r="CB70" s="48" t="str">
        <f>IFERROR(__xludf.DUMMYFUNCTION("IFERROR(TEXTJOIN(""/"",1,FILTER($B$3:$IV$3,$B$2:$IV$2=CB$97)),"" "")")," ")</f>
        <v> </v>
      </c>
      <c r="CC70" s="48" t="str">
        <f>IFERROR(__xludf.DUMMYFUNCTION("IFERROR(TEXTJOIN(""/"",1,FILTER($B$3:$IV$3,$B$2:$IV$2=CC$97)),"" "")"),"")</f>
        <v/>
      </c>
      <c r="CD70" s="48" t="str">
        <f>IFERROR(__xludf.DUMMYFUNCTION("IFERROR(TEXTJOIN(""/"",1,FILTER($B$3:$IV$3,$B$2:$IV$2=CD$97)),"" "")")," ")</f>
        <v> </v>
      </c>
      <c r="CE70" s="48" t="str">
        <f>IFERROR(__xludf.DUMMYFUNCTION("IFERROR(TEXTJOIN(""/"",1,FILTER($B$3:$IV$3,$B$2:$IV$2=CE$97)),"" "")")," ")</f>
        <v> </v>
      </c>
      <c r="CF70" s="48" t="str">
        <f>IFERROR(__xludf.DUMMYFUNCTION("IFERROR(TEXTJOIN(""/"",1,FILTER($B$3:$IV$3,$B$2:$IV$2=CF$97)),"" "")")," ")</f>
        <v> </v>
      </c>
      <c r="CG70" s="48" t="str">
        <f>IFERROR(__xludf.DUMMYFUNCTION("IFERROR(TEXTJOIN(""/"",1,FILTER($B$3:$IV$3,$B$2:$IV$2=CG$97)),"" "")")," ")</f>
        <v> </v>
      </c>
      <c r="CH70" s="48" t="str">
        <f>IFERROR(__xludf.DUMMYFUNCTION("IFERROR(TEXTJOIN(""/"",1,FILTER($B$3:$IV$3,$B$2:$IV$2=CH$97)),"" "")"),"4")</f>
        <v>4</v>
      </c>
      <c r="CI70" s="48" t="str">
        <f>IFERROR(__xludf.DUMMYFUNCTION("IFERROR(TEXTJOIN(""/"",1,FILTER($B$3:$IV$3,$B$2:$IV$2=CI$97)),"" "")")," ")</f>
        <v> </v>
      </c>
      <c r="CJ70" s="48" t="str">
        <f>IFERROR(__xludf.DUMMYFUNCTION("IFERROR(TEXTJOIN(""/"",1,FILTER($B$3:$IV$3,$B$2:$IV$2=CJ$97)),"" "")")," ")</f>
        <v> </v>
      </c>
      <c r="CK70" s="48" t="str">
        <f>IFERROR(__xludf.DUMMYFUNCTION("IFERROR(TEXTJOIN(""/"",1,FILTER($B$3:$IV$3,$B$2:$IV$2=CK$97)),"" "")")," ")</f>
        <v> </v>
      </c>
      <c r="CL70" s="48" t="str">
        <f>IFERROR(__xludf.DUMMYFUNCTION("IFERROR(TEXTJOIN(""/"",1,FILTER($B$3:$IV$3,$B$2:$IV$2=CL$97)),"" "")")," ")</f>
        <v> </v>
      </c>
      <c r="CM70" s="48" t="str">
        <f>IFERROR(__xludf.DUMMYFUNCTION("IFERROR(TEXTJOIN(""/"",1,FILTER($B$3:$IV$3,$B$2:$IV$2=CM$97)),"" "")")," ")</f>
        <v> </v>
      </c>
      <c r="CN70" s="48" t="str">
        <f>IFERROR(__xludf.DUMMYFUNCTION("IFERROR(TEXTJOIN(""/"",1,FILTER($B$3:$IV$3,$B$2:$IV$2=CN$97)),"" "")")," ")</f>
        <v> </v>
      </c>
      <c r="CO70" s="48" t="str">
        <f>IFERROR(__xludf.DUMMYFUNCTION("IFERROR(TEXTJOIN(""/"",1,FILTER($B$3:$IV$3,$B$2:$IV$2=CO$97)),"" "")"),"")</f>
        <v/>
      </c>
      <c r="CP70" s="48" t="str">
        <f>IFERROR(__xludf.DUMMYFUNCTION("IFERROR(TEXTJOIN(""/"",1,FILTER($B$3:$IV$3,$B$2:$IV$2=CP$97)),"" "")")," ")</f>
        <v> </v>
      </c>
      <c r="CQ70" s="48" t="str">
        <f>IFERROR(__xludf.DUMMYFUNCTION("IFERROR(TEXTJOIN(""/"",1,FILTER($B$3:$IV$3,$B$2:$IV$2=CQ$97)),"" "")"),"3")</f>
        <v>3</v>
      </c>
      <c r="CR70" s="48" t="str">
        <f>IFERROR(__xludf.DUMMYFUNCTION("IFERROR(TEXTJOIN(""/"",1,FILTER($B$3:$IV$3,$B$2:$IV$2=CR$97)),"" "")")," ")</f>
        <v> </v>
      </c>
      <c r="CS70" s="48" t="str">
        <f>IFERROR(__xludf.DUMMYFUNCTION("IFERROR(TEXTJOIN(""/"",1,FILTER($B$3:$IV$3,$B$2:$IV$2=CS$97)),"" "")")," ")</f>
        <v> </v>
      </c>
      <c r="CT70" s="48" t="str">
        <f>IFERROR(__xludf.DUMMYFUNCTION("IFERROR(TEXTJOIN(""/"",1,FILTER($B$3:$IV$3,$B$2:$IV$2=CT$97)),"" "")")," ")</f>
        <v> </v>
      </c>
      <c r="CU70" s="48" t="str">
        <f>IFERROR(__xludf.DUMMYFUNCTION("IFERROR(TEXTJOIN(""/"",1,FILTER($B$3:$IV$3,$B$2:$IV$2=CU$97)),"" "")")," ")</f>
        <v> </v>
      </c>
      <c r="CV70" s="48" t="str">
        <f>IFERROR(__xludf.DUMMYFUNCTION("IFERROR(TEXTJOIN(""/"",1,FILTER($B$3:$IV$3,$B$2:$IV$2=CV$97)),"" "")"),"5")</f>
        <v>5</v>
      </c>
      <c r="CW70" s="48" t="str">
        <f>IFERROR(__xludf.DUMMYFUNCTION("IFERROR(TEXTJOIN(""/"",1,FILTER($B$3:$IV$3,$B$2:$IV$2=CW$97)),"" "")")," ")</f>
        <v> </v>
      </c>
      <c r="CX70" s="48" t="str">
        <f>IFERROR(__xludf.DUMMYFUNCTION("IFERROR(TEXTJOIN(""/"",1,FILTER($B$3:$IV$3,$B$2:$IV$2=CX$97)),"" "")")," ")</f>
        <v> </v>
      </c>
      <c r="CY70" s="48" t="str">
        <f>IFERROR(__xludf.DUMMYFUNCTION("IFERROR(TEXTJOIN(""/"",1,FILTER($B$3:$IV$3,$B$2:$IV$2=CY$97)),"" "")")," ")</f>
        <v> </v>
      </c>
      <c r="CZ70" s="48" t="str">
        <f>IFERROR(__xludf.DUMMYFUNCTION("IFERROR(TEXTJOIN(""/"",1,FILTER($B$3:$IV$3,$B$2:$IV$2=CZ$97)),"" "")")," ")</f>
        <v> </v>
      </c>
      <c r="DA70" s="48" t="str">
        <f>IFERROR(__xludf.DUMMYFUNCTION("IFERROR(TEXTJOIN(""/"",1,FILTER($B$3:$IV$3,$B$2:$IV$2=DA$97)),"" "")")," ")</f>
        <v> </v>
      </c>
      <c r="DB70" s="48" t="str">
        <f>IFERROR(__xludf.DUMMYFUNCTION("IFERROR(TEXTJOIN(""/"",1,FILTER($B$3:$IV$3,$B$2:$IV$2=DB$97)),"" "")")," ")</f>
        <v> </v>
      </c>
      <c r="DC70" s="48" t="str">
        <f>IFERROR(__xludf.DUMMYFUNCTION("IFERROR(TEXTJOIN(""/"",1,FILTER($B$3:$IV$3,$B$2:$IV$2=DC$97)),"" "")"),"")</f>
        <v/>
      </c>
      <c r="DD70" s="48" t="str">
        <f>IFERROR(__xludf.DUMMYFUNCTION("IFERROR(TEXTJOIN(""/"",1,FILTER($B$3:$IV$3,$B$2:$IV$2=DD$97)),"" "")")," ")</f>
        <v> </v>
      </c>
      <c r="DE70" s="48" t="str">
        <f>IFERROR(__xludf.DUMMYFUNCTION("IFERROR(TEXTJOIN(""/"",1,FILTER($B$3:$IV$3,$B$2:$IV$2=DE$97)),"" "")"),"5")</f>
        <v>5</v>
      </c>
      <c r="DF70" s="48" t="str">
        <f>IFERROR(__xludf.DUMMYFUNCTION("IFERROR(TEXTJOIN(""/"",1,FILTER($B$3:$IV$3,$B$2:$IV$2=DF$97)),"" "")")," ")</f>
        <v> </v>
      </c>
      <c r="DG70" s="48" t="str">
        <f>IFERROR(__xludf.DUMMYFUNCTION("IFERROR(TEXTJOIN(""/"",1,FILTER($B$3:$IV$3,$B$2:$IV$2=DG$97)),"" "")")," ")</f>
        <v> </v>
      </c>
      <c r="DH70" s="48" t="str">
        <f>IFERROR(__xludf.DUMMYFUNCTION("IFERROR(TEXTJOIN(""/"",1,FILTER($B$3:$IV$3,$B$2:$IV$2=DH$97)),"" "")")," ")</f>
        <v> </v>
      </c>
      <c r="DI70" s="48" t="str">
        <f>IFERROR(__xludf.DUMMYFUNCTION("IFERROR(TEXTJOIN(""/"",1,FILTER($B$3:$IV$3,$B$2:$IV$2=DI$97)),"" "")")," ")</f>
        <v> </v>
      </c>
      <c r="DJ70" s="48" t="str">
        <f>IFERROR(__xludf.DUMMYFUNCTION("IFERROR(TEXTJOIN(""/"",1,FILTER($B$3:$IV$3,$B$2:$IV$2=DJ$97)),"" "")"),"")</f>
        <v/>
      </c>
      <c r="DK70" s="48" t="str">
        <f>IFERROR(__xludf.DUMMYFUNCTION("IFERROR(TEXTJOIN(""/"",1,FILTER($B$3:$IV$3,$B$2:$IV$2=DK$97)),"" "")")," ")</f>
        <v> </v>
      </c>
      <c r="DL70" s="48" t="str">
        <f>IFERROR(__xludf.DUMMYFUNCTION("IFERROR(TEXTJOIN(""/"",1,FILTER($B$3:$IV$3,$B$2:$IV$2=DL$97)),"" "")")," ")</f>
        <v> </v>
      </c>
      <c r="DM70" s="48" t="str">
        <f>IFERROR(__xludf.DUMMYFUNCTION("IFERROR(TEXTJOIN(""/"",1,FILTER($B$3:$IV$3,$B$2:$IV$2=DM$97)),"" "")")," ")</f>
        <v> </v>
      </c>
      <c r="DN70" s="48" t="str">
        <f>IFERROR(__xludf.DUMMYFUNCTION("IFERROR(TEXTJOIN(""/"",1,FILTER($B$3:$IV$3,$B$2:$IV$2=DN$97)),"" "")")," ")</f>
        <v> </v>
      </c>
      <c r="DO70" s="48" t="str">
        <f>IFERROR(__xludf.DUMMYFUNCTION("IFERROR(TEXTJOIN(""/"",1,FILTER($B$3:$IV$3,$B$2:$IV$2=DO$97)),"" "")")," ")</f>
        <v> </v>
      </c>
      <c r="DP70" s="48" t="str">
        <f>IFERROR(__xludf.DUMMYFUNCTION("IFERROR(TEXTJOIN(""/"",1,FILTER($B$3:$IV$3,$B$2:$IV$2=DP$97)),"" "")")," ")</f>
        <v> </v>
      </c>
      <c r="DQ70" s="48" t="str">
        <f>IFERROR(__xludf.DUMMYFUNCTION("IFERROR(TEXTJOIN(""/"",1,FILTER($B$3:$IV$3,$B$2:$IV$2=DQ$97)),"" "")")," ")</f>
        <v> </v>
      </c>
      <c r="DR70" s="48" t="str">
        <f>IFERROR(__xludf.DUMMYFUNCTION("IFERROR(TEXTJOIN(""/"",1,FILTER($B$3:$IV$3,$B$2:$IV$2=DR$97)),"" "")")," ")</f>
        <v> </v>
      </c>
      <c r="DS70" s="48" t="str">
        <f>IFERROR(__xludf.DUMMYFUNCTION("IFERROR(TEXTJOIN(""/"",1,FILTER($B$3:$IV$3,$B$2:$IV$2=DS$97)),"" "")")," ")</f>
        <v> </v>
      </c>
      <c r="DT70" s="48" t="str">
        <f>IFERROR(__xludf.DUMMYFUNCTION("IFERROR(TEXTJOIN(""/"",1,FILTER($B$3:$IV$3,$B$2:$IV$2=DT$97)),"" "")")," ")</f>
        <v> </v>
      </c>
      <c r="DU70" s="48" t="str">
        <f>IFERROR(__xludf.DUMMYFUNCTION("IFERROR(TEXTJOIN(""/"",1,FILTER($B$3:$IV$3,$B$2:$IV$2=DU$97)),"" "")")," ")</f>
        <v> </v>
      </c>
      <c r="DV70" s="48" t="str">
        <f>IFERROR(__xludf.DUMMYFUNCTION("IFERROR(TEXTJOIN(""/"",1,FILTER($B$3:$IV$3,$B$2:$IV$2=DV$97)),"" "")")," ")</f>
        <v> </v>
      </c>
      <c r="DW70" s="48" t="str">
        <f>IFERROR(__xludf.DUMMYFUNCTION("IFERROR(TEXTJOIN(""/"",1,FILTER($B$3:$IV$3,$B$2:$IV$2=DW$97)),"" "")")," ")</f>
        <v> </v>
      </c>
      <c r="DX70" s="48" t="str">
        <f>IFERROR(__xludf.DUMMYFUNCTION("IFERROR(TEXTJOIN(""/"",1,FILTER($B$3:$IV$3,$B$2:$IV$2=DX$97)),"" "")")," ")</f>
        <v> </v>
      </c>
      <c r="DY70" s="48" t="str">
        <f>IFERROR(__xludf.DUMMYFUNCTION("IFERROR(TEXTJOIN(""/"",1,FILTER($B$3:$IV$3,$B$2:$IV$2=DY$97)),"" "")")," ")</f>
        <v> </v>
      </c>
      <c r="DZ70" s="48" t="str">
        <f>IFERROR(__xludf.DUMMYFUNCTION("IFERROR(TEXTJOIN(""/"",1,FILTER($B$3:$IV$3,$B$2:$IV$2=DZ$97)),"" "")")," ")</f>
        <v> </v>
      </c>
      <c r="EA70" s="48" t="str">
        <f>IFERROR(__xludf.DUMMYFUNCTION("IFERROR(TEXTJOIN(""/"",1,FILTER($B$3:$IV$3,$B$2:$IV$2=EA$97)),"" "")")," ")</f>
        <v> </v>
      </c>
      <c r="EB70" s="48" t="str">
        <f>IFERROR(__xludf.DUMMYFUNCTION("IFERROR(TEXTJOIN(""/"",1,FILTER($B$3:$IV$3,$B$2:$IV$2=EB$97)),"" "")")," ")</f>
        <v> </v>
      </c>
      <c r="EC70" s="48" t="str">
        <f>IFERROR(__xludf.DUMMYFUNCTION("IFERROR(TEXTJOIN(""/"",1,FILTER($B$3:$IV$3,$B$2:$IV$2=EC$97)),"" "")")," ")</f>
        <v> </v>
      </c>
      <c r="ED70" s="48" t="str">
        <f>IFERROR(__xludf.DUMMYFUNCTION("IFERROR(TEXTJOIN(""/"",1,FILTER($B$3:$IV$3,$B$2:$IV$2=ED$97)),"" "")")," ")</f>
        <v> </v>
      </c>
      <c r="EE70" s="48" t="str">
        <f>IFERROR(__xludf.DUMMYFUNCTION("IFERROR(TEXTJOIN(""/"",1,FILTER($B$3:$IV$3,$B$2:$IV$2=EE$97)),"" "")"),"")</f>
        <v/>
      </c>
      <c r="EF70" s="48" t="str">
        <f>IFERROR(__xludf.DUMMYFUNCTION("IFERROR(TEXTJOIN(""/"",1,FILTER($B$3:$IV$3,$B$2:$IV$2=EF$97)),"" "")")," ")</f>
        <v> </v>
      </c>
      <c r="EG70" s="48" t="str">
        <f>IFERROR(__xludf.DUMMYFUNCTION("IFERROR(TEXTJOIN(""/"",1,FILTER($B$3:$IV$3,$B$2:$IV$2=EG$97)),"" "")"),"5")</f>
        <v>5</v>
      </c>
      <c r="EH70" s="48" t="str">
        <f>IFERROR(__xludf.DUMMYFUNCTION("IFERROR(TEXTJOIN(""/"",1,FILTER($B$3:$IV$3,$B$2:$IV$2=EH$97)),"" "")")," ")</f>
        <v> </v>
      </c>
      <c r="EI70" s="48" t="str">
        <f>IFERROR(__xludf.DUMMYFUNCTION("IFERROR(TEXTJOIN(""/"",1,FILTER($B$3:$IV$3,$B$2:$IV$2=EI$97)),"" "")")," ")</f>
        <v> </v>
      </c>
      <c r="EJ70" s="48" t="str">
        <f>IFERROR(__xludf.DUMMYFUNCTION("IFERROR(TEXTJOIN(""/"",1,FILTER($B$3:$IV$3,$B$2:$IV$2=EJ$97)),"" "")")," ")</f>
        <v> </v>
      </c>
      <c r="EK70" s="48" t="str">
        <f>IFERROR(__xludf.DUMMYFUNCTION("IFERROR(TEXTJOIN(""/"",1,FILTER($B$3:$IV$3,$B$2:$IV$2=EK$97)),"" "")")," ")</f>
        <v> </v>
      </c>
      <c r="EL70" s="48" t="str">
        <f>IFERROR(__xludf.DUMMYFUNCTION("IFERROR(TEXTJOIN(""/"",1,FILTER($B$3:$IV$3,$B$2:$IV$2=EL$97)),"" "")")," ")</f>
        <v> </v>
      </c>
      <c r="EM70" s="48" t="str">
        <f>IFERROR(__xludf.DUMMYFUNCTION("IFERROR(TEXTJOIN(""/"",1,FILTER($B$3:$IV$3,$B$2:$IV$2=EM$97)),"" "")")," ")</f>
        <v> </v>
      </c>
      <c r="EN70" s="48" t="str">
        <f>IFERROR(__xludf.DUMMYFUNCTION("IFERROR(TEXTJOIN(""/"",1,FILTER($B$3:$IV$3,$B$2:$IV$2=EN$97)),"" "")"),"")</f>
        <v/>
      </c>
      <c r="EO70" s="48" t="str">
        <f>IFERROR(__xludf.DUMMYFUNCTION("IFERROR(TEXTJOIN(""/"",1,FILTER($B$3:$IV$3,$B$2:$IV$2=EO$97)),"" "")")," ")</f>
        <v> </v>
      </c>
      <c r="EP70" s="48" t="str">
        <f>IFERROR(__xludf.DUMMYFUNCTION("IFERROR(TEXTJOIN(""/"",1,FILTER($B$3:$IV$3,$B$2:$IV$2=EP$97)),"" "")")," ")</f>
        <v> </v>
      </c>
      <c r="EQ70" s="48" t="str">
        <f>IFERROR(__xludf.DUMMYFUNCTION("IFERROR(TEXTJOIN(""/"",1,FILTER($B$3:$IV$3,$B$2:$IV$2=EQ$97)),"" "")")," ")</f>
        <v> </v>
      </c>
      <c r="ER70" s="48" t="str">
        <f>IFERROR(__xludf.DUMMYFUNCTION("IFERROR(TEXTJOIN(""/"",1,FILTER($B$3:$IV$3,$B$2:$IV$2=ER$97)),"" "")")," ")</f>
        <v> </v>
      </c>
      <c r="ES70" s="48" t="str">
        <f>IFERROR(__xludf.DUMMYFUNCTION("IFERROR(TEXTJOIN(""/"",1,FILTER($B$3:$IV$3,$B$2:$IV$2=ES$97)),"" "")"),"")</f>
        <v/>
      </c>
      <c r="ET70" s="48" t="str">
        <f>IFERROR(__xludf.DUMMYFUNCTION("IFERROR(TEXTJOIN(""/"",1,FILTER($B$3:$IV$3,$B$2:$IV$2=ET$97)),"" "")")," ")</f>
        <v> </v>
      </c>
      <c r="EU70" s="48" t="str">
        <f>IFERROR(__xludf.DUMMYFUNCTION("IFERROR(TEXTJOIN(""/"",1,FILTER($B$3:$IV$3,$B$2:$IV$2=EU$97)),"" "")")," ")</f>
        <v> </v>
      </c>
      <c r="EV70" s="48" t="str">
        <f>IFERROR(__xludf.DUMMYFUNCTION("IFERROR(TEXTJOIN(""/"",1,FILTER($B$3:$IV$3,$B$2:$IV$2=EV$97)),"" "")")," ")</f>
        <v> </v>
      </c>
      <c r="EW70" s="48" t="str">
        <f>IFERROR(__xludf.DUMMYFUNCTION("IFERROR(TEXTJOIN(""/"",1,FILTER($B$3:$IV$3,$B$2:$IV$2=EW$97)),"" "")")," ")</f>
        <v> </v>
      </c>
      <c r="EX70" s="48" t="str">
        <f>IFERROR(__xludf.DUMMYFUNCTION("IFERROR(TEXTJOIN(""/"",1,FILTER($B$3:$IV$3,$B$2:$IV$2=EX$97)),"" "")")," ")</f>
        <v> </v>
      </c>
      <c r="EY70" s="48" t="str">
        <f>IFERROR(__xludf.DUMMYFUNCTION("IFERROR(TEXTJOIN(""/"",1,FILTER($B$3:$IV$3,$B$2:$IV$2=EY$97)),"" "")")," ")</f>
        <v> </v>
      </c>
      <c r="EZ70" s="48" t="str">
        <f>IFERROR(__xludf.DUMMYFUNCTION("IFERROR(TEXTJOIN(""/"",1,FILTER($B$3:$IV$3,$B$2:$IV$2=EZ$97)),"" "")"),"")</f>
        <v/>
      </c>
      <c r="FA70" s="48" t="str">
        <f>IFERROR(__xludf.DUMMYFUNCTION("IFERROR(TEXTJOIN(""/"",1,FILTER($B$3:$IV$3,$B$2:$IV$2=FA$97)),"" "")")," ")</f>
        <v> </v>
      </c>
      <c r="FB70" s="48" t="str">
        <f>IFERROR(__xludf.DUMMYFUNCTION("IFERROR(TEXTJOIN(""/"",1,FILTER($B$3:$IV$3,$B$2:$IV$2=FB$97)),"" "")"),"3")</f>
        <v>3</v>
      </c>
      <c r="FC70" s="48" t="str">
        <f>IFERROR(__xludf.DUMMYFUNCTION("IFERROR(TEXTJOIN(""/"",1,FILTER($B$3:$IV$3,$B$2:$IV$2=FC$97)),"" "")")," ")</f>
        <v> </v>
      </c>
      <c r="FD70" s="48" t="str">
        <f>IFERROR(__xludf.DUMMYFUNCTION("IFERROR(TEXTJOIN(""/"",1,FILTER($B$3:$IV$3,$B$2:$IV$2=FD$97)),"" "")")," ")</f>
        <v> </v>
      </c>
      <c r="FE70" s="48" t="str">
        <f>IFERROR(__xludf.DUMMYFUNCTION("IFERROR(TEXTJOIN(""/"",1,FILTER($B$3:$IV$3,$B$2:$IV$2=FE$97)),"" "")")," ")</f>
        <v> </v>
      </c>
      <c r="FF70" s="48" t="str">
        <f>IFERROR(__xludf.DUMMYFUNCTION("IFERROR(TEXTJOIN(""/"",1,FILTER($B$3:$IV$3,$B$2:$IV$2=FF$97)),"" "")")," ")</f>
        <v> </v>
      </c>
      <c r="FG70" s="48" t="str">
        <f>IFERROR(__xludf.DUMMYFUNCTION("IFERROR(TEXTJOIN(""/"",1,FILTER($B$3:$IV$3,$B$2:$IV$2=FG$97)),"" "")"),"")</f>
        <v/>
      </c>
      <c r="FH70" s="48" t="str">
        <f>IFERROR(__xludf.DUMMYFUNCTION("IFERROR(TEXTJOIN(""/"",1,FILTER($B$3:$IV$3,$B$2:$IV$2=FH$97)),"" "")")," ")</f>
        <v> </v>
      </c>
      <c r="FI70" s="48" t="str">
        <f>IFERROR(__xludf.DUMMYFUNCTION("IFERROR(TEXTJOIN(""/"",1,FILTER($B$3:$IV$3,$B$2:$IV$2=FI$97)),"" "")"),"4")</f>
        <v>4</v>
      </c>
      <c r="FJ70" s="48" t="str">
        <f>IFERROR(__xludf.DUMMYFUNCTION("IFERROR(TEXTJOIN(""/"",1,FILTER($B$3:$IV$3,$B$2:$IV$2=FJ$97)),"" "")")," ")</f>
        <v> </v>
      </c>
      <c r="FK70" s="48" t="str">
        <f>IFERROR(__xludf.DUMMYFUNCTION("IFERROR(TEXTJOIN(""/"",1,FILTER($B$3:$IV$3,$B$2:$IV$2=FK$97)),"" "")")," ")</f>
        <v> </v>
      </c>
      <c r="FL70" s="48" t="str">
        <f>IFERROR(__xludf.DUMMYFUNCTION("IFERROR(TEXTJOIN(""/"",1,FILTER($B$3:$IV$3,$B$2:$IV$2=FL$97)),"" "")")," ")</f>
        <v> </v>
      </c>
      <c r="FM70" s="48" t="str">
        <f>IFERROR(__xludf.DUMMYFUNCTION("IFERROR(TEXTJOIN(""/"",1,FILTER($B$3:$IV$3,$B$2:$IV$2=FM$97)),"" "")")," ")</f>
        <v> </v>
      </c>
      <c r="FN70" s="48" t="str">
        <f>IFERROR(__xludf.DUMMYFUNCTION("IFERROR(TEXTJOIN(""/"",1,FILTER($B$3:$IV$3,$B$2:$IV$2=FN$97)),"" "")"),"")</f>
        <v/>
      </c>
      <c r="FO70" s="48" t="str">
        <f>IFERROR(__xludf.DUMMYFUNCTION("IFERROR(TEXTJOIN(""/"",1,FILTER($B$3:$IV$3,$B$2:$IV$2=FO$97)),"" "")")," ")</f>
        <v> </v>
      </c>
      <c r="FP70" s="48" t="str">
        <f>IFERROR(__xludf.DUMMYFUNCTION("IFERROR(TEXTJOIN(""/"",1,FILTER($B$3:$IV$3,$B$2:$IV$2=FP$97)),"" "")")," ")</f>
        <v> </v>
      </c>
      <c r="FQ70" s="48" t="str">
        <f>IFERROR(__xludf.DUMMYFUNCTION("IFERROR(TEXTJOIN(""/"",1,FILTER($B$3:$IV$3,$B$2:$IV$2=FQ$97)),"" "")")," ")</f>
        <v> </v>
      </c>
      <c r="FR70" s="48" t="str">
        <f>IFERROR(__xludf.DUMMYFUNCTION("IFERROR(TEXTJOIN(""/"",1,FILTER($B$3:$IV$3,$B$2:$IV$2=FR$97)),"" "")")," ")</f>
        <v> </v>
      </c>
      <c r="FS70" s="48" t="str">
        <f>IFERROR(__xludf.DUMMYFUNCTION("IFERROR(TEXTJOIN(""/"",1,FILTER($B$3:$IV$3,$B$2:$IV$2=FS$97)),"" "")")," ")</f>
        <v> </v>
      </c>
      <c r="FT70" s="48" t="str">
        <f>IFERROR(__xludf.DUMMYFUNCTION("IFERROR(TEXTJOIN(""/"",1,FILTER($B$3:$IV$3,$B$2:$IV$2=FT$97)),"" "")")," ")</f>
        <v> </v>
      </c>
      <c r="FU70" s="48" t="str">
        <f>IFERROR(__xludf.DUMMYFUNCTION("IFERROR(TEXTJOIN(""/"",1,FILTER($B$3:$IV$3,$B$2:$IV$2=FU$97)),"" "")"),"5")</f>
        <v>5</v>
      </c>
      <c r="FV70" s="48" t="str">
        <f>IFERROR(__xludf.DUMMYFUNCTION("IFERROR(TEXTJOIN(""/"",1,FILTER($B$3:$IV$3,$B$2:$IV$2=FV$97)),"" "")")," ")</f>
        <v> </v>
      </c>
      <c r="FW70" s="48" t="str">
        <f>IFERROR(__xludf.DUMMYFUNCTION("IFERROR(TEXTJOIN(""/"",1,FILTER($B$3:$IV$3,$B$2:$IV$2=FW$97)),"" "")"),"")</f>
        <v/>
      </c>
      <c r="FX70" s="48" t="str">
        <f>IFERROR(__xludf.DUMMYFUNCTION("IFERROR(TEXTJOIN(""/"",1,FILTER($B$3:$IV$3,$B$2:$IV$2=FX$97)),"" "")")," ")</f>
        <v> </v>
      </c>
      <c r="FY70" s="48" t="str">
        <f>IFERROR(__xludf.DUMMYFUNCTION("IFERROR(TEXTJOIN(""/"",1,FILTER($B$3:$IV$3,$B$2:$IV$2=FY$97)),"" "")")," ")</f>
        <v> </v>
      </c>
      <c r="FZ70" s="48" t="str">
        <f>IFERROR(__xludf.DUMMYFUNCTION("IFERROR(TEXTJOIN(""/"",1,FILTER($B$3:$IV$3,$B$2:$IV$2=FZ$97)),"" "")")," ")</f>
        <v> </v>
      </c>
      <c r="GA70" s="48" t="str">
        <f>IFERROR(__xludf.DUMMYFUNCTION("IFERROR(TEXTJOIN(""/"",1,FILTER($B$3:$IV$3,$B$2:$IV$2=GA$97)),"" "")")," ")</f>
        <v> </v>
      </c>
      <c r="GB70" s="48" t="str">
        <f>IFERROR(__xludf.DUMMYFUNCTION("IFERROR(TEXTJOIN(""/"",1,FILTER($B$3:$IV$3,$B$2:$IV$2=GB$97)),"" "")"),"5")</f>
        <v>5</v>
      </c>
      <c r="GC70" s="48" t="str">
        <f>IFERROR(__xludf.DUMMYFUNCTION("IFERROR(TEXTJOIN(""/"",1,FILTER($B$3:$IV$3,$B$2:$IV$2=GC$97)),"" "")")," ")</f>
        <v> </v>
      </c>
      <c r="GD70" s="48" t="str">
        <f>IFERROR(__xludf.DUMMYFUNCTION("IFERROR(TEXTJOIN(""/"",1,FILTER($B$3:$IV$3,$B$2:$IV$2=GD$97)),"" "")"),"4")</f>
        <v>4</v>
      </c>
      <c r="GE70" s="48" t="str">
        <f>IFERROR(__xludf.DUMMYFUNCTION("IFERROR(TEXTJOIN(""/"",1,FILTER($B$3:$IV$3,$B$2:$IV$2=GE$97)),"" "")")," ")</f>
        <v> </v>
      </c>
      <c r="GF70" s="48" t="str">
        <f>IFERROR(__xludf.DUMMYFUNCTION("IFERROR(TEXTJOIN(""/"",1,FILTER($B$3:$IV$3,$B$2:$IV$2=GF$97)),"" "")")," ")</f>
        <v> </v>
      </c>
      <c r="GG70" s="48" t="str">
        <f>IFERROR(__xludf.DUMMYFUNCTION("IFERROR(TEXTJOIN(""/"",1,FILTER($B$3:$IV$3,$B$2:$IV$2=GG$97)),"" "")")," ")</f>
        <v> </v>
      </c>
      <c r="GH70" s="48" t="str">
        <f>IFERROR(__xludf.DUMMYFUNCTION("IFERROR(TEXTJOIN(""/"",1,FILTER($B$3:$IV$3,$B$2:$IV$2=GH$97)),"" "")")," ")</f>
        <v> </v>
      </c>
      <c r="GI70" s="48" t="str">
        <f>IFERROR(__xludf.DUMMYFUNCTION("IFERROR(TEXTJOIN(""/"",1,FILTER($B$3:$IV$3,$B$2:$IV$2=GI$97)),"" "")"),"")</f>
        <v/>
      </c>
      <c r="GJ70" s="48" t="str">
        <f>IFERROR(__xludf.DUMMYFUNCTION("IFERROR(TEXTJOIN(""/"",1,FILTER($B$3:$IV$3,$B$2:$IV$2=GJ$97)),"" "")")," ")</f>
        <v> </v>
      </c>
      <c r="GK70" s="48" t="str">
        <f>IFERROR(__xludf.DUMMYFUNCTION("IFERROR(TEXTJOIN(""/"",1,FILTER($B$3:$IV$3,$B$2:$IV$2=GK$97)),"" "")"),"")</f>
        <v/>
      </c>
      <c r="GL70" s="48" t="str">
        <f>IFERROR(__xludf.DUMMYFUNCTION("IFERROR(TEXTJOIN(""/"",1,FILTER($B$3:$IV$3,$B$2:$IV$2=GL$97)),"" "")")," ")</f>
        <v> </v>
      </c>
      <c r="GM70" s="48" t="str">
        <f>IFERROR(__xludf.DUMMYFUNCTION("IFERROR(TEXTJOIN(""/"",1,FILTER($B$3:$IV$3,$B$2:$IV$2=GM$97)),"" "")")," ")</f>
        <v> </v>
      </c>
      <c r="GN70" s="48" t="str">
        <f>IFERROR(__xludf.DUMMYFUNCTION("IFERROR(TEXTJOIN(""/"",1,FILTER($B$3:$IV$3,$B$2:$IV$2=GN$97)),"" "")")," ")</f>
        <v> </v>
      </c>
      <c r="GO70" s="48" t="str">
        <f>IFERROR(__xludf.DUMMYFUNCTION("IFERROR(TEXTJOIN(""/"",1,FILTER($B$3:$IV$3,$B$2:$IV$2=GO$97)),"" "")")," ")</f>
        <v> </v>
      </c>
      <c r="GP70" s="48" t="str">
        <f>IFERROR(__xludf.DUMMYFUNCTION("IFERROR(TEXTJOIN(""/"",1,FILTER($B$3:$IV$3,$B$2:$IV$2=GP$97)),"" "")"),"")</f>
        <v/>
      </c>
      <c r="GQ70" s="48" t="str">
        <f>IFERROR(__xludf.DUMMYFUNCTION("IFERROR(TEXTJOIN(""/"",1,FILTER($B$3:$IV$3,$B$2:$IV$2=GQ$97)),"" "")")," ")</f>
        <v> </v>
      </c>
      <c r="GR70" s="48" t="str">
        <f>IFERROR(__xludf.DUMMYFUNCTION("IFERROR(TEXTJOIN(""/"",1,FILTER($B$3:$IV$3,$B$2:$IV$2=GR$97)),"" "")"),"")</f>
        <v/>
      </c>
      <c r="GS70" s="48" t="str">
        <f>IFERROR(__xludf.DUMMYFUNCTION("IFERROR(TEXTJOIN(""/"",1,FILTER($B$3:$IV$3,$B$2:$IV$2=GS$97)),"" "")")," ")</f>
        <v> </v>
      </c>
      <c r="GT70" s="48" t="str">
        <f>IFERROR(__xludf.DUMMYFUNCTION("IFERROR(TEXTJOIN(""/"",1,FILTER($B$3:$IV$3,$B$2:$IV$2=GT$97)),"" "")")," ")</f>
        <v> </v>
      </c>
      <c r="GU70" s="48" t="str">
        <f>IFERROR(__xludf.DUMMYFUNCTION("IFERROR(TEXTJOIN(""/"",1,FILTER($B$3:$IV$3,$B$2:$IV$2=GU$97)),"" "")")," ")</f>
        <v> </v>
      </c>
      <c r="GV70" s="48" t="str">
        <f>IFERROR(__xludf.DUMMYFUNCTION("IFERROR(TEXTJOIN(""/"",1,FILTER($B$3:$IV$3,$B$2:$IV$2=GV$97)),"" "")")," ")</f>
        <v> </v>
      </c>
      <c r="GW70" s="48" t="str">
        <f>IFERROR(__xludf.DUMMYFUNCTION("IFERROR(TEXTJOIN(""/"",1,FILTER($B$3:$IV$3,$B$2:$IV$2=GW$97)),"" "")")," ")</f>
        <v> </v>
      </c>
      <c r="GX70" s="48" t="str">
        <f>IFERROR(__xludf.DUMMYFUNCTION("IFERROR(TEXTJOIN(""/"",1,FILTER($B$3:$IV$3,$B$2:$IV$2=GX$97)),"" "")")," ")</f>
        <v> </v>
      </c>
      <c r="GY70" s="48" t="str">
        <f>IFERROR(__xludf.DUMMYFUNCTION("IFERROR(TEXTJOIN(""/"",1,FILTER($B$3:$IV$3,$B$2:$IV$2=GY$97)),"" "")")," ")</f>
        <v> </v>
      </c>
      <c r="GZ70" s="48" t="str">
        <f>IFERROR(__xludf.DUMMYFUNCTION("IFERROR(TEXTJOIN(""/"",1,FILTER($B$3:$IV$3,$B$2:$IV$2=GZ$97)),"" "")")," ")</f>
        <v> </v>
      </c>
      <c r="HA70" s="48" t="str">
        <f>IFERROR(__xludf.DUMMYFUNCTION("IFERROR(TEXTJOIN(""/"",1,FILTER($B$3:$IV$3,$B$2:$IV$2=HA$97)),"" "")")," ")</f>
        <v> </v>
      </c>
      <c r="HB70" s="48" t="str">
        <f>IFERROR(__xludf.DUMMYFUNCTION("IFERROR(TEXTJOIN(""/"",1,FILTER($B$3:$IV$3,$B$2:$IV$2=HB$97)),"" "")")," ")</f>
        <v> </v>
      </c>
      <c r="HC70" s="48" t="str">
        <f>IFERROR(__xludf.DUMMYFUNCTION("IFERROR(TEXTJOIN(""/"",1,FILTER($B$3:$IV$3,$B$2:$IV$2=HC$97)),"" "")")," ")</f>
        <v> </v>
      </c>
      <c r="HD70" s="48" t="str">
        <f>IFERROR(__xludf.DUMMYFUNCTION("IFERROR(TEXTJOIN(""/"",1,FILTER($B$3:$IV$3,$B$2:$IV$2=HD$97)),"" "")")," ")</f>
        <v> </v>
      </c>
      <c r="HE70" s="48" t="str">
        <f>IFERROR(__xludf.DUMMYFUNCTION("IFERROR(TEXTJOIN(""/"",1,FILTER($B$3:$IV$3,$B$2:$IV$2=HE$97)),"" "")")," ")</f>
        <v> </v>
      </c>
      <c r="HF70" s="48" t="str">
        <f>IFERROR(__xludf.DUMMYFUNCTION("IFERROR(TEXTJOIN(""/"",1,FILTER($B$3:$IV$3,$B$2:$IV$2=HF$97)),"" "")")," ")</f>
        <v> </v>
      </c>
      <c r="HG70" s="48" t="str">
        <f>IFERROR(__xludf.DUMMYFUNCTION("IFERROR(TEXTJOIN(""/"",1,FILTER($B$3:$IV$3,$B$2:$IV$2=HG$97)),"" "")")," ")</f>
        <v> </v>
      </c>
      <c r="HH70" s="48" t="str">
        <f>IFERROR(__xludf.DUMMYFUNCTION("IFERROR(TEXTJOIN(""/"",1,FILTER($B$3:$IV$3,$B$2:$IV$2=HH$97)),"" "")")," ")</f>
        <v> </v>
      </c>
      <c r="HI70" s="48" t="str">
        <f>IFERROR(__xludf.DUMMYFUNCTION("IFERROR(TEXTJOIN(""/"",1,FILTER($B$3:$IV$3,$B$2:$IV$2=HI$97)),"" "")")," ")</f>
        <v> </v>
      </c>
      <c r="HJ70" s="48" t="str">
        <f>IFERROR(__xludf.DUMMYFUNCTION("IFERROR(TEXTJOIN(""/"",1,FILTER($B$3:$IV$3,$B$2:$IV$2=HJ$97)),"" "")")," ")</f>
        <v> </v>
      </c>
      <c r="HK70" s="48" t="str">
        <f>IFERROR(__xludf.DUMMYFUNCTION("IFERROR(TEXTJOIN(""/"",1,FILTER($B$3:$IV$3,$B$2:$IV$2=HK$97)),"" "")")," ")</f>
        <v> </v>
      </c>
      <c r="HL70" s="48" t="str">
        <f>IFERROR(__xludf.DUMMYFUNCTION("IFERROR(TEXTJOIN(""/"",1,FILTER($B$3:$IV$3,$B$2:$IV$2=HL$97)),"" "")")," ")</f>
        <v> </v>
      </c>
      <c r="HM70" s="48" t="str">
        <f>IFERROR(__xludf.DUMMYFUNCTION("IFERROR(TEXTJOIN(""/"",1,FILTER($B$3:$IV$3,$B$2:$IV$2=HM$97)),"" "")")," ")</f>
        <v> </v>
      </c>
      <c r="HN70" s="48" t="str">
        <f>IFERROR(__xludf.DUMMYFUNCTION("IFERROR(TEXTJOIN(""/"",1,FILTER($B$3:$IV$3,$B$2:$IV$2=HN$97)),"" "")")," ")</f>
        <v> </v>
      </c>
      <c r="HO70" s="48" t="str">
        <f>IFERROR(__xludf.DUMMYFUNCTION("IFERROR(TEXTJOIN(""/"",1,FILTER($B$3:$IV$3,$B$2:$IV$2=HO$97)),"" "")")," ")</f>
        <v> </v>
      </c>
      <c r="HP70" s="48" t="str">
        <f>IFERROR(__xludf.DUMMYFUNCTION("IFERROR(TEXTJOIN(""/"",1,FILTER($B$3:$IV$3,$B$2:$IV$2=HP$97)),"" "")")," ")</f>
        <v> </v>
      </c>
      <c r="HQ70" s="48" t="str">
        <f>IFERROR(__xludf.DUMMYFUNCTION("IFERROR(TEXTJOIN(""/"",1,FILTER($B$3:$IV$3,$B$2:$IV$2=HQ$97)),"" "")")," ")</f>
        <v> </v>
      </c>
      <c r="HR70" s="48" t="str">
        <f>IFERROR(__xludf.DUMMYFUNCTION("IFERROR(TEXTJOIN(""/"",1,FILTER($B$3:$IV$3,$B$2:$IV$2=HR$97)),"" "")")," ")</f>
        <v> </v>
      </c>
      <c r="HS70" s="48" t="str">
        <f>IFERROR(__xludf.DUMMYFUNCTION("IFERROR(TEXTJOIN(""/"",1,FILTER($B$3:$IV$3,$B$2:$IV$2=HS$97)),"" "")")," ")</f>
        <v> </v>
      </c>
      <c r="HT70" s="48" t="str">
        <f>IFERROR(__xludf.DUMMYFUNCTION("IFERROR(TEXTJOIN(""/"",1,FILTER($B$3:$IV$3,$B$2:$IV$2=HT$97)),"" "")")," ")</f>
        <v> </v>
      </c>
      <c r="HU70" s="48" t="str">
        <f>IFERROR(__xludf.DUMMYFUNCTION("IFERROR(TEXTJOIN(""/"",1,FILTER($B$3:$IV$3,$B$2:$IV$2=HU$97)),"" "")")," ")</f>
        <v> </v>
      </c>
      <c r="HV70" s="48" t="str">
        <f>IFERROR(__xludf.DUMMYFUNCTION("IFERROR(TEXTJOIN(""/"",1,FILTER($B$3:$IV$3,$B$2:$IV$2=HV$97)),"" "")")," ")</f>
        <v> </v>
      </c>
      <c r="HW70" s="48" t="str">
        <f>IFERROR(__xludf.DUMMYFUNCTION("IFERROR(TEXTJOIN(""/"",1,FILTER($B$3:$IV$3,$B$2:$IV$2=HW$97)),"" "")")," ")</f>
        <v> </v>
      </c>
      <c r="HX70" s="48" t="str">
        <f>IFERROR(__xludf.DUMMYFUNCTION("IFERROR(TEXTJOIN(""/"",1,FILTER($B$3:$IV$3,$B$2:$IV$2=HX$97)),"" "")")," ")</f>
        <v> </v>
      </c>
      <c r="HY70" s="48" t="str">
        <f>IFERROR(__xludf.DUMMYFUNCTION("IFERROR(TEXTJOIN(""/"",1,FILTER($B$3:$IV$3,$B$2:$IV$2=HY$97)),"" "")")," ")</f>
        <v> </v>
      </c>
      <c r="HZ70" s="48" t="str">
        <f>IFERROR(__xludf.DUMMYFUNCTION("IFERROR(TEXTJOIN(""/"",1,FILTER($B$3:$IV$3,$B$2:$IV$2=HZ$97)),"" "")")," ")</f>
        <v> </v>
      </c>
      <c r="IA70" s="48" t="str">
        <f>IFERROR(__xludf.DUMMYFUNCTION("IFERROR(TEXTJOIN(""/"",1,FILTER($B$3:$IV$3,$B$2:$IV$2=IA$97)),"" "")")," ")</f>
        <v> </v>
      </c>
      <c r="IB70" s="48" t="str">
        <f>IFERROR(__xludf.DUMMYFUNCTION("IFERROR(TEXTJOIN(""/"",1,FILTER($B$3:$IV$3,$B$2:$IV$2=IB$97)),"" "")")," ")</f>
        <v> </v>
      </c>
      <c r="IC70" s="48" t="str">
        <f>IFERROR(__xludf.DUMMYFUNCTION("IFERROR(TEXTJOIN(""/"",1,FILTER($B$3:$IV$3,$B$2:$IV$2=IC$97)),"" "")")," ")</f>
        <v> </v>
      </c>
      <c r="ID70" s="48" t="str">
        <f>IFERROR(__xludf.DUMMYFUNCTION("IFERROR(TEXTJOIN(""/"",1,FILTER($B$3:$IV$3,$B$2:$IV$2=ID$97)),"" "")")," ")</f>
        <v> </v>
      </c>
      <c r="IE70" s="48" t="str">
        <f>IFERROR(__xludf.DUMMYFUNCTION("IFERROR(TEXTJOIN(""/"",1,FILTER($B$3:$IV$3,$B$2:$IV$2=IE$97)),"" "")")," ")</f>
        <v> </v>
      </c>
      <c r="IF70" s="48" t="str">
        <f>IFERROR(__xludf.DUMMYFUNCTION("IFERROR(TEXTJOIN(""/"",1,FILTER($B$3:$IV$3,$B$2:$IV$2=IF$97)),"" "")")," ")</f>
        <v> </v>
      </c>
      <c r="IG70" s="48" t="str">
        <f>IFERROR(__xludf.DUMMYFUNCTION("IFERROR(TEXTJOIN(""/"",1,FILTER($B$3:$IV$3,$B$2:$IV$2=IG$97)),"" "")")," ")</f>
        <v> </v>
      </c>
      <c r="IH70" s="48" t="str">
        <f>IFERROR(__xludf.DUMMYFUNCTION("IFERROR(TEXTJOIN(""/"",1,FILTER($B$3:$IV$3,$B$2:$IV$2=IH$97)),"" "")")," ")</f>
        <v> </v>
      </c>
      <c r="II70" s="48" t="str">
        <f>IFERROR(__xludf.DUMMYFUNCTION("IFERROR(TEXTJOIN(""/"",1,FILTER($B$3:$IV$3,$B$2:$IV$2=II$97)),"" "")")," ")</f>
        <v> </v>
      </c>
      <c r="IJ70" s="48" t="str">
        <f>IFERROR(__xludf.DUMMYFUNCTION("IFERROR(TEXTJOIN(""/"",1,FILTER($B$3:$IV$3,$B$2:$IV$2=IJ$97)),"" "")")," ")</f>
        <v> </v>
      </c>
      <c r="IK70" s="48" t="str">
        <f>IFERROR(__xludf.DUMMYFUNCTION("IFERROR(TEXTJOIN(""/"",1,FILTER($B$3:$IV$3,$B$2:$IV$2=IK$97)),"" "")")," ")</f>
        <v> </v>
      </c>
      <c r="IL70" s="48" t="str">
        <f>IFERROR(__xludf.DUMMYFUNCTION("IFERROR(TEXTJOIN(""/"",1,FILTER($B$3:$IV$3,$B$2:$IV$2=IL$97)),"" "")")," ")</f>
        <v> </v>
      </c>
      <c r="IM70" s="48" t="str">
        <f>IFERROR(__xludf.DUMMYFUNCTION("IFERROR(TEXTJOIN(""/"",1,FILTER($B$3:$IV$3,$B$2:$IV$2=IM$97)),"" "")")," ")</f>
        <v> </v>
      </c>
      <c r="IN70" s="48" t="str">
        <f>IFERROR(__xludf.DUMMYFUNCTION("IFERROR(TEXTJOIN(""/"",1,FILTER($B$3:$IV$3,$B$2:$IV$2=IN$97)),"" "")")," ")</f>
        <v> </v>
      </c>
      <c r="IO70" s="48" t="str">
        <f>IFERROR(__xludf.DUMMYFUNCTION("IFERROR(TEXTJOIN(""/"",1,FILTER($B$3:$IV$3,$B$2:$IV$2=IO$97)),"" "")")," ")</f>
        <v> </v>
      </c>
      <c r="IP70" s="48" t="str">
        <f>IFERROR(__xludf.DUMMYFUNCTION("IFERROR(TEXTJOIN(""/"",1,FILTER($B$3:$IV$3,$B$2:$IV$2=IP$97)),"" "")")," ")</f>
        <v> </v>
      </c>
      <c r="IQ70" s="48" t="str">
        <f>IFERROR(__xludf.DUMMYFUNCTION("IFERROR(TEXTJOIN(""/"",1,FILTER($B$3:$IV$3,$B$2:$IV$2=IQ$97)),"" "")")," ")</f>
        <v> </v>
      </c>
      <c r="IR70" s="48" t="str">
        <f>IFERROR(__xludf.DUMMYFUNCTION("IFERROR(TEXTJOIN(""/"",1,FILTER($B$3:$IV$3,$B$2:$IV$2=IR$97)),"" "")")," ")</f>
        <v> </v>
      </c>
      <c r="IS70" s="48" t="str">
        <f>IFERROR(__xludf.DUMMYFUNCTION("IFERROR(TEXTJOIN(""/"",1,FILTER($B$3:$IV$3,$B$2:$IV$2=IS$97)),"" "")")," ")</f>
        <v> </v>
      </c>
      <c r="IT70" s="48" t="str">
        <f>IFERROR(__xludf.DUMMYFUNCTION("IFERROR(TEXTJOIN(""/"",1,FILTER($B$3:$IV$3,$B$2:$IV$2=IT$97)),"" "")")," ")</f>
        <v> </v>
      </c>
      <c r="IU70" s="48" t="str">
        <f>IFERROR(__xludf.DUMMYFUNCTION("IFERROR(TEXTJOIN(""/"",1,FILTER($B$3:$IV$3,$B$2:$IV$2=IU$97)),"" "")")," ")</f>
        <v> </v>
      </c>
      <c r="IV70" s="48" t="str">
        <f>IFERROR(__xludf.DUMMYFUNCTION("IFERROR(TEXTJOIN(""/"",1,FILTER($B$3:$IV$3,$B$2:$IV$2=IV$97)),"" "")")," ")</f>
        <v> </v>
      </c>
      <c r="IW70" s="48" t="str">
        <f>IFERROR(__xludf.DUMMYFUNCTION("IFERROR(TEXTJOIN(""/"",1,FILTER($B$3:$IV$3,$B$2:$IV$2=IW$97)),"" "")")," ")</f>
        <v> </v>
      </c>
      <c r="IX70" s="48" t="str">
        <f>IFERROR(__xludf.DUMMYFUNCTION("IFERROR(TEXTJOIN(""/"",1,FILTER($B$3:$IV$3,$B$2:$IV$2=IX$97)),"" "")")," ")</f>
        <v> </v>
      </c>
      <c r="IY70" s="48" t="str">
        <f>IFERROR(__xludf.DUMMYFUNCTION("IFERROR(TEXTJOIN(""/"",1,FILTER($B$3:$IV$3,$B$2:$IV$2=IY$97)),"" "")")," ")</f>
        <v> </v>
      </c>
      <c r="IZ70" s="48" t="str">
        <f>IFERROR(__xludf.DUMMYFUNCTION("IFERROR(TEXTJOIN(""/"",1,FILTER($B$3:$IV$3,$B$2:$IV$2=IZ$97)),"" "")")," ")</f>
        <v> </v>
      </c>
      <c r="JA70" s="48" t="str">
        <f>IFERROR(__xludf.DUMMYFUNCTION("IFERROR(TEXTJOIN(""/"",1,FILTER($B$3:$IV$3,$B$2:$IV$2=JA$97)),"" "")")," ")</f>
        <v> </v>
      </c>
      <c r="JB70" s="48" t="str">
        <f>IFERROR(__xludf.DUMMYFUNCTION("IFERROR(TEXTJOIN(""/"",1,FILTER($B$3:$IV$3,$B$2:$IV$2=JB$97)),"" "")")," ")</f>
        <v> </v>
      </c>
      <c r="JC70" s="48" t="str">
        <f>IFERROR(__xludf.DUMMYFUNCTION("IFERROR(TEXTJOIN(""/"",1,FILTER($B$3:$IV$3,$B$2:$IV$2=JC$97)),"" "")")," ")</f>
        <v> </v>
      </c>
      <c r="JD70" s="48" t="str">
        <f>IFERROR(__xludf.DUMMYFUNCTION("IFERROR(TEXTJOIN(""/"",1,FILTER($B$3:$IV$3,$B$2:$IV$2=JD$97)),"" "")")," ")</f>
        <v> </v>
      </c>
      <c r="JE70" s="48" t="str">
        <f>IFERROR(__xludf.DUMMYFUNCTION("IFERROR(TEXTJOIN(""/"",1,FILTER($B$3:$IV$3,$B$2:$IV$2=JE$97)),"" "")")," ")</f>
        <v> </v>
      </c>
    </row>
    <row r="71">
      <c r="A71" s="47" t="str">
        <f>IFERROR(__xludf.DUMMYFUNCTION("""COMPUTED_VALUE"""),"Литература")</f>
        <v>Литература</v>
      </c>
      <c r="B71" s="48" t="str">
        <f>IFERROR(__xludf.DUMMYFUNCTION("IFERROR(TEXTJOIN(""/"",1,FILTER($B$6:$IV$6,$B$5:$IV$5=B$97)),"" "")"),"")</f>
        <v/>
      </c>
      <c r="C71" s="48" t="str">
        <f>IFERROR(__xludf.DUMMYFUNCTION("IFERROR(TEXTJOIN(""/"",1,FILTER($B$6:$IV$6,$B$5:$IV$5=C$97)),"" "")")," ")</f>
        <v> </v>
      </c>
      <c r="D71" s="48" t="str">
        <f>IFERROR(__xludf.DUMMYFUNCTION("IFERROR(TEXTJOIN(""/"",1,FILTER($B$6:$IV$6,$B$5:$IV$5=D$97)),"" "")"),"5")</f>
        <v>5</v>
      </c>
      <c r="E71" s="48" t="str">
        <f>IFERROR(__xludf.DUMMYFUNCTION("IFERROR(TEXTJOIN(""/"",1,FILTER($B$6:$IV$6,$B$5:$IV$5=E$97)),"" "")")," ")</f>
        <v> </v>
      </c>
      <c r="F71" s="48" t="str">
        <f>IFERROR(__xludf.DUMMYFUNCTION("IFERROR(TEXTJOIN(""/"",1,FILTER($B$6:$IV$6,$B$5:$IV$5=F$97)),"" "")")," ")</f>
        <v> </v>
      </c>
      <c r="G71" s="48" t="str">
        <f>IFERROR(__xludf.DUMMYFUNCTION("IFERROR(TEXTJOIN(""/"",1,FILTER($B$6:$IV$6,$B$5:$IV$5=G$97)),"" "")")," ")</f>
        <v> </v>
      </c>
      <c r="H71" s="48" t="str">
        <f>IFERROR(__xludf.DUMMYFUNCTION("IFERROR(TEXTJOIN(""/"",1,FILTER($B$6:$IV$6,$B$5:$IV$5=H$97)),"" "")")," ")</f>
        <v> </v>
      </c>
      <c r="I71" s="48" t="str">
        <f>IFERROR(__xludf.DUMMYFUNCTION("IFERROR(TEXTJOIN(""/"",1,FILTER($B$6:$IV$6,$B$5:$IV$5=I$97)),"" "")"),"см")</f>
        <v>см</v>
      </c>
      <c r="J71" s="48" t="str">
        <f>IFERROR(__xludf.DUMMYFUNCTION("IFERROR(TEXTJOIN(""/"",1,FILTER($B$6:$IV$6,$B$5:$IV$5=J$97)),"" "")")," ")</f>
        <v> </v>
      </c>
      <c r="K71" s="48" t="str">
        <f>IFERROR(__xludf.DUMMYFUNCTION("IFERROR(TEXTJOIN(""/"",1,FILTER($B$6:$IV$6,$B$5:$IV$5=K$97)),"" "")")," ")</f>
        <v> </v>
      </c>
      <c r="L71" s="48" t="str">
        <f>IFERROR(__xludf.DUMMYFUNCTION("IFERROR(TEXTJOIN(""/"",1,FILTER($B$6:$IV$6,$B$5:$IV$5=L$97)),"" "")"),"5")</f>
        <v>5</v>
      </c>
      <c r="M71" s="48" t="str">
        <f>IFERROR(__xludf.DUMMYFUNCTION("IFERROR(TEXTJOIN(""/"",1,FILTER($B$6:$IV$6,$B$5:$IV$5=M$97)),"" "")")," ")</f>
        <v> </v>
      </c>
      <c r="N71" s="48" t="str">
        <f>IFERROR(__xludf.DUMMYFUNCTION("IFERROR(TEXTJOIN(""/"",1,FILTER($B$6:$IV$6,$B$5:$IV$5=N$97)),"" "")")," ")</f>
        <v> </v>
      </c>
      <c r="O71" s="48" t="str">
        <f>IFERROR(__xludf.DUMMYFUNCTION("IFERROR(TEXTJOIN(""/"",1,FILTER($B$6:$IV$6,$B$5:$IV$5=O$97)),"" "")")," ")</f>
        <v> </v>
      </c>
      <c r="P71" s="48" t="str">
        <f>IFERROR(__xludf.DUMMYFUNCTION("IFERROR(TEXTJOIN(""/"",1,FILTER($B$6:$IV$6,$B$5:$IV$5=P$97)),"" "")"),"")</f>
        <v/>
      </c>
      <c r="Q71" s="48" t="str">
        <f>IFERROR(__xludf.DUMMYFUNCTION("IFERROR(TEXTJOIN(""/"",1,FILTER($B$6:$IV$6,$B$5:$IV$5=Q$97)),"" "")")," ")</f>
        <v> </v>
      </c>
      <c r="R71" s="48" t="str">
        <f>IFERROR(__xludf.DUMMYFUNCTION("IFERROR(TEXTJOIN(""/"",1,FILTER($B$6:$IV$6,$B$5:$IV$5=R$97)),"" "")"),"")</f>
        <v/>
      </c>
      <c r="S71" s="48" t="str">
        <f>IFERROR(__xludf.DUMMYFUNCTION("IFERROR(TEXTJOIN(""/"",1,FILTER($B$6:$IV$6,$B$5:$IV$5=S$97)),"" "")")," ")</f>
        <v> </v>
      </c>
      <c r="T71" s="48" t="str">
        <f>IFERROR(__xludf.DUMMYFUNCTION("IFERROR(TEXTJOIN(""/"",1,FILTER($B$6:$IV$6,$B$5:$IV$5=T$97)),"" "")")," ")</f>
        <v> </v>
      </c>
      <c r="U71" s="48" t="str">
        <f>IFERROR(__xludf.DUMMYFUNCTION("IFERROR(TEXTJOIN(""/"",1,FILTER($B$6:$IV$6,$B$5:$IV$5=U$97)),"" "")")," ")</f>
        <v> </v>
      </c>
      <c r="V71" s="48" t="str">
        <f>IFERROR(__xludf.DUMMYFUNCTION("IFERROR(TEXTJOIN(""/"",1,FILTER($B$6:$IV$6,$B$5:$IV$5=V$97)),"" "")")," ")</f>
        <v> </v>
      </c>
      <c r="W71" s="48" t="str">
        <f>IFERROR(__xludf.DUMMYFUNCTION("IFERROR(TEXTJOIN(""/"",1,FILTER($B$6:$IV$6,$B$5:$IV$5=W$97)),"" "")")," ")</f>
        <v> </v>
      </c>
      <c r="X71" s="48" t="str">
        <f>IFERROR(__xludf.DUMMYFUNCTION("IFERROR(TEXTJOIN(""/"",1,FILTER($B$6:$IV$6,$B$5:$IV$5=X$97)),"" "")")," ")</f>
        <v> </v>
      </c>
      <c r="Y71" s="48" t="str">
        <f>IFERROR(__xludf.DUMMYFUNCTION("IFERROR(TEXTJOIN(""/"",1,FILTER($B$6:$IV$6,$B$5:$IV$5=Y$97)),"" "")"),"")</f>
        <v/>
      </c>
      <c r="Z71" s="48" t="str">
        <f>IFERROR(__xludf.DUMMYFUNCTION("IFERROR(TEXTJOIN(""/"",1,FILTER($B$6:$IV$6,$B$5:$IV$5=Z$97)),"" "")")," ")</f>
        <v> </v>
      </c>
      <c r="AA71" s="48" t="str">
        <f>IFERROR(__xludf.DUMMYFUNCTION("IFERROR(TEXTJOIN(""/"",1,FILTER($B$6:$IV$6,$B$5:$IV$5=AA$97)),"" "")")," ")</f>
        <v> </v>
      </c>
      <c r="AB71" s="48" t="str">
        <f>IFERROR(__xludf.DUMMYFUNCTION("IFERROR(TEXTJOIN(""/"",1,FILTER($B$6:$IV$6,$B$5:$IV$5=AB$97)),"" "")")," ")</f>
        <v> </v>
      </c>
      <c r="AC71" s="48" t="str">
        <f>IFERROR(__xludf.DUMMYFUNCTION("IFERROR(TEXTJOIN(""/"",1,FILTER($B$6:$IV$6,$B$5:$IV$5=AC$97)),"" "")")," ")</f>
        <v> </v>
      </c>
      <c r="AD71" s="48" t="str">
        <f>IFERROR(__xludf.DUMMYFUNCTION("IFERROR(TEXTJOIN(""/"",1,FILTER($B$6:$IV$6,$B$5:$IV$5=AD$97)),"" "")"),"4")</f>
        <v>4</v>
      </c>
      <c r="AE71" s="48" t="str">
        <f>IFERROR(__xludf.DUMMYFUNCTION("IFERROR(TEXTJOIN(""/"",1,FILTER($B$6:$IV$6,$B$5:$IV$5=AE$97)),"" "")")," ")</f>
        <v> </v>
      </c>
      <c r="AF71" s="48" t="str">
        <f>IFERROR(__xludf.DUMMYFUNCTION("IFERROR(TEXTJOIN(""/"",1,FILTER($B$6:$IV$6,$B$5:$IV$5=AF$97)),"" "")"),"см")</f>
        <v>см</v>
      </c>
      <c r="AG71" s="48" t="str">
        <f>IFERROR(__xludf.DUMMYFUNCTION("IFERROR(TEXTJOIN(""/"",1,FILTER($B$6:$IV$6,$B$5:$IV$5=AG$97)),"" "")")," ")</f>
        <v> </v>
      </c>
      <c r="AH71" s="48" t="str">
        <f>IFERROR(__xludf.DUMMYFUNCTION("IFERROR(TEXTJOIN(""/"",1,FILTER($B$6:$IV$6,$B$5:$IV$5=AH$97)),"" "")")," ")</f>
        <v> </v>
      </c>
      <c r="AI71" s="48" t="str">
        <f>IFERROR(__xludf.DUMMYFUNCTION("IFERROR(TEXTJOIN(""/"",1,FILTER($B$6:$IV$6,$B$5:$IV$5=AI$97)),"" "")")," ")</f>
        <v> </v>
      </c>
      <c r="AJ71" s="48" t="str">
        <f>IFERROR(__xludf.DUMMYFUNCTION("IFERROR(TEXTJOIN(""/"",1,FILTER($B$6:$IV$6,$B$5:$IV$5=AJ$97)),"" "")")," ")</f>
        <v> </v>
      </c>
      <c r="AK71" s="48" t="str">
        <f>IFERROR(__xludf.DUMMYFUNCTION("IFERROR(TEXTJOIN(""/"",1,FILTER($B$6:$IV$6,$B$5:$IV$5=AK$97)),"" "")"),"")</f>
        <v/>
      </c>
      <c r="AL71" s="48" t="str">
        <f>IFERROR(__xludf.DUMMYFUNCTION("IFERROR(TEXTJOIN(""/"",1,FILTER($B$6:$IV$6,$B$5:$IV$5=AL$97)),"" "")")," ")</f>
        <v> </v>
      </c>
      <c r="AM71" s="48" t="str">
        <f>IFERROR(__xludf.DUMMYFUNCTION("IFERROR(TEXTJOIN(""/"",1,FILTER($B$6:$IV$6,$B$5:$IV$5=AM$97)),"" "")"),"")</f>
        <v/>
      </c>
      <c r="AN71" s="48" t="str">
        <f>IFERROR(__xludf.DUMMYFUNCTION("IFERROR(TEXTJOIN(""/"",1,FILTER($B$6:$IV$6,$B$5:$IV$5=AN$97)),"" "")")," ")</f>
        <v> </v>
      </c>
      <c r="AO71" s="48" t="str">
        <f>IFERROR(__xludf.DUMMYFUNCTION("IFERROR(TEXTJOIN(""/"",1,FILTER($B$6:$IV$6,$B$5:$IV$5=AO$97)),"" "")")," ")</f>
        <v> </v>
      </c>
      <c r="AP71" s="48" t="str">
        <f>IFERROR(__xludf.DUMMYFUNCTION("IFERROR(TEXTJOIN(""/"",1,FILTER($B$6:$IV$6,$B$5:$IV$5=AP$97)),"" "")")," ")</f>
        <v> </v>
      </c>
      <c r="AQ71" s="48" t="str">
        <f>IFERROR(__xludf.DUMMYFUNCTION("IFERROR(TEXTJOIN(""/"",1,FILTER($B$6:$IV$6,$B$5:$IV$5=AQ$97)),"" "")")," ")</f>
        <v> </v>
      </c>
      <c r="AR71" s="48" t="str">
        <f>IFERROR(__xludf.DUMMYFUNCTION("IFERROR(TEXTJOIN(""/"",1,FILTER($B$6:$IV$6,$B$5:$IV$5=AR$97)),"" "")"),"5")</f>
        <v>5</v>
      </c>
      <c r="AS71" s="48" t="str">
        <f>IFERROR(__xludf.DUMMYFUNCTION("IFERROR(TEXTJOIN(""/"",1,FILTER($B$6:$IV$6,$B$5:$IV$5=AS$97)),"" "")")," ")</f>
        <v> </v>
      </c>
      <c r="AT71" s="48" t="str">
        <f>IFERROR(__xludf.DUMMYFUNCTION("IFERROR(TEXTJOIN(""/"",1,FILTER($B$6:$IV$6,$B$5:$IV$5=AT$97)),"" "")"),"5")</f>
        <v>5</v>
      </c>
      <c r="AU71" s="48" t="str">
        <f>IFERROR(__xludf.DUMMYFUNCTION("IFERROR(TEXTJOIN(""/"",1,FILTER($B$6:$IV$6,$B$5:$IV$5=AU$97)),"" "")")," ")</f>
        <v> </v>
      </c>
      <c r="AV71" s="48" t="str">
        <f>IFERROR(__xludf.DUMMYFUNCTION("IFERROR(TEXTJOIN(""/"",1,FILTER($B$6:$IV$6,$B$5:$IV$5=AV$97)),"" "")")," ")</f>
        <v> </v>
      </c>
      <c r="AW71" s="48" t="str">
        <f>IFERROR(__xludf.DUMMYFUNCTION("IFERROR(TEXTJOIN(""/"",1,FILTER($B$6:$IV$6,$B$5:$IV$5=AW$97)),"" "")")," ")</f>
        <v> </v>
      </c>
      <c r="AX71" s="48" t="str">
        <f>IFERROR(__xludf.DUMMYFUNCTION("IFERROR(TEXTJOIN(""/"",1,FILTER($B$6:$IV$6,$B$5:$IV$5=AX$97)),"" "")")," ")</f>
        <v> </v>
      </c>
      <c r="AY71" s="48" t="str">
        <f>IFERROR(__xludf.DUMMYFUNCTION("IFERROR(TEXTJOIN(""/"",1,FILTER($B$6:$IV$6,$B$5:$IV$5=AY$97)),"" "")"),"")</f>
        <v/>
      </c>
      <c r="AZ71" s="48" t="str">
        <f>IFERROR(__xludf.DUMMYFUNCTION("IFERROR(TEXTJOIN(""/"",1,FILTER($B$6:$IV$6,$B$5:$IV$5=AZ$97)),"" "")")," ")</f>
        <v> </v>
      </c>
      <c r="BA71" s="48" t="str">
        <f>IFERROR(__xludf.DUMMYFUNCTION("IFERROR(TEXTJOIN(""/"",1,FILTER($B$6:$IV$6,$B$5:$IV$5=BA$97)),"" "")"),"")</f>
        <v/>
      </c>
      <c r="BB71" s="48" t="str">
        <f>IFERROR(__xludf.DUMMYFUNCTION("IFERROR(TEXTJOIN(""/"",1,FILTER($B$6:$IV$6,$B$5:$IV$5=BB$97)),"" "")"),"5")</f>
        <v>5</v>
      </c>
      <c r="BC71" s="48" t="str">
        <f>IFERROR(__xludf.DUMMYFUNCTION("IFERROR(TEXTJOIN(""/"",1,FILTER($B$6:$IV$6,$B$5:$IV$5=BC$97)),"" "")")," ")</f>
        <v> </v>
      </c>
      <c r="BD71" s="48" t="str">
        <f>IFERROR(__xludf.DUMMYFUNCTION("IFERROR(TEXTJOIN(""/"",1,FILTER($B$6:$IV$6,$B$5:$IV$5=BD$97)),"" "")")," ")</f>
        <v> </v>
      </c>
      <c r="BE71" s="48" t="str">
        <f>IFERROR(__xludf.DUMMYFUNCTION("IFERROR(TEXTJOIN(""/"",1,FILTER($B$6:$IV$6,$B$5:$IV$5=BE$97)),"" "")")," ")</f>
        <v> </v>
      </c>
      <c r="BF71" s="48" t="str">
        <f>IFERROR(__xludf.DUMMYFUNCTION("IFERROR(TEXTJOIN(""/"",1,FILTER($B$6:$IV$6,$B$5:$IV$5=BF$97)),"" "")")," ")</f>
        <v> </v>
      </c>
      <c r="BG71" s="48" t="str">
        <f>IFERROR(__xludf.DUMMYFUNCTION("IFERROR(TEXTJOIN(""/"",1,FILTER($B$6:$IV$6,$B$5:$IV$5=BG$97)),"" "")")," ")</f>
        <v> </v>
      </c>
      <c r="BH71" s="48" t="str">
        <f>IFERROR(__xludf.DUMMYFUNCTION("IFERROR(TEXTJOIN(""/"",1,FILTER($B$6:$IV$6,$B$5:$IV$5=BH$97)),"" "")"),"4")</f>
        <v>4</v>
      </c>
      <c r="BI71" s="48" t="str">
        <f>IFERROR(__xludf.DUMMYFUNCTION("IFERROR(TEXTJOIN(""/"",1,FILTER($B$6:$IV$6,$B$5:$IV$5=BI$97)),"" "")"),"4")</f>
        <v>4</v>
      </c>
      <c r="BJ71" s="48" t="str">
        <f>IFERROR(__xludf.DUMMYFUNCTION("IFERROR(TEXTJOIN(""/"",1,FILTER($B$6:$IV$6,$B$5:$IV$5=BJ$97)),"" "")")," ")</f>
        <v> </v>
      </c>
      <c r="BK71" s="48" t="str">
        <f>IFERROR(__xludf.DUMMYFUNCTION("IFERROR(TEXTJOIN(""/"",1,FILTER($B$6:$IV$6,$B$5:$IV$5=BK$97)),"" "")")," ")</f>
        <v> </v>
      </c>
      <c r="BL71" s="48" t="str">
        <f>IFERROR(__xludf.DUMMYFUNCTION("IFERROR(TEXTJOIN(""/"",1,FILTER($B$6:$IV$6,$B$5:$IV$5=BL$97)),"" "")")," ")</f>
        <v> </v>
      </c>
      <c r="BM71" s="48" t="str">
        <f>IFERROR(__xludf.DUMMYFUNCTION("IFERROR(TEXTJOIN(""/"",1,FILTER($B$6:$IV$6,$B$5:$IV$5=BM$97)),"" "")")," ")</f>
        <v> </v>
      </c>
      <c r="BN71" s="48" t="str">
        <f>IFERROR(__xludf.DUMMYFUNCTION("IFERROR(TEXTJOIN(""/"",1,FILTER($B$6:$IV$6,$B$5:$IV$5=BN$97)),"" "")")," ")</f>
        <v> </v>
      </c>
      <c r="BO71" s="48" t="str">
        <f>IFERROR(__xludf.DUMMYFUNCTION("IFERROR(TEXTJOIN(""/"",1,FILTER($B$6:$IV$6,$B$5:$IV$5=BO$97)),"" "")")," ")</f>
        <v> </v>
      </c>
      <c r="BP71" s="48" t="str">
        <f>IFERROR(__xludf.DUMMYFUNCTION("IFERROR(TEXTJOIN(""/"",1,FILTER($B$6:$IV$6,$B$5:$IV$5=BP$97)),"" "")")," ")</f>
        <v> </v>
      </c>
      <c r="BQ71" s="48" t="str">
        <f>IFERROR(__xludf.DUMMYFUNCTION("IFERROR(TEXTJOIN(""/"",1,FILTER($B$6:$IV$6,$B$5:$IV$5=BQ$97)),"" "")")," ")</f>
        <v> </v>
      </c>
      <c r="BR71" s="48" t="str">
        <f>IFERROR(__xludf.DUMMYFUNCTION("IFERROR(TEXTJOIN(""/"",1,FILTER($B$6:$IV$6,$B$5:$IV$5=BR$97)),"" "")")," ")</f>
        <v> </v>
      </c>
      <c r="BS71" s="48" t="str">
        <f>IFERROR(__xludf.DUMMYFUNCTION("IFERROR(TEXTJOIN(""/"",1,FILTER($B$6:$IV$6,$B$5:$IV$5=BS$97)),"" "")")," ")</f>
        <v> </v>
      </c>
      <c r="BT71" s="48" t="str">
        <f>IFERROR(__xludf.DUMMYFUNCTION("IFERROR(TEXTJOIN(""/"",1,FILTER($B$6:$IV$6,$B$5:$IV$5=BT$97)),"" "")"),"4")</f>
        <v>4</v>
      </c>
      <c r="BU71" s="48" t="str">
        <f>IFERROR(__xludf.DUMMYFUNCTION("IFERROR(TEXTJOIN(""/"",1,FILTER($B$6:$IV$6,$B$5:$IV$5=BU$97)),"" "")")," ")</f>
        <v> </v>
      </c>
      <c r="BV71" s="48" t="str">
        <f>IFERROR(__xludf.DUMMYFUNCTION("IFERROR(TEXTJOIN(""/"",1,FILTER($B$6:$IV$6,$B$5:$IV$5=BV$97)),"" "")"),"5")</f>
        <v>5</v>
      </c>
      <c r="BW71" s="48" t="str">
        <f>IFERROR(__xludf.DUMMYFUNCTION("IFERROR(TEXTJOIN(""/"",1,FILTER($B$6:$IV$6,$B$5:$IV$5=BW$97)),"" "")")," ")</f>
        <v> </v>
      </c>
      <c r="BX71" s="48" t="str">
        <f>IFERROR(__xludf.DUMMYFUNCTION("IFERROR(TEXTJOIN(""/"",1,FILTER($B$6:$IV$6,$B$5:$IV$5=BX$97)),"" "")")," ")</f>
        <v> </v>
      </c>
      <c r="BY71" s="48" t="str">
        <f>IFERROR(__xludf.DUMMYFUNCTION("IFERROR(TEXTJOIN(""/"",1,FILTER($B$6:$IV$6,$B$5:$IV$5=BY$97)),"" "")")," ")</f>
        <v> </v>
      </c>
      <c r="BZ71" s="48" t="str">
        <f>IFERROR(__xludf.DUMMYFUNCTION("IFERROR(TEXTJOIN(""/"",1,FILTER($B$6:$IV$6,$B$5:$IV$5=BZ$97)),"" "")")," ")</f>
        <v> </v>
      </c>
      <c r="CA71" s="48" t="str">
        <f>IFERROR(__xludf.DUMMYFUNCTION("IFERROR(TEXTJOIN(""/"",1,FILTER($B$6:$IV$6,$B$5:$IV$5=CA$97)),"" "")"),"н")</f>
        <v>н</v>
      </c>
      <c r="CB71" s="48" t="str">
        <f>IFERROR(__xludf.DUMMYFUNCTION("IFERROR(TEXTJOIN(""/"",1,FILTER($B$6:$IV$6,$B$5:$IV$5=CB$97)),"" "")")," ")</f>
        <v> </v>
      </c>
      <c r="CC71" s="48" t="str">
        <f>IFERROR(__xludf.DUMMYFUNCTION("IFERROR(TEXTJOIN(""/"",1,FILTER($B$6:$IV$6,$B$5:$IV$5=CC$97)),"" "")"),"2")</f>
        <v>2</v>
      </c>
      <c r="CD71" s="48" t="str">
        <f>IFERROR(__xludf.DUMMYFUNCTION("IFERROR(TEXTJOIN(""/"",1,FILTER($B$6:$IV$6,$B$5:$IV$5=CD$97)),"" "")")," ")</f>
        <v> </v>
      </c>
      <c r="CE71" s="48" t="str">
        <f>IFERROR(__xludf.DUMMYFUNCTION("IFERROR(TEXTJOIN(""/"",1,FILTER($B$6:$IV$6,$B$5:$IV$5=CE$97)),"" "")")," ")</f>
        <v> </v>
      </c>
      <c r="CF71" s="48" t="str">
        <f>IFERROR(__xludf.DUMMYFUNCTION("IFERROR(TEXTJOIN(""/"",1,FILTER($B$6:$IV$6,$B$5:$IV$5=CF$97)),"" "")")," ")</f>
        <v> </v>
      </c>
      <c r="CG71" s="48" t="str">
        <f>IFERROR(__xludf.DUMMYFUNCTION("IFERROR(TEXTJOIN(""/"",1,FILTER($B$6:$IV$6,$B$5:$IV$5=CG$97)),"" "")")," ")</f>
        <v> </v>
      </c>
      <c r="CH71" s="48" t="str">
        <f>IFERROR(__xludf.DUMMYFUNCTION("IFERROR(TEXTJOIN(""/"",1,FILTER($B$6:$IV$6,$B$5:$IV$5=CH$97)),"" "")"),"")</f>
        <v/>
      </c>
      <c r="CI71" s="48" t="str">
        <f>IFERROR(__xludf.DUMMYFUNCTION("IFERROR(TEXTJOIN(""/"",1,FILTER($B$6:$IV$6,$B$5:$IV$5=CI$97)),"" "")")," ")</f>
        <v> </v>
      </c>
      <c r="CJ71" s="48" t="str">
        <f>IFERROR(__xludf.DUMMYFUNCTION("IFERROR(TEXTJOIN(""/"",1,FILTER($B$6:$IV$6,$B$5:$IV$5=CJ$97)),"" "")"),"2")</f>
        <v>2</v>
      </c>
      <c r="CK71" s="48" t="str">
        <f>IFERROR(__xludf.DUMMYFUNCTION("IFERROR(TEXTJOIN(""/"",1,FILTER($B$6:$IV$6,$B$5:$IV$5=CK$97)),"" "")")," ")</f>
        <v> </v>
      </c>
      <c r="CL71" s="48" t="str">
        <f>IFERROR(__xludf.DUMMYFUNCTION("IFERROR(TEXTJOIN(""/"",1,FILTER($B$6:$IV$6,$B$5:$IV$5=CL$97)),"" "")")," ")</f>
        <v> </v>
      </c>
      <c r="CM71" s="48" t="str">
        <f>IFERROR(__xludf.DUMMYFUNCTION("IFERROR(TEXTJOIN(""/"",1,FILTER($B$6:$IV$6,$B$5:$IV$5=CM$97)),"" "")")," ")</f>
        <v> </v>
      </c>
      <c r="CN71" s="48" t="str">
        <f>IFERROR(__xludf.DUMMYFUNCTION("IFERROR(TEXTJOIN(""/"",1,FILTER($B$6:$IV$6,$B$5:$IV$5=CN$97)),"" "")")," ")</f>
        <v> </v>
      </c>
      <c r="CO71" s="48" t="str">
        <f>IFERROR(__xludf.DUMMYFUNCTION("IFERROR(TEXTJOIN(""/"",1,FILTER($B$6:$IV$6,$B$5:$IV$5=CO$97)),"" "")")," ")</f>
        <v> </v>
      </c>
      <c r="CP71" s="48" t="str">
        <f>IFERROR(__xludf.DUMMYFUNCTION("IFERROR(TEXTJOIN(""/"",1,FILTER($B$6:$IV$6,$B$5:$IV$5=CP$97)),"" "")")," ")</f>
        <v> </v>
      </c>
      <c r="CQ71" s="48" t="str">
        <f>IFERROR(__xludf.DUMMYFUNCTION("IFERROR(TEXTJOIN(""/"",1,FILTER($B$6:$IV$6,$B$5:$IV$5=CQ$97)),"" "")"),"")</f>
        <v/>
      </c>
      <c r="CR71" s="48" t="str">
        <f>IFERROR(__xludf.DUMMYFUNCTION("IFERROR(TEXTJOIN(""/"",1,FILTER($B$6:$IV$6,$B$5:$IV$5=CR$97)),"" "")")," ")</f>
        <v> </v>
      </c>
      <c r="CS71" s="48" t="str">
        <f>IFERROR(__xludf.DUMMYFUNCTION("IFERROR(TEXTJOIN(""/"",1,FILTER($B$6:$IV$6,$B$5:$IV$5=CS$97)),"" "")")," ")</f>
        <v> </v>
      </c>
      <c r="CT71" s="48" t="str">
        <f>IFERROR(__xludf.DUMMYFUNCTION("IFERROR(TEXTJOIN(""/"",1,FILTER($B$6:$IV$6,$B$5:$IV$5=CT$97)),"" "")")," ")</f>
        <v> </v>
      </c>
      <c r="CU71" s="48" t="str">
        <f>IFERROR(__xludf.DUMMYFUNCTION("IFERROR(TEXTJOIN(""/"",1,FILTER($B$6:$IV$6,$B$5:$IV$5=CU$97)),"" "")")," ")</f>
        <v> </v>
      </c>
      <c r="CV71" s="48" t="str">
        <f>IFERROR(__xludf.DUMMYFUNCTION("IFERROR(TEXTJOIN(""/"",1,FILTER($B$6:$IV$6,$B$5:$IV$5=CV$97)),"" "")"),"")</f>
        <v/>
      </c>
      <c r="CW71" s="48" t="str">
        <f>IFERROR(__xludf.DUMMYFUNCTION("IFERROR(TEXTJOIN(""/"",1,FILTER($B$6:$IV$6,$B$5:$IV$5=CW$97)),"" "")")," ")</f>
        <v> </v>
      </c>
      <c r="CX71" s="48" t="str">
        <f>IFERROR(__xludf.DUMMYFUNCTION("IFERROR(TEXTJOIN(""/"",1,FILTER($B$6:$IV$6,$B$5:$IV$5=CX$97)),"" "")"),"")</f>
        <v/>
      </c>
      <c r="CY71" s="48" t="str">
        <f>IFERROR(__xludf.DUMMYFUNCTION("IFERROR(TEXTJOIN(""/"",1,FILTER($B$6:$IV$6,$B$5:$IV$5=CY$97)),"" "")")," ")</f>
        <v> </v>
      </c>
      <c r="CZ71" s="48" t="str">
        <f>IFERROR(__xludf.DUMMYFUNCTION("IFERROR(TEXTJOIN(""/"",1,FILTER($B$6:$IV$6,$B$5:$IV$5=CZ$97)),"" "")")," ")</f>
        <v> </v>
      </c>
      <c r="DA71" s="48" t="str">
        <f>IFERROR(__xludf.DUMMYFUNCTION("IFERROR(TEXTJOIN(""/"",1,FILTER($B$6:$IV$6,$B$5:$IV$5=DA$97)),"" "")")," ")</f>
        <v> </v>
      </c>
      <c r="DB71" s="48" t="str">
        <f>IFERROR(__xludf.DUMMYFUNCTION("IFERROR(TEXTJOIN(""/"",1,FILTER($B$6:$IV$6,$B$5:$IV$5=DB$97)),"" "")")," ")</f>
        <v> </v>
      </c>
      <c r="DC71" s="48" t="str">
        <f>IFERROR(__xludf.DUMMYFUNCTION("IFERROR(TEXTJOIN(""/"",1,FILTER($B$6:$IV$6,$B$5:$IV$5=DC$97)),"" "")"),"5")</f>
        <v>5</v>
      </c>
      <c r="DD71" s="48" t="str">
        <f>IFERROR(__xludf.DUMMYFUNCTION("IFERROR(TEXTJOIN(""/"",1,FILTER($B$6:$IV$6,$B$5:$IV$5=DD$97)),"" "")")," ")</f>
        <v> </v>
      </c>
      <c r="DE71" s="48" t="str">
        <f>IFERROR(__xludf.DUMMYFUNCTION("IFERROR(TEXTJOIN(""/"",1,FILTER($B$6:$IV$6,$B$5:$IV$5=DE$97)),"" "")"),"4")</f>
        <v>4</v>
      </c>
      <c r="DF71" s="48" t="str">
        <f>IFERROR(__xludf.DUMMYFUNCTION("IFERROR(TEXTJOIN(""/"",1,FILTER($B$6:$IV$6,$B$5:$IV$5=DF$97)),"" "")")," ")</f>
        <v> </v>
      </c>
      <c r="DG71" s="48" t="str">
        <f>IFERROR(__xludf.DUMMYFUNCTION("IFERROR(TEXTJOIN(""/"",1,FILTER($B$6:$IV$6,$B$5:$IV$5=DG$97)),"" "")")," ")</f>
        <v> </v>
      </c>
      <c r="DH71" s="48" t="str">
        <f>IFERROR(__xludf.DUMMYFUNCTION("IFERROR(TEXTJOIN(""/"",1,FILTER($B$6:$IV$6,$B$5:$IV$5=DH$97)),"" "")")," ")</f>
        <v> </v>
      </c>
      <c r="DI71" s="48" t="str">
        <f>IFERROR(__xludf.DUMMYFUNCTION("IFERROR(TEXTJOIN(""/"",1,FILTER($B$6:$IV$6,$B$5:$IV$5=DI$97)),"" "")")," ")</f>
        <v> </v>
      </c>
      <c r="DJ71" s="48" t="str">
        <f>IFERROR(__xludf.DUMMYFUNCTION("IFERROR(TEXTJOIN(""/"",1,FILTER($B$6:$IV$6,$B$5:$IV$5=DJ$97)),"" "")"),"3")</f>
        <v>3</v>
      </c>
      <c r="DK71" s="48" t="str">
        <f>IFERROR(__xludf.DUMMYFUNCTION("IFERROR(TEXTJOIN(""/"",1,FILTER($B$6:$IV$6,$B$5:$IV$5=DK$97)),"" "")")," ")</f>
        <v> </v>
      </c>
      <c r="DL71" s="48" t="str">
        <f>IFERROR(__xludf.DUMMYFUNCTION("IFERROR(TEXTJOIN(""/"",1,FILTER($B$6:$IV$6,$B$5:$IV$5=DL$97)),"" "")"),"5")</f>
        <v>5</v>
      </c>
      <c r="DM71" s="48" t="str">
        <f>IFERROR(__xludf.DUMMYFUNCTION("IFERROR(TEXTJOIN(""/"",1,FILTER($B$6:$IV$6,$B$5:$IV$5=DM$97)),"" "")")," ")</f>
        <v> </v>
      </c>
      <c r="DN71" s="48" t="str">
        <f>IFERROR(__xludf.DUMMYFUNCTION("IFERROR(TEXTJOIN(""/"",1,FILTER($B$6:$IV$6,$B$5:$IV$5=DN$97)),"" "")")," ")</f>
        <v> </v>
      </c>
      <c r="DO71" s="48" t="str">
        <f>IFERROR(__xludf.DUMMYFUNCTION("IFERROR(TEXTJOIN(""/"",1,FILTER($B$6:$IV$6,$B$5:$IV$5=DO$97)),"" "")")," ")</f>
        <v> </v>
      </c>
      <c r="DP71" s="48" t="str">
        <f>IFERROR(__xludf.DUMMYFUNCTION("IFERROR(TEXTJOIN(""/"",1,FILTER($B$6:$IV$6,$B$5:$IV$5=DP$97)),"" "")")," ")</f>
        <v> </v>
      </c>
      <c r="DQ71" s="48" t="str">
        <f>IFERROR(__xludf.DUMMYFUNCTION("IFERROR(TEXTJOIN(""/"",1,FILTER($B$6:$IV$6,$B$5:$IV$5=DQ$97)),"" "")")," ")</f>
        <v> </v>
      </c>
      <c r="DR71" s="48" t="str">
        <f>IFERROR(__xludf.DUMMYFUNCTION("IFERROR(TEXTJOIN(""/"",1,FILTER($B$6:$IV$6,$B$5:$IV$5=DR$97)),"" "")")," ")</f>
        <v> </v>
      </c>
      <c r="DS71" s="48" t="str">
        <f>IFERROR(__xludf.DUMMYFUNCTION("IFERROR(TEXTJOIN(""/"",1,FILTER($B$6:$IV$6,$B$5:$IV$5=DS$97)),"" "")")," ")</f>
        <v> </v>
      </c>
      <c r="DT71" s="48" t="str">
        <f>IFERROR(__xludf.DUMMYFUNCTION("IFERROR(TEXTJOIN(""/"",1,FILTER($B$6:$IV$6,$B$5:$IV$5=DT$97)),"" "")")," ")</f>
        <v> </v>
      </c>
      <c r="DU71" s="48" t="str">
        <f>IFERROR(__xludf.DUMMYFUNCTION("IFERROR(TEXTJOIN(""/"",1,FILTER($B$6:$IV$6,$B$5:$IV$5=DU$97)),"" "")")," ")</f>
        <v> </v>
      </c>
      <c r="DV71" s="48" t="str">
        <f>IFERROR(__xludf.DUMMYFUNCTION("IFERROR(TEXTJOIN(""/"",1,FILTER($B$6:$IV$6,$B$5:$IV$5=DV$97)),"" "")")," ")</f>
        <v> </v>
      </c>
      <c r="DW71" s="48" t="str">
        <f>IFERROR(__xludf.DUMMYFUNCTION("IFERROR(TEXTJOIN(""/"",1,FILTER($B$6:$IV$6,$B$5:$IV$5=DW$97)),"" "")")," ")</f>
        <v> </v>
      </c>
      <c r="DX71" s="48" t="str">
        <f>IFERROR(__xludf.DUMMYFUNCTION("IFERROR(TEXTJOIN(""/"",1,FILTER($B$6:$IV$6,$B$5:$IV$5=DX$97)),"" "")")," ")</f>
        <v> </v>
      </c>
      <c r="DY71" s="48" t="str">
        <f>IFERROR(__xludf.DUMMYFUNCTION("IFERROR(TEXTJOIN(""/"",1,FILTER($B$6:$IV$6,$B$5:$IV$5=DY$97)),"" "")")," ")</f>
        <v> </v>
      </c>
      <c r="DZ71" s="48" t="str">
        <f>IFERROR(__xludf.DUMMYFUNCTION("IFERROR(TEXTJOIN(""/"",1,FILTER($B$6:$IV$6,$B$5:$IV$5=DZ$97)),"" "")")," ")</f>
        <v> </v>
      </c>
      <c r="EA71" s="48" t="str">
        <f>IFERROR(__xludf.DUMMYFUNCTION("IFERROR(TEXTJOIN(""/"",1,FILTER($B$6:$IV$6,$B$5:$IV$5=EA$97)),"" "")")," ")</f>
        <v> </v>
      </c>
      <c r="EB71" s="48" t="str">
        <f>IFERROR(__xludf.DUMMYFUNCTION("IFERROR(TEXTJOIN(""/"",1,FILTER($B$6:$IV$6,$B$5:$IV$5=EB$97)),"" "")")," ")</f>
        <v> </v>
      </c>
      <c r="EC71" s="48" t="str">
        <f>IFERROR(__xludf.DUMMYFUNCTION("IFERROR(TEXTJOIN(""/"",1,FILTER($B$6:$IV$6,$B$5:$IV$5=EC$97)),"" "")")," ")</f>
        <v> </v>
      </c>
      <c r="ED71" s="48" t="str">
        <f>IFERROR(__xludf.DUMMYFUNCTION("IFERROR(TEXTJOIN(""/"",1,FILTER($B$6:$IV$6,$B$5:$IV$5=ED$97)),"" "")")," ")</f>
        <v> </v>
      </c>
      <c r="EE71" s="48" t="str">
        <f>IFERROR(__xludf.DUMMYFUNCTION("IFERROR(TEXTJOIN(""/"",1,FILTER($B$6:$IV$6,$B$5:$IV$5=EE$97)),"" "")"),"")</f>
        <v/>
      </c>
      <c r="EF71" s="48" t="str">
        <f>IFERROR(__xludf.DUMMYFUNCTION("IFERROR(TEXTJOIN(""/"",1,FILTER($B$6:$IV$6,$B$5:$IV$5=EF$97)),"" "")")," ")</f>
        <v> </v>
      </c>
      <c r="EG71" s="48" t="str">
        <f>IFERROR(__xludf.DUMMYFUNCTION("IFERROR(TEXTJOIN(""/"",1,FILTER($B$6:$IV$6,$B$5:$IV$5=EG$97)),"" "")"),"")</f>
        <v/>
      </c>
      <c r="EH71" s="48" t="str">
        <f>IFERROR(__xludf.DUMMYFUNCTION("IFERROR(TEXTJOIN(""/"",1,FILTER($B$6:$IV$6,$B$5:$IV$5=EH$97)),"" "")")," ")</f>
        <v> </v>
      </c>
      <c r="EI71" s="48" t="str">
        <f>IFERROR(__xludf.DUMMYFUNCTION("IFERROR(TEXTJOIN(""/"",1,FILTER($B$6:$IV$6,$B$5:$IV$5=EI$97)),"" "")")," ")</f>
        <v> </v>
      </c>
      <c r="EJ71" s="48" t="str">
        <f>IFERROR(__xludf.DUMMYFUNCTION("IFERROR(TEXTJOIN(""/"",1,FILTER($B$6:$IV$6,$B$5:$IV$5=EJ$97)),"" "")")," ")</f>
        <v> </v>
      </c>
      <c r="EK71" s="48" t="str">
        <f>IFERROR(__xludf.DUMMYFUNCTION("IFERROR(TEXTJOIN(""/"",1,FILTER($B$6:$IV$6,$B$5:$IV$5=EK$97)),"" "")")," ")</f>
        <v> </v>
      </c>
      <c r="EL71" s="48" t="str">
        <f>IFERROR(__xludf.DUMMYFUNCTION("IFERROR(TEXTJOIN(""/"",1,FILTER($B$6:$IV$6,$B$5:$IV$5=EL$97)),"" "")"),"")</f>
        <v/>
      </c>
      <c r="EM71" s="48" t="str">
        <f>IFERROR(__xludf.DUMMYFUNCTION("IFERROR(TEXTJOIN(""/"",1,FILTER($B$6:$IV$6,$B$5:$IV$5=EM$97)),"" "")")," ")</f>
        <v> </v>
      </c>
      <c r="EN71" s="48" t="str">
        <f>IFERROR(__xludf.DUMMYFUNCTION("IFERROR(TEXTJOIN(""/"",1,FILTER($B$6:$IV$6,$B$5:$IV$5=EN$97)),"" "")"),"2")</f>
        <v>2</v>
      </c>
      <c r="EO71" s="48" t="str">
        <f>IFERROR(__xludf.DUMMYFUNCTION("IFERROR(TEXTJOIN(""/"",1,FILTER($B$6:$IV$6,$B$5:$IV$5=EO$97)),"" "")")," ")</f>
        <v> </v>
      </c>
      <c r="EP71" s="48" t="str">
        <f>IFERROR(__xludf.DUMMYFUNCTION("IFERROR(TEXTJOIN(""/"",1,FILTER($B$6:$IV$6,$B$5:$IV$5=EP$97)),"" "")")," ")</f>
        <v> </v>
      </c>
      <c r="EQ71" s="48" t="str">
        <f>IFERROR(__xludf.DUMMYFUNCTION("IFERROR(TEXTJOIN(""/"",1,FILTER($B$6:$IV$6,$B$5:$IV$5=EQ$97)),"" "")")," ")</f>
        <v> </v>
      </c>
      <c r="ER71" s="48" t="str">
        <f>IFERROR(__xludf.DUMMYFUNCTION("IFERROR(TEXTJOIN(""/"",1,FILTER($B$6:$IV$6,$B$5:$IV$5=ER$97)),"" "")")," ")</f>
        <v> </v>
      </c>
      <c r="ES71" s="48" t="str">
        <f>IFERROR(__xludf.DUMMYFUNCTION("IFERROR(TEXTJOIN(""/"",1,FILTER($B$6:$IV$6,$B$5:$IV$5=ES$97)),"" "")"),"")</f>
        <v/>
      </c>
      <c r="ET71" s="48" t="str">
        <f>IFERROR(__xludf.DUMMYFUNCTION("IFERROR(TEXTJOIN(""/"",1,FILTER($B$6:$IV$6,$B$5:$IV$5=ET$97)),"" "")")," ")</f>
        <v> </v>
      </c>
      <c r="EU71" s="48" t="str">
        <f>IFERROR(__xludf.DUMMYFUNCTION("IFERROR(TEXTJOIN(""/"",1,FILTER($B$6:$IV$6,$B$5:$IV$5=EU$97)),"" "")"),"2")</f>
        <v>2</v>
      </c>
      <c r="EV71" s="48" t="str">
        <f>IFERROR(__xludf.DUMMYFUNCTION("IFERROR(TEXTJOIN(""/"",1,FILTER($B$6:$IV$6,$B$5:$IV$5=EV$97)),"" "")")," ")</f>
        <v> </v>
      </c>
      <c r="EW71" s="48" t="str">
        <f>IFERROR(__xludf.DUMMYFUNCTION("IFERROR(TEXTJOIN(""/"",1,FILTER($B$6:$IV$6,$B$5:$IV$5=EW$97)),"" "")")," ")</f>
        <v> </v>
      </c>
      <c r="EX71" s="48" t="str">
        <f>IFERROR(__xludf.DUMMYFUNCTION("IFERROR(TEXTJOIN(""/"",1,FILTER($B$6:$IV$6,$B$5:$IV$5=EX$97)),"" "")")," ")</f>
        <v> </v>
      </c>
      <c r="EY71" s="48" t="str">
        <f>IFERROR(__xludf.DUMMYFUNCTION("IFERROR(TEXTJOIN(""/"",1,FILTER($B$6:$IV$6,$B$5:$IV$5=EY$97)),"" "")")," ")</f>
        <v> </v>
      </c>
      <c r="EZ71" s="48" t="str">
        <f>IFERROR(__xludf.DUMMYFUNCTION("IFERROR(TEXTJOIN(""/"",1,FILTER($B$6:$IV$6,$B$5:$IV$5=EZ$97)),"" "")"),"5")</f>
        <v>5</v>
      </c>
      <c r="FA71" s="48" t="str">
        <f>IFERROR(__xludf.DUMMYFUNCTION("IFERROR(TEXTJOIN(""/"",1,FILTER($B$6:$IV$6,$B$5:$IV$5=FA$97)),"" "")")," ")</f>
        <v> </v>
      </c>
      <c r="FB71" s="48" t="str">
        <f>IFERROR(__xludf.DUMMYFUNCTION("IFERROR(TEXTJOIN(""/"",1,FILTER($B$6:$IV$6,$B$5:$IV$5=FB$97)),"" "")"),"5")</f>
        <v>5</v>
      </c>
      <c r="FC71" s="48" t="str">
        <f>IFERROR(__xludf.DUMMYFUNCTION("IFERROR(TEXTJOIN(""/"",1,FILTER($B$6:$IV$6,$B$5:$IV$5=FC$97)),"" "")")," ")</f>
        <v> </v>
      </c>
      <c r="FD71" s="48" t="str">
        <f>IFERROR(__xludf.DUMMYFUNCTION("IFERROR(TEXTJOIN(""/"",1,FILTER($B$6:$IV$6,$B$5:$IV$5=FD$97)),"" "")")," ")</f>
        <v> </v>
      </c>
      <c r="FE71" s="48" t="str">
        <f>IFERROR(__xludf.DUMMYFUNCTION("IFERROR(TEXTJOIN(""/"",1,FILTER($B$6:$IV$6,$B$5:$IV$5=FE$97)),"" "")")," ")</f>
        <v> </v>
      </c>
      <c r="FF71" s="48" t="str">
        <f>IFERROR(__xludf.DUMMYFUNCTION("IFERROR(TEXTJOIN(""/"",1,FILTER($B$6:$IV$6,$B$5:$IV$5=FF$97)),"" "")")," ")</f>
        <v> </v>
      </c>
      <c r="FG71" s="48" t="str">
        <f>IFERROR(__xludf.DUMMYFUNCTION("IFERROR(TEXTJOIN(""/"",1,FILTER($B$6:$IV$6,$B$5:$IV$5=FG$97)),"" "")"),"5")</f>
        <v>5</v>
      </c>
      <c r="FH71" s="48" t="str">
        <f>IFERROR(__xludf.DUMMYFUNCTION("IFERROR(TEXTJOIN(""/"",1,FILTER($B$6:$IV$6,$B$5:$IV$5=FH$97)),"" "")")," ")</f>
        <v> </v>
      </c>
      <c r="FI71" s="48" t="str">
        <f>IFERROR(__xludf.DUMMYFUNCTION("IFERROR(TEXTJOIN(""/"",1,FILTER($B$6:$IV$6,$B$5:$IV$5=FI$97)),"" "")"),"5")</f>
        <v>5</v>
      </c>
      <c r="FJ71" s="48" t="str">
        <f>IFERROR(__xludf.DUMMYFUNCTION("IFERROR(TEXTJOIN(""/"",1,FILTER($B$6:$IV$6,$B$5:$IV$5=FJ$97)),"" "")")," ")</f>
        <v> </v>
      </c>
      <c r="FK71" s="48" t="str">
        <f>IFERROR(__xludf.DUMMYFUNCTION("IFERROR(TEXTJOIN(""/"",1,FILTER($B$6:$IV$6,$B$5:$IV$5=FK$97)),"" "")")," ")</f>
        <v> </v>
      </c>
      <c r="FL71" s="48" t="str">
        <f>IFERROR(__xludf.DUMMYFUNCTION("IFERROR(TEXTJOIN(""/"",1,FILTER($B$6:$IV$6,$B$5:$IV$5=FL$97)),"" "")")," ")</f>
        <v> </v>
      </c>
      <c r="FM71" s="48" t="str">
        <f>IFERROR(__xludf.DUMMYFUNCTION("IFERROR(TEXTJOIN(""/"",1,FILTER($B$6:$IV$6,$B$5:$IV$5=FM$97)),"" "")")," ")</f>
        <v> </v>
      </c>
      <c r="FN71" s="48" t="str">
        <f>IFERROR(__xludf.DUMMYFUNCTION("IFERROR(TEXTJOIN(""/"",1,FILTER($B$6:$IV$6,$B$5:$IV$5=FN$97)),"" "")"),"5")</f>
        <v>5</v>
      </c>
      <c r="FO71" s="48" t="str">
        <f>IFERROR(__xludf.DUMMYFUNCTION("IFERROR(TEXTJOIN(""/"",1,FILTER($B$6:$IV$6,$B$5:$IV$5=FO$97)),"" "")")," ")</f>
        <v> </v>
      </c>
      <c r="FP71" s="48" t="str">
        <f>IFERROR(__xludf.DUMMYFUNCTION("IFERROR(TEXTJOIN(""/"",1,FILTER($B$6:$IV$6,$B$5:$IV$5=FP$97)),"" "")"),"")</f>
        <v/>
      </c>
      <c r="FQ71" s="48" t="str">
        <f>IFERROR(__xludf.DUMMYFUNCTION("IFERROR(TEXTJOIN(""/"",1,FILTER($B$6:$IV$6,$B$5:$IV$5=FQ$97)),"" "")")," ")</f>
        <v> </v>
      </c>
      <c r="FR71" s="48" t="str">
        <f>IFERROR(__xludf.DUMMYFUNCTION("IFERROR(TEXTJOIN(""/"",1,FILTER($B$6:$IV$6,$B$5:$IV$5=FR$97)),"" "")")," ")</f>
        <v> </v>
      </c>
      <c r="FS71" s="48" t="str">
        <f>IFERROR(__xludf.DUMMYFUNCTION("IFERROR(TEXTJOIN(""/"",1,FILTER($B$6:$IV$6,$B$5:$IV$5=FS$97)),"" "")")," ")</f>
        <v> </v>
      </c>
      <c r="FT71" s="48" t="str">
        <f>IFERROR(__xludf.DUMMYFUNCTION("IFERROR(TEXTJOIN(""/"",1,FILTER($B$6:$IV$6,$B$5:$IV$5=FT$97)),"" "")")," ")</f>
        <v> </v>
      </c>
      <c r="FU71" s="48" t="str">
        <f>IFERROR(__xludf.DUMMYFUNCTION("IFERROR(TEXTJOIN(""/"",1,FILTER($B$6:$IV$6,$B$5:$IV$5=FU$97)),"" "")"),"5")</f>
        <v>5</v>
      </c>
      <c r="FV71" s="48" t="str">
        <f>IFERROR(__xludf.DUMMYFUNCTION("IFERROR(TEXTJOIN(""/"",1,FILTER($B$6:$IV$6,$B$5:$IV$5=FV$97)),"" "")")," ")</f>
        <v> </v>
      </c>
      <c r="FW71" s="48" t="str">
        <f>IFERROR(__xludf.DUMMYFUNCTION("IFERROR(TEXTJOIN(""/"",1,FILTER($B$6:$IV$6,$B$5:$IV$5=FW$97)),"" "")"),"")</f>
        <v/>
      </c>
      <c r="FX71" s="48" t="str">
        <f>IFERROR(__xludf.DUMMYFUNCTION("IFERROR(TEXTJOIN(""/"",1,FILTER($B$6:$IV$6,$B$5:$IV$5=FX$97)),"" "")")," ")</f>
        <v> </v>
      </c>
      <c r="FY71" s="48" t="str">
        <f>IFERROR(__xludf.DUMMYFUNCTION("IFERROR(TEXTJOIN(""/"",1,FILTER($B$6:$IV$6,$B$5:$IV$5=FY$97)),"" "")")," ")</f>
        <v> </v>
      </c>
      <c r="FZ71" s="48" t="str">
        <f>IFERROR(__xludf.DUMMYFUNCTION("IFERROR(TEXTJOIN(""/"",1,FILTER($B$6:$IV$6,$B$5:$IV$5=FZ$97)),"" "")")," ")</f>
        <v> </v>
      </c>
      <c r="GA71" s="48" t="str">
        <f>IFERROR(__xludf.DUMMYFUNCTION("IFERROR(TEXTJOIN(""/"",1,FILTER($B$6:$IV$6,$B$5:$IV$5=GA$97)),"" "")")," ")</f>
        <v> </v>
      </c>
      <c r="GB71" s="48" t="str">
        <f>IFERROR(__xludf.DUMMYFUNCTION("IFERROR(TEXTJOIN(""/"",1,FILTER($B$6:$IV$6,$B$5:$IV$5=GB$97)),"" "")"),"")</f>
        <v/>
      </c>
      <c r="GC71" s="48" t="str">
        <f>IFERROR(__xludf.DUMMYFUNCTION("IFERROR(TEXTJOIN(""/"",1,FILTER($B$6:$IV$6,$B$5:$IV$5=GC$97)),"" "")")," ")</f>
        <v> </v>
      </c>
      <c r="GD71" s="48" t="str">
        <f>IFERROR(__xludf.DUMMYFUNCTION("IFERROR(TEXTJOIN(""/"",1,FILTER($B$6:$IV$6,$B$5:$IV$5=GD$97)),"" "")"),"")</f>
        <v/>
      </c>
      <c r="GE71" s="48" t="str">
        <f>IFERROR(__xludf.DUMMYFUNCTION("IFERROR(TEXTJOIN(""/"",1,FILTER($B$6:$IV$6,$B$5:$IV$5=GE$97)),"" "")")," ")</f>
        <v> </v>
      </c>
      <c r="GF71" s="48" t="str">
        <f>IFERROR(__xludf.DUMMYFUNCTION("IFERROR(TEXTJOIN(""/"",1,FILTER($B$6:$IV$6,$B$5:$IV$5=GF$97)),"" "")")," ")</f>
        <v> </v>
      </c>
      <c r="GG71" s="48" t="str">
        <f>IFERROR(__xludf.DUMMYFUNCTION("IFERROR(TEXTJOIN(""/"",1,FILTER($B$6:$IV$6,$B$5:$IV$5=GG$97)),"" "")")," ")</f>
        <v> </v>
      </c>
      <c r="GH71" s="48" t="str">
        <f>IFERROR(__xludf.DUMMYFUNCTION("IFERROR(TEXTJOIN(""/"",1,FILTER($B$6:$IV$6,$B$5:$IV$5=GH$97)),"" "")")," ")</f>
        <v> </v>
      </c>
      <c r="GI71" s="48" t="str">
        <f>IFERROR(__xludf.DUMMYFUNCTION("IFERROR(TEXTJOIN(""/"",1,FILTER($B$6:$IV$6,$B$5:$IV$5=GI$97)),"" "")"),"")</f>
        <v/>
      </c>
      <c r="GJ71" s="48" t="str">
        <f>IFERROR(__xludf.DUMMYFUNCTION("IFERROR(TEXTJOIN(""/"",1,FILTER($B$6:$IV$6,$B$5:$IV$5=GJ$97)),"" "")")," ")</f>
        <v> </v>
      </c>
      <c r="GK71" s="48" t="str">
        <f>IFERROR(__xludf.DUMMYFUNCTION("IFERROR(TEXTJOIN(""/"",1,FILTER($B$6:$IV$6,$B$5:$IV$5=GK$97)),"" "")"),"4")</f>
        <v>4</v>
      </c>
      <c r="GL71" s="48" t="str">
        <f>IFERROR(__xludf.DUMMYFUNCTION("IFERROR(TEXTJOIN(""/"",1,FILTER($B$6:$IV$6,$B$5:$IV$5=GL$97)),"" "")")," ")</f>
        <v> </v>
      </c>
      <c r="GM71" s="48" t="str">
        <f>IFERROR(__xludf.DUMMYFUNCTION("IFERROR(TEXTJOIN(""/"",1,FILTER($B$6:$IV$6,$B$5:$IV$5=GM$97)),"" "")")," ")</f>
        <v> </v>
      </c>
      <c r="GN71" s="48" t="str">
        <f>IFERROR(__xludf.DUMMYFUNCTION("IFERROR(TEXTJOIN(""/"",1,FILTER($B$6:$IV$6,$B$5:$IV$5=GN$97)),"" "")")," ")</f>
        <v> </v>
      </c>
      <c r="GO71" s="48" t="str">
        <f>IFERROR(__xludf.DUMMYFUNCTION("IFERROR(TEXTJOIN(""/"",1,FILTER($B$6:$IV$6,$B$5:$IV$5=GO$97)),"" "")")," ")</f>
        <v> </v>
      </c>
      <c r="GP71" s="48" t="str">
        <f>IFERROR(__xludf.DUMMYFUNCTION("IFERROR(TEXTJOIN(""/"",1,FILTER($B$6:$IV$6,$B$5:$IV$5=GP$97)),"" "")")," ")</f>
        <v> </v>
      </c>
      <c r="GQ71" s="48" t="str">
        <f>IFERROR(__xludf.DUMMYFUNCTION("IFERROR(TEXTJOIN(""/"",1,FILTER($B$6:$IV$6,$B$5:$IV$5=GQ$97)),"" "")")," ")</f>
        <v> </v>
      </c>
      <c r="GR71" s="48" t="str">
        <f>IFERROR(__xludf.DUMMYFUNCTION("IFERROR(TEXTJOIN(""/"",1,FILTER($B$6:$IV$6,$B$5:$IV$5=GR$97)),"" "")")," ")</f>
        <v> </v>
      </c>
      <c r="GS71" s="48" t="str">
        <f>IFERROR(__xludf.DUMMYFUNCTION("IFERROR(TEXTJOIN(""/"",1,FILTER($B$6:$IV$6,$B$5:$IV$5=GS$97)),"" "")")," ")</f>
        <v> </v>
      </c>
      <c r="GT71" s="48" t="str">
        <f>IFERROR(__xludf.DUMMYFUNCTION("IFERROR(TEXTJOIN(""/"",1,FILTER($B$6:$IV$6,$B$5:$IV$5=GT$97)),"" "")")," ")</f>
        <v> </v>
      </c>
      <c r="GU71" s="48" t="str">
        <f>IFERROR(__xludf.DUMMYFUNCTION("IFERROR(TEXTJOIN(""/"",1,FILTER($B$6:$IV$6,$B$5:$IV$5=GU$97)),"" "")")," ")</f>
        <v> </v>
      </c>
      <c r="GV71" s="48" t="str">
        <f>IFERROR(__xludf.DUMMYFUNCTION("IFERROR(TEXTJOIN(""/"",1,FILTER($B$6:$IV$6,$B$5:$IV$5=GV$97)),"" "")")," ")</f>
        <v> </v>
      </c>
      <c r="GW71" s="48" t="str">
        <f>IFERROR(__xludf.DUMMYFUNCTION("IFERROR(TEXTJOIN(""/"",1,FILTER($B$6:$IV$6,$B$5:$IV$5=GW$97)),"" "")")," ")</f>
        <v> </v>
      </c>
      <c r="GX71" s="48" t="str">
        <f>IFERROR(__xludf.DUMMYFUNCTION("IFERROR(TEXTJOIN(""/"",1,FILTER($B$6:$IV$6,$B$5:$IV$5=GX$97)),"" "")")," ")</f>
        <v> </v>
      </c>
      <c r="GY71" s="48" t="str">
        <f>IFERROR(__xludf.DUMMYFUNCTION("IFERROR(TEXTJOIN(""/"",1,FILTER($B$6:$IV$6,$B$5:$IV$5=GY$97)),"" "")")," ")</f>
        <v> </v>
      </c>
      <c r="GZ71" s="48" t="str">
        <f>IFERROR(__xludf.DUMMYFUNCTION("IFERROR(TEXTJOIN(""/"",1,FILTER($B$6:$IV$6,$B$5:$IV$5=GZ$97)),"" "")")," ")</f>
        <v> </v>
      </c>
      <c r="HA71" s="48" t="str">
        <f>IFERROR(__xludf.DUMMYFUNCTION("IFERROR(TEXTJOIN(""/"",1,FILTER($B$6:$IV$6,$B$5:$IV$5=HA$97)),"" "")")," ")</f>
        <v> </v>
      </c>
      <c r="HB71" s="48" t="str">
        <f>IFERROR(__xludf.DUMMYFUNCTION("IFERROR(TEXTJOIN(""/"",1,FILTER($B$6:$IV$6,$B$5:$IV$5=HB$97)),"" "")")," ")</f>
        <v> </v>
      </c>
      <c r="HC71" s="48" t="str">
        <f>IFERROR(__xludf.DUMMYFUNCTION("IFERROR(TEXTJOIN(""/"",1,FILTER($B$6:$IV$6,$B$5:$IV$5=HC$97)),"" "")")," ")</f>
        <v> </v>
      </c>
      <c r="HD71" s="48" t="str">
        <f>IFERROR(__xludf.DUMMYFUNCTION("IFERROR(TEXTJOIN(""/"",1,FILTER($B$6:$IV$6,$B$5:$IV$5=HD$97)),"" "")")," ")</f>
        <v> </v>
      </c>
      <c r="HE71" s="48" t="str">
        <f>IFERROR(__xludf.DUMMYFUNCTION("IFERROR(TEXTJOIN(""/"",1,FILTER($B$6:$IV$6,$B$5:$IV$5=HE$97)),"" "")")," ")</f>
        <v> </v>
      </c>
      <c r="HF71" s="48" t="str">
        <f>IFERROR(__xludf.DUMMYFUNCTION("IFERROR(TEXTJOIN(""/"",1,FILTER($B$6:$IV$6,$B$5:$IV$5=HF$97)),"" "")")," ")</f>
        <v> </v>
      </c>
      <c r="HG71" s="48" t="str">
        <f>IFERROR(__xludf.DUMMYFUNCTION("IFERROR(TEXTJOIN(""/"",1,FILTER($B$6:$IV$6,$B$5:$IV$5=HG$97)),"" "")")," ")</f>
        <v> </v>
      </c>
      <c r="HH71" s="48" t="str">
        <f>IFERROR(__xludf.DUMMYFUNCTION("IFERROR(TEXTJOIN(""/"",1,FILTER($B$6:$IV$6,$B$5:$IV$5=HH$97)),"" "")")," ")</f>
        <v> </v>
      </c>
      <c r="HI71" s="48" t="str">
        <f>IFERROR(__xludf.DUMMYFUNCTION("IFERROR(TEXTJOIN(""/"",1,FILTER($B$6:$IV$6,$B$5:$IV$5=HI$97)),"" "")")," ")</f>
        <v> </v>
      </c>
      <c r="HJ71" s="48" t="str">
        <f>IFERROR(__xludf.DUMMYFUNCTION("IFERROR(TEXTJOIN(""/"",1,FILTER($B$6:$IV$6,$B$5:$IV$5=HJ$97)),"" "")")," ")</f>
        <v> </v>
      </c>
      <c r="HK71" s="48" t="str">
        <f>IFERROR(__xludf.DUMMYFUNCTION("IFERROR(TEXTJOIN(""/"",1,FILTER($B$6:$IV$6,$B$5:$IV$5=HK$97)),"" "")")," ")</f>
        <v> </v>
      </c>
      <c r="HL71" s="48" t="str">
        <f>IFERROR(__xludf.DUMMYFUNCTION("IFERROR(TEXTJOIN(""/"",1,FILTER($B$6:$IV$6,$B$5:$IV$5=HL$97)),"" "")")," ")</f>
        <v> </v>
      </c>
      <c r="HM71" s="48" t="str">
        <f>IFERROR(__xludf.DUMMYFUNCTION("IFERROR(TEXTJOIN(""/"",1,FILTER($B$6:$IV$6,$B$5:$IV$5=HM$97)),"" "")")," ")</f>
        <v> </v>
      </c>
      <c r="HN71" s="48" t="str">
        <f>IFERROR(__xludf.DUMMYFUNCTION("IFERROR(TEXTJOIN(""/"",1,FILTER($B$6:$IV$6,$B$5:$IV$5=HN$97)),"" "")")," ")</f>
        <v> </v>
      </c>
      <c r="HO71" s="48" t="str">
        <f>IFERROR(__xludf.DUMMYFUNCTION("IFERROR(TEXTJOIN(""/"",1,FILTER($B$6:$IV$6,$B$5:$IV$5=HO$97)),"" "")")," ")</f>
        <v> </v>
      </c>
      <c r="HP71" s="48" t="str">
        <f>IFERROR(__xludf.DUMMYFUNCTION("IFERROR(TEXTJOIN(""/"",1,FILTER($B$6:$IV$6,$B$5:$IV$5=HP$97)),"" "")")," ")</f>
        <v> </v>
      </c>
      <c r="HQ71" s="48" t="str">
        <f>IFERROR(__xludf.DUMMYFUNCTION("IFERROR(TEXTJOIN(""/"",1,FILTER($B$6:$IV$6,$B$5:$IV$5=HQ$97)),"" "")")," ")</f>
        <v> </v>
      </c>
      <c r="HR71" s="48" t="str">
        <f>IFERROR(__xludf.DUMMYFUNCTION("IFERROR(TEXTJOIN(""/"",1,FILTER($B$6:$IV$6,$B$5:$IV$5=HR$97)),"" "")")," ")</f>
        <v> </v>
      </c>
      <c r="HS71" s="48" t="str">
        <f>IFERROR(__xludf.DUMMYFUNCTION("IFERROR(TEXTJOIN(""/"",1,FILTER($B$6:$IV$6,$B$5:$IV$5=HS$97)),"" "")")," ")</f>
        <v> </v>
      </c>
      <c r="HT71" s="48" t="str">
        <f>IFERROR(__xludf.DUMMYFUNCTION("IFERROR(TEXTJOIN(""/"",1,FILTER($B$6:$IV$6,$B$5:$IV$5=HT$97)),"" "")")," ")</f>
        <v> </v>
      </c>
      <c r="HU71" s="48" t="str">
        <f>IFERROR(__xludf.DUMMYFUNCTION("IFERROR(TEXTJOIN(""/"",1,FILTER($B$6:$IV$6,$B$5:$IV$5=HU$97)),"" "")")," ")</f>
        <v> </v>
      </c>
      <c r="HV71" s="48" t="str">
        <f>IFERROR(__xludf.DUMMYFUNCTION("IFERROR(TEXTJOIN(""/"",1,FILTER($B$6:$IV$6,$B$5:$IV$5=HV$97)),"" "")")," ")</f>
        <v> </v>
      </c>
      <c r="HW71" s="48" t="str">
        <f>IFERROR(__xludf.DUMMYFUNCTION("IFERROR(TEXTJOIN(""/"",1,FILTER($B$6:$IV$6,$B$5:$IV$5=HW$97)),"" "")")," ")</f>
        <v> </v>
      </c>
      <c r="HX71" s="48" t="str">
        <f>IFERROR(__xludf.DUMMYFUNCTION("IFERROR(TEXTJOIN(""/"",1,FILTER($B$6:$IV$6,$B$5:$IV$5=HX$97)),"" "")")," ")</f>
        <v> </v>
      </c>
      <c r="HY71" s="48" t="str">
        <f>IFERROR(__xludf.DUMMYFUNCTION("IFERROR(TEXTJOIN(""/"",1,FILTER($B$6:$IV$6,$B$5:$IV$5=HY$97)),"" "")")," ")</f>
        <v> </v>
      </c>
      <c r="HZ71" s="48" t="str">
        <f>IFERROR(__xludf.DUMMYFUNCTION("IFERROR(TEXTJOIN(""/"",1,FILTER($B$6:$IV$6,$B$5:$IV$5=HZ$97)),"" "")")," ")</f>
        <v> </v>
      </c>
      <c r="IA71" s="48" t="str">
        <f>IFERROR(__xludf.DUMMYFUNCTION("IFERROR(TEXTJOIN(""/"",1,FILTER($B$6:$IV$6,$B$5:$IV$5=IA$97)),"" "")")," ")</f>
        <v> </v>
      </c>
      <c r="IB71" s="48" t="str">
        <f>IFERROR(__xludf.DUMMYFUNCTION("IFERROR(TEXTJOIN(""/"",1,FILTER($B$6:$IV$6,$B$5:$IV$5=IB$97)),"" "")")," ")</f>
        <v> </v>
      </c>
      <c r="IC71" s="48" t="str">
        <f>IFERROR(__xludf.DUMMYFUNCTION("IFERROR(TEXTJOIN(""/"",1,FILTER($B$6:$IV$6,$B$5:$IV$5=IC$97)),"" "")")," ")</f>
        <v> </v>
      </c>
      <c r="ID71" s="48" t="str">
        <f>IFERROR(__xludf.DUMMYFUNCTION("IFERROR(TEXTJOIN(""/"",1,FILTER($B$6:$IV$6,$B$5:$IV$5=ID$97)),"" "")")," ")</f>
        <v> </v>
      </c>
      <c r="IE71" s="48" t="str">
        <f>IFERROR(__xludf.DUMMYFUNCTION("IFERROR(TEXTJOIN(""/"",1,FILTER($B$6:$IV$6,$B$5:$IV$5=IE$97)),"" "")")," ")</f>
        <v> </v>
      </c>
      <c r="IF71" s="48" t="str">
        <f>IFERROR(__xludf.DUMMYFUNCTION("IFERROR(TEXTJOIN(""/"",1,FILTER($B$6:$IV$6,$B$5:$IV$5=IF$97)),"" "")")," ")</f>
        <v> </v>
      </c>
      <c r="IG71" s="48" t="str">
        <f>IFERROR(__xludf.DUMMYFUNCTION("IFERROR(TEXTJOIN(""/"",1,FILTER($B$6:$IV$6,$B$5:$IV$5=IG$97)),"" "")")," ")</f>
        <v> </v>
      </c>
      <c r="IH71" s="48" t="str">
        <f>IFERROR(__xludf.DUMMYFUNCTION("IFERROR(TEXTJOIN(""/"",1,FILTER($B$6:$IV$6,$B$5:$IV$5=IH$97)),"" "")")," ")</f>
        <v> </v>
      </c>
      <c r="II71" s="48" t="str">
        <f>IFERROR(__xludf.DUMMYFUNCTION("IFERROR(TEXTJOIN(""/"",1,FILTER($B$6:$IV$6,$B$5:$IV$5=II$97)),"" "")")," ")</f>
        <v> </v>
      </c>
      <c r="IJ71" s="48" t="str">
        <f>IFERROR(__xludf.DUMMYFUNCTION("IFERROR(TEXTJOIN(""/"",1,FILTER($B$6:$IV$6,$B$5:$IV$5=IJ$97)),"" "")")," ")</f>
        <v> </v>
      </c>
      <c r="IK71" s="48" t="str">
        <f>IFERROR(__xludf.DUMMYFUNCTION("IFERROR(TEXTJOIN(""/"",1,FILTER($B$6:$IV$6,$B$5:$IV$5=IK$97)),"" "")")," ")</f>
        <v> </v>
      </c>
      <c r="IL71" s="48" t="str">
        <f>IFERROR(__xludf.DUMMYFUNCTION("IFERROR(TEXTJOIN(""/"",1,FILTER($B$6:$IV$6,$B$5:$IV$5=IL$97)),"" "")")," ")</f>
        <v> </v>
      </c>
      <c r="IM71" s="48" t="str">
        <f>IFERROR(__xludf.DUMMYFUNCTION("IFERROR(TEXTJOIN(""/"",1,FILTER($B$6:$IV$6,$B$5:$IV$5=IM$97)),"" "")")," ")</f>
        <v> </v>
      </c>
      <c r="IN71" s="48" t="str">
        <f>IFERROR(__xludf.DUMMYFUNCTION("IFERROR(TEXTJOIN(""/"",1,FILTER($B$6:$IV$6,$B$5:$IV$5=IN$97)),"" "")")," ")</f>
        <v> </v>
      </c>
      <c r="IO71" s="48" t="str">
        <f>IFERROR(__xludf.DUMMYFUNCTION("IFERROR(TEXTJOIN(""/"",1,FILTER($B$6:$IV$6,$B$5:$IV$5=IO$97)),"" "")")," ")</f>
        <v> </v>
      </c>
      <c r="IP71" s="48" t="str">
        <f>IFERROR(__xludf.DUMMYFUNCTION("IFERROR(TEXTJOIN(""/"",1,FILTER($B$6:$IV$6,$B$5:$IV$5=IP$97)),"" "")")," ")</f>
        <v> </v>
      </c>
      <c r="IQ71" s="48" t="str">
        <f>IFERROR(__xludf.DUMMYFUNCTION("IFERROR(TEXTJOIN(""/"",1,FILTER($B$6:$IV$6,$B$5:$IV$5=IQ$97)),"" "")")," ")</f>
        <v> </v>
      </c>
      <c r="IR71" s="48" t="str">
        <f>IFERROR(__xludf.DUMMYFUNCTION("IFERROR(TEXTJOIN(""/"",1,FILTER($B$6:$IV$6,$B$5:$IV$5=IR$97)),"" "")")," ")</f>
        <v> </v>
      </c>
      <c r="IS71" s="48" t="str">
        <f>IFERROR(__xludf.DUMMYFUNCTION("IFERROR(TEXTJOIN(""/"",1,FILTER($B$6:$IV$6,$B$5:$IV$5=IS$97)),"" "")")," ")</f>
        <v> </v>
      </c>
      <c r="IT71" s="48" t="str">
        <f>IFERROR(__xludf.DUMMYFUNCTION("IFERROR(TEXTJOIN(""/"",1,FILTER($B$6:$IV$6,$B$5:$IV$5=IT$97)),"" "")")," ")</f>
        <v> </v>
      </c>
      <c r="IU71" s="48" t="str">
        <f>IFERROR(__xludf.DUMMYFUNCTION("IFERROR(TEXTJOIN(""/"",1,FILTER($B$6:$IV$6,$B$5:$IV$5=IU$97)),"" "")")," ")</f>
        <v> </v>
      </c>
      <c r="IV71" s="48" t="str">
        <f>IFERROR(__xludf.DUMMYFUNCTION("IFERROR(TEXTJOIN(""/"",1,FILTER($B$6:$IV$6,$B$5:$IV$5=IV$97)),"" "")")," ")</f>
        <v> </v>
      </c>
      <c r="IW71" s="48" t="str">
        <f>IFERROR(__xludf.DUMMYFUNCTION("IFERROR(TEXTJOIN(""/"",1,FILTER($B$6:$IV$6,$B$5:$IV$5=IW$97)),"" "")")," ")</f>
        <v> </v>
      </c>
      <c r="IX71" s="48" t="str">
        <f>IFERROR(__xludf.DUMMYFUNCTION("IFERROR(TEXTJOIN(""/"",1,FILTER($B$6:$IV$6,$B$5:$IV$5=IX$97)),"" "")")," ")</f>
        <v> </v>
      </c>
      <c r="IY71" s="48" t="str">
        <f>IFERROR(__xludf.DUMMYFUNCTION("IFERROR(TEXTJOIN(""/"",1,FILTER($B$6:$IV$6,$B$5:$IV$5=IY$97)),"" "")")," ")</f>
        <v> </v>
      </c>
      <c r="IZ71" s="48" t="str">
        <f>IFERROR(__xludf.DUMMYFUNCTION("IFERROR(TEXTJOIN(""/"",1,FILTER($B$6:$IV$6,$B$5:$IV$5=IZ$97)),"" "")")," ")</f>
        <v> </v>
      </c>
      <c r="JA71" s="48" t="str">
        <f>IFERROR(__xludf.DUMMYFUNCTION("IFERROR(TEXTJOIN(""/"",1,FILTER($B$6:$IV$6,$B$5:$IV$5=JA$97)),"" "")")," ")</f>
        <v> </v>
      </c>
      <c r="JB71" s="48" t="str">
        <f>IFERROR(__xludf.DUMMYFUNCTION("IFERROR(TEXTJOIN(""/"",1,FILTER($B$6:$IV$6,$B$5:$IV$5=JB$97)),"" "")")," ")</f>
        <v> </v>
      </c>
      <c r="JC71" s="48" t="str">
        <f>IFERROR(__xludf.DUMMYFUNCTION("IFERROR(TEXTJOIN(""/"",1,FILTER($B$6:$IV$6,$B$5:$IV$5=JC$97)),"" "")")," ")</f>
        <v> </v>
      </c>
      <c r="JD71" s="48" t="str">
        <f>IFERROR(__xludf.DUMMYFUNCTION("IFERROR(TEXTJOIN(""/"",1,FILTER($B$6:$IV$6,$B$5:$IV$5=JD$97)),"" "")")," ")</f>
        <v> </v>
      </c>
      <c r="JE71" s="48" t="str">
        <f>IFERROR(__xludf.DUMMYFUNCTION("IFERROR(TEXTJOIN(""/"",1,FILTER($B$6:$IV$6,$B$5:$IV$5=JE$97)),"" "")")," ")</f>
        <v> </v>
      </c>
    </row>
    <row r="72">
      <c r="A72" s="47" t="str">
        <f>IFERROR(__xludf.DUMMYFUNCTION("""COMPUTED_VALUE"""),"Узбекский язык")</f>
        <v>Узбекский язык</v>
      </c>
      <c r="B72" s="48" t="str">
        <f>IFERROR(__xludf.DUMMYFUNCTION("IFERROR(TEXTJOIN(""/"",1,FILTER($B$9:$IV$9,$B$8:$IV$8=B$97)),"" "")")," ")</f>
        <v> </v>
      </c>
      <c r="C72" s="48" t="str">
        <f>IFERROR(__xludf.DUMMYFUNCTION("IFERROR(TEXTJOIN(""/"",1,FILTER($B$9:$IV$9,$B$8:$IV$8=C$97)),"" "")")," ")</f>
        <v> </v>
      </c>
      <c r="D72" s="48" t="str">
        <f>IFERROR(__xludf.DUMMYFUNCTION("IFERROR(TEXTJOIN(""/"",1,FILTER($B$9:$IV$9,$B$8:$IV$8=D$97)),"" "")"),"")</f>
        <v/>
      </c>
      <c r="E72" s="48" t="str">
        <f>IFERROR(__xludf.DUMMYFUNCTION("IFERROR(TEXTJOIN(""/"",1,FILTER($B$9:$IV$9,$B$8:$IV$8=E$97)),"" "")")," ")</f>
        <v> </v>
      </c>
      <c r="F72" s="48" t="str">
        <f>IFERROR(__xludf.DUMMYFUNCTION("IFERROR(TEXTJOIN(""/"",1,FILTER($B$9:$IV$9,$B$8:$IV$8=F$97)),"" "")"),"")</f>
        <v/>
      </c>
      <c r="G72" s="48" t="str">
        <f>IFERROR(__xludf.DUMMYFUNCTION("IFERROR(TEXTJOIN(""/"",1,FILTER($B$9:$IV$9,$B$8:$IV$8=G$97)),"" "")")," ")</f>
        <v> </v>
      </c>
      <c r="H72" s="48" t="str">
        <f>IFERROR(__xludf.DUMMYFUNCTION("IFERROR(TEXTJOIN(""/"",1,FILTER($B$9:$IV$9,$B$8:$IV$8=H$97)),"" "")")," ")</f>
        <v> </v>
      </c>
      <c r="I72" s="48" t="str">
        <f>IFERROR(__xludf.DUMMYFUNCTION("IFERROR(TEXTJOIN(""/"",1,FILTER($B$9:$IV$9,$B$8:$IV$8=I$97)),"" "")")," ")</f>
        <v> </v>
      </c>
      <c r="J72" s="48" t="str">
        <f>IFERROR(__xludf.DUMMYFUNCTION("IFERROR(TEXTJOIN(""/"",1,FILTER($B$9:$IV$9,$B$8:$IV$8=J$97)),"" "")")," ")</f>
        <v> </v>
      </c>
      <c r="K72" s="48" t="str">
        <f>IFERROR(__xludf.DUMMYFUNCTION("IFERROR(TEXTJOIN(""/"",1,FILTER($B$9:$IV$9,$B$8:$IV$8=K$97)),"" "")"),"")</f>
        <v/>
      </c>
      <c r="L72" s="48" t="str">
        <f>IFERROR(__xludf.DUMMYFUNCTION("IFERROR(TEXTJOIN(""/"",1,FILTER($B$9:$IV$9,$B$8:$IV$8=L$97)),"" "")"),"")</f>
        <v/>
      </c>
      <c r="M72" s="48" t="str">
        <f>IFERROR(__xludf.DUMMYFUNCTION("IFERROR(TEXTJOIN(""/"",1,FILTER($B$9:$IV$9,$B$8:$IV$8=M$97)),"" "")"),"")</f>
        <v/>
      </c>
      <c r="N72" s="48" t="str">
        <f>IFERROR(__xludf.DUMMYFUNCTION("IFERROR(TEXTJOIN(""/"",1,FILTER($B$9:$IV$9,$B$8:$IV$8=N$97)),"" "")")," ")</f>
        <v> </v>
      </c>
      <c r="O72" s="48" t="str">
        <f>IFERROR(__xludf.DUMMYFUNCTION("IFERROR(TEXTJOIN(""/"",1,FILTER($B$9:$IV$9,$B$8:$IV$8=O$97)),"" "")")," ")</f>
        <v> </v>
      </c>
      <c r="P72" s="48" t="str">
        <f>IFERROR(__xludf.DUMMYFUNCTION("IFERROR(TEXTJOIN(""/"",1,FILTER($B$9:$IV$9,$B$8:$IV$8=P$97)),"" "")")," ")</f>
        <v> </v>
      </c>
      <c r="Q72" s="48" t="str">
        <f>IFERROR(__xludf.DUMMYFUNCTION("IFERROR(TEXTJOIN(""/"",1,FILTER($B$9:$IV$9,$B$8:$IV$8=Q$97)),"" "")")," ")</f>
        <v> </v>
      </c>
      <c r="R72" s="48" t="str">
        <f>IFERROR(__xludf.DUMMYFUNCTION("IFERROR(TEXTJOIN(""/"",1,FILTER($B$9:$IV$9,$B$8:$IV$8=R$97)),"" "")"),"")</f>
        <v/>
      </c>
      <c r="S72" s="48" t="str">
        <f>IFERROR(__xludf.DUMMYFUNCTION("IFERROR(TEXTJOIN(""/"",1,FILTER($B$9:$IV$9,$B$8:$IV$8=S$97)),"" "")"),"")</f>
        <v/>
      </c>
      <c r="T72" s="48" t="str">
        <f>IFERROR(__xludf.DUMMYFUNCTION("IFERROR(TEXTJOIN(""/"",1,FILTER($B$9:$IV$9,$B$8:$IV$8=T$97)),"" "")"),"3")</f>
        <v>3</v>
      </c>
      <c r="U72" s="48" t="str">
        <f>IFERROR(__xludf.DUMMYFUNCTION("IFERROR(TEXTJOIN(""/"",1,FILTER($B$9:$IV$9,$B$8:$IV$8=U$97)),"" "")")," ")</f>
        <v> </v>
      </c>
      <c r="V72" s="48" t="str">
        <f>IFERROR(__xludf.DUMMYFUNCTION("IFERROR(TEXTJOIN(""/"",1,FILTER($B$9:$IV$9,$B$8:$IV$8=V$97)),"" "")")," ")</f>
        <v> </v>
      </c>
      <c r="W72" s="48" t="str">
        <f>IFERROR(__xludf.DUMMYFUNCTION("IFERROR(TEXTJOIN(""/"",1,FILTER($B$9:$IV$9,$B$8:$IV$8=W$97)),"" "")")," ")</f>
        <v> </v>
      </c>
      <c r="X72" s="48" t="str">
        <f>IFERROR(__xludf.DUMMYFUNCTION("IFERROR(TEXTJOIN(""/"",1,FILTER($B$9:$IV$9,$B$8:$IV$8=X$97)),"" "")")," ")</f>
        <v> </v>
      </c>
      <c r="Y72" s="48" t="str">
        <f>IFERROR(__xludf.DUMMYFUNCTION("IFERROR(TEXTJOIN(""/"",1,FILTER($B$9:$IV$9,$B$8:$IV$8=Y$97)),"" "")"),"")</f>
        <v/>
      </c>
      <c r="Z72" s="48" t="str">
        <f>IFERROR(__xludf.DUMMYFUNCTION("IFERROR(TEXTJOIN(""/"",1,FILTER($B$9:$IV$9,$B$8:$IV$8=Z$97)),"" "")"),"")</f>
        <v/>
      </c>
      <c r="AA72" s="48" t="str">
        <f>IFERROR(__xludf.DUMMYFUNCTION("IFERROR(TEXTJOIN(""/"",1,FILTER($B$9:$IV$9,$B$8:$IV$8=AA$97)),"" "")"),"")</f>
        <v/>
      </c>
      <c r="AB72" s="48" t="str">
        <f>IFERROR(__xludf.DUMMYFUNCTION("IFERROR(TEXTJOIN(""/"",1,FILTER($B$9:$IV$9,$B$8:$IV$8=AB$97)),"" "")")," ")</f>
        <v> </v>
      </c>
      <c r="AC72" s="48" t="str">
        <f>IFERROR(__xludf.DUMMYFUNCTION("IFERROR(TEXTJOIN(""/"",1,FILTER($B$9:$IV$9,$B$8:$IV$8=AC$97)),"" "")")," ")</f>
        <v> </v>
      </c>
      <c r="AD72" s="48" t="str">
        <f>IFERROR(__xludf.DUMMYFUNCTION("IFERROR(TEXTJOIN(""/"",1,FILTER($B$9:$IV$9,$B$8:$IV$8=AD$97)),"" "")")," ")</f>
        <v> </v>
      </c>
      <c r="AE72" s="48" t="str">
        <f>IFERROR(__xludf.DUMMYFUNCTION("IFERROR(TEXTJOIN(""/"",1,FILTER($B$9:$IV$9,$B$8:$IV$8=AE$97)),"" "")")," ")</f>
        <v> </v>
      </c>
      <c r="AF72" s="48" t="str">
        <f>IFERROR(__xludf.DUMMYFUNCTION("IFERROR(TEXTJOIN(""/"",1,FILTER($B$9:$IV$9,$B$8:$IV$8=AF$97)),"" "")"),"4")</f>
        <v>4</v>
      </c>
      <c r="AG72" s="48" t="str">
        <f>IFERROR(__xludf.DUMMYFUNCTION("IFERROR(TEXTJOIN(""/"",1,FILTER($B$9:$IV$9,$B$8:$IV$8=AG$97)),"" "")"),"")</f>
        <v/>
      </c>
      <c r="AH72" s="48" t="str">
        <f>IFERROR(__xludf.DUMMYFUNCTION("IFERROR(TEXTJOIN(""/"",1,FILTER($B$9:$IV$9,$B$8:$IV$8=AH$97)),"" "")"),"")</f>
        <v/>
      </c>
      <c r="AI72" s="48" t="str">
        <f>IFERROR(__xludf.DUMMYFUNCTION("IFERROR(TEXTJOIN(""/"",1,FILTER($B$9:$IV$9,$B$8:$IV$8=AI$97)),"" "")")," ")</f>
        <v> </v>
      </c>
      <c r="AJ72" s="48" t="str">
        <f>IFERROR(__xludf.DUMMYFUNCTION("IFERROR(TEXTJOIN(""/"",1,FILTER($B$9:$IV$9,$B$8:$IV$8=AJ$97)),"" "")")," ")</f>
        <v> </v>
      </c>
      <c r="AK72" s="48" t="str">
        <f>IFERROR(__xludf.DUMMYFUNCTION("IFERROR(TEXTJOIN(""/"",1,FILTER($B$9:$IV$9,$B$8:$IV$8=AK$97)),"" "")")," ")</f>
        <v> </v>
      </c>
      <c r="AL72" s="48" t="str">
        <f>IFERROR(__xludf.DUMMYFUNCTION("IFERROR(TEXTJOIN(""/"",1,FILTER($B$9:$IV$9,$B$8:$IV$8=AL$97)),"" "")")," ")</f>
        <v> </v>
      </c>
      <c r="AM72" s="48" t="str">
        <f>IFERROR(__xludf.DUMMYFUNCTION("IFERROR(TEXTJOIN(""/"",1,FILTER($B$9:$IV$9,$B$8:$IV$8=AM$97)),"" "")"),"")</f>
        <v/>
      </c>
      <c r="AN72" s="48" t="str">
        <f>IFERROR(__xludf.DUMMYFUNCTION("IFERROR(TEXTJOIN(""/"",1,FILTER($B$9:$IV$9,$B$8:$IV$8=AN$97)),"" "")"),"4")</f>
        <v>4</v>
      </c>
      <c r="AO72" s="48" t="str">
        <f>IFERROR(__xludf.DUMMYFUNCTION("IFERROR(TEXTJOIN(""/"",1,FILTER($B$9:$IV$9,$B$8:$IV$8=AO$97)),"" "")"),"")</f>
        <v/>
      </c>
      <c r="AP72" s="48" t="str">
        <f>IFERROR(__xludf.DUMMYFUNCTION("IFERROR(TEXTJOIN(""/"",1,FILTER($B$9:$IV$9,$B$8:$IV$8=AP$97)),"" "")")," ")</f>
        <v> </v>
      </c>
      <c r="AQ72" s="48" t="str">
        <f>IFERROR(__xludf.DUMMYFUNCTION("IFERROR(TEXTJOIN(""/"",1,FILTER($B$9:$IV$9,$B$8:$IV$8=AQ$97)),"" "")")," ")</f>
        <v> </v>
      </c>
      <c r="AR72" s="48" t="str">
        <f>IFERROR(__xludf.DUMMYFUNCTION("IFERROR(TEXTJOIN(""/"",1,FILTER($B$9:$IV$9,$B$8:$IV$8=AR$97)),"" "")")," ")</f>
        <v> </v>
      </c>
      <c r="AS72" s="48" t="str">
        <f>IFERROR(__xludf.DUMMYFUNCTION("IFERROR(TEXTJOIN(""/"",1,FILTER($B$9:$IV$9,$B$8:$IV$8=AS$97)),"" "")")," ")</f>
        <v> </v>
      </c>
      <c r="AT72" s="48" t="str">
        <f>IFERROR(__xludf.DUMMYFUNCTION("IFERROR(TEXTJOIN(""/"",1,FILTER($B$9:$IV$9,$B$8:$IV$8=AT$97)),"" "")"),"")</f>
        <v/>
      </c>
      <c r="AU72" s="48" t="str">
        <f>IFERROR(__xludf.DUMMYFUNCTION("IFERROR(TEXTJOIN(""/"",1,FILTER($B$9:$IV$9,$B$8:$IV$8=AU$97)),"" "")"),"")</f>
        <v/>
      </c>
      <c r="AV72" s="48" t="str">
        <f>IFERROR(__xludf.DUMMYFUNCTION("IFERROR(TEXTJOIN(""/"",1,FILTER($B$9:$IV$9,$B$8:$IV$8=AV$97)),"" "")"),"")</f>
        <v/>
      </c>
      <c r="AW72" s="48" t="str">
        <f>IFERROR(__xludf.DUMMYFUNCTION("IFERROR(TEXTJOIN(""/"",1,FILTER($B$9:$IV$9,$B$8:$IV$8=AW$97)),"" "")")," ")</f>
        <v> </v>
      </c>
      <c r="AX72" s="48" t="str">
        <f>IFERROR(__xludf.DUMMYFUNCTION("IFERROR(TEXTJOIN(""/"",1,FILTER($B$9:$IV$9,$B$8:$IV$8=AX$97)),"" "")")," ")</f>
        <v> </v>
      </c>
      <c r="AY72" s="48" t="str">
        <f>IFERROR(__xludf.DUMMYFUNCTION("IFERROR(TEXTJOIN(""/"",1,FILTER($B$9:$IV$9,$B$8:$IV$8=AY$97)),"" "")")," ")</f>
        <v> </v>
      </c>
      <c r="AZ72" s="48" t="str">
        <f>IFERROR(__xludf.DUMMYFUNCTION("IFERROR(TEXTJOIN(""/"",1,FILTER($B$9:$IV$9,$B$8:$IV$8=AZ$97)),"" "")")," ")</f>
        <v> </v>
      </c>
      <c r="BA72" s="48" t="str">
        <f>IFERROR(__xludf.DUMMYFUNCTION("IFERROR(TEXTJOIN(""/"",1,FILTER($B$9:$IV$9,$B$8:$IV$8=BA$97)),"" "")"),"")</f>
        <v/>
      </c>
      <c r="BB72" s="48" t="str">
        <f>IFERROR(__xludf.DUMMYFUNCTION("IFERROR(TEXTJOIN(""/"",1,FILTER($B$9:$IV$9,$B$8:$IV$8=BB$97)),"" "")"),"")</f>
        <v/>
      </c>
      <c r="BC72" s="48" t="str">
        <f>IFERROR(__xludf.DUMMYFUNCTION("IFERROR(TEXTJOIN(""/"",1,FILTER($B$9:$IV$9,$B$8:$IV$8=BC$97)),"" "")"),"3")</f>
        <v>3</v>
      </c>
      <c r="BD72" s="48" t="str">
        <f>IFERROR(__xludf.DUMMYFUNCTION("IFERROR(TEXTJOIN(""/"",1,FILTER($B$9:$IV$9,$B$8:$IV$8=BD$97)),"" "")")," ")</f>
        <v> </v>
      </c>
      <c r="BE72" s="48" t="str">
        <f>IFERROR(__xludf.DUMMYFUNCTION("IFERROR(TEXTJOIN(""/"",1,FILTER($B$9:$IV$9,$B$8:$IV$8=BE$97)),"" "")")," ")</f>
        <v> </v>
      </c>
      <c r="BF72" s="48" t="str">
        <f>IFERROR(__xludf.DUMMYFUNCTION("IFERROR(TEXTJOIN(""/"",1,FILTER($B$9:$IV$9,$B$8:$IV$8=BF$97)),"" "")")," ")</f>
        <v> </v>
      </c>
      <c r="BG72" s="48" t="str">
        <f>IFERROR(__xludf.DUMMYFUNCTION("IFERROR(TEXTJOIN(""/"",1,FILTER($B$9:$IV$9,$B$8:$IV$8=BG$97)),"" "")")," ")</f>
        <v> </v>
      </c>
      <c r="BH72" s="48" t="str">
        <f>IFERROR(__xludf.DUMMYFUNCTION("IFERROR(TEXTJOIN(""/"",1,FILTER($B$9:$IV$9,$B$8:$IV$8=BH$97)),"" "")"),"3")</f>
        <v>3</v>
      </c>
      <c r="BI72" s="48" t="str">
        <f>IFERROR(__xludf.DUMMYFUNCTION("IFERROR(TEXTJOIN(""/"",1,FILTER($B$9:$IV$9,$B$8:$IV$8=BI$97)),"" "")"),"")</f>
        <v/>
      </c>
      <c r="BJ72" s="48" t="str">
        <f>IFERROR(__xludf.DUMMYFUNCTION("IFERROR(TEXTJOIN(""/"",1,FILTER($B$9:$IV$9,$B$8:$IV$8=BJ$97)),"" "")")," ")</f>
        <v> </v>
      </c>
      <c r="BK72" s="48" t="str">
        <f>IFERROR(__xludf.DUMMYFUNCTION("IFERROR(TEXTJOIN(""/"",1,FILTER($B$9:$IV$9,$B$8:$IV$8=BK$97)),"" "")")," ")</f>
        <v> </v>
      </c>
      <c r="BL72" s="48" t="str">
        <f>IFERROR(__xludf.DUMMYFUNCTION("IFERROR(TEXTJOIN(""/"",1,FILTER($B$9:$IV$9,$B$8:$IV$8=BL$97)),"" "")")," ")</f>
        <v> </v>
      </c>
      <c r="BM72" s="48" t="str">
        <f>IFERROR(__xludf.DUMMYFUNCTION("IFERROR(TEXTJOIN(""/"",1,FILTER($B$9:$IV$9,$B$8:$IV$8=BM$97)),"" "")")," ")</f>
        <v> </v>
      </c>
      <c r="BN72" s="48" t="str">
        <f>IFERROR(__xludf.DUMMYFUNCTION("IFERROR(TEXTJOIN(""/"",1,FILTER($B$9:$IV$9,$B$8:$IV$8=BN$97)),"" "")")," ")</f>
        <v> </v>
      </c>
      <c r="BO72" s="48" t="str">
        <f>IFERROR(__xludf.DUMMYFUNCTION("IFERROR(TEXTJOIN(""/"",1,FILTER($B$9:$IV$9,$B$8:$IV$8=BO$97)),"" "")")," ")</f>
        <v> </v>
      </c>
      <c r="BP72" s="48" t="str">
        <f>IFERROR(__xludf.DUMMYFUNCTION("IFERROR(TEXTJOIN(""/"",1,FILTER($B$9:$IV$9,$B$8:$IV$8=BP$97)),"" "")")," ")</f>
        <v> </v>
      </c>
      <c r="BQ72" s="48" t="str">
        <f>IFERROR(__xludf.DUMMYFUNCTION("IFERROR(TEXTJOIN(""/"",1,FILTER($B$9:$IV$9,$B$8:$IV$8=BQ$97)),"" "")")," ")</f>
        <v> </v>
      </c>
      <c r="BR72" s="48" t="str">
        <f>IFERROR(__xludf.DUMMYFUNCTION("IFERROR(TEXTJOIN(""/"",1,FILTER($B$9:$IV$9,$B$8:$IV$8=BR$97)),"" "")")," ")</f>
        <v> </v>
      </c>
      <c r="BS72" s="48" t="str">
        <f>IFERROR(__xludf.DUMMYFUNCTION("IFERROR(TEXTJOIN(""/"",1,FILTER($B$9:$IV$9,$B$8:$IV$8=BS$97)),"" "")")," ")</f>
        <v> </v>
      </c>
      <c r="BT72" s="48" t="str">
        <f>IFERROR(__xludf.DUMMYFUNCTION("IFERROR(TEXTJOIN(""/"",1,FILTER($B$9:$IV$9,$B$8:$IV$8=BT$97)),"" "")")," ")</f>
        <v> </v>
      </c>
      <c r="BU72" s="48" t="str">
        <f>IFERROR(__xludf.DUMMYFUNCTION("IFERROR(TEXTJOIN(""/"",1,FILTER($B$9:$IV$9,$B$8:$IV$8=BU$97)),"" "")")," ")</f>
        <v> </v>
      </c>
      <c r="BV72" s="48" t="str">
        <f>IFERROR(__xludf.DUMMYFUNCTION("IFERROR(TEXTJOIN(""/"",1,FILTER($B$9:$IV$9,$B$8:$IV$8=BV$97)),"" "")"),"")</f>
        <v/>
      </c>
      <c r="BW72" s="48" t="str">
        <f>IFERROR(__xludf.DUMMYFUNCTION("IFERROR(TEXTJOIN(""/"",1,FILTER($B$9:$IV$9,$B$8:$IV$8=BW$97)),"" "")"),"")</f>
        <v/>
      </c>
      <c r="BX72" s="48" t="str">
        <f>IFERROR(__xludf.DUMMYFUNCTION("IFERROR(TEXTJOIN(""/"",1,FILTER($B$9:$IV$9,$B$8:$IV$8=BX$97)),"" "")"),"5")</f>
        <v>5</v>
      </c>
      <c r="BY72" s="48" t="str">
        <f>IFERROR(__xludf.DUMMYFUNCTION("IFERROR(TEXTJOIN(""/"",1,FILTER($B$9:$IV$9,$B$8:$IV$8=BY$97)),"" "")")," ")</f>
        <v> </v>
      </c>
      <c r="BZ72" s="48" t="str">
        <f>IFERROR(__xludf.DUMMYFUNCTION("IFERROR(TEXTJOIN(""/"",1,FILTER($B$9:$IV$9,$B$8:$IV$8=BZ$97)),"" "")")," ")</f>
        <v> </v>
      </c>
      <c r="CA72" s="48" t="str">
        <f>IFERROR(__xludf.DUMMYFUNCTION("IFERROR(TEXTJOIN(""/"",1,FILTER($B$9:$IV$9,$B$8:$IV$8=CA$97)),"" "")")," ")</f>
        <v> </v>
      </c>
      <c r="CB72" s="48" t="str">
        <f>IFERROR(__xludf.DUMMYFUNCTION("IFERROR(TEXTJOIN(""/"",1,FILTER($B$9:$IV$9,$B$8:$IV$8=CB$97)),"" "")")," ")</f>
        <v> </v>
      </c>
      <c r="CC72" s="48" t="str">
        <f>IFERROR(__xludf.DUMMYFUNCTION("IFERROR(TEXTJOIN(""/"",1,FILTER($B$9:$IV$9,$B$8:$IV$8=CC$97)),"" "")"),"")</f>
        <v/>
      </c>
      <c r="CD72" s="48" t="str">
        <f>IFERROR(__xludf.DUMMYFUNCTION("IFERROR(TEXTJOIN(""/"",1,FILTER($B$9:$IV$9,$B$8:$IV$8=CD$97)),"" "")"),"")</f>
        <v/>
      </c>
      <c r="CE72" s="48" t="str">
        <f>IFERROR(__xludf.DUMMYFUNCTION("IFERROR(TEXTJOIN(""/"",1,FILTER($B$9:$IV$9,$B$8:$IV$8=CE$97)),"" "")"),"")</f>
        <v/>
      </c>
      <c r="CF72" s="48" t="str">
        <f>IFERROR(__xludf.DUMMYFUNCTION("IFERROR(TEXTJOIN(""/"",1,FILTER($B$9:$IV$9,$B$8:$IV$8=CF$97)),"" "")")," ")</f>
        <v> </v>
      </c>
      <c r="CG72" s="48" t="str">
        <f>IFERROR(__xludf.DUMMYFUNCTION("IFERROR(TEXTJOIN(""/"",1,FILTER($B$9:$IV$9,$B$8:$IV$8=CG$97)),"" "")")," ")</f>
        <v> </v>
      </c>
      <c r="CH72" s="48" t="str">
        <f>IFERROR(__xludf.DUMMYFUNCTION("IFERROR(TEXTJOIN(""/"",1,FILTER($B$9:$IV$9,$B$8:$IV$8=CH$97)),"" "")")," ")</f>
        <v> </v>
      </c>
      <c r="CI72" s="48" t="str">
        <f>IFERROR(__xludf.DUMMYFUNCTION("IFERROR(TEXTJOIN(""/"",1,FILTER($B$9:$IV$9,$B$8:$IV$8=CI$97)),"" "")")," ")</f>
        <v> </v>
      </c>
      <c r="CJ72" s="48" t="str">
        <f>IFERROR(__xludf.DUMMYFUNCTION("IFERROR(TEXTJOIN(""/"",1,FILTER($B$9:$IV$9,$B$8:$IV$8=CJ$97)),"" "")"),"3")</f>
        <v>3</v>
      </c>
      <c r="CK72" s="48" t="str">
        <f>IFERROR(__xludf.DUMMYFUNCTION("IFERROR(TEXTJOIN(""/"",1,FILTER($B$9:$IV$9,$B$8:$IV$8=CK$97)),"" "")"),"3")</f>
        <v>3</v>
      </c>
      <c r="CL72" s="48" t="str">
        <f>IFERROR(__xludf.DUMMYFUNCTION("IFERROR(TEXTJOIN(""/"",1,FILTER($B$9:$IV$9,$B$8:$IV$8=CL$97)),"" "")"),"")</f>
        <v/>
      </c>
      <c r="CM72" s="48" t="str">
        <f>IFERROR(__xludf.DUMMYFUNCTION("IFERROR(TEXTJOIN(""/"",1,FILTER($B$9:$IV$9,$B$8:$IV$8=CM$97)),"" "")")," ")</f>
        <v> </v>
      </c>
      <c r="CN72" s="48" t="str">
        <f>IFERROR(__xludf.DUMMYFUNCTION("IFERROR(TEXTJOIN(""/"",1,FILTER($B$9:$IV$9,$B$8:$IV$8=CN$97)),"" "")")," ")</f>
        <v> </v>
      </c>
      <c r="CO72" s="48" t="str">
        <f>IFERROR(__xludf.DUMMYFUNCTION("IFERROR(TEXTJOIN(""/"",1,FILTER($B$9:$IV$9,$B$8:$IV$8=CO$97)),"" "")")," ")</f>
        <v> </v>
      </c>
      <c r="CP72" s="48" t="str">
        <f>IFERROR(__xludf.DUMMYFUNCTION("IFERROR(TEXTJOIN(""/"",1,FILTER($B$9:$IV$9,$B$8:$IV$8=CP$97)),"" "")")," ")</f>
        <v> </v>
      </c>
      <c r="CQ72" s="48" t="str">
        <f>IFERROR(__xludf.DUMMYFUNCTION("IFERROR(TEXTJOIN(""/"",1,FILTER($B$9:$IV$9,$B$8:$IV$8=CQ$97)),"" "")"),"")</f>
        <v/>
      </c>
      <c r="CR72" s="48" t="str">
        <f>IFERROR(__xludf.DUMMYFUNCTION("IFERROR(TEXTJOIN(""/"",1,FILTER($B$9:$IV$9,$B$8:$IV$8=CR$97)),"" "")"),"5")</f>
        <v>5</v>
      </c>
      <c r="CS72" s="48" t="str">
        <f>IFERROR(__xludf.DUMMYFUNCTION("IFERROR(TEXTJOIN(""/"",1,FILTER($B$9:$IV$9,$B$8:$IV$8=CS$97)),"" "")"),"3")</f>
        <v>3</v>
      </c>
      <c r="CT72" s="48" t="str">
        <f>IFERROR(__xludf.DUMMYFUNCTION("IFERROR(TEXTJOIN(""/"",1,FILTER($B$9:$IV$9,$B$8:$IV$8=CT$97)),"" "")")," ")</f>
        <v> </v>
      </c>
      <c r="CU72" s="48" t="str">
        <f>IFERROR(__xludf.DUMMYFUNCTION("IFERROR(TEXTJOIN(""/"",1,FILTER($B$9:$IV$9,$B$8:$IV$8=CU$97)),"" "")")," ")</f>
        <v> </v>
      </c>
      <c r="CV72" s="48" t="str">
        <f>IFERROR(__xludf.DUMMYFUNCTION("IFERROR(TEXTJOIN(""/"",1,FILTER($B$9:$IV$9,$B$8:$IV$8=CV$97)),"" "")")," ")</f>
        <v> </v>
      </c>
      <c r="CW72" s="48" t="str">
        <f>IFERROR(__xludf.DUMMYFUNCTION("IFERROR(TEXTJOIN(""/"",1,FILTER($B$9:$IV$9,$B$8:$IV$8=CW$97)),"" "")")," ")</f>
        <v> </v>
      </c>
      <c r="CX72" s="48" t="str">
        <f>IFERROR(__xludf.DUMMYFUNCTION("IFERROR(TEXTJOIN(""/"",1,FILTER($B$9:$IV$9,$B$8:$IV$8=CX$97)),"" "")"),"")</f>
        <v/>
      </c>
      <c r="CY72" s="48" t="str">
        <f>IFERROR(__xludf.DUMMYFUNCTION("IFERROR(TEXTJOIN(""/"",1,FILTER($B$9:$IV$9,$B$8:$IV$8=CY$97)),"" "")"),"")</f>
        <v/>
      </c>
      <c r="CZ72" s="48" t="str">
        <f>IFERROR(__xludf.DUMMYFUNCTION("IFERROR(TEXTJOIN(""/"",1,FILTER($B$9:$IV$9,$B$8:$IV$8=CZ$97)),"" "")"),"")</f>
        <v/>
      </c>
      <c r="DA72" s="48" t="str">
        <f>IFERROR(__xludf.DUMMYFUNCTION("IFERROR(TEXTJOIN(""/"",1,FILTER($B$9:$IV$9,$B$8:$IV$8=DA$97)),"" "")")," ")</f>
        <v> </v>
      </c>
      <c r="DB72" s="48" t="str">
        <f>IFERROR(__xludf.DUMMYFUNCTION("IFERROR(TEXTJOIN(""/"",1,FILTER($B$9:$IV$9,$B$8:$IV$8=DB$97)),"" "")")," ")</f>
        <v> </v>
      </c>
      <c r="DC72" s="48" t="str">
        <f>IFERROR(__xludf.DUMMYFUNCTION("IFERROR(TEXTJOIN(""/"",1,FILTER($B$9:$IV$9,$B$8:$IV$8=DC$97)),"" "")")," ")</f>
        <v> </v>
      </c>
      <c r="DD72" s="48" t="str">
        <f>IFERROR(__xludf.DUMMYFUNCTION("IFERROR(TEXTJOIN(""/"",1,FILTER($B$9:$IV$9,$B$8:$IV$8=DD$97)),"" "")")," ")</f>
        <v> </v>
      </c>
      <c r="DE72" s="48" t="str">
        <f>IFERROR(__xludf.DUMMYFUNCTION("IFERROR(TEXTJOIN(""/"",1,FILTER($B$9:$IV$9,$B$8:$IV$8=DE$97)),"" "")"),"")</f>
        <v/>
      </c>
      <c r="DF72" s="48" t="str">
        <f>IFERROR(__xludf.DUMMYFUNCTION("IFERROR(TEXTJOIN(""/"",1,FILTER($B$9:$IV$9,$B$8:$IV$8=DF$97)),"" "")"),"-")</f>
        <v>-</v>
      </c>
      <c r="DG72" s="48" t="str">
        <f>IFERROR(__xludf.DUMMYFUNCTION("IFERROR(TEXTJOIN(""/"",1,FILTER($B$9:$IV$9,$B$8:$IV$8=DG$97)),"" "")"),"")</f>
        <v/>
      </c>
      <c r="DH72" s="48" t="str">
        <f>IFERROR(__xludf.DUMMYFUNCTION("IFERROR(TEXTJOIN(""/"",1,FILTER($B$9:$IV$9,$B$8:$IV$8=DH$97)),"" "")")," ")</f>
        <v> </v>
      </c>
      <c r="DI72" s="48" t="str">
        <f>IFERROR(__xludf.DUMMYFUNCTION("IFERROR(TEXTJOIN(""/"",1,FILTER($B$9:$IV$9,$B$8:$IV$8=DI$97)),"" "")")," ")</f>
        <v> </v>
      </c>
      <c r="DJ72" s="48" t="str">
        <f>IFERROR(__xludf.DUMMYFUNCTION("IFERROR(TEXTJOIN(""/"",1,FILTER($B$9:$IV$9,$B$8:$IV$8=DJ$97)),"" "")")," ")</f>
        <v> </v>
      </c>
      <c r="DK72" s="48" t="str">
        <f>IFERROR(__xludf.DUMMYFUNCTION("IFERROR(TEXTJOIN(""/"",1,FILTER($B$9:$IV$9,$B$8:$IV$8=DK$97)),"" "")")," ")</f>
        <v> </v>
      </c>
      <c r="DL72" s="48" t="str">
        <f>IFERROR(__xludf.DUMMYFUNCTION("IFERROR(TEXTJOIN(""/"",1,FILTER($B$9:$IV$9,$B$8:$IV$8=DL$97)),"" "")"),"3")</f>
        <v>3</v>
      </c>
      <c r="DM72" s="48" t="str">
        <f>IFERROR(__xludf.DUMMYFUNCTION("IFERROR(TEXTJOIN(""/"",1,FILTER($B$9:$IV$9,$B$8:$IV$8=DM$97)),"" "")")," ")</f>
        <v> </v>
      </c>
      <c r="DN72" s="48" t="str">
        <f>IFERROR(__xludf.DUMMYFUNCTION("IFERROR(TEXTJOIN(""/"",1,FILTER($B$9:$IV$9,$B$8:$IV$8=DN$97)),"" "")")," ")</f>
        <v> </v>
      </c>
      <c r="DO72" s="48" t="str">
        <f>IFERROR(__xludf.DUMMYFUNCTION("IFERROR(TEXTJOIN(""/"",1,FILTER($B$9:$IV$9,$B$8:$IV$8=DO$97)),"" "")")," ")</f>
        <v> </v>
      </c>
      <c r="DP72" s="48" t="str">
        <f>IFERROR(__xludf.DUMMYFUNCTION("IFERROR(TEXTJOIN(""/"",1,FILTER($B$9:$IV$9,$B$8:$IV$8=DP$97)),"" "")")," ")</f>
        <v> </v>
      </c>
      <c r="DQ72" s="48" t="str">
        <f>IFERROR(__xludf.DUMMYFUNCTION("IFERROR(TEXTJOIN(""/"",1,FILTER($B$9:$IV$9,$B$8:$IV$8=DQ$97)),"" "")")," ")</f>
        <v> </v>
      </c>
      <c r="DR72" s="48" t="str">
        <f>IFERROR(__xludf.DUMMYFUNCTION("IFERROR(TEXTJOIN(""/"",1,FILTER($B$9:$IV$9,$B$8:$IV$8=DR$97)),"" "")")," ")</f>
        <v> </v>
      </c>
      <c r="DS72" s="48" t="str">
        <f>IFERROR(__xludf.DUMMYFUNCTION("IFERROR(TEXTJOIN(""/"",1,FILTER($B$9:$IV$9,$B$8:$IV$8=DS$97)),"" "")")," ")</f>
        <v> </v>
      </c>
      <c r="DT72" s="48" t="str">
        <f>IFERROR(__xludf.DUMMYFUNCTION("IFERROR(TEXTJOIN(""/"",1,FILTER($B$9:$IV$9,$B$8:$IV$8=DT$97)),"" "")")," ")</f>
        <v> </v>
      </c>
      <c r="DU72" s="48" t="str">
        <f>IFERROR(__xludf.DUMMYFUNCTION("IFERROR(TEXTJOIN(""/"",1,FILTER($B$9:$IV$9,$B$8:$IV$8=DU$97)),"" "")")," ")</f>
        <v> </v>
      </c>
      <c r="DV72" s="48" t="str">
        <f>IFERROR(__xludf.DUMMYFUNCTION("IFERROR(TEXTJOIN(""/"",1,FILTER($B$9:$IV$9,$B$8:$IV$8=DV$97)),"" "")")," ")</f>
        <v> </v>
      </c>
      <c r="DW72" s="48" t="str">
        <f>IFERROR(__xludf.DUMMYFUNCTION("IFERROR(TEXTJOIN(""/"",1,FILTER($B$9:$IV$9,$B$8:$IV$8=DW$97)),"" "")")," ")</f>
        <v> </v>
      </c>
      <c r="DX72" s="48" t="str">
        <f>IFERROR(__xludf.DUMMYFUNCTION("IFERROR(TEXTJOIN(""/"",1,FILTER($B$9:$IV$9,$B$8:$IV$8=DX$97)),"" "")")," ")</f>
        <v> </v>
      </c>
      <c r="DY72" s="48" t="str">
        <f>IFERROR(__xludf.DUMMYFUNCTION("IFERROR(TEXTJOIN(""/"",1,FILTER($B$9:$IV$9,$B$8:$IV$8=DY$97)),"" "")")," ")</f>
        <v> </v>
      </c>
      <c r="DZ72" s="48" t="str">
        <f>IFERROR(__xludf.DUMMYFUNCTION("IFERROR(TEXTJOIN(""/"",1,FILTER($B$9:$IV$9,$B$8:$IV$8=DZ$97)),"" "")")," ")</f>
        <v> </v>
      </c>
      <c r="EA72" s="48" t="str">
        <f>IFERROR(__xludf.DUMMYFUNCTION("IFERROR(TEXTJOIN(""/"",1,FILTER($B$9:$IV$9,$B$8:$IV$8=EA$97)),"" "")")," ")</f>
        <v> </v>
      </c>
      <c r="EB72" s="48" t="str">
        <f>IFERROR(__xludf.DUMMYFUNCTION("IFERROR(TEXTJOIN(""/"",1,FILTER($B$9:$IV$9,$B$8:$IV$8=EB$97)),"" "")")," ")</f>
        <v> </v>
      </c>
      <c r="EC72" s="48" t="str">
        <f>IFERROR(__xludf.DUMMYFUNCTION("IFERROR(TEXTJOIN(""/"",1,FILTER($B$9:$IV$9,$B$8:$IV$8=EC$97)),"" "")")," ")</f>
        <v> </v>
      </c>
      <c r="ED72" s="48" t="str">
        <f>IFERROR(__xludf.DUMMYFUNCTION("IFERROR(TEXTJOIN(""/"",1,FILTER($B$9:$IV$9,$B$8:$IV$8=ED$97)),"" "")")," ")</f>
        <v> </v>
      </c>
      <c r="EE72" s="48" t="str">
        <f>IFERROR(__xludf.DUMMYFUNCTION("IFERROR(TEXTJOIN(""/"",1,FILTER($B$9:$IV$9,$B$8:$IV$8=EE$97)),"" "")")," ")</f>
        <v> </v>
      </c>
      <c r="EF72" s="48" t="str">
        <f>IFERROR(__xludf.DUMMYFUNCTION("IFERROR(TEXTJOIN(""/"",1,FILTER($B$9:$IV$9,$B$8:$IV$8=EF$97)),"" "")")," ")</f>
        <v> </v>
      </c>
      <c r="EG72" s="48" t="str">
        <f>IFERROR(__xludf.DUMMYFUNCTION("IFERROR(TEXTJOIN(""/"",1,FILTER($B$9:$IV$9,$B$8:$IV$8=EG$97)),"" "")"),"")</f>
        <v/>
      </c>
      <c r="EH72" s="48" t="str">
        <f>IFERROR(__xludf.DUMMYFUNCTION("IFERROR(TEXTJOIN(""/"",1,FILTER($B$9:$IV$9,$B$8:$IV$8=EH$97)),"" "")"),"3")</f>
        <v>3</v>
      </c>
      <c r="EI72" s="48" t="str">
        <f>IFERROR(__xludf.DUMMYFUNCTION("IFERROR(TEXTJOIN(""/"",1,FILTER($B$9:$IV$9,$B$8:$IV$8=EI$97)),"" "")"),"")</f>
        <v/>
      </c>
      <c r="EJ72" s="48" t="str">
        <f>IFERROR(__xludf.DUMMYFUNCTION("IFERROR(TEXTJOIN(""/"",1,FILTER($B$9:$IV$9,$B$8:$IV$8=EJ$97)),"" "")")," ")</f>
        <v> </v>
      </c>
      <c r="EK72" s="48" t="str">
        <f>IFERROR(__xludf.DUMMYFUNCTION("IFERROR(TEXTJOIN(""/"",1,FILTER($B$9:$IV$9,$B$8:$IV$8=EK$97)),"" "")")," ")</f>
        <v> </v>
      </c>
      <c r="EL72" s="48" t="str">
        <f>IFERROR(__xludf.DUMMYFUNCTION("IFERROR(TEXTJOIN(""/"",1,FILTER($B$9:$IV$9,$B$8:$IV$8=EL$97)),"" "")")," ")</f>
        <v> </v>
      </c>
      <c r="EM72" s="48" t="str">
        <f>IFERROR(__xludf.DUMMYFUNCTION("IFERROR(TEXTJOIN(""/"",1,FILTER($B$9:$IV$9,$B$8:$IV$8=EM$97)),"" "")")," ")</f>
        <v> </v>
      </c>
      <c r="EN72" s="48" t="str">
        <f>IFERROR(__xludf.DUMMYFUNCTION("IFERROR(TEXTJOIN(""/"",1,FILTER($B$9:$IV$9,$B$8:$IV$8=EN$97)),"" "")"),"")</f>
        <v/>
      </c>
      <c r="EO72" s="48" t="str">
        <f>IFERROR(__xludf.DUMMYFUNCTION("IFERROR(TEXTJOIN(""/"",1,FILTER($B$9:$IV$9,$B$8:$IV$8=EO$97)),"" "")"),"2")</f>
        <v>2</v>
      </c>
      <c r="EP72" s="48" t="str">
        <f>IFERROR(__xludf.DUMMYFUNCTION("IFERROR(TEXTJOIN(""/"",1,FILTER($B$9:$IV$9,$B$8:$IV$8=EP$97)),"" "")"),"3")</f>
        <v>3</v>
      </c>
      <c r="EQ72" s="48" t="str">
        <f>IFERROR(__xludf.DUMMYFUNCTION("IFERROR(TEXTJOIN(""/"",1,FILTER($B$9:$IV$9,$B$8:$IV$8=EQ$97)),"" "")")," ")</f>
        <v> </v>
      </c>
      <c r="ER72" s="48" t="str">
        <f>IFERROR(__xludf.DUMMYFUNCTION("IFERROR(TEXTJOIN(""/"",1,FILTER($B$9:$IV$9,$B$8:$IV$8=ER$97)),"" "")")," ")</f>
        <v> </v>
      </c>
      <c r="ES72" s="48" t="str">
        <f>IFERROR(__xludf.DUMMYFUNCTION("IFERROR(TEXTJOIN(""/"",1,FILTER($B$9:$IV$9,$B$8:$IV$8=ES$97)),"" "")")," ")</f>
        <v> </v>
      </c>
      <c r="ET72" s="48" t="str">
        <f>IFERROR(__xludf.DUMMYFUNCTION("IFERROR(TEXTJOIN(""/"",1,FILTER($B$9:$IV$9,$B$8:$IV$8=ET$97)),"" "")"),"4")</f>
        <v>4</v>
      </c>
      <c r="EU72" s="48" t="str">
        <f>IFERROR(__xludf.DUMMYFUNCTION("IFERROR(TEXTJOIN(""/"",1,FILTER($B$9:$IV$9,$B$8:$IV$8=EU$97)),"" "")"),"")</f>
        <v/>
      </c>
      <c r="EV72" s="48" t="str">
        <f>IFERROR(__xludf.DUMMYFUNCTION("IFERROR(TEXTJOIN(""/"",1,FILTER($B$9:$IV$9,$B$8:$IV$8=EV$97)),"" "")"),"")</f>
        <v/>
      </c>
      <c r="EW72" s="48" t="str">
        <f>IFERROR(__xludf.DUMMYFUNCTION("IFERROR(TEXTJOIN(""/"",1,FILTER($B$9:$IV$9,$B$8:$IV$8=EW$97)),"" "")"),"3")</f>
        <v>3</v>
      </c>
      <c r="EX72" s="48" t="str">
        <f>IFERROR(__xludf.DUMMYFUNCTION("IFERROR(TEXTJOIN(""/"",1,FILTER($B$9:$IV$9,$B$8:$IV$8=EX$97)),"" "")")," ")</f>
        <v> </v>
      </c>
      <c r="EY72" s="48" t="str">
        <f>IFERROR(__xludf.DUMMYFUNCTION("IFERROR(TEXTJOIN(""/"",1,FILTER($B$9:$IV$9,$B$8:$IV$8=EY$97)),"" "")")," ")</f>
        <v> </v>
      </c>
      <c r="EZ72" s="48" t="str">
        <f>IFERROR(__xludf.DUMMYFUNCTION("IFERROR(TEXTJOIN(""/"",1,FILTER($B$9:$IV$9,$B$8:$IV$8=EZ$97)),"" "")")," ")</f>
        <v> </v>
      </c>
      <c r="FA72" s="48" t="str">
        <f>IFERROR(__xludf.DUMMYFUNCTION("IFERROR(TEXTJOIN(""/"",1,FILTER($B$9:$IV$9,$B$8:$IV$8=FA$97)),"" "")")," ")</f>
        <v> </v>
      </c>
      <c r="FB72" s="48" t="str">
        <f>IFERROR(__xludf.DUMMYFUNCTION("IFERROR(TEXTJOIN(""/"",1,FILTER($B$9:$IV$9,$B$8:$IV$8=FB$97)),"" "")"),"")</f>
        <v/>
      </c>
      <c r="FC72" s="48" t="str">
        <f>IFERROR(__xludf.DUMMYFUNCTION("IFERROR(TEXTJOIN(""/"",1,FILTER($B$9:$IV$9,$B$8:$IV$8=FC$97)),"" "")"),"3")</f>
        <v>3</v>
      </c>
      <c r="FD72" s="48" t="str">
        <f>IFERROR(__xludf.DUMMYFUNCTION("IFERROR(TEXTJOIN(""/"",1,FILTER($B$9:$IV$9,$B$8:$IV$8=FD$97)),"" "")"),"")</f>
        <v/>
      </c>
      <c r="FE72" s="48" t="str">
        <f>IFERROR(__xludf.DUMMYFUNCTION("IFERROR(TEXTJOIN(""/"",1,FILTER($B$9:$IV$9,$B$8:$IV$8=FE$97)),"" "")")," ")</f>
        <v> </v>
      </c>
      <c r="FF72" s="48" t="str">
        <f>IFERROR(__xludf.DUMMYFUNCTION("IFERROR(TEXTJOIN(""/"",1,FILTER($B$9:$IV$9,$B$8:$IV$8=FF$97)),"" "")")," ")</f>
        <v> </v>
      </c>
      <c r="FG72" s="48" t="str">
        <f>IFERROR(__xludf.DUMMYFUNCTION("IFERROR(TEXTJOIN(""/"",1,FILTER($B$9:$IV$9,$B$8:$IV$8=FG$97)),"" "")")," ")</f>
        <v> </v>
      </c>
      <c r="FH72" s="48" t="str">
        <f>IFERROR(__xludf.DUMMYFUNCTION("IFERROR(TEXTJOIN(""/"",1,FILTER($B$9:$IV$9,$B$8:$IV$8=FH$97)),"" "")")," ")</f>
        <v> </v>
      </c>
      <c r="FI72" s="48" t="str">
        <f>IFERROR(__xludf.DUMMYFUNCTION("IFERROR(TEXTJOIN(""/"",1,FILTER($B$9:$IV$9,$B$8:$IV$8=FI$97)),"" "")"),"-")</f>
        <v>-</v>
      </c>
      <c r="FJ72" s="48" t="str">
        <f>IFERROR(__xludf.DUMMYFUNCTION("IFERROR(TEXTJOIN(""/"",1,FILTER($B$9:$IV$9,$B$8:$IV$8=FJ$97)),"" "")"),"")</f>
        <v/>
      </c>
      <c r="FK72" s="48" t="str">
        <f>IFERROR(__xludf.DUMMYFUNCTION("IFERROR(TEXTJOIN(""/"",1,FILTER($B$9:$IV$9,$B$8:$IV$8=FK$97)),"" "")"),"4")</f>
        <v>4</v>
      </c>
      <c r="FL72" s="48" t="str">
        <f>IFERROR(__xludf.DUMMYFUNCTION("IFERROR(TEXTJOIN(""/"",1,FILTER($B$9:$IV$9,$B$8:$IV$8=FL$97)),"" "")")," ")</f>
        <v> </v>
      </c>
      <c r="FM72" s="48" t="str">
        <f>IFERROR(__xludf.DUMMYFUNCTION("IFERROR(TEXTJOIN(""/"",1,FILTER($B$9:$IV$9,$B$8:$IV$8=FM$97)),"" "")")," ")</f>
        <v> </v>
      </c>
      <c r="FN72" s="48" t="str">
        <f>IFERROR(__xludf.DUMMYFUNCTION("IFERROR(TEXTJOIN(""/"",1,FILTER($B$9:$IV$9,$B$8:$IV$8=FN$97)),"" "")")," ")</f>
        <v> </v>
      </c>
      <c r="FO72" s="48" t="str">
        <f>IFERROR(__xludf.DUMMYFUNCTION("IFERROR(TEXTJOIN(""/"",1,FILTER($B$9:$IV$9,$B$8:$IV$8=FO$97)),"" "")")," ")</f>
        <v> </v>
      </c>
      <c r="FP72" s="48" t="str">
        <f>IFERROR(__xludf.DUMMYFUNCTION("IFERROR(TEXTJOIN(""/"",1,FILTER($B$9:$IV$9,$B$8:$IV$8=FP$97)),"" "")"),"")</f>
        <v/>
      </c>
      <c r="FQ72" s="48" t="str">
        <f>IFERROR(__xludf.DUMMYFUNCTION("IFERROR(TEXTJOIN(""/"",1,FILTER($B$9:$IV$9,$B$8:$IV$8=FQ$97)),"" "")"),"5")</f>
        <v>5</v>
      </c>
      <c r="FR72" s="48" t="str">
        <f>IFERROR(__xludf.DUMMYFUNCTION("IFERROR(TEXTJOIN(""/"",1,FILTER($B$9:$IV$9,$B$8:$IV$8=FR$97)),"" "")"),"3")</f>
        <v>3</v>
      </c>
      <c r="FS72" s="48" t="str">
        <f>IFERROR(__xludf.DUMMYFUNCTION("IFERROR(TEXTJOIN(""/"",1,FILTER($B$9:$IV$9,$B$8:$IV$8=FS$97)),"" "")")," ")</f>
        <v> </v>
      </c>
      <c r="FT72" s="48" t="str">
        <f>IFERROR(__xludf.DUMMYFUNCTION("IFERROR(TEXTJOIN(""/"",1,FILTER($B$9:$IV$9,$B$8:$IV$8=FT$97)),"" "")")," ")</f>
        <v> </v>
      </c>
      <c r="FU72" s="48" t="str">
        <f>IFERROR(__xludf.DUMMYFUNCTION("IFERROR(TEXTJOIN(""/"",1,FILTER($B$9:$IV$9,$B$8:$IV$8=FU$97)),"" "")")," ")</f>
        <v> </v>
      </c>
      <c r="FV72" s="48" t="str">
        <f>IFERROR(__xludf.DUMMYFUNCTION("IFERROR(TEXTJOIN(""/"",1,FILTER($B$9:$IV$9,$B$8:$IV$8=FV$97)),"" "")")," ")</f>
        <v> </v>
      </c>
      <c r="FW72" s="48" t="str">
        <f>IFERROR(__xludf.DUMMYFUNCTION("IFERROR(TEXTJOIN(""/"",1,FILTER($B$9:$IV$9,$B$8:$IV$8=FW$97)),"" "")"),"3")</f>
        <v>3</v>
      </c>
      <c r="FX72" s="48" t="str">
        <f>IFERROR(__xludf.DUMMYFUNCTION("IFERROR(TEXTJOIN(""/"",1,FILTER($B$9:$IV$9,$B$8:$IV$8=FX$97)),"" "")"),"")</f>
        <v/>
      </c>
      <c r="FY72" s="48" t="str">
        <f>IFERROR(__xludf.DUMMYFUNCTION("IFERROR(TEXTJOIN(""/"",1,FILTER($B$9:$IV$9,$B$8:$IV$8=FY$97)),"" "")"),"")</f>
        <v/>
      </c>
      <c r="FZ72" s="48" t="str">
        <f>IFERROR(__xludf.DUMMYFUNCTION("IFERROR(TEXTJOIN(""/"",1,FILTER($B$9:$IV$9,$B$8:$IV$8=FZ$97)),"" "")")," ")</f>
        <v> </v>
      </c>
      <c r="GA72" s="48" t="str">
        <f>IFERROR(__xludf.DUMMYFUNCTION("IFERROR(TEXTJOIN(""/"",1,FILTER($B$9:$IV$9,$B$8:$IV$8=GA$97)),"" "")")," ")</f>
        <v> </v>
      </c>
      <c r="GB72" s="48" t="str">
        <f>IFERROR(__xludf.DUMMYFUNCTION("IFERROR(TEXTJOIN(""/"",1,FILTER($B$9:$IV$9,$B$8:$IV$8=GB$97)),"" "")")," ")</f>
        <v> </v>
      </c>
      <c r="GC72" s="48" t="str">
        <f>IFERROR(__xludf.DUMMYFUNCTION("IFERROR(TEXTJOIN(""/"",1,FILTER($B$9:$IV$9,$B$8:$IV$8=GC$97)),"" "")")," ")</f>
        <v> </v>
      </c>
      <c r="GD72" s="48" t="str">
        <f>IFERROR(__xludf.DUMMYFUNCTION("IFERROR(TEXTJOIN(""/"",1,FILTER($B$9:$IV$9,$B$8:$IV$8=GD$97)),"" "")"),"3")</f>
        <v>3</v>
      </c>
      <c r="GE72" s="48" t="str">
        <f>IFERROR(__xludf.DUMMYFUNCTION("IFERROR(TEXTJOIN(""/"",1,FILTER($B$9:$IV$9,$B$8:$IV$8=GE$97)),"" "")"),"")</f>
        <v/>
      </c>
      <c r="GF72" s="48" t="str">
        <f>IFERROR(__xludf.DUMMYFUNCTION("IFERROR(TEXTJOIN(""/"",1,FILTER($B$9:$IV$9,$B$8:$IV$8=GF$97)),"" "")"),"")</f>
        <v/>
      </c>
      <c r="GG72" s="48" t="str">
        <f>IFERROR(__xludf.DUMMYFUNCTION("IFERROR(TEXTJOIN(""/"",1,FILTER($B$9:$IV$9,$B$8:$IV$8=GG$97)),"" "")")," ")</f>
        <v> </v>
      </c>
      <c r="GH72" s="48" t="str">
        <f>IFERROR(__xludf.DUMMYFUNCTION("IFERROR(TEXTJOIN(""/"",1,FILTER($B$9:$IV$9,$B$8:$IV$8=GH$97)),"" "")")," ")</f>
        <v> </v>
      </c>
      <c r="GI72" s="48" t="str">
        <f>IFERROR(__xludf.DUMMYFUNCTION("IFERROR(TEXTJOIN(""/"",1,FILTER($B$9:$IV$9,$B$8:$IV$8=GI$97)),"" "")")," ")</f>
        <v> </v>
      </c>
      <c r="GJ72" s="48" t="str">
        <f>IFERROR(__xludf.DUMMYFUNCTION("IFERROR(TEXTJOIN(""/"",1,FILTER($B$9:$IV$9,$B$8:$IV$8=GJ$97)),"" "")")," ")</f>
        <v> </v>
      </c>
      <c r="GK72" s="48" t="str">
        <f>IFERROR(__xludf.DUMMYFUNCTION("IFERROR(TEXTJOIN(""/"",1,FILTER($B$9:$IV$9,$B$8:$IV$8=GK$97)),"" "")"),"3")</f>
        <v>3</v>
      </c>
      <c r="GL72" s="48" t="str">
        <f>IFERROR(__xludf.DUMMYFUNCTION("IFERROR(TEXTJOIN(""/"",1,FILTER($B$9:$IV$9,$B$8:$IV$8=GL$97)),"" "")"),"")</f>
        <v/>
      </c>
      <c r="GM72" s="48" t="str">
        <f>IFERROR(__xludf.DUMMYFUNCTION("IFERROR(TEXTJOIN(""/"",1,FILTER($B$9:$IV$9,$B$8:$IV$8=GM$97)),"" "")"),"")</f>
        <v/>
      </c>
      <c r="GN72" s="48" t="str">
        <f>IFERROR(__xludf.DUMMYFUNCTION("IFERROR(TEXTJOIN(""/"",1,FILTER($B$9:$IV$9,$B$8:$IV$8=GN$97)),"" "")")," ")</f>
        <v> </v>
      </c>
      <c r="GO72" s="48" t="str">
        <f>IFERROR(__xludf.DUMMYFUNCTION("IFERROR(TEXTJOIN(""/"",1,FILTER($B$9:$IV$9,$B$8:$IV$8=GO$97)),"" "")")," ")</f>
        <v> </v>
      </c>
      <c r="GP72" s="48" t="str">
        <f>IFERROR(__xludf.DUMMYFUNCTION("IFERROR(TEXTJOIN(""/"",1,FILTER($B$9:$IV$9,$B$8:$IV$8=GP$97)),"" "")")," ")</f>
        <v> </v>
      </c>
      <c r="GQ72" s="48" t="str">
        <f>IFERROR(__xludf.DUMMYFUNCTION("IFERROR(TEXTJOIN(""/"",1,FILTER($B$9:$IV$9,$B$8:$IV$8=GQ$97)),"" "")")," ")</f>
        <v> </v>
      </c>
      <c r="GR72" s="48" t="str">
        <f>IFERROR(__xludf.DUMMYFUNCTION("IFERROR(TEXTJOIN(""/"",1,FILTER($B$9:$IV$9,$B$8:$IV$8=GR$97)),"" "")")," ")</f>
        <v> </v>
      </c>
      <c r="GS72" s="48" t="str">
        <f>IFERROR(__xludf.DUMMYFUNCTION("IFERROR(TEXTJOIN(""/"",1,FILTER($B$9:$IV$9,$B$8:$IV$8=GS$97)),"" "")")," ")</f>
        <v> </v>
      </c>
      <c r="GT72" s="48" t="str">
        <f>IFERROR(__xludf.DUMMYFUNCTION("IFERROR(TEXTJOIN(""/"",1,FILTER($B$9:$IV$9,$B$8:$IV$8=GT$97)),"" "")")," ")</f>
        <v> </v>
      </c>
      <c r="GU72" s="48" t="str">
        <f>IFERROR(__xludf.DUMMYFUNCTION("IFERROR(TEXTJOIN(""/"",1,FILTER($B$9:$IV$9,$B$8:$IV$8=GU$97)),"" "")")," ")</f>
        <v> </v>
      </c>
      <c r="GV72" s="48" t="str">
        <f>IFERROR(__xludf.DUMMYFUNCTION("IFERROR(TEXTJOIN(""/"",1,FILTER($B$9:$IV$9,$B$8:$IV$8=GV$97)),"" "")")," ")</f>
        <v> </v>
      </c>
      <c r="GW72" s="48" t="str">
        <f>IFERROR(__xludf.DUMMYFUNCTION("IFERROR(TEXTJOIN(""/"",1,FILTER($B$9:$IV$9,$B$8:$IV$8=GW$97)),"" "")")," ")</f>
        <v> </v>
      </c>
      <c r="GX72" s="48" t="str">
        <f>IFERROR(__xludf.DUMMYFUNCTION("IFERROR(TEXTJOIN(""/"",1,FILTER($B$9:$IV$9,$B$8:$IV$8=GX$97)),"" "")")," ")</f>
        <v> </v>
      </c>
      <c r="GY72" s="48" t="str">
        <f>IFERROR(__xludf.DUMMYFUNCTION("IFERROR(TEXTJOIN(""/"",1,FILTER($B$9:$IV$9,$B$8:$IV$8=GY$97)),"" "")")," ")</f>
        <v> </v>
      </c>
      <c r="GZ72" s="48" t="str">
        <f>IFERROR(__xludf.DUMMYFUNCTION("IFERROR(TEXTJOIN(""/"",1,FILTER($B$9:$IV$9,$B$8:$IV$8=GZ$97)),"" "")")," ")</f>
        <v> </v>
      </c>
      <c r="HA72" s="48" t="str">
        <f>IFERROR(__xludf.DUMMYFUNCTION("IFERROR(TEXTJOIN(""/"",1,FILTER($B$9:$IV$9,$B$8:$IV$8=HA$97)),"" "")")," ")</f>
        <v> </v>
      </c>
      <c r="HB72" s="48" t="str">
        <f>IFERROR(__xludf.DUMMYFUNCTION("IFERROR(TEXTJOIN(""/"",1,FILTER($B$9:$IV$9,$B$8:$IV$8=HB$97)),"" "")")," ")</f>
        <v> </v>
      </c>
      <c r="HC72" s="48" t="str">
        <f>IFERROR(__xludf.DUMMYFUNCTION("IFERROR(TEXTJOIN(""/"",1,FILTER($B$9:$IV$9,$B$8:$IV$8=HC$97)),"" "")")," ")</f>
        <v> </v>
      </c>
      <c r="HD72" s="48" t="str">
        <f>IFERROR(__xludf.DUMMYFUNCTION("IFERROR(TEXTJOIN(""/"",1,FILTER($B$9:$IV$9,$B$8:$IV$8=HD$97)),"" "")")," ")</f>
        <v> </v>
      </c>
      <c r="HE72" s="48" t="str">
        <f>IFERROR(__xludf.DUMMYFUNCTION("IFERROR(TEXTJOIN(""/"",1,FILTER($B$9:$IV$9,$B$8:$IV$8=HE$97)),"" "")")," ")</f>
        <v> </v>
      </c>
      <c r="HF72" s="48" t="str">
        <f>IFERROR(__xludf.DUMMYFUNCTION("IFERROR(TEXTJOIN(""/"",1,FILTER($B$9:$IV$9,$B$8:$IV$8=HF$97)),"" "")")," ")</f>
        <v> </v>
      </c>
      <c r="HG72" s="48" t="str">
        <f>IFERROR(__xludf.DUMMYFUNCTION("IFERROR(TEXTJOIN(""/"",1,FILTER($B$9:$IV$9,$B$8:$IV$8=HG$97)),"" "")")," ")</f>
        <v> </v>
      </c>
      <c r="HH72" s="48" t="str">
        <f>IFERROR(__xludf.DUMMYFUNCTION("IFERROR(TEXTJOIN(""/"",1,FILTER($B$9:$IV$9,$B$8:$IV$8=HH$97)),"" "")")," ")</f>
        <v> </v>
      </c>
      <c r="HI72" s="48" t="str">
        <f>IFERROR(__xludf.DUMMYFUNCTION("IFERROR(TEXTJOIN(""/"",1,FILTER($B$9:$IV$9,$B$8:$IV$8=HI$97)),"" "")")," ")</f>
        <v> </v>
      </c>
      <c r="HJ72" s="48" t="str">
        <f>IFERROR(__xludf.DUMMYFUNCTION("IFERROR(TEXTJOIN(""/"",1,FILTER($B$9:$IV$9,$B$8:$IV$8=HJ$97)),"" "")")," ")</f>
        <v> </v>
      </c>
      <c r="HK72" s="48" t="str">
        <f>IFERROR(__xludf.DUMMYFUNCTION("IFERROR(TEXTJOIN(""/"",1,FILTER($B$9:$IV$9,$B$8:$IV$8=HK$97)),"" "")")," ")</f>
        <v> </v>
      </c>
      <c r="HL72" s="48" t="str">
        <f>IFERROR(__xludf.DUMMYFUNCTION("IFERROR(TEXTJOIN(""/"",1,FILTER($B$9:$IV$9,$B$8:$IV$8=HL$97)),"" "")")," ")</f>
        <v> </v>
      </c>
      <c r="HM72" s="48" t="str">
        <f>IFERROR(__xludf.DUMMYFUNCTION("IFERROR(TEXTJOIN(""/"",1,FILTER($B$9:$IV$9,$B$8:$IV$8=HM$97)),"" "")")," ")</f>
        <v> </v>
      </c>
      <c r="HN72" s="48" t="str">
        <f>IFERROR(__xludf.DUMMYFUNCTION("IFERROR(TEXTJOIN(""/"",1,FILTER($B$9:$IV$9,$B$8:$IV$8=HN$97)),"" "")")," ")</f>
        <v> </v>
      </c>
      <c r="HO72" s="48" t="str">
        <f>IFERROR(__xludf.DUMMYFUNCTION("IFERROR(TEXTJOIN(""/"",1,FILTER($B$9:$IV$9,$B$8:$IV$8=HO$97)),"" "")")," ")</f>
        <v> </v>
      </c>
      <c r="HP72" s="48" t="str">
        <f>IFERROR(__xludf.DUMMYFUNCTION("IFERROR(TEXTJOIN(""/"",1,FILTER($B$9:$IV$9,$B$8:$IV$8=HP$97)),"" "")")," ")</f>
        <v> </v>
      </c>
      <c r="HQ72" s="48" t="str">
        <f>IFERROR(__xludf.DUMMYFUNCTION("IFERROR(TEXTJOIN(""/"",1,FILTER($B$9:$IV$9,$B$8:$IV$8=HQ$97)),"" "")")," ")</f>
        <v> </v>
      </c>
      <c r="HR72" s="48" t="str">
        <f>IFERROR(__xludf.DUMMYFUNCTION("IFERROR(TEXTJOIN(""/"",1,FILTER($B$9:$IV$9,$B$8:$IV$8=HR$97)),"" "")")," ")</f>
        <v> </v>
      </c>
      <c r="HS72" s="48" t="str">
        <f>IFERROR(__xludf.DUMMYFUNCTION("IFERROR(TEXTJOIN(""/"",1,FILTER($B$9:$IV$9,$B$8:$IV$8=HS$97)),"" "")")," ")</f>
        <v> </v>
      </c>
      <c r="HT72" s="48" t="str">
        <f>IFERROR(__xludf.DUMMYFUNCTION("IFERROR(TEXTJOIN(""/"",1,FILTER($B$9:$IV$9,$B$8:$IV$8=HT$97)),"" "")")," ")</f>
        <v> </v>
      </c>
      <c r="HU72" s="48" t="str">
        <f>IFERROR(__xludf.DUMMYFUNCTION("IFERROR(TEXTJOIN(""/"",1,FILTER($B$9:$IV$9,$B$8:$IV$8=HU$97)),"" "")")," ")</f>
        <v> </v>
      </c>
      <c r="HV72" s="48" t="str">
        <f>IFERROR(__xludf.DUMMYFUNCTION("IFERROR(TEXTJOIN(""/"",1,FILTER($B$9:$IV$9,$B$8:$IV$8=HV$97)),"" "")")," ")</f>
        <v> </v>
      </c>
      <c r="HW72" s="48" t="str">
        <f>IFERROR(__xludf.DUMMYFUNCTION("IFERROR(TEXTJOIN(""/"",1,FILTER($B$9:$IV$9,$B$8:$IV$8=HW$97)),"" "")")," ")</f>
        <v> </v>
      </c>
      <c r="HX72" s="48" t="str">
        <f>IFERROR(__xludf.DUMMYFUNCTION("IFERROR(TEXTJOIN(""/"",1,FILTER($B$9:$IV$9,$B$8:$IV$8=HX$97)),"" "")")," ")</f>
        <v> </v>
      </c>
      <c r="HY72" s="48" t="str">
        <f>IFERROR(__xludf.DUMMYFUNCTION("IFERROR(TEXTJOIN(""/"",1,FILTER($B$9:$IV$9,$B$8:$IV$8=HY$97)),"" "")")," ")</f>
        <v> </v>
      </c>
      <c r="HZ72" s="48" t="str">
        <f>IFERROR(__xludf.DUMMYFUNCTION("IFERROR(TEXTJOIN(""/"",1,FILTER($B$9:$IV$9,$B$8:$IV$8=HZ$97)),"" "")")," ")</f>
        <v> </v>
      </c>
      <c r="IA72" s="48" t="str">
        <f>IFERROR(__xludf.DUMMYFUNCTION("IFERROR(TEXTJOIN(""/"",1,FILTER($B$9:$IV$9,$B$8:$IV$8=IA$97)),"" "")")," ")</f>
        <v> </v>
      </c>
      <c r="IB72" s="48" t="str">
        <f>IFERROR(__xludf.DUMMYFUNCTION("IFERROR(TEXTJOIN(""/"",1,FILTER($B$9:$IV$9,$B$8:$IV$8=IB$97)),"" "")")," ")</f>
        <v> </v>
      </c>
      <c r="IC72" s="48" t="str">
        <f>IFERROR(__xludf.DUMMYFUNCTION("IFERROR(TEXTJOIN(""/"",1,FILTER($B$9:$IV$9,$B$8:$IV$8=IC$97)),"" "")")," ")</f>
        <v> </v>
      </c>
      <c r="ID72" s="48" t="str">
        <f>IFERROR(__xludf.DUMMYFUNCTION("IFERROR(TEXTJOIN(""/"",1,FILTER($B$9:$IV$9,$B$8:$IV$8=ID$97)),"" "")")," ")</f>
        <v> </v>
      </c>
      <c r="IE72" s="48" t="str">
        <f>IFERROR(__xludf.DUMMYFUNCTION("IFERROR(TEXTJOIN(""/"",1,FILTER($B$9:$IV$9,$B$8:$IV$8=IE$97)),"" "")")," ")</f>
        <v> </v>
      </c>
      <c r="IF72" s="48" t="str">
        <f>IFERROR(__xludf.DUMMYFUNCTION("IFERROR(TEXTJOIN(""/"",1,FILTER($B$9:$IV$9,$B$8:$IV$8=IF$97)),"" "")")," ")</f>
        <v> </v>
      </c>
      <c r="IG72" s="48" t="str">
        <f>IFERROR(__xludf.DUMMYFUNCTION("IFERROR(TEXTJOIN(""/"",1,FILTER($B$9:$IV$9,$B$8:$IV$8=IG$97)),"" "")")," ")</f>
        <v> </v>
      </c>
      <c r="IH72" s="48" t="str">
        <f>IFERROR(__xludf.DUMMYFUNCTION("IFERROR(TEXTJOIN(""/"",1,FILTER($B$9:$IV$9,$B$8:$IV$8=IH$97)),"" "")")," ")</f>
        <v> </v>
      </c>
      <c r="II72" s="48" t="str">
        <f>IFERROR(__xludf.DUMMYFUNCTION("IFERROR(TEXTJOIN(""/"",1,FILTER($B$9:$IV$9,$B$8:$IV$8=II$97)),"" "")")," ")</f>
        <v> </v>
      </c>
      <c r="IJ72" s="48" t="str">
        <f>IFERROR(__xludf.DUMMYFUNCTION("IFERROR(TEXTJOIN(""/"",1,FILTER($B$9:$IV$9,$B$8:$IV$8=IJ$97)),"" "")")," ")</f>
        <v> </v>
      </c>
      <c r="IK72" s="48" t="str">
        <f>IFERROR(__xludf.DUMMYFUNCTION("IFERROR(TEXTJOIN(""/"",1,FILTER($B$9:$IV$9,$B$8:$IV$8=IK$97)),"" "")")," ")</f>
        <v> </v>
      </c>
      <c r="IL72" s="48" t="str">
        <f>IFERROR(__xludf.DUMMYFUNCTION("IFERROR(TEXTJOIN(""/"",1,FILTER($B$9:$IV$9,$B$8:$IV$8=IL$97)),"" "")")," ")</f>
        <v> </v>
      </c>
      <c r="IM72" s="48" t="str">
        <f>IFERROR(__xludf.DUMMYFUNCTION("IFERROR(TEXTJOIN(""/"",1,FILTER($B$9:$IV$9,$B$8:$IV$8=IM$97)),"" "")")," ")</f>
        <v> </v>
      </c>
      <c r="IN72" s="48" t="str">
        <f>IFERROR(__xludf.DUMMYFUNCTION("IFERROR(TEXTJOIN(""/"",1,FILTER($B$9:$IV$9,$B$8:$IV$8=IN$97)),"" "")")," ")</f>
        <v> </v>
      </c>
      <c r="IO72" s="48" t="str">
        <f>IFERROR(__xludf.DUMMYFUNCTION("IFERROR(TEXTJOIN(""/"",1,FILTER($B$9:$IV$9,$B$8:$IV$8=IO$97)),"" "")")," ")</f>
        <v> </v>
      </c>
      <c r="IP72" s="48" t="str">
        <f>IFERROR(__xludf.DUMMYFUNCTION("IFERROR(TEXTJOIN(""/"",1,FILTER($B$9:$IV$9,$B$8:$IV$8=IP$97)),"" "")")," ")</f>
        <v> </v>
      </c>
      <c r="IQ72" s="48" t="str">
        <f>IFERROR(__xludf.DUMMYFUNCTION("IFERROR(TEXTJOIN(""/"",1,FILTER($B$9:$IV$9,$B$8:$IV$8=IQ$97)),"" "")")," ")</f>
        <v> </v>
      </c>
      <c r="IR72" s="48" t="str">
        <f>IFERROR(__xludf.DUMMYFUNCTION("IFERROR(TEXTJOIN(""/"",1,FILTER($B$9:$IV$9,$B$8:$IV$8=IR$97)),"" "")")," ")</f>
        <v> </v>
      </c>
      <c r="IS72" s="48" t="str">
        <f>IFERROR(__xludf.DUMMYFUNCTION("IFERROR(TEXTJOIN(""/"",1,FILTER($B$9:$IV$9,$B$8:$IV$8=IS$97)),"" "")")," ")</f>
        <v> </v>
      </c>
      <c r="IT72" s="48" t="str">
        <f>IFERROR(__xludf.DUMMYFUNCTION("IFERROR(TEXTJOIN(""/"",1,FILTER($B$9:$IV$9,$B$8:$IV$8=IT$97)),"" "")")," ")</f>
        <v> </v>
      </c>
      <c r="IU72" s="48" t="str">
        <f>IFERROR(__xludf.DUMMYFUNCTION("IFERROR(TEXTJOIN(""/"",1,FILTER($B$9:$IV$9,$B$8:$IV$8=IU$97)),"" "")")," ")</f>
        <v> </v>
      </c>
      <c r="IV72" s="48" t="str">
        <f>IFERROR(__xludf.DUMMYFUNCTION("IFERROR(TEXTJOIN(""/"",1,FILTER($B$9:$IV$9,$B$8:$IV$8=IV$97)),"" "")")," ")</f>
        <v> </v>
      </c>
      <c r="IW72" s="48" t="str">
        <f>IFERROR(__xludf.DUMMYFUNCTION("IFERROR(TEXTJOIN(""/"",1,FILTER($B$9:$IV$9,$B$8:$IV$8=IW$97)),"" "")")," ")</f>
        <v> </v>
      </c>
      <c r="IX72" s="48" t="str">
        <f>IFERROR(__xludf.DUMMYFUNCTION("IFERROR(TEXTJOIN(""/"",1,FILTER($B$9:$IV$9,$B$8:$IV$8=IX$97)),"" "")")," ")</f>
        <v> </v>
      </c>
      <c r="IY72" s="48" t="str">
        <f>IFERROR(__xludf.DUMMYFUNCTION("IFERROR(TEXTJOIN(""/"",1,FILTER($B$9:$IV$9,$B$8:$IV$8=IY$97)),"" "")")," ")</f>
        <v> </v>
      </c>
      <c r="IZ72" s="48" t="str">
        <f>IFERROR(__xludf.DUMMYFUNCTION("IFERROR(TEXTJOIN(""/"",1,FILTER($B$9:$IV$9,$B$8:$IV$8=IZ$97)),"" "")")," ")</f>
        <v> </v>
      </c>
      <c r="JA72" s="48" t="str">
        <f>IFERROR(__xludf.DUMMYFUNCTION("IFERROR(TEXTJOIN(""/"",1,FILTER($B$9:$IV$9,$B$8:$IV$8=JA$97)),"" "")")," ")</f>
        <v> </v>
      </c>
      <c r="JB72" s="48" t="str">
        <f>IFERROR(__xludf.DUMMYFUNCTION("IFERROR(TEXTJOIN(""/"",1,FILTER($B$9:$IV$9,$B$8:$IV$8=JB$97)),"" "")")," ")</f>
        <v> </v>
      </c>
      <c r="JC72" s="48" t="str">
        <f>IFERROR(__xludf.DUMMYFUNCTION("IFERROR(TEXTJOIN(""/"",1,FILTER($B$9:$IV$9,$B$8:$IV$8=JC$97)),"" "")")," ")</f>
        <v> </v>
      </c>
      <c r="JD72" s="48" t="str">
        <f>IFERROR(__xludf.DUMMYFUNCTION("IFERROR(TEXTJOIN(""/"",1,FILTER($B$9:$IV$9,$B$8:$IV$8=JD$97)),"" "")")," ")</f>
        <v> </v>
      </c>
      <c r="JE72" s="48" t="str">
        <f>IFERROR(__xludf.DUMMYFUNCTION("IFERROR(TEXTJOIN(""/"",1,FILTER($B$9:$IV$9,$B$8:$IV$8=JE$97)),"" "")")," ")</f>
        <v> </v>
      </c>
    </row>
    <row r="73">
      <c r="A73" s="49" t="str">
        <f>IFERROR(__xludf.DUMMYFUNCTION("""COMPUTED_VALUE"""),"Английский язык")</f>
        <v>Английский язык</v>
      </c>
      <c r="B73" s="48" t="str">
        <f>IFERROR(__xludf.DUMMYFUNCTION("IFERROR(TEXTJOIN(""/"",1,FILTER($B$12:$IV$12,$B$11:$IV$11=B$97)),"" "")"),"")</f>
        <v/>
      </c>
      <c r="C73" s="48" t="str">
        <f>IFERROR(__xludf.DUMMYFUNCTION("IFERROR(TEXTJOIN(""/"",1,FILTER($B$12:$IV$12,$B$11:$IV$11=C$97)),"" "")"),"5")</f>
        <v>5</v>
      </c>
      <c r="D73" s="48" t="str">
        <f>IFERROR(__xludf.DUMMYFUNCTION("IFERROR(TEXTJOIN(""/"",1,FILTER($B$12:$IV$12,$B$11:$IV$11=D$97)),"" "")"),"")</f>
        <v/>
      </c>
      <c r="E73" s="48" t="str">
        <f>IFERROR(__xludf.DUMMYFUNCTION("IFERROR(TEXTJOIN(""/"",1,FILTER($B$12:$IV$12,$B$11:$IV$11=E$97)),"" "")"),"2")</f>
        <v>2</v>
      </c>
      <c r="F73" s="48" t="str">
        <f>IFERROR(__xludf.DUMMYFUNCTION("IFERROR(TEXTJOIN(""/"",1,FILTER($B$12:$IV$12,$B$11:$IV$11=F$97)),"" "")")," ")</f>
        <v> </v>
      </c>
      <c r="G73" s="48" t="str">
        <f>IFERROR(__xludf.DUMMYFUNCTION("IFERROR(TEXTJOIN(""/"",1,FILTER($B$12:$IV$12,$B$11:$IV$11=G$97)),"" "")")," ")</f>
        <v> </v>
      </c>
      <c r="H73" s="48" t="str">
        <f>IFERROR(__xludf.DUMMYFUNCTION("IFERROR(TEXTJOIN(""/"",1,FILTER($B$12:$IV$12,$B$11:$IV$11=H$97)),"" "")")," ")</f>
        <v> </v>
      </c>
      <c r="I73" s="48" t="str">
        <f>IFERROR(__xludf.DUMMYFUNCTION("IFERROR(TEXTJOIN(""/"",1,FILTER($B$12:$IV$12,$B$11:$IV$11=I$97)),"" "")"),"")</f>
        <v/>
      </c>
      <c r="J73" s="48" t="str">
        <f>IFERROR(__xludf.DUMMYFUNCTION("IFERROR(TEXTJOIN(""/"",1,FILTER($B$12:$IV$12,$B$11:$IV$11=J$97)),"" "")"),"5")</f>
        <v>5</v>
      </c>
      <c r="K73" s="48" t="str">
        <f>IFERROR(__xludf.DUMMYFUNCTION("IFERROR(TEXTJOIN(""/"",1,FILTER($B$12:$IV$12,$B$11:$IV$11=K$97)),"" "")"),"")</f>
        <v/>
      </c>
      <c r="L73" s="48" t="str">
        <f>IFERROR(__xludf.DUMMYFUNCTION("IFERROR(TEXTJOIN(""/"",1,FILTER($B$12:$IV$12,$B$11:$IV$11=L$97)),"" "")"),"")</f>
        <v/>
      </c>
      <c r="M73" s="48" t="str">
        <f>IFERROR(__xludf.DUMMYFUNCTION("IFERROR(TEXTJOIN(""/"",1,FILTER($B$12:$IV$12,$B$11:$IV$11=M$97)),"" "")")," ")</f>
        <v> </v>
      </c>
      <c r="N73" s="48" t="str">
        <f>IFERROR(__xludf.DUMMYFUNCTION("IFERROR(TEXTJOIN(""/"",1,FILTER($B$12:$IV$12,$B$11:$IV$11=N$97)),"" "")")," ")</f>
        <v> </v>
      </c>
      <c r="O73" s="48" t="str">
        <f>IFERROR(__xludf.DUMMYFUNCTION("IFERROR(TEXTJOIN(""/"",1,FILTER($B$12:$IV$12,$B$11:$IV$11=O$97)),"" "")")," ")</f>
        <v> </v>
      </c>
      <c r="P73" s="48" t="str">
        <f>IFERROR(__xludf.DUMMYFUNCTION("IFERROR(TEXTJOIN(""/"",1,FILTER($B$12:$IV$12,$B$11:$IV$11=P$97)),"" "")")," ")</f>
        <v> </v>
      </c>
      <c r="Q73" s="48" t="str">
        <f>IFERROR(__xludf.DUMMYFUNCTION("IFERROR(TEXTJOIN(""/"",1,FILTER($B$12:$IV$12,$B$11:$IV$11=Q$97)),"" "")"),"")</f>
        <v/>
      </c>
      <c r="R73" s="48" t="str">
        <f>IFERROR(__xludf.DUMMYFUNCTION("IFERROR(TEXTJOIN(""/"",1,FILTER($B$12:$IV$12,$B$11:$IV$11=R$97)),"" "")"),"")</f>
        <v/>
      </c>
      <c r="S73" s="48" t="str">
        <f>IFERROR(__xludf.DUMMYFUNCTION("IFERROR(TEXTJOIN(""/"",1,FILTER($B$12:$IV$12,$B$11:$IV$11=S$97)),"" "")"),"4")</f>
        <v>4</v>
      </c>
      <c r="T73" s="48" t="str">
        <f>IFERROR(__xludf.DUMMYFUNCTION("IFERROR(TEXTJOIN(""/"",1,FILTER($B$12:$IV$12,$B$11:$IV$11=T$97)),"" "")"),"3")</f>
        <v>3</v>
      </c>
      <c r="U73" s="48" t="str">
        <f>IFERROR(__xludf.DUMMYFUNCTION("IFERROR(TEXTJOIN(""/"",1,FILTER($B$12:$IV$12,$B$11:$IV$11=U$97)),"" "")")," ")</f>
        <v> </v>
      </c>
      <c r="V73" s="48" t="str">
        <f>IFERROR(__xludf.DUMMYFUNCTION("IFERROR(TEXTJOIN(""/"",1,FILTER($B$12:$IV$12,$B$11:$IV$11=V$97)),"" "")")," ")</f>
        <v> </v>
      </c>
      <c r="W73" s="48" t="str">
        <f>IFERROR(__xludf.DUMMYFUNCTION("IFERROR(TEXTJOIN(""/"",1,FILTER($B$12:$IV$12,$B$11:$IV$11=W$97)),"" "")")," ")</f>
        <v> </v>
      </c>
      <c r="X73" s="48" t="str">
        <f>IFERROR(__xludf.DUMMYFUNCTION("IFERROR(TEXTJOIN(""/"",1,FILTER($B$12:$IV$12,$B$11:$IV$11=X$97)),"" "")"),"")</f>
        <v/>
      </c>
      <c r="Y73" s="48" t="str">
        <f>IFERROR(__xludf.DUMMYFUNCTION("IFERROR(TEXTJOIN(""/"",1,FILTER($B$12:$IV$12,$B$11:$IV$11=Y$97)),"" "")"),"3")</f>
        <v>3</v>
      </c>
      <c r="Z73" s="48" t="str">
        <f>IFERROR(__xludf.DUMMYFUNCTION("IFERROR(TEXTJOIN(""/"",1,FILTER($B$12:$IV$12,$B$11:$IV$11=Z$97)),"" "")"),"3")</f>
        <v>3</v>
      </c>
      <c r="AA73" s="48" t="str">
        <f>IFERROR(__xludf.DUMMYFUNCTION("IFERROR(TEXTJOIN(""/"",1,FILTER($B$12:$IV$12,$B$11:$IV$11=AA$97)),"" "")"),"")</f>
        <v/>
      </c>
      <c r="AB73" s="48" t="str">
        <f>IFERROR(__xludf.DUMMYFUNCTION("IFERROR(TEXTJOIN(""/"",1,FILTER($B$12:$IV$12,$B$11:$IV$11=AB$97)),"" "")")," ")</f>
        <v> </v>
      </c>
      <c r="AC73" s="48" t="str">
        <f>IFERROR(__xludf.DUMMYFUNCTION("IFERROR(TEXTJOIN(""/"",1,FILTER($B$12:$IV$12,$B$11:$IV$11=AC$97)),"" "")")," ")</f>
        <v> </v>
      </c>
      <c r="AD73" s="48" t="str">
        <f>IFERROR(__xludf.DUMMYFUNCTION("IFERROR(TEXTJOIN(""/"",1,FILTER($B$12:$IV$12,$B$11:$IV$11=AD$97)),"" "")")," ")</f>
        <v> </v>
      </c>
      <c r="AE73" s="48" t="str">
        <f>IFERROR(__xludf.DUMMYFUNCTION("IFERROR(TEXTJOIN(""/"",1,FILTER($B$12:$IV$12,$B$11:$IV$11=AE$97)),"" "")")," ")</f>
        <v> </v>
      </c>
      <c r="AF73" s="48" t="str">
        <f>IFERROR(__xludf.DUMMYFUNCTION("IFERROR(TEXTJOIN(""/"",1,FILTER($B$12:$IV$12,$B$11:$IV$11=AF$97)),"" "")"),"3")</f>
        <v>3</v>
      </c>
      <c r="AG73" s="48" t="str">
        <f>IFERROR(__xludf.DUMMYFUNCTION("IFERROR(TEXTJOIN(""/"",1,FILTER($B$12:$IV$12,$B$11:$IV$11=AG$97)),"" "")"),"5")</f>
        <v>5</v>
      </c>
      <c r="AH73" s="48" t="str">
        <f>IFERROR(__xludf.DUMMYFUNCTION("IFERROR(TEXTJOIN(""/"",1,FILTER($B$12:$IV$12,$B$11:$IV$11=AH$97)),"" "")"),"")</f>
        <v/>
      </c>
      <c r="AI73" s="48" t="str">
        <f>IFERROR(__xludf.DUMMYFUNCTION("IFERROR(TEXTJOIN(""/"",1,FILTER($B$12:$IV$12,$B$11:$IV$11=AI$97)),"" "")")," ")</f>
        <v> </v>
      </c>
      <c r="AJ73" s="48" t="str">
        <f>IFERROR(__xludf.DUMMYFUNCTION("IFERROR(TEXTJOIN(""/"",1,FILTER($B$12:$IV$12,$B$11:$IV$11=AJ$97)),"" "")")," ")</f>
        <v> </v>
      </c>
      <c r="AK73" s="48" t="str">
        <f>IFERROR(__xludf.DUMMYFUNCTION("IFERROR(TEXTJOIN(""/"",1,FILTER($B$12:$IV$12,$B$11:$IV$11=AK$97)),"" "")"),"")</f>
        <v/>
      </c>
      <c r="AL73" s="48" t="str">
        <f>IFERROR(__xludf.DUMMYFUNCTION("IFERROR(TEXTJOIN(""/"",1,FILTER($B$12:$IV$12,$B$11:$IV$11=AL$97)),"" "")"),"")</f>
        <v/>
      </c>
      <c r="AM73" s="48" t="str">
        <f>IFERROR(__xludf.DUMMYFUNCTION("IFERROR(TEXTJOIN(""/"",1,FILTER($B$12:$IV$12,$B$11:$IV$11=AM$97)),"" "")"),"5")</f>
        <v>5</v>
      </c>
      <c r="AN73" s="48" t="str">
        <f>IFERROR(__xludf.DUMMYFUNCTION("IFERROR(TEXTJOIN(""/"",1,FILTER($B$12:$IV$12,$B$11:$IV$11=AN$97)),"" "")"),"")</f>
        <v/>
      </c>
      <c r="AO73" s="48" t="str">
        <f>IFERROR(__xludf.DUMMYFUNCTION("IFERROR(TEXTJOIN(""/"",1,FILTER($B$12:$IV$12,$B$11:$IV$11=AO$97)),"" "")")," ")</f>
        <v> </v>
      </c>
      <c r="AP73" s="48" t="str">
        <f>IFERROR(__xludf.DUMMYFUNCTION("IFERROR(TEXTJOIN(""/"",1,FILTER($B$12:$IV$12,$B$11:$IV$11=AP$97)),"" "")")," ")</f>
        <v> </v>
      </c>
      <c r="AQ73" s="48" t="str">
        <f>IFERROR(__xludf.DUMMYFUNCTION("IFERROR(TEXTJOIN(""/"",1,FILTER($B$12:$IV$12,$B$11:$IV$11=AQ$97)),"" "")")," ")</f>
        <v> </v>
      </c>
      <c r="AR73" s="48" t="str">
        <f>IFERROR(__xludf.DUMMYFUNCTION("IFERROR(TEXTJOIN(""/"",1,FILTER($B$12:$IV$12,$B$11:$IV$11=AR$97)),"" "")"),"")</f>
        <v/>
      </c>
      <c r="AS73" s="48" t="str">
        <f>IFERROR(__xludf.DUMMYFUNCTION("IFERROR(TEXTJOIN(""/"",1,FILTER($B$12:$IV$12,$B$11:$IV$11=AS$97)),"" "")"),"")</f>
        <v/>
      </c>
      <c r="AT73" s="48" t="str">
        <f>IFERROR(__xludf.DUMMYFUNCTION("IFERROR(TEXTJOIN(""/"",1,FILTER($B$12:$IV$12,$B$11:$IV$11=AT$97)),"" "")"),"4")</f>
        <v>4</v>
      </c>
      <c r="AU73" s="48" t="str">
        <f>IFERROR(__xludf.DUMMYFUNCTION("IFERROR(TEXTJOIN(""/"",1,FILTER($B$12:$IV$12,$B$11:$IV$11=AU$97)),"" "")"),"4")</f>
        <v>4</v>
      </c>
      <c r="AV73" s="48" t="str">
        <f>IFERROR(__xludf.DUMMYFUNCTION("IFERROR(TEXTJOIN(""/"",1,FILTER($B$12:$IV$12,$B$11:$IV$11=AV$97)),"" "")")," ")</f>
        <v> </v>
      </c>
      <c r="AW73" s="48" t="str">
        <f>IFERROR(__xludf.DUMMYFUNCTION("IFERROR(TEXTJOIN(""/"",1,FILTER($B$12:$IV$12,$B$11:$IV$11=AW$97)),"" "")")," ")</f>
        <v> </v>
      </c>
      <c r="AX73" s="48" t="str">
        <f>IFERROR(__xludf.DUMMYFUNCTION("IFERROR(TEXTJOIN(""/"",1,FILTER($B$12:$IV$12,$B$11:$IV$11=AX$97)),"" "")")," ")</f>
        <v> </v>
      </c>
      <c r="AY73" s="48" t="str">
        <f>IFERROR(__xludf.DUMMYFUNCTION("IFERROR(TEXTJOIN(""/"",1,FILTER($B$12:$IV$12,$B$11:$IV$11=AY$97)),"" "")"),"5")</f>
        <v>5</v>
      </c>
      <c r="AZ73" s="48" t="str">
        <f>IFERROR(__xludf.DUMMYFUNCTION("IFERROR(TEXTJOIN(""/"",1,FILTER($B$12:$IV$12,$B$11:$IV$11=AZ$97)),"" "")"),"")</f>
        <v/>
      </c>
      <c r="BA73" s="48" t="str">
        <f>IFERROR(__xludf.DUMMYFUNCTION("IFERROR(TEXTJOIN(""/"",1,FILTER($B$12:$IV$12,$B$11:$IV$11=BA$97)),"" "")"),"5")</f>
        <v>5</v>
      </c>
      <c r="BB73" s="48" t="str">
        <f>IFERROR(__xludf.DUMMYFUNCTION("IFERROR(TEXTJOIN(""/"",1,FILTER($B$12:$IV$12,$B$11:$IV$11=BB$97)),"" "")"),"4")</f>
        <v>4</v>
      </c>
      <c r="BC73" s="48" t="str">
        <f>IFERROR(__xludf.DUMMYFUNCTION("IFERROR(TEXTJOIN(""/"",1,FILTER($B$12:$IV$12,$B$11:$IV$11=BC$97)),"" "")")," ")</f>
        <v> </v>
      </c>
      <c r="BD73" s="48" t="str">
        <f>IFERROR(__xludf.DUMMYFUNCTION("IFERROR(TEXTJOIN(""/"",1,FILTER($B$12:$IV$12,$B$11:$IV$11=BD$97)),"" "")")," ")</f>
        <v> </v>
      </c>
      <c r="BE73" s="48" t="str">
        <f>IFERROR(__xludf.DUMMYFUNCTION("IFERROR(TEXTJOIN(""/"",1,FILTER($B$12:$IV$12,$B$11:$IV$11=BE$97)),"" "")")," ")</f>
        <v> </v>
      </c>
      <c r="BF73" s="48" t="str">
        <f>IFERROR(__xludf.DUMMYFUNCTION("IFERROR(TEXTJOIN(""/"",1,FILTER($B$12:$IV$12,$B$11:$IV$11=BF$97)),"" "")"),"")</f>
        <v/>
      </c>
      <c r="BG73" s="48" t="str">
        <f>IFERROR(__xludf.DUMMYFUNCTION("IFERROR(TEXTJOIN(""/"",1,FILTER($B$12:$IV$12,$B$11:$IV$11=BG$97)),"" "")"),"")</f>
        <v/>
      </c>
      <c r="BH73" s="48" t="str">
        <f>IFERROR(__xludf.DUMMYFUNCTION("IFERROR(TEXTJOIN(""/"",1,FILTER($B$12:$IV$12,$B$11:$IV$11=BH$97)),"" "")"),"")</f>
        <v/>
      </c>
      <c r="BI73" s="48" t="str">
        <f>IFERROR(__xludf.DUMMYFUNCTION("IFERROR(TEXTJOIN(""/"",1,FILTER($B$12:$IV$12,$B$11:$IV$11=BI$97)),"" "")"),"4")</f>
        <v>4</v>
      </c>
      <c r="BJ73" s="48" t="str">
        <f>IFERROR(__xludf.DUMMYFUNCTION("IFERROR(TEXTJOIN(""/"",1,FILTER($B$12:$IV$12,$B$11:$IV$11=BJ$97)),"" "")")," ")</f>
        <v> </v>
      </c>
      <c r="BK73" s="48" t="str">
        <f>IFERROR(__xludf.DUMMYFUNCTION("IFERROR(TEXTJOIN(""/"",1,FILTER($B$12:$IV$12,$B$11:$IV$11=BK$97)),"" "")")," ")</f>
        <v> </v>
      </c>
      <c r="BL73" s="48" t="str">
        <f>IFERROR(__xludf.DUMMYFUNCTION("IFERROR(TEXTJOIN(""/"",1,FILTER($B$12:$IV$12,$B$11:$IV$11=BL$97)),"" "")")," ")</f>
        <v> </v>
      </c>
      <c r="BM73" s="48" t="str">
        <f>IFERROR(__xludf.DUMMYFUNCTION("IFERROR(TEXTJOIN(""/"",1,FILTER($B$12:$IV$12,$B$11:$IV$11=BM$97)),"" "")")," ")</f>
        <v> </v>
      </c>
      <c r="BN73" s="48" t="str">
        <f>IFERROR(__xludf.DUMMYFUNCTION("IFERROR(TEXTJOIN(""/"",1,FILTER($B$12:$IV$12,$B$11:$IV$11=BN$97)),"" "")")," ")</f>
        <v> </v>
      </c>
      <c r="BO73" s="48" t="str">
        <f>IFERROR(__xludf.DUMMYFUNCTION("IFERROR(TEXTJOIN(""/"",1,FILTER($B$12:$IV$12,$B$11:$IV$11=BO$97)),"" "")")," ")</f>
        <v> </v>
      </c>
      <c r="BP73" s="48" t="str">
        <f>IFERROR(__xludf.DUMMYFUNCTION("IFERROR(TEXTJOIN(""/"",1,FILTER($B$12:$IV$12,$B$11:$IV$11=BP$97)),"" "")")," ")</f>
        <v> </v>
      </c>
      <c r="BQ73" s="48" t="str">
        <f>IFERROR(__xludf.DUMMYFUNCTION("IFERROR(TEXTJOIN(""/"",1,FILTER($B$12:$IV$12,$B$11:$IV$11=BQ$97)),"" "")")," ")</f>
        <v> </v>
      </c>
      <c r="BR73" s="48" t="str">
        <f>IFERROR(__xludf.DUMMYFUNCTION("IFERROR(TEXTJOIN(""/"",1,FILTER($B$12:$IV$12,$B$11:$IV$11=BR$97)),"" "")")," ")</f>
        <v> </v>
      </c>
      <c r="BS73" s="48" t="str">
        <f>IFERROR(__xludf.DUMMYFUNCTION("IFERROR(TEXTJOIN(""/"",1,FILTER($B$12:$IV$12,$B$11:$IV$11=BS$97)),"" "")")," ")</f>
        <v> </v>
      </c>
      <c r="BT73" s="48" t="str">
        <f>IFERROR(__xludf.DUMMYFUNCTION("IFERROR(TEXTJOIN(""/"",1,FILTER($B$12:$IV$12,$B$11:$IV$11=BT$97)),"" "")")," ")</f>
        <v> </v>
      </c>
      <c r="BU73" s="48" t="str">
        <f>IFERROR(__xludf.DUMMYFUNCTION("IFERROR(TEXTJOIN(""/"",1,FILTER($B$12:$IV$12,$B$11:$IV$11=BU$97)),"" "")"),"2")</f>
        <v>2</v>
      </c>
      <c r="BV73" s="48" t="str">
        <f>IFERROR(__xludf.DUMMYFUNCTION("IFERROR(TEXTJOIN(""/"",1,FILTER($B$12:$IV$12,$B$11:$IV$11=BV$97)),"" "")"),"")</f>
        <v/>
      </c>
      <c r="BW73" s="48" t="str">
        <f>IFERROR(__xludf.DUMMYFUNCTION("IFERROR(TEXTJOIN(""/"",1,FILTER($B$12:$IV$12,$B$11:$IV$11=BW$97)),"" "")"),"4")</f>
        <v>4</v>
      </c>
      <c r="BX73" s="48" t="str">
        <f>IFERROR(__xludf.DUMMYFUNCTION("IFERROR(TEXTJOIN(""/"",1,FILTER($B$12:$IV$12,$B$11:$IV$11=BX$97)),"" "")"),"")</f>
        <v/>
      </c>
      <c r="BY73" s="48" t="str">
        <f>IFERROR(__xludf.DUMMYFUNCTION("IFERROR(TEXTJOIN(""/"",1,FILTER($B$12:$IV$12,$B$11:$IV$11=BY$97)),"" "")")," ")</f>
        <v> </v>
      </c>
      <c r="BZ73" s="48" t="str">
        <f>IFERROR(__xludf.DUMMYFUNCTION("IFERROR(TEXTJOIN(""/"",1,FILTER($B$12:$IV$12,$B$11:$IV$11=BZ$97)),"" "")")," ")</f>
        <v> </v>
      </c>
      <c r="CA73" s="48" t="str">
        <f>IFERROR(__xludf.DUMMYFUNCTION("IFERROR(TEXTJOIN(""/"",1,FILTER($B$12:$IV$12,$B$11:$IV$11=CA$97)),"" "")")," ")</f>
        <v> </v>
      </c>
      <c r="CB73" s="48" t="str">
        <f>IFERROR(__xludf.DUMMYFUNCTION("IFERROR(TEXTJOIN(""/"",1,FILTER($B$12:$IV$12,$B$11:$IV$11=CB$97)),"" "")"),"")</f>
        <v/>
      </c>
      <c r="CC73" s="48" t="str">
        <f>IFERROR(__xludf.DUMMYFUNCTION("IFERROR(TEXTJOIN(""/"",1,FILTER($B$12:$IV$12,$B$11:$IV$11=CC$97)),"" "")"),"")</f>
        <v/>
      </c>
      <c r="CD73" s="48" t="str">
        <f>IFERROR(__xludf.DUMMYFUNCTION("IFERROR(TEXTJOIN(""/"",1,FILTER($B$12:$IV$12,$B$11:$IV$11=CD$97)),"" "")"),"")</f>
        <v/>
      </c>
      <c r="CE73" s="48" t="str">
        <f>IFERROR(__xludf.DUMMYFUNCTION("IFERROR(TEXTJOIN(""/"",1,FILTER($B$12:$IV$12,$B$11:$IV$11=CE$97)),"" "")"),"н")</f>
        <v>н</v>
      </c>
      <c r="CF73" s="48" t="str">
        <f>IFERROR(__xludf.DUMMYFUNCTION("IFERROR(TEXTJOIN(""/"",1,FILTER($B$12:$IV$12,$B$11:$IV$11=CF$97)),"" "")")," ")</f>
        <v> </v>
      </c>
      <c r="CG73" s="48" t="str">
        <f>IFERROR(__xludf.DUMMYFUNCTION("IFERROR(TEXTJOIN(""/"",1,FILTER($B$12:$IV$12,$B$11:$IV$11=CG$97)),"" "")")," ")</f>
        <v> </v>
      </c>
      <c r="CH73" s="48" t="str">
        <f>IFERROR(__xludf.DUMMYFUNCTION("IFERROR(TEXTJOIN(""/"",1,FILTER($B$12:$IV$12,$B$11:$IV$11=CH$97)),"" "")")," ")</f>
        <v> </v>
      </c>
      <c r="CI73" s="48" t="str">
        <f>IFERROR(__xludf.DUMMYFUNCTION("IFERROR(TEXTJOIN(""/"",1,FILTER($B$12:$IV$12,$B$11:$IV$11=CI$97)),"" "")"),"")</f>
        <v/>
      </c>
      <c r="CJ73" s="48" t="str">
        <f>IFERROR(__xludf.DUMMYFUNCTION("IFERROR(TEXTJOIN(""/"",1,FILTER($B$12:$IV$12,$B$11:$IV$11=CJ$97)),"" "")"),"")</f>
        <v/>
      </c>
      <c r="CK73" s="48" t="str">
        <f>IFERROR(__xludf.DUMMYFUNCTION("IFERROR(TEXTJOIN(""/"",1,FILTER($B$12:$IV$12,$B$11:$IV$11=CK$97)),"" "")"),"4")</f>
        <v>4</v>
      </c>
      <c r="CL73" s="48" t="str">
        <f>IFERROR(__xludf.DUMMYFUNCTION("IFERROR(TEXTJOIN(""/"",1,FILTER($B$12:$IV$12,$B$11:$IV$11=CL$97)),"" "")"),"")</f>
        <v/>
      </c>
      <c r="CM73" s="48" t="str">
        <f>IFERROR(__xludf.DUMMYFUNCTION("IFERROR(TEXTJOIN(""/"",1,FILTER($B$12:$IV$12,$B$11:$IV$11=CM$97)),"" "")")," ")</f>
        <v> </v>
      </c>
      <c r="CN73" s="48" t="str">
        <f>IFERROR(__xludf.DUMMYFUNCTION("IFERROR(TEXTJOIN(""/"",1,FILTER($B$12:$IV$12,$B$11:$IV$11=CN$97)),"" "")")," ")</f>
        <v> </v>
      </c>
      <c r="CO73" s="48" t="str">
        <f>IFERROR(__xludf.DUMMYFUNCTION("IFERROR(TEXTJOIN(""/"",1,FILTER($B$12:$IV$12,$B$11:$IV$11=CO$97)),"" "")"),"5")</f>
        <v>5</v>
      </c>
      <c r="CP73" s="48" t="str">
        <f>IFERROR(__xludf.DUMMYFUNCTION("IFERROR(TEXTJOIN(""/"",1,FILTER($B$12:$IV$12,$B$11:$IV$11=CP$97)),"" "")"),"4")</f>
        <v>4</v>
      </c>
      <c r="CQ73" s="48" t="str">
        <f>IFERROR(__xludf.DUMMYFUNCTION("IFERROR(TEXTJOIN(""/"",1,FILTER($B$12:$IV$12,$B$11:$IV$11=CQ$97)),"" "")"),"")</f>
        <v/>
      </c>
      <c r="CR73" s="48" t="str">
        <f>IFERROR(__xludf.DUMMYFUNCTION("IFERROR(TEXTJOIN(""/"",1,FILTER($B$12:$IV$12,$B$11:$IV$11=CR$97)),"" "")"),"")</f>
        <v/>
      </c>
      <c r="CS73" s="48" t="str">
        <f>IFERROR(__xludf.DUMMYFUNCTION("IFERROR(TEXTJOIN(""/"",1,FILTER($B$12:$IV$12,$B$11:$IV$11=CS$97)),"" "")")," ")</f>
        <v> </v>
      </c>
      <c r="CT73" s="48" t="str">
        <f>IFERROR(__xludf.DUMMYFUNCTION("IFERROR(TEXTJOIN(""/"",1,FILTER($B$12:$IV$12,$B$11:$IV$11=CT$97)),"" "")")," ")</f>
        <v> </v>
      </c>
      <c r="CU73" s="48" t="str">
        <f>IFERROR(__xludf.DUMMYFUNCTION("IFERROR(TEXTJOIN(""/"",1,FILTER($B$12:$IV$12,$B$11:$IV$11=CU$97)),"" "")")," ")</f>
        <v> </v>
      </c>
      <c r="CV73" s="48" t="str">
        <f>IFERROR(__xludf.DUMMYFUNCTION("IFERROR(TEXTJOIN(""/"",1,FILTER($B$12:$IV$12,$B$11:$IV$11=CV$97)),"" "")")," ")</f>
        <v> </v>
      </c>
      <c r="CW73" s="48" t="str">
        <f>IFERROR(__xludf.DUMMYFUNCTION("IFERROR(TEXTJOIN(""/"",1,FILTER($B$12:$IV$12,$B$11:$IV$11=CW$97)),"" "")"),"")</f>
        <v/>
      </c>
      <c r="CX73" s="48" t="str">
        <f>IFERROR(__xludf.DUMMYFUNCTION("IFERROR(TEXTJOIN(""/"",1,FILTER($B$12:$IV$12,$B$11:$IV$11=CX$97)),"" "")"),"5")</f>
        <v>5</v>
      </c>
      <c r="CY73" s="48" t="str">
        <f>IFERROR(__xludf.DUMMYFUNCTION("IFERROR(TEXTJOIN(""/"",1,FILTER($B$12:$IV$12,$B$11:$IV$11=CY$97)),"" "")"),"")</f>
        <v/>
      </c>
      <c r="CZ73" s="48" t="str">
        <f>IFERROR(__xludf.DUMMYFUNCTION("IFERROR(TEXTJOIN(""/"",1,FILTER($B$12:$IV$12,$B$11:$IV$11=CZ$97)),"" "")"),"")</f>
        <v/>
      </c>
      <c r="DA73" s="48" t="str">
        <f>IFERROR(__xludf.DUMMYFUNCTION("IFERROR(TEXTJOIN(""/"",1,FILTER($B$12:$IV$12,$B$11:$IV$11=DA$97)),"" "")")," ")</f>
        <v> </v>
      </c>
      <c r="DB73" s="48" t="str">
        <f>IFERROR(__xludf.DUMMYFUNCTION("IFERROR(TEXTJOIN(""/"",1,FILTER($B$12:$IV$12,$B$11:$IV$11=DB$97)),"" "")")," ")</f>
        <v> </v>
      </c>
      <c r="DC73" s="48" t="str">
        <f>IFERROR(__xludf.DUMMYFUNCTION("IFERROR(TEXTJOIN(""/"",1,FILTER($B$12:$IV$12,$B$11:$IV$11=DC$97)),"" "")")," ")</f>
        <v> </v>
      </c>
      <c r="DD73" s="48" t="str">
        <f>IFERROR(__xludf.DUMMYFUNCTION("IFERROR(TEXTJOIN(""/"",1,FILTER($B$12:$IV$12,$B$11:$IV$11=DD$97)),"" "")"),"")</f>
        <v/>
      </c>
      <c r="DE73" s="48" t="str">
        <f>IFERROR(__xludf.DUMMYFUNCTION("IFERROR(TEXTJOIN(""/"",1,FILTER($B$12:$IV$12,$B$11:$IV$11=DE$97)),"" "")"),"")</f>
        <v/>
      </c>
      <c r="DF73" s="48" t="str">
        <f>IFERROR(__xludf.DUMMYFUNCTION("IFERROR(TEXTJOIN(""/"",1,FILTER($B$12:$IV$12,$B$11:$IV$11=DF$97)),"" "")"),"н")</f>
        <v>н</v>
      </c>
      <c r="DG73" s="48" t="str">
        <f>IFERROR(__xludf.DUMMYFUNCTION("IFERROR(TEXTJOIN(""/"",1,FILTER($B$12:$IV$12,$B$11:$IV$11=DG$97)),"" "")"),"")</f>
        <v/>
      </c>
      <c r="DH73" s="48" t="str">
        <f>IFERROR(__xludf.DUMMYFUNCTION("IFERROR(TEXTJOIN(""/"",1,FILTER($B$12:$IV$12,$B$11:$IV$11=DH$97)),"" "")")," ")</f>
        <v> </v>
      </c>
      <c r="DI73" s="48" t="str">
        <f>IFERROR(__xludf.DUMMYFUNCTION("IFERROR(TEXTJOIN(""/"",1,FILTER($B$12:$IV$12,$B$11:$IV$11=DI$97)),"" "")")," ")</f>
        <v> </v>
      </c>
      <c r="DJ73" s="48" t="str">
        <f>IFERROR(__xludf.DUMMYFUNCTION("IFERROR(TEXTJOIN(""/"",1,FILTER($B$12:$IV$12,$B$11:$IV$11=DJ$97)),"" "")")," ")</f>
        <v> </v>
      </c>
      <c r="DK73" s="48" t="str">
        <f>IFERROR(__xludf.DUMMYFUNCTION("IFERROR(TEXTJOIN(""/"",1,FILTER($B$12:$IV$12,$B$11:$IV$11=DK$97)),"" "")"),"")</f>
        <v/>
      </c>
      <c r="DL73" s="48" t="str">
        <f>IFERROR(__xludf.DUMMYFUNCTION("IFERROR(TEXTJOIN(""/"",1,FILTER($B$12:$IV$12,$B$11:$IV$11=DL$97)),"" "")"),"")</f>
        <v/>
      </c>
      <c r="DM73" s="48" t="str">
        <f>IFERROR(__xludf.DUMMYFUNCTION("IFERROR(TEXTJOIN(""/"",1,FILTER($B$12:$IV$12,$B$11:$IV$11=DM$97)),"" "")"),"")</f>
        <v/>
      </c>
      <c r="DN73" s="48" t="str">
        <f>IFERROR(__xludf.DUMMYFUNCTION("IFERROR(TEXTJOIN(""/"",1,FILTER($B$12:$IV$12,$B$11:$IV$11=DN$97)),"" "")"),"4")</f>
        <v>4</v>
      </c>
      <c r="DO73" s="48" t="str">
        <f>IFERROR(__xludf.DUMMYFUNCTION("IFERROR(TEXTJOIN(""/"",1,FILTER($B$12:$IV$12,$B$11:$IV$11=DO$97)),"" "")")," ")</f>
        <v> </v>
      </c>
      <c r="DP73" s="48" t="str">
        <f>IFERROR(__xludf.DUMMYFUNCTION("IFERROR(TEXTJOIN(""/"",1,FILTER($B$12:$IV$12,$B$11:$IV$11=DP$97)),"" "")")," ")</f>
        <v> </v>
      </c>
      <c r="DQ73" s="48" t="str">
        <f>IFERROR(__xludf.DUMMYFUNCTION("IFERROR(TEXTJOIN(""/"",1,FILTER($B$12:$IV$12,$B$11:$IV$11=DQ$97)),"" "")")," ")</f>
        <v> </v>
      </c>
      <c r="DR73" s="48" t="str">
        <f>IFERROR(__xludf.DUMMYFUNCTION("IFERROR(TEXTJOIN(""/"",1,FILTER($B$12:$IV$12,$B$11:$IV$11=DR$97)),"" "")")," ")</f>
        <v> </v>
      </c>
      <c r="DS73" s="48" t="str">
        <f>IFERROR(__xludf.DUMMYFUNCTION("IFERROR(TEXTJOIN(""/"",1,FILTER($B$12:$IV$12,$B$11:$IV$11=DS$97)),"" "")")," ")</f>
        <v> </v>
      </c>
      <c r="DT73" s="48" t="str">
        <f>IFERROR(__xludf.DUMMYFUNCTION("IFERROR(TEXTJOIN(""/"",1,FILTER($B$12:$IV$12,$B$11:$IV$11=DT$97)),"" "")")," ")</f>
        <v> </v>
      </c>
      <c r="DU73" s="48" t="str">
        <f>IFERROR(__xludf.DUMMYFUNCTION("IFERROR(TEXTJOIN(""/"",1,FILTER($B$12:$IV$12,$B$11:$IV$11=DU$97)),"" "")")," ")</f>
        <v> </v>
      </c>
      <c r="DV73" s="48" t="str">
        <f>IFERROR(__xludf.DUMMYFUNCTION("IFERROR(TEXTJOIN(""/"",1,FILTER($B$12:$IV$12,$B$11:$IV$11=DV$97)),"" "")")," ")</f>
        <v> </v>
      </c>
      <c r="DW73" s="48" t="str">
        <f>IFERROR(__xludf.DUMMYFUNCTION("IFERROR(TEXTJOIN(""/"",1,FILTER($B$12:$IV$12,$B$11:$IV$11=DW$97)),"" "")")," ")</f>
        <v> </v>
      </c>
      <c r="DX73" s="48" t="str">
        <f>IFERROR(__xludf.DUMMYFUNCTION("IFERROR(TEXTJOIN(""/"",1,FILTER($B$12:$IV$12,$B$11:$IV$11=DX$97)),"" "")")," ")</f>
        <v> </v>
      </c>
      <c r="DY73" s="48" t="str">
        <f>IFERROR(__xludf.DUMMYFUNCTION("IFERROR(TEXTJOIN(""/"",1,FILTER($B$12:$IV$12,$B$11:$IV$11=DY$97)),"" "")")," ")</f>
        <v> </v>
      </c>
      <c r="DZ73" s="48" t="str">
        <f>IFERROR(__xludf.DUMMYFUNCTION("IFERROR(TEXTJOIN(""/"",1,FILTER($B$12:$IV$12,$B$11:$IV$11=DZ$97)),"" "")")," ")</f>
        <v> </v>
      </c>
      <c r="EA73" s="48" t="str">
        <f>IFERROR(__xludf.DUMMYFUNCTION("IFERROR(TEXTJOIN(""/"",1,FILTER($B$12:$IV$12,$B$11:$IV$11=EA$97)),"" "")")," ")</f>
        <v> </v>
      </c>
      <c r="EB73" s="48" t="str">
        <f>IFERROR(__xludf.DUMMYFUNCTION("IFERROR(TEXTJOIN(""/"",1,FILTER($B$12:$IV$12,$B$11:$IV$11=EB$97)),"" "")")," ")</f>
        <v> </v>
      </c>
      <c r="EC73" s="48" t="str">
        <f>IFERROR(__xludf.DUMMYFUNCTION("IFERROR(TEXTJOIN(""/"",1,FILTER($B$12:$IV$12,$B$11:$IV$11=EC$97)),"" "")")," ")</f>
        <v> </v>
      </c>
      <c r="ED73" s="48" t="str">
        <f>IFERROR(__xludf.DUMMYFUNCTION("IFERROR(TEXTJOIN(""/"",1,FILTER($B$12:$IV$12,$B$11:$IV$11=ED$97)),"" "")")," ")</f>
        <v> </v>
      </c>
      <c r="EE73" s="48" t="str">
        <f>IFERROR(__xludf.DUMMYFUNCTION("IFERROR(TEXTJOIN(""/"",1,FILTER($B$12:$IV$12,$B$11:$IV$11=EE$97)),"" "")")," ")</f>
        <v> </v>
      </c>
      <c r="EF73" s="48" t="str">
        <f>IFERROR(__xludf.DUMMYFUNCTION("IFERROR(TEXTJOIN(""/"",1,FILTER($B$12:$IV$12,$B$11:$IV$11=EF$97)),"" "")"),"")</f>
        <v/>
      </c>
      <c r="EG73" s="48" t="str">
        <f>IFERROR(__xludf.DUMMYFUNCTION("IFERROR(TEXTJOIN(""/"",1,FILTER($B$12:$IV$12,$B$11:$IV$11=EG$97)),"" "")"),"5")</f>
        <v>5</v>
      </c>
      <c r="EH73" s="48" t="str">
        <f>IFERROR(__xludf.DUMMYFUNCTION("IFERROR(TEXTJOIN(""/"",1,FILTER($B$12:$IV$12,$B$11:$IV$11=EH$97)),"" "")"),"н")</f>
        <v>н</v>
      </c>
      <c r="EI73" s="48" t="str">
        <f>IFERROR(__xludf.DUMMYFUNCTION("IFERROR(TEXTJOIN(""/"",1,FILTER($B$12:$IV$12,$B$11:$IV$11=EI$97)),"" "")")," ")</f>
        <v> </v>
      </c>
      <c r="EJ73" s="48" t="str">
        <f>IFERROR(__xludf.DUMMYFUNCTION("IFERROR(TEXTJOIN(""/"",1,FILTER($B$12:$IV$12,$B$11:$IV$11=EJ$97)),"" "")")," ")</f>
        <v> </v>
      </c>
      <c r="EK73" s="48" t="str">
        <f>IFERROR(__xludf.DUMMYFUNCTION("IFERROR(TEXTJOIN(""/"",1,FILTER($B$12:$IV$12,$B$11:$IV$11=EK$97)),"" "")")," ")</f>
        <v> </v>
      </c>
      <c r="EL73" s="48" t="str">
        <f>IFERROR(__xludf.DUMMYFUNCTION("IFERROR(TEXTJOIN(""/"",1,FILTER($B$12:$IV$12,$B$11:$IV$11=EL$97)),"" "")")," ")</f>
        <v> </v>
      </c>
      <c r="EM73" s="48" t="str">
        <f>IFERROR(__xludf.DUMMYFUNCTION("IFERROR(TEXTJOIN(""/"",1,FILTER($B$12:$IV$12,$B$11:$IV$11=EM$97)),"" "")"),"5")</f>
        <v>5</v>
      </c>
      <c r="EN73" s="48" t="str">
        <f>IFERROR(__xludf.DUMMYFUNCTION("IFERROR(TEXTJOIN(""/"",1,FILTER($B$12:$IV$12,$B$11:$IV$11=EN$97)),"" "")"),"3")</f>
        <v>3</v>
      </c>
      <c r="EO73" s="48" t="str">
        <f>IFERROR(__xludf.DUMMYFUNCTION("IFERROR(TEXTJOIN(""/"",1,FILTER($B$12:$IV$12,$B$11:$IV$11=EO$97)),"" "")"),"")</f>
        <v/>
      </c>
      <c r="EP73" s="48" t="str">
        <f>IFERROR(__xludf.DUMMYFUNCTION("IFERROR(TEXTJOIN(""/"",1,FILTER($B$12:$IV$12,$B$11:$IV$11=EP$97)),"" "")")," ")</f>
        <v> </v>
      </c>
      <c r="EQ73" s="48" t="str">
        <f>IFERROR(__xludf.DUMMYFUNCTION("IFERROR(TEXTJOIN(""/"",1,FILTER($B$12:$IV$12,$B$11:$IV$11=EQ$97)),"" "")")," ")</f>
        <v> </v>
      </c>
      <c r="ER73" s="48" t="str">
        <f>IFERROR(__xludf.DUMMYFUNCTION("IFERROR(TEXTJOIN(""/"",1,FILTER($B$12:$IV$12,$B$11:$IV$11=ER$97)),"" "")")," ")</f>
        <v> </v>
      </c>
      <c r="ES73" s="48" t="str">
        <f>IFERROR(__xludf.DUMMYFUNCTION("IFERROR(TEXTJOIN(""/"",1,FILTER($B$12:$IV$12,$B$11:$IV$11=ES$97)),"" "")")," ")</f>
        <v> </v>
      </c>
      <c r="ET73" s="48" t="str">
        <f>IFERROR(__xludf.DUMMYFUNCTION("IFERROR(TEXTJOIN(""/"",1,FILTER($B$12:$IV$12,$B$11:$IV$11=ET$97)),"" "")"),"")</f>
        <v/>
      </c>
      <c r="EU73" s="48" t="str">
        <f>IFERROR(__xludf.DUMMYFUNCTION("IFERROR(TEXTJOIN(""/"",1,FILTER($B$12:$IV$12,$B$11:$IV$11=EU$97)),"" "")"),"")</f>
        <v/>
      </c>
      <c r="EV73" s="48" t="str">
        <f>IFERROR(__xludf.DUMMYFUNCTION("IFERROR(TEXTJOIN(""/"",1,FILTER($B$12:$IV$12,$B$11:$IV$11=EV$97)),"" "")"),"5/5")</f>
        <v>5/5</v>
      </c>
      <c r="EW73" s="48" t="str">
        <f>IFERROR(__xludf.DUMMYFUNCTION("IFERROR(TEXTJOIN(""/"",1,FILTER($B$12:$IV$12,$B$11:$IV$11=EW$97)),"" "")")," ")</f>
        <v> </v>
      </c>
      <c r="EX73" s="48" t="str">
        <f>IFERROR(__xludf.DUMMYFUNCTION("IFERROR(TEXTJOIN(""/"",1,FILTER($B$12:$IV$12,$B$11:$IV$11=EX$97)),"" "")")," ")</f>
        <v> </v>
      </c>
      <c r="EY73" s="48" t="str">
        <f>IFERROR(__xludf.DUMMYFUNCTION("IFERROR(TEXTJOIN(""/"",1,FILTER($B$12:$IV$12,$B$11:$IV$11=EY$97)),"" "")")," ")</f>
        <v> </v>
      </c>
      <c r="EZ73" s="48" t="str">
        <f>IFERROR(__xludf.DUMMYFUNCTION("IFERROR(TEXTJOIN(""/"",1,FILTER($B$12:$IV$12,$B$11:$IV$11=EZ$97)),"" "")")," ")</f>
        <v> </v>
      </c>
      <c r="FA73" s="48" t="str">
        <f>IFERROR(__xludf.DUMMYFUNCTION("IFERROR(TEXTJOIN(""/"",1,FILTER($B$12:$IV$12,$B$11:$IV$11=FA$97)),"" "")"),"")</f>
        <v/>
      </c>
      <c r="FB73" s="48" t="str">
        <f>IFERROR(__xludf.DUMMYFUNCTION("IFERROR(TEXTJOIN(""/"",1,FILTER($B$12:$IV$12,$B$11:$IV$11=FB$97)),"" "")"),"")</f>
        <v/>
      </c>
      <c r="FC73" s="48" t="str">
        <f>IFERROR(__xludf.DUMMYFUNCTION("IFERROR(TEXTJOIN(""/"",1,FILTER($B$12:$IV$12,$B$11:$IV$11=FC$97)),"" "")"),"4")</f>
        <v>4</v>
      </c>
      <c r="FD73" s="48" t="str">
        <f>IFERROR(__xludf.DUMMYFUNCTION("IFERROR(TEXTJOIN(""/"",1,FILTER($B$12:$IV$12,$B$11:$IV$11=FD$97)),"" "")")," ")</f>
        <v> </v>
      </c>
      <c r="FE73" s="48" t="str">
        <f>IFERROR(__xludf.DUMMYFUNCTION("IFERROR(TEXTJOIN(""/"",1,FILTER($B$12:$IV$12,$B$11:$IV$11=FE$97)),"" "")")," ")</f>
        <v> </v>
      </c>
      <c r="FF73" s="48" t="str">
        <f>IFERROR(__xludf.DUMMYFUNCTION("IFERROR(TEXTJOIN(""/"",1,FILTER($B$12:$IV$12,$B$11:$IV$11=FF$97)),"" "")")," ")</f>
        <v> </v>
      </c>
      <c r="FG73" s="48" t="str">
        <f>IFERROR(__xludf.DUMMYFUNCTION("IFERROR(TEXTJOIN(""/"",1,FILTER($B$12:$IV$12,$B$11:$IV$11=FG$97)),"" "")")," ")</f>
        <v> </v>
      </c>
      <c r="FH73" s="48" t="str">
        <f>IFERROR(__xludf.DUMMYFUNCTION("IFERROR(TEXTJOIN(""/"",1,FILTER($B$12:$IV$12,$B$11:$IV$11=FH$97)),"" "")"),"")</f>
        <v/>
      </c>
      <c r="FI73" s="48" t="str">
        <f>IFERROR(__xludf.DUMMYFUNCTION("IFERROR(TEXTJOIN(""/"",1,FILTER($B$12:$IV$12,$B$11:$IV$11=FI$97)),"" "")"),"2")</f>
        <v>2</v>
      </c>
      <c r="FJ73" s="48" t="str">
        <f>IFERROR(__xludf.DUMMYFUNCTION("IFERROR(TEXTJOIN(""/"",1,FILTER($B$12:$IV$12,$B$11:$IV$11=FJ$97)),"" "")"),".")</f>
        <v>.</v>
      </c>
      <c r="FK73" s="48" t="str">
        <f>IFERROR(__xludf.DUMMYFUNCTION("IFERROR(TEXTJOIN(""/"",1,FILTER($B$12:$IV$12,$B$11:$IV$11=FK$97)),"" "")")," ")</f>
        <v> </v>
      </c>
      <c r="FL73" s="48" t="str">
        <f>IFERROR(__xludf.DUMMYFUNCTION("IFERROR(TEXTJOIN(""/"",1,FILTER($B$12:$IV$12,$B$11:$IV$11=FL$97)),"" "")")," ")</f>
        <v> </v>
      </c>
      <c r="FM73" s="48" t="str">
        <f>IFERROR(__xludf.DUMMYFUNCTION("IFERROR(TEXTJOIN(""/"",1,FILTER($B$12:$IV$12,$B$11:$IV$11=FM$97)),"" "")")," ")</f>
        <v> </v>
      </c>
      <c r="FN73" s="48" t="str">
        <f>IFERROR(__xludf.DUMMYFUNCTION("IFERROR(TEXTJOIN(""/"",1,FILTER($B$12:$IV$12,$B$11:$IV$11=FN$97)),"" "")")," ")</f>
        <v> </v>
      </c>
      <c r="FO73" s="48" t="str">
        <f>IFERROR(__xludf.DUMMYFUNCTION("IFERROR(TEXTJOIN(""/"",1,FILTER($B$12:$IV$12,$B$11:$IV$11=FO$97)),"" "")"),"4")</f>
        <v>4</v>
      </c>
      <c r="FP73" s="48" t="str">
        <f>IFERROR(__xludf.DUMMYFUNCTION("IFERROR(TEXTJOIN(""/"",1,FILTER($B$12:$IV$12,$B$11:$IV$11=FP$97)),"" "")"),"")</f>
        <v/>
      </c>
      <c r="FQ73" s="48" t="str">
        <f>IFERROR(__xludf.DUMMYFUNCTION("IFERROR(TEXTJOIN(""/"",1,FILTER($B$12:$IV$12,$B$11:$IV$11=FQ$97)),"" "")"),"")</f>
        <v/>
      </c>
      <c r="FR73" s="48" t="str">
        <f>IFERROR(__xludf.DUMMYFUNCTION("IFERROR(TEXTJOIN(""/"",1,FILTER($B$12:$IV$12,$B$11:$IV$11=FR$97)),"" "")")," ")</f>
        <v> </v>
      </c>
      <c r="FS73" s="48" t="str">
        <f>IFERROR(__xludf.DUMMYFUNCTION("IFERROR(TEXTJOIN(""/"",1,FILTER($B$12:$IV$12,$B$11:$IV$11=FS$97)),"" "")")," ")</f>
        <v> </v>
      </c>
      <c r="FT73" s="48" t="str">
        <f>IFERROR(__xludf.DUMMYFUNCTION("IFERROR(TEXTJOIN(""/"",1,FILTER($B$12:$IV$12,$B$11:$IV$11=FT$97)),"" "")")," ")</f>
        <v> </v>
      </c>
      <c r="FU73" s="48" t="str">
        <f>IFERROR(__xludf.DUMMYFUNCTION("IFERROR(TEXTJOIN(""/"",1,FILTER($B$12:$IV$12,$B$11:$IV$11=FU$97)),"" "")")," ")</f>
        <v> </v>
      </c>
      <c r="FV73" s="48" t="str">
        <f>IFERROR(__xludf.DUMMYFUNCTION("IFERROR(TEXTJOIN(""/"",1,FILTER($B$12:$IV$12,$B$11:$IV$11=FV$97)),"" "")"),"н")</f>
        <v>н</v>
      </c>
      <c r="FW73" s="48" t="str">
        <f>IFERROR(__xludf.DUMMYFUNCTION("IFERROR(TEXTJOIN(""/"",1,FILTER($B$12:$IV$12,$B$11:$IV$11=FW$97)),"" "")"),"")</f>
        <v/>
      </c>
      <c r="FX73" s="48" t="str">
        <f>IFERROR(__xludf.DUMMYFUNCTION("IFERROR(TEXTJOIN(""/"",1,FILTER($B$12:$IV$12,$B$11:$IV$11=FX$97)),"" "")"),".")</f>
        <v>.</v>
      </c>
      <c r="FY73" s="48" t="str">
        <f>IFERROR(__xludf.DUMMYFUNCTION("IFERROR(TEXTJOIN(""/"",1,FILTER($B$12:$IV$12,$B$11:$IV$11=FY$97)),"" "")")," ")</f>
        <v> </v>
      </c>
      <c r="FZ73" s="48" t="str">
        <f>IFERROR(__xludf.DUMMYFUNCTION("IFERROR(TEXTJOIN(""/"",1,FILTER($B$12:$IV$12,$B$11:$IV$11=FZ$97)),"" "")")," ")</f>
        <v> </v>
      </c>
      <c r="GA73" s="48" t="str">
        <f>IFERROR(__xludf.DUMMYFUNCTION("IFERROR(TEXTJOIN(""/"",1,FILTER($B$12:$IV$12,$B$11:$IV$11=GA$97)),"" "")")," ")</f>
        <v> </v>
      </c>
      <c r="GB73" s="48" t="str">
        <f>IFERROR(__xludf.DUMMYFUNCTION("IFERROR(TEXTJOIN(""/"",1,FILTER($B$12:$IV$12,$B$11:$IV$11=GB$97)),"" "")")," ")</f>
        <v> </v>
      </c>
      <c r="GC73" s="48" t="str">
        <f>IFERROR(__xludf.DUMMYFUNCTION("IFERROR(TEXTJOIN(""/"",1,FILTER($B$12:$IV$12,$B$11:$IV$11=GC$97)),"" "")"),"3")</f>
        <v>3</v>
      </c>
      <c r="GD73" s="48" t="str">
        <f>IFERROR(__xludf.DUMMYFUNCTION("IFERROR(TEXTJOIN(""/"",1,FILTER($B$12:$IV$12,$B$11:$IV$11=GD$97)),"" "")"),"")</f>
        <v/>
      </c>
      <c r="GE73" s="48" t="str">
        <f>IFERROR(__xludf.DUMMYFUNCTION("IFERROR(TEXTJOIN(""/"",1,FILTER($B$12:$IV$12,$B$11:$IV$11=GE$97)),"" "")"),"4")</f>
        <v>4</v>
      </c>
      <c r="GF73" s="48" t="str">
        <f>IFERROR(__xludf.DUMMYFUNCTION("IFERROR(TEXTJOIN(""/"",1,FILTER($B$12:$IV$12,$B$11:$IV$11=GF$97)),"" "")")," ")</f>
        <v> </v>
      </c>
      <c r="GG73" s="48" t="str">
        <f>IFERROR(__xludf.DUMMYFUNCTION("IFERROR(TEXTJOIN(""/"",1,FILTER($B$12:$IV$12,$B$11:$IV$11=GG$97)),"" "")")," ")</f>
        <v> </v>
      </c>
      <c r="GH73" s="48" t="str">
        <f>IFERROR(__xludf.DUMMYFUNCTION("IFERROR(TEXTJOIN(""/"",1,FILTER($B$12:$IV$12,$B$11:$IV$11=GH$97)),"" "")")," ")</f>
        <v> </v>
      </c>
      <c r="GI73" s="48" t="str">
        <f>IFERROR(__xludf.DUMMYFUNCTION("IFERROR(TEXTJOIN(""/"",1,FILTER($B$12:$IV$12,$B$11:$IV$11=GI$97)),"" "")")," ")</f>
        <v> </v>
      </c>
      <c r="GJ73" s="48" t="str">
        <f>IFERROR(__xludf.DUMMYFUNCTION("IFERROR(TEXTJOIN(""/"",1,FILTER($B$12:$IV$12,$B$11:$IV$11=GJ$97)),"" "")"),"")</f>
        <v/>
      </c>
      <c r="GK73" s="48" t="str">
        <f>IFERROR(__xludf.DUMMYFUNCTION("IFERROR(TEXTJOIN(""/"",1,FILTER($B$12:$IV$12,$B$11:$IV$11=GK$97)),"" "")"),"дз")</f>
        <v>дз</v>
      </c>
      <c r="GL73" s="48" t="str">
        <f>IFERROR(__xludf.DUMMYFUNCTION("IFERROR(TEXTJOIN(""/"",1,FILTER($B$12:$IV$12,$B$11:$IV$11=GL$97)),"" "")"),"")</f>
        <v/>
      </c>
      <c r="GM73" s="48" t="str">
        <f>IFERROR(__xludf.DUMMYFUNCTION("IFERROR(TEXTJOIN(""/"",1,FILTER($B$12:$IV$12,$B$11:$IV$11=GM$97)),"" "")")," ")</f>
        <v> </v>
      </c>
      <c r="GN73" s="48" t="str">
        <f>IFERROR(__xludf.DUMMYFUNCTION("IFERROR(TEXTJOIN(""/"",1,FILTER($B$12:$IV$12,$B$11:$IV$11=GN$97)),"" "")")," ")</f>
        <v> </v>
      </c>
      <c r="GO73" s="48" t="str">
        <f>IFERROR(__xludf.DUMMYFUNCTION("IFERROR(TEXTJOIN(""/"",1,FILTER($B$12:$IV$12,$B$11:$IV$11=GO$97)),"" "")")," ")</f>
        <v> </v>
      </c>
      <c r="GP73" s="48" t="str">
        <f>IFERROR(__xludf.DUMMYFUNCTION("IFERROR(TEXTJOIN(""/"",1,FILTER($B$12:$IV$12,$B$11:$IV$11=GP$97)),"" "")")," ")</f>
        <v> </v>
      </c>
      <c r="GQ73" s="48" t="str">
        <f>IFERROR(__xludf.DUMMYFUNCTION("IFERROR(TEXTJOIN(""/"",1,FILTER($B$12:$IV$12,$B$11:$IV$11=GQ$97)),"" "")"),"")</f>
        <v/>
      </c>
      <c r="GR73" s="48" t="str">
        <f>IFERROR(__xludf.DUMMYFUNCTION("IFERROR(TEXTJOIN(""/"",1,FILTER($B$12:$IV$12,$B$11:$IV$11=GR$97)),"" "")"),"4")</f>
        <v>4</v>
      </c>
      <c r="GS73" s="48" t="str">
        <f>IFERROR(__xludf.DUMMYFUNCTION("IFERROR(TEXTJOIN(""/"",1,FILTER($B$12:$IV$12,$B$11:$IV$11=GS$97)),"" "")")," ")</f>
        <v> </v>
      </c>
      <c r="GT73" s="48" t="str">
        <f>IFERROR(__xludf.DUMMYFUNCTION("IFERROR(TEXTJOIN(""/"",1,FILTER($B$12:$IV$12,$B$11:$IV$11=GT$97)),"" "")")," ")</f>
        <v> </v>
      </c>
      <c r="GU73" s="48" t="str">
        <f>IFERROR(__xludf.DUMMYFUNCTION("IFERROR(TEXTJOIN(""/"",1,FILTER($B$12:$IV$12,$B$11:$IV$11=GU$97)),"" "")")," ")</f>
        <v> </v>
      </c>
      <c r="GV73" s="48" t="str">
        <f>IFERROR(__xludf.DUMMYFUNCTION("IFERROR(TEXTJOIN(""/"",1,FILTER($B$12:$IV$12,$B$11:$IV$11=GV$97)),"" "")")," ")</f>
        <v> </v>
      </c>
      <c r="GW73" s="48" t="str">
        <f>IFERROR(__xludf.DUMMYFUNCTION("IFERROR(TEXTJOIN(""/"",1,FILTER($B$12:$IV$12,$B$11:$IV$11=GW$97)),"" "")")," ")</f>
        <v> </v>
      </c>
      <c r="GX73" s="48" t="str">
        <f>IFERROR(__xludf.DUMMYFUNCTION("IFERROR(TEXTJOIN(""/"",1,FILTER($B$12:$IV$12,$B$11:$IV$11=GX$97)),"" "")")," ")</f>
        <v> </v>
      </c>
      <c r="GY73" s="48" t="str">
        <f>IFERROR(__xludf.DUMMYFUNCTION("IFERROR(TEXTJOIN(""/"",1,FILTER($B$12:$IV$12,$B$11:$IV$11=GY$97)),"" "")")," ")</f>
        <v> </v>
      </c>
      <c r="GZ73" s="48" t="str">
        <f>IFERROR(__xludf.DUMMYFUNCTION("IFERROR(TEXTJOIN(""/"",1,FILTER($B$12:$IV$12,$B$11:$IV$11=GZ$97)),"" "")")," ")</f>
        <v> </v>
      </c>
      <c r="HA73" s="48" t="str">
        <f>IFERROR(__xludf.DUMMYFUNCTION("IFERROR(TEXTJOIN(""/"",1,FILTER($B$12:$IV$12,$B$11:$IV$11=HA$97)),"" "")")," ")</f>
        <v> </v>
      </c>
      <c r="HB73" s="48" t="str">
        <f>IFERROR(__xludf.DUMMYFUNCTION("IFERROR(TEXTJOIN(""/"",1,FILTER($B$12:$IV$12,$B$11:$IV$11=HB$97)),"" "")")," ")</f>
        <v> </v>
      </c>
      <c r="HC73" s="48" t="str">
        <f>IFERROR(__xludf.DUMMYFUNCTION("IFERROR(TEXTJOIN(""/"",1,FILTER($B$12:$IV$12,$B$11:$IV$11=HC$97)),"" "")")," ")</f>
        <v> </v>
      </c>
      <c r="HD73" s="48" t="str">
        <f>IFERROR(__xludf.DUMMYFUNCTION("IFERROR(TEXTJOIN(""/"",1,FILTER($B$12:$IV$12,$B$11:$IV$11=HD$97)),"" "")")," ")</f>
        <v> </v>
      </c>
      <c r="HE73" s="48" t="str">
        <f>IFERROR(__xludf.DUMMYFUNCTION("IFERROR(TEXTJOIN(""/"",1,FILTER($B$12:$IV$12,$B$11:$IV$11=HE$97)),"" "")")," ")</f>
        <v> </v>
      </c>
      <c r="HF73" s="48" t="str">
        <f>IFERROR(__xludf.DUMMYFUNCTION("IFERROR(TEXTJOIN(""/"",1,FILTER($B$12:$IV$12,$B$11:$IV$11=HF$97)),"" "")")," ")</f>
        <v> </v>
      </c>
      <c r="HG73" s="48" t="str">
        <f>IFERROR(__xludf.DUMMYFUNCTION("IFERROR(TEXTJOIN(""/"",1,FILTER($B$12:$IV$12,$B$11:$IV$11=HG$97)),"" "")")," ")</f>
        <v> </v>
      </c>
      <c r="HH73" s="48" t="str">
        <f>IFERROR(__xludf.DUMMYFUNCTION("IFERROR(TEXTJOIN(""/"",1,FILTER($B$12:$IV$12,$B$11:$IV$11=HH$97)),"" "")")," ")</f>
        <v> </v>
      </c>
      <c r="HI73" s="48" t="str">
        <f>IFERROR(__xludf.DUMMYFUNCTION("IFERROR(TEXTJOIN(""/"",1,FILTER($B$12:$IV$12,$B$11:$IV$11=HI$97)),"" "")")," ")</f>
        <v> </v>
      </c>
      <c r="HJ73" s="48" t="str">
        <f>IFERROR(__xludf.DUMMYFUNCTION("IFERROR(TEXTJOIN(""/"",1,FILTER($B$12:$IV$12,$B$11:$IV$11=HJ$97)),"" "")")," ")</f>
        <v> </v>
      </c>
      <c r="HK73" s="48" t="str">
        <f>IFERROR(__xludf.DUMMYFUNCTION("IFERROR(TEXTJOIN(""/"",1,FILTER($B$12:$IV$12,$B$11:$IV$11=HK$97)),"" "")")," ")</f>
        <v> </v>
      </c>
      <c r="HL73" s="48" t="str">
        <f>IFERROR(__xludf.DUMMYFUNCTION("IFERROR(TEXTJOIN(""/"",1,FILTER($B$12:$IV$12,$B$11:$IV$11=HL$97)),"" "")")," ")</f>
        <v> </v>
      </c>
      <c r="HM73" s="48" t="str">
        <f>IFERROR(__xludf.DUMMYFUNCTION("IFERROR(TEXTJOIN(""/"",1,FILTER($B$12:$IV$12,$B$11:$IV$11=HM$97)),"" "")")," ")</f>
        <v> </v>
      </c>
      <c r="HN73" s="48" t="str">
        <f>IFERROR(__xludf.DUMMYFUNCTION("IFERROR(TEXTJOIN(""/"",1,FILTER($B$12:$IV$12,$B$11:$IV$11=HN$97)),"" "")")," ")</f>
        <v> </v>
      </c>
      <c r="HO73" s="48" t="str">
        <f>IFERROR(__xludf.DUMMYFUNCTION("IFERROR(TEXTJOIN(""/"",1,FILTER($B$12:$IV$12,$B$11:$IV$11=HO$97)),"" "")")," ")</f>
        <v> </v>
      </c>
      <c r="HP73" s="48" t="str">
        <f>IFERROR(__xludf.DUMMYFUNCTION("IFERROR(TEXTJOIN(""/"",1,FILTER($B$12:$IV$12,$B$11:$IV$11=HP$97)),"" "")")," ")</f>
        <v> </v>
      </c>
      <c r="HQ73" s="48" t="str">
        <f>IFERROR(__xludf.DUMMYFUNCTION("IFERROR(TEXTJOIN(""/"",1,FILTER($B$12:$IV$12,$B$11:$IV$11=HQ$97)),"" "")")," ")</f>
        <v> </v>
      </c>
      <c r="HR73" s="48" t="str">
        <f>IFERROR(__xludf.DUMMYFUNCTION("IFERROR(TEXTJOIN(""/"",1,FILTER($B$12:$IV$12,$B$11:$IV$11=HR$97)),"" "")")," ")</f>
        <v> </v>
      </c>
      <c r="HS73" s="48" t="str">
        <f>IFERROR(__xludf.DUMMYFUNCTION("IFERROR(TEXTJOIN(""/"",1,FILTER($B$12:$IV$12,$B$11:$IV$11=HS$97)),"" "")")," ")</f>
        <v> </v>
      </c>
      <c r="HT73" s="48" t="str">
        <f>IFERROR(__xludf.DUMMYFUNCTION("IFERROR(TEXTJOIN(""/"",1,FILTER($B$12:$IV$12,$B$11:$IV$11=HT$97)),"" "")")," ")</f>
        <v> </v>
      </c>
      <c r="HU73" s="48" t="str">
        <f>IFERROR(__xludf.DUMMYFUNCTION("IFERROR(TEXTJOIN(""/"",1,FILTER($B$12:$IV$12,$B$11:$IV$11=HU$97)),"" "")")," ")</f>
        <v> </v>
      </c>
      <c r="HV73" s="48" t="str">
        <f>IFERROR(__xludf.DUMMYFUNCTION("IFERROR(TEXTJOIN(""/"",1,FILTER($B$12:$IV$12,$B$11:$IV$11=HV$97)),"" "")")," ")</f>
        <v> </v>
      </c>
      <c r="HW73" s="48" t="str">
        <f>IFERROR(__xludf.DUMMYFUNCTION("IFERROR(TEXTJOIN(""/"",1,FILTER($B$12:$IV$12,$B$11:$IV$11=HW$97)),"" "")")," ")</f>
        <v> </v>
      </c>
      <c r="HX73" s="48" t="str">
        <f>IFERROR(__xludf.DUMMYFUNCTION("IFERROR(TEXTJOIN(""/"",1,FILTER($B$12:$IV$12,$B$11:$IV$11=HX$97)),"" "")")," ")</f>
        <v> </v>
      </c>
      <c r="HY73" s="48" t="str">
        <f>IFERROR(__xludf.DUMMYFUNCTION("IFERROR(TEXTJOIN(""/"",1,FILTER($B$12:$IV$12,$B$11:$IV$11=HY$97)),"" "")")," ")</f>
        <v> </v>
      </c>
      <c r="HZ73" s="48" t="str">
        <f>IFERROR(__xludf.DUMMYFUNCTION("IFERROR(TEXTJOIN(""/"",1,FILTER($B$12:$IV$12,$B$11:$IV$11=HZ$97)),"" "")")," ")</f>
        <v> </v>
      </c>
      <c r="IA73" s="48" t="str">
        <f>IFERROR(__xludf.DUMMYFUNCTION("IFERROR(TEXTJOIN(""/"",1,FILTER($B$12:$IV$12,$B$11:$IV$11=IA$97)),"" "")")," ")</f>
        <v> </v>
      </c>
      <c r="IB73" s="48" t="str">
        <f>IFERROR(__xludf.DUMMYFUNCTION("IFERROR(TEXTJOIN(""/"",1,FILTER($B$12:$IV$12,$B$11:$IV$11=IB$97)),"" "")")," ")</f>
        <v> </v>
      </c>
      <c r="IC73" s="48" t="str">
        <f>IFERROR(__xludf.DUMMYFUNCTION("IFERROR(TEXTJOIN(""/"",1,FILTER($B$12:$IV$12,$B$11:$IV$11=IC$97)),"" "")")," ")</f>
        <v> </v>
      </c>
      <c r="ID73" s="48" t="str">
        <f>IFERROR(__xludf.DUMMYFUNCTION("IFERROR(TEXTJOIN(""/"",1,FILTER($B$12:$IV$12,$B$11:$IV$11=ID$97)),"" "")")," ")</f>
        <v> </v>
      </c>
      <c r="IE73" s="48" t="str">
        <f>IFERROR(__xludf.DUMMYFUNCTION("IFERROR(TEXTJOIN(""/"",1,FILTER($B$12:$IV$12,$B$11:$IV$11=IE$97)),"" "")")," ")</f>
        <v> </v>
      </c>
      <c r="IF73" s="48" t="str">
        <f>IFERROR(__xludf.DUMMYFUNCTION("IFERROR(TEXTJOIN(""/"",1,FILTER($B$12:$IV$12,$B$11:$IV$11=IF$97)),"" "")")," ")</f>
        <v> </v>
      </c>
      <c r="IG73" s="48" t="str">
        <f>IFERROR(__xludf.DUMMYFUNCTION("IFERROR(TEXTJOIN(""/"",1,FILTER($B$12:$IV$12,$B$11:$IV$11=IG$97)),"" "")")," ")</f>
        <v> </v>
      </c>
      <c r="IH73" s="48" t="str">
        <f>IFERROR(__xludf.DUMMYFUNCTION("IFERROR(TEXTJOIN(""/"",1,FILTER($B$12:$IV$12,$B$11:$IV$11=IH$97)),"" "")")," ")</f>
        <v> </v>
      </c>
      <c r="II73" s="48" t="str">
        <f>IFERROR(__xludf.DUMMYFUNCTION("IFERROR(TEXTJOIN(""/"",1,FILTER($B$12:$IV$12,$B$11:$IV$11=II$97)),"" "")")," ")</f>
        <v> </v>
      </c>
      <c r="IJ73" s="48" t="str">
        <f>IFERROR(__xludf.DUMMYFUNCTION("IFERROR(TEXTJOIN(""/"",1,FILTER($B$12:$IV$12,$B$11:$IV$11=IJ$97)),"" "")")," ")</f>
        <v> </v>
      </c>
      <c r="IK73" s="48" t="str">
        <f>IFERROR(__xludf.DUMMYFUNCTION("IFERROR(TEXTJOIN(""/"",1,FILTER($B$12:$IV$12,$B$11:$IV$11=IK$97)),"" "")")," ")</f>
        <v> </v>
      </c>
      <c r="IL73" s="48" t="str">
        <f>IFERROR(__xludf.DUMMYFUNCTION("IFERROR(TEXTJOIN(""/"",1,FILTER($B$12:$IV$12,$B$11:$IV$11=IL$97)),"" "")")," ")</f>
        <v> </v>
      </c>
      <c r="IM73" s="48" t="str">
        <f>IFERROR(__xludf.DUMMYFUNCTION("IFERROR(TEXTJOIN(""/"",1,FILTER($B$12:$IV$12,$B$11:$IV$11=IM$97)),"" "")")," ")</f>
        <v> </v>
      </c>
      <c r="IN73" s="48" t="str">
        <f>IFERROR(__xludf.DUMMYFUNCTION("IFERROR(TEXTJOIN(""/"",1,FILTER($B$12:$IV$12,$B$11:$IV$11=IN$97)),"" "")")," ")</f>
        <v> </v>
      </c>
      <c r="IO73" s="48" t="str">
        <f>IFERROR(__xludf.DUMMYFUNCTION("IFERROR(TEXTJOIN(""/"",1,FILTER($B$12:$IV$12,$B$11:$IV$11=IO$97)),"" "")")," ")</f>
        <v> </v>
      </c>
      <c r="IP73" s="48" t="str">
        <f>IFERROR(__xludf.DUMMYFUNCTION("IFERROR(TEXTJOIN(""/"",1,FILTER($B$12:$IV$12,$B$11:$IV$11=IP$97)),"" "")")," ")</f>
        <v> </v>
      </c>
      <c r="IQ73" s="48" t="str">
        <f>IFERROR(__xludf.DUMMYFUNCTION("IFERROR(TEXTJOIN(""/"",1,FILTER($B$12:$IV$12,$B$11:$IV$11=IQ$97)),"" "")")," ")</f>
        <v> </v>
      </c>
      <c r="IR73" s="48" t="str">
        <f>IFERROR(__xludf.DUMMYFUNCTION("IFERROR(TEXTJOIN(""/"",1,FILTER($B$12:$IV$12,$B$11:$IV$11=IR$97)),"" "")")," ")</f>
        <v> </v>
      </c>
      <c r="IS73" s="48" t="str">
        <f>IFERROR(__xludf.DUMMYFUNCTION("IFERROR(TEXTJOIN(""/"",1,FILTER($B$12:$IV$12,$B$11:$IV$11=IS$97)),"" "")")," ")</f>
        <v> </v>
      </c>
      <c r="IT73" s="48" t="str">
        <f>IFERROR(__xludf.DUMMYFUNCTION("IFERROR(TEXTJOIN(""/"",1,FILTER($B$12:$IV$12,$B$11:$IV$11=IT$97)),"" "")")," ")</f>
        <v> </v>
      </c>
      <c r="IU73" s="48" t="str">
        <f>IFERROR(__xludf.DUMMYFUNCTION("IFERROR(TEXTJOIN(""/"",1,FILTER($B$12:$IV$12,$B$11:$IV$11=IU$97)),"" "")")," ")</f>
        <v> </v>
      </c>
      <c r="IV73" s="48" t="str">
        <f>IFERROR(__xludf.DUMMYFUNCTION("IFERROR(TEXTJOIN(""/"",1,FILTER($B$12:$IV$12,$B$11:$IV$11=IV$97)),"" "")")," ")</f>
        <v> </v>
      </c>
      <c r="IW73" s="48" t="str">
        <f>IFERROR(__xludf.DUMMYFUNCTION("IFERROR(TEXTJOIN(""/"",1,FILTER($B$12:$IV$12,$B$11:$IV$11=IW$97)),"" "")")," ")</f>
        <v> </v>
      </c>
      <c r="IX73" s="48" t="str">
        <f>IFERROR(__xludf.DUMMYFUNCTION("IFERROR(TEXTJOIN(""/"",1,FILTER($B$12:$IV$12,$B$11:$IV$11=IX$97)),"" "")")," ")</f>
        <v> </v>
      </c>
      <c r="IY73" s="48" t="str">
        <f>IFERROR(__xludf.DUMMYFUNCTION("IFERROR(TEXTJOIN(""/"",1,FILTER($B$12:$IV$12,$B$11:$IV$11=IY$97)),"" "")")," ")</f>
        <v> </v>
      </c>
      <c r="IZ73" s="48" t="str">
        <f>IFERROR(__xludf.DUMMYFUNCTION("IFERROR(TEXTJOIN(""/"",1,FILTER($B$12:$IV$12,$B$11:$IV$11=IZ$97)),"" "")")," ")</f>
        <v> </v>
      </c>
      <c r="JA73" s="48" t="str">
        <f>IFERROR(__xludf.DUMMYFUNCTION("IFERROR(TEXTJOIN(""/"",1,FILTER($B$12:$IV$12,$B$11:$IV$11=JA$97)),"" "")")," ")</f>
        <v> </v>
      </c>
      <c r="JB73" s="48" t="str">
        <f>IFERROR(__xludf.DUMMYFUNCTION("IFERROR(TEXTJOIN(""/"",1,FILTER($B$12:$IV$12,$B$11:$IV$11=JB$97)),"" "")")," ")</f>
        <v> </v>
      </c>
      <c r="JC73" s="48" t="str">
        <f>IFERROR(__xludf.DUMMYFUNCTION("IFERROR(TEXTJOIN(""/"",1,FILTER($B$12:$IV$12,$B$11:$IV$11=JC$97)),"" "")")," ")</f>
        <v> </v>
      </c>
      <c r="JD73" s="48" t="str">
        <f>IFERROR(__xludf.DUMMYFUNCTION("IFERROR(TEXTJOIN(""/"",1,FILTER($B$12:$IV$12,$B$11:$IV$11=JD$97)),"" "")")," ")</f>
        <v> </v>
      </c>
      <c r="JE73" s="48" t="str">
        <f>IFERROR(__xludf.DUMMYFUNCTION("IFERROR(TEXTJOIN(""/"",1,FILTER($B$12:$IV$12,$B$11:$IV$11=JE$97)),"" "")")," ")</f>
        <v> </v>
      </c>
    </row>
    <row r="74">
      <c r="A74" s="49" t="str">
        <f>IFERROR(__xludf.DUMMYFUNCTION("""COMPUTED_VALUE"""),"История")</f>
        <v>История</v>
      </c>
      <c r="B74" s="48" t="str">
        <f>IFERROR(__xludf.DUMMYFUNCTION("IFERROR(TEXTJOIN(""/"",1,FILTER($B$15:$IV$15,$B$14:$IV$14=B$97)),"" "")"),"")</f>
        <v/>
      </c>
      <c r="C74" s="48" t="str">
        <f>IFERROR(__xludf.DUMMYFUNCTION("IFERROR(TEXTJOIN(""/"",1,FILTER($B$15:$IV$15,$B$14:$IV$14=C$97)),"" "")")," ")</f>
        <v> </v>
      </c>
      <c r="D74" s="48" t="str">
        <f>IFERROR(__xludf.DUMMYFUNCTION("IFERROR(TEXTJOIN(""/"",1,FILTER($B$15:$IV$15,$B$14:$IV$14=D$97)),"" "")")," ")</f>
        <v> </v>
      </c>
      <c r="E74" s="48" t="str">
        <f>IFERROR(__xludf.DUMMYFUNCTION("IFERROR(TEXTJOIN(""/"",1,FILTER($B$15:$IV$15,$B$14:$IV$14=E$97)),"" "")")," ")</f>
        <v> </v>
      </c>
      <c r="F74" s="48" t="str">
        <f>IFERROR(__xludf.DUMMYFUNCTION("IFERROR(TEXTJOIN(""/"",1,FILTER($B$15:$IV$15,$B$14:$IV$14=F$97)),"" "")")," ")</f>
        <v> </v>
      </c>
      <c r="G74" s="48" t="str">
        <f>IFERROR(__xludf.DUMMYFUNCTION("IFERROR(TEXTJOIN(""/"",1,FILTER($B$15:$IV$15,$B$14:$IV$14=G$97)),"" "")")," ")</f>
        <v> </v>
      </c>
      <c r="H74" s="48" t="str">
        <f>IFERROR(__xludf.DUMMYFUNCTION("IFERROR(TEXTJOIN(""/"",1,FILTER($B$15:$IV$15,$B$14:$IV$14=H$97)),"" "")"),"")</f>
        <v/>
      </c>
      <c r="I74" s="48" t="str">
        <f>IFERROR(__xludf.DUMMYFUNCTION("IFERROR(TEXTJOIN(""/"",1,FILTER($B$15:$IV$15,$B$14:$IV$14=I$97)),"" "")"),"")</f>
        <v/>
      </c>
      <c r="J74" s="48" t="str">
        <f>IFERROR(__xludf.DUMMYFUNCTION("IFERROR(TEXTJOIN(""/"",1,FILTER($B$15:$IV$15,$B$14:$IV$14=J$97)),"" "")")," ")</f>
        <v> </v>
      </c>
      <c r="K74" s="48" t="str">
        <f>IFERROR(__xludf.DUMMYFUNCTION("IFERROR(TEXTJOIN(""/"",1,FILTER($B$15:$IV$15,$B$14:$IV$14=K$97)),"" "")")," ")</f>
        <v> </v>
      </c>
      <c r="L74" s="48" t="str">
        <f>IFERROR(__xludf.DUMMYFUNCTION("IFERROR(TEXTJOIN(""/"",1,FILTER($B$15:$IV$15,$B$14:$IV$14=L$97)),"" "")")," ")</f>
        <v> </v>
      </c>
      <c r="M74" s="48" t="str">
        <f>IFERROR(__xludf.DUMMYFUNCTION("IFERROR(TEXTJOIN(""/"",1,FILTER($B$15:$IV$15,$B$14:$IV$14=M$97)),"" "")")," ")</f>
        <v> </v>
      </c>
      <c r="N74" s="48" t="str">
        <f>IFERROR(__xludf.DUMMYFUNCTION("IFERROR(TEXTJOIN(""/"",1,FILTER($B$15:$IV$15,$B$14:$IV$14=N$97)),"" "")")," ")</f>
        <v> </v>
      </c>
      <c r="O74" s="48" t="str">
        <f>IFERROR(__xludf.DUMMYFUNCTION("IFERROR(TEXTJOIN(""/"",1,FILTER($B$15:$IV$15,$B$14:$IV$14=O$97)),"" "")"),"")</f>
        <v/>
      </c>
      <c r="P74" s="48" t="str">
        <f>IFERROR(__xludf.DUMMYFUNCTION("IFERROR(TEXTJOIN(""/"",1,FILTER($B$15:$IV$15,$B$14:$IV$14=P$97)),"" "")"),"2")</f>
        <v>2</v>
      </c>
      <c r="Q74" s="48" t="str">
        <f>IFERROR(__xludf.DUMMYFUNCTION("IFERROR(TEXTJOIN(""/"",1,FILTER($B$15:$IV$15,$B$14:$IV$14=Q$97)),"" "")")," ")</f>
        <v> </v>
      </c>
      <c r="R74" s="48" t="str">
        <f>IFERROR(__xludf.DUMMYFUNCTION("IFERROR(TEXTJOIN(""/"",1,FILTER($B$15:$IV$15,$B$14:$IV$14=R$97)),"" "")")," ")</f>
        <v> </v>
      </c>
      <c r="S74" s="48" t="str">
        <f>IFERROR(__xludf.DUMMYFUNCTION("IFERROR(TEXTJOIN(""/"",1,FILTER($B$15:$IV$15,$B$14:$IV$14=S$97)),"" "")")," ")</f>
        <v> </v>
      </c>
      <c r="T74" s="48" t="str">
        <f>IFERROR(__xludf.DUMMYFUNCTION("IFERROR(TEXTJOIN(""/"",1,FILTER($B$15:$IV$15,$B$14:$IV$14=T$97)),"" "")")," ")</f>
        <v> </v>
      </c>
      <c r="U74" s="48" t="str">
        <f>IFERROR(__xludf.DUMMYFUNCTION("IFERROR(TEXTJOIN(""/"",1,FILTER($B$15:$IV$15,$B$14:$IV$14=U$97)),"" "")")," ")</f>
        <v> </v>
      </c>
      <c r="V74" s="48" t="str">
        <f>IFERROR(__xludf.DUMMYFUNCTION("IFERROR(TEXTJOIN(""/"",1,FILTER($B$15:$IV$15,$B$14:$IV$14=V$97)),"" "")"),"5")</f>
        <v>5</v>
      </c>
      <c r="W74" s="48" t="str">
        <f>IFERROR(__xludf.DUMMYFUNCTION("IFERROR(TEXTJOIN(""/"",1,FILTER($B$15:$IV$15,$B$14:$IV$14=W$97)),"" "")"),"5")</f>
        <v>5</v>
      </c>
      <c r="X74" s="48" t="str">
        <f>IFERROR(__xludf.DUMMYFUNCTION("IFERROR(TEXTJOIN(""/"",1,FILTER($B$15:$IV$15,$B$14:$IV$14=X$97)),"" "")")," ")</f>
        <v> </v>
      </c>
      <c r="Y74" s="48" t="str">
        <f>IFERROR(__xludf.DUMMYFUNCTION("IFERROR(TEXTJOIN(""/"",1,FILTER($B$15:$IV$15,$B$14:$IV$14=Y$97)),"" "")")," ")</f>
        <v> </v>
      </c>
      <c r="Z74" s="48" t="str">
        <f>IFERROR(__xludf.DUMMYFUNCTION("IFERROR(TEXTJOIN(""/"",1,FILTER($B$15:$IV$15,$B$14:$IV$14=Z$97)),"" "")")," ")</f>
        <v> </v>
      </c>
      <c r="AA74" s="48" t="str">
        <f>IFERROR(__xludf.DUMMYFUNCTION("IFERROR(TEXTJOIN(""/"",1,FILTER($B$15:$IV$15,$B$14:$IV$14=AA$97)),"" "")")," ")</f>
        <v> </v>
      </c>
      <c r="AB74" s="48" t="str">
        <f>IFERROR(__xludf.DUMMYFUNCTION("IFERROR(TEXTJOIN(""/"",1,FILTER($B$15:$IV$15,$B$14:$IV$14=AB$97)),"" "")")," ")</f>
        <v> </v>
      </c>
      <c r="AC74" s="48" t="str">
        <f>IFERROR(__xludf.DUMMYFUNCTION("IFERROR(TEXTJOIN(""/"",1,FILTER($B$15:$IV$15,$B$14:$IV$14=AC$97)),"" "")"),"5")</f>
        <v>5</v>
      </c>
      <c r="AD74" s="48" t="str">
        <f>IFERROR(__xludf.DUMMYFUNCTION("IFERROR(TEXTJOIN(""/"",1,FILTER($B$15:$IV$15,$B$14:$IV$14=AD$97)),"" "")"),"")</f>
        <v/>
      </c>
      <c r="AE74" s="48" t="str">
        <f>IFERROR(__xludf.DUMMYFUNCTION("IFERROR(TEXTJOIN(""/"",1,FILTER($B$15:$IV$15,$B$14:$IV$14=AE$97)),"" "")")," ")</f>
        <v> </v>
      </c>
      <c r="AF74" s="48" t="str">
        <f>IFERROR(__xludf.DUMMYFUNCTION("IFERROR(TEXTJOIN(""/"",1,FILTER($B$15:$IV$15,$B$14:$IV$14=AF$97)),"" "")")," ")</f>
        <v> </v>
      </c>
      <c r="AG74" s="48" t="str">
        <f>IFERROR(__xludf.DUMMYFUNCTION("IFERROR(TEXTJOIN(""/"",1,FILTER($B$15:$IV$15,$B$14:$IV$14=AG$97)),"" "")")," ")</f>
        <v> </v>
      </c>
      <c r="AH74" s="48" t="str">
        <f>IFERROR(__xludf.DUMMYFUNCTION("IFERROR(TEXTJOIN(""/"",1,FILTER($B$15:$IV$15,$B$14:$IV$14=AH$97)),"" "")")," ")</f>
        <v> </v>
      </c>
      <c r="AI74" s="48" t="str">
        <f>IFERROR(__xludf.DUMMYFUNCTION("IFERROR(TEXTJOIN(""/"",1,FILTER($B$15:$IV$15,$B$14:$IV$14=AI$97)),"" "")")," ")</f>
        <v> </v>
      </c>
      <c r="AJ74" s="48" t="str">
        <f>IFERROR(__xludf.DUMMYFUNCTION("IFERROR(TEXTJOIN(""/"",1,FILTER($B$15:$IV$15,$B$14:$IV$14=AJ$97)),"" "")"),"")</f>
        <v/>
      </c>
      <c r="AK74" s="48" t="str">
        <f>IFERROR(__xludf.DUMMYFUNCTION("IFERROR(TEXTJOIN(""/"",1,FILTER($B$15:$IV$15,$B$14:$IV$14=AK$97)),"" "")"),"4")</f>
        <v>4</v>
      </c>
      <c r="AL74" s="48" t="str">
        <f>IFERROR(__xludf.DUMMYFUNCTION("IFERROR(TEXTJOIN(""/"",1,FILTER($B$15:$IV$15,$B$14:$IV$14=AL$97)),"" "")")," ")</f>
        <v> </v>
      </c>
      <c r="AM74" s="48" t="str">
        <f>IFERROR(__xludf.DUMMYFUNCTION("IFERROR(TEXTJOIN(""/"",1,FILTER($B$15:$IV$15,$B$14:$IV$14=AM$97)),"" "")")," ")</f>
        <v> </v>
      </c>
      <c r="AN74" s="48" t="str">
        <f>IFERROR(__xludf.DUMMYFUNCTION("IFERROR(TEXTJOIN(""/"",1,FILTER($B$15:$IV$15,$B$14:$IV$14=AN$97)),"" "")")," ")</f>
        <v> </v>
      </c>
      <c r="AO74" s="48" t="str">
        <f>IFERROR(__xludf.DUMMYFUNCTION("IFERROR(TEXTJOIN(""/"",1,FILTER($B$15:$IV$15,$B$14:$IV$14=AO$97)),"" "")")," ")</f>
        <v> </v>
      </c>
      <c r="AP74" s="48" t="str">
        <f>IFERROR(__xludf.DUMMYFUNCTION("IFERROR(TEXTJOIN(""/"",1,FILTER($B$15:$IV$15,$B$14:$IV$14=AP$97)),"" "")")," ")</f>
        <v> </v>
      </c>
      <c r="AQ74" s="48" t="str">
        <f>IFERROR(__xludf.DUMMYFUNCTION("IFERROR(TEXTJOIN(""/"",1,FILTER($B$15:$IV$15,$B$14:$IV$14=AQ$97)),"" "")"),"")</f>
        <v/>
      </c>
      <c r="AR74" s="48" t="str">
        <f>IFERROR(__xludf.DUMMYFUNCTION("IFERROR(TEXTJOIN(""/"",1,FILTER($B$15:$IV$15,$B$14:$IV$14=AR$97)),"" "")"),"")</f>
        <v/>
      </c>
      <c r="AS74" s="48" t="str">
        <f>IFERROR(__xludf.DUMMYFUNCTION("IFERROR(TEXTJOIN(""/"",1,FILTER($B$15:$IV$15,$B$14:$IV$14=AS$97)),"" "")")," ")</f>
        <v> </v>
      </c>
      <c r="AT74" s="48" t="str">
        <f>IFERROR(__xludf.DUMMYFUNCTION("IFERROR(TEXTJOIN(""/"",1,FILTER($B$15:$IV$15,$B$14:$IV$14=AT$97)),"" "")")," ")</f>
        <v> </v>
      </c>
      <c r="AU74" s="48" t="str">
        <f>IFERROR(__xludf.DUMMYFUNCTION("IFERROR(TEXTJOIN(""/"",1,FILTER($B$15:$IV$15,$B$14:$IV$14=AU$97)),"" "")")," ")</f>
        <v> </v>
      </c>
      <c r="AV74" s="48" t="str">
        <f>IFERROR(__xludf.DUMMYFUNCTION("IFERROR(TEXTJOIN(""/"",1,FILTER($B$15:$IV$15,$B$14:$IV$14=AV$97)),"" "")")," ")</f>
        <v> </v>
      </c>
      <c r="AW74" s="48" t="str">
        <f>IFERROR(__xludf.DUMMYFUNCTION("IFERROR(TEXTJOIN(""/"",1,FILTER($B$15:$IV$15,$B$14:$IV$14=AW$97)),"" "")")," ")</f>
        <v> </v>
      </c>
      <c r="AX74" s="48" t="str">
        <f>IFERROR(__xludf.DUMMYFUNCTION("IFERROR(TEXTJOIN(""/"",1,FILTER($B$15:$IV$15,$B$14:$IV$14=AX$97)),"" "")"),"")</f>
        <v/>
      </c>
      <c r="AY74" s="48" t="str">
        <f>IFERROR(__xludf.DUMMYFUNCTION("IFERROR(TEXTJOIN(""/"",1,FILTER($B$15:$IV$15,$B$14:$IV$14=AY$97)),"" "")"),"")</f>
        <v/>
      </c>
      <c r="AZ74" s="48" t="str">
        <f>IFERROR(__xludf.DUMMYFUNCTION("IFERROR(TEXTJOIN(""/"",1,FILTER($B$15:$IV$15,$B$14:$IV$14=AZ$97)),"" "")")," ")</f>
        <v> </v>
      </c>
      <c r="BA74" s="48" t="str">
        <f>IFERROR(__xludf.DUMMYFUNCTION("IFERROR(TEXTJOIN(""/"",1,FILTER($B$15:$IV$15,$B$14:$IV$14=BA$97)),"" "")")," ")</f>
        <v> </v>
      </c>
      <c r="BB74" s="48" t="str">
        <f>IFERROR(__xludf.DUMMYFUNCTION("IFERROR(TEXTJOIN(""/"",1,FILTER($B$15:$IV$15,$B$14:$IV$14=BB$97)),"" "")")," ")</f>
        <v> </v>
      </c>
      <c r="BC74" s="48" t="str">
        <f>IFERROR(__xludf.DUMMYFUNCTION("IFERROR(TEXTJOIN(""/"",1,FILTER($B$15:$IV$15,$B$14:$IV$14=BC$97)),"" "")")," ")</f>
        <v> </v>
      </c>
      <c r="BD74" s="48" t="str">
        <f>IFERROR(__xludf.DUMMYFUNCTION("IFERROR(TEXTJOIN(""/"",1,FILTER($B$15:$IV$15,$B$14:$IV$14=BD$97)),"" "")")," ")</f>
        <v> </v>
      </c>
      <c r="BE74" s="48" t="str">
        <f>IFERROR(__xludf.DUMMYFUNCTION("IFERROR(TEXTJOIN(""/"",1,FILTER($B$15:$IV$15,$B$14:$IV$14=BE$97)),"" "")"),"3")</f>
        <v>3</v>
      </c>
      <c r="BF74" s="48" t="str">
        <f>IFERROR(__xludf.DUMMYFUNCTION("IFERROR(TEXTJOIN(""/"",1,FILTER($B$15:$IV$15,$B$14:$IV$14=BF$97)),"" "")"),"2")</f>
        <v>2</v>
      </c>
      <c r="BG74" s="48" t="str">
        <f>IFERROR(__xludf.DUMMYFUNCTION("IFERROR(TEXTJOIN(""/"",1,FILTER($B$15:$IV$15,$B$14:$IV$14=BG$97)),"" "")")," ")</f>
        <v> </v>
      </c>
      <c r="BH74" s="48" t="str">
        <f>IFERROR(__xludf.DUMMYFUNCTION("IFERROR(TEXTJOIN(""/"",1,FILTER($B$15:$IV$15,$B$14:$IV$14=BH$97)),"" "")")," ")</f>
        <v> </v>
      </c>
      <c r="BI74" s="48" t="str">
        <f>IFERROR(__xludf.DUMMYFUNCTION("IFERROR(TEXTJOIN(""/"",1,FILTER($B$15:$IV$15,$B$14:$IV$14=BI$97)),"" "")")," ")</f>
        <v> </v>
      </c>
      <c r="BJ74" s="48" t="str">
        <f>IFERROR(__xludf.DUMMYFUNCTION("IFERROR(TEXTJOIN(""/"",1,FILTER($B$15:$IV$15,$B$14:$IV$14=BJ$97)),"" "")")," ")</f>
        <v> </v>
      </c>
      <c r="BK74" s="48" t="str">
        <f>IFERROR(__xludf.DUMMYFUNCTION("IFERROR(TEXTJOIN(""/"",1,FILTER($B$15:$IV$15,$B$14:$IV$14=BK$97)),"" "")")," ")</f>
        <v> </v>
      </c>
      <c r="BL74" s="48" t="str">
        <f>IFERROR(__xludf.DUMMYFUNCTION("IFERROR(TEXTJOIN(""/"",1,FILTER($B$15:$IV$15,$B$14:$IV$14=BL$97)),"" "")")," ")</f>
        <v> </v>
      </c>
      <c r="BM74" s="48" t="str">
        <f>IFERROR(__xludf.DUMMYFUNCTION("IFERROR(TEXTJOIN(""/"",1,FILTER($B$15:$IV$15,$B$14:$IV$14=BM$97)),"" "")")," ")</f>
        <v> </v>
      </c>
      <c r="BN74" s="48" t="str">
        <f>IFERROR(__xludf.DUMMYFUNCTION("IFERROR(TEXTJOIN(""/"",1,FILTER($B$15:$IV$15,$B$14:$IV$14=BN$97)),"" "")")," ")</f>
        <v> </v>
      </c>
      <c r="BO74" s="48" t="str">
        <f>IFERROR(__xludf.DUMMYFUNCTION("IFERROR(TEXTJOIN(""/"",1,FILTER($B$15:$IV$15,$B$14:$IV$14=BO$97)),"" "")")," ")</f>
        <v> </v>
      </c>
      <c r="BP74" s="48" t="str">
        <f>IFERROR(__xludf.DUMMYFUNCTION("IFERROR(TEXTJOIN(""/"",1,FILTER($B$15:$IV$15,$B$14:$IV$14=BP$97)),"" "")")," ")</f>
        <v> </v>
      </c>
      <c r="BQ74" s="48" t="str">
        <f>IFERROR(__xludf.DUMMYFUNCTION("IFERROR(TEXTJOIN(""/"",1,FILTER($B$15:$IV$15,$B$14:$IV$14=BQ$97)),"" "")")," ")</f>
        <v> </v>
      </c>
      <c r="BR74" s="48" t="str">
        <f>IFERROR(__xludf.DUMMYFUNCTION("IFERROR(TEXTJOIN(""/"",1,FILTER($B$15:$IV$15,$B$14:$IV$14=BR$97)),"" "")")," ")</f>
        <v> </v>
      </c>
      <c r="BS74" s="48" t="str">
        <f>IFERROR(__xludf.DUMMYFUNCTION("IFERROR(TEXTJOIN(""/"",1,FILTER($B$15:$IV$15,$B$14:$IV$14=BS$97)),"" "")"),"")</f>
        <v/>
      </c>
      <c r="BT74" s="48" t="str">
        <f>IFERROR(__xludf.DUMMYFUNCTION("IFERROR(TEXTJOIN(""/"",1,FILTER($B$15:$IV$15,$B$14:$IV$14=BT$97)),"" "")"),"5")</f>
        <v>5</v>
      </c>
      <c r="BU74" s="48" t="str">
        <f>IFERROR(__xludf.DUMMYFUNCTION("IFERROR(TEXTJOIN(""/"",1,FILTER($B$15:$IV$15,$B$14:$IV$14=BU$97)),"" "")")," ")</f>
        <v> </v>
      </c>
      <c r="BV74" s="48" t="str">
        <f>IFERROR(__xludf.DUMMYFUNCTION("IFERROR(TEXTJOIN(""/"",1,FILTER($B$15:$IV$15,$B$14:$IV$14=BV$97)),"" "")")," ")</f>
        <v> </v>
      </c>
      <c r="BW74" s="48" t="str">
        <f>IFERROR(__xludf.DUMMYFUNCTION("IFERROR(TEXTJOIN(""/"",1,FILTER($B$15:$IV$15,$B$14:$IV$14=BW$97)),"" "")")," ")</f>
        <v> </v>
      </c>
      <c r="BX74" s="48" t="str">
        <f>IFERROR(__xludf.DUMMYFUNCTION("IFERROR(TEXTJOIN(""/"",1,FILTER($B$15:$IV$15,$B$14:$IV$14=BX$97)),"" "")")," ")</f>
        <v> </v>
      </c>
      <c r="BY74" s="48" t="str">
        <f>IFERROR(__xludf.DUMMYFUNCTION("IFERROR(TEXTJOIN(""/"",1,FILTER($B$15:$IV$15,$B$14:$IV$14=BY$97)),"" "")")," ")</f>
        <v> </v>
      </c>
      <c r="BZ74" s="48" t="str">
        <f>IFERROR(__xludf.DUMMYFUNCTION("IFERROR(TEXTJOIN(""/"",1,FILTER($B$15:$IV$15,$B$14:$IV$14=BZ$97)),"" "")"),"")</f>
        <v/>
      </c>
      <c r="CA74" s="48" t="str">
        <f>IFERROR(__xludf.DUMMYFUNCTION("IFERROR(TEXTJOIN(""/"",1,FILTER($B$15:$IV$15,$B$14:$IV$14=CA$97)),"" "")"),"-")</f>
        <v>-</v>
      </c>
      <c r="CB74" s="48" t="str">
        <f>IFERROR(__xludf.DUMMYFUNCTION("IFERROR(TEXTJOIN(""/"",1,FILTER($B$15:$IV$15,$B$14:$IV$14=CB$97)),"" "")")," ")</f>
        <v> </v>
      </c>
      <c r="CC74" s="48" t="str">
        <f>IFERROR(__xludf.DUMMYFUNCTION("IFERROR(TEXTJOIN(""/"",1,FILTER($B$15:$IV$15,$B$14:$IV$14=CC$97)),"" "")")," ")</f>
        <v> </v>
      </c>
      <c r="CD74" s="48" t="str">
        <f>IFERROR(__xludf.DUMMYFUNCTION("IFERROR(TEXTJOIN(""/"",1,FILTER($B$15:$IV$15,$B$14:$IV$14=CD$97)),"" "")")," ")</f>
        <v> </v>
      </c>
      <c r="CE74" s="48" t="str">
        <f>IFERROR(__xludf.DUMMYFUNCTION("IFERROR(TEXTJOIN(""/"",1,FILTER($B$15:$IV$15,$B$14:$IV$14=CE$97)),"" "")")," ")</f>
        <v> </v>
      </c>
      <c r="CF74" s="48" t="str">
        <f>IFERROR(__xludf.DUMMYFUNCTION("IFERROR(TEXTJOIN(""/"",1,FILTER($B$15:$IV$15,$B$14:$IV$14=CF$97)),"" "")")," ")</f>
        <v> </v>
      </c>
      <c r="CG74" s="48" t="str">
        <f>IFERROR(__xludf.DUMMYFUNCTION("IFERROR(TEXTJOIN(""/"",1,FILTER($B$15:$IV$15,$B$14:$IV$14=CG$97)),"" "")"),"")</f>
        <v/>
      </c>
      <c r="CH74" s="48" t="str">
        <f>IFERROR(__xludf.DUMMYFUNCTION("IFERROR(TEXTJOIN(""/"",1,FILTER($B$15:$IV$15,$B$14:$IV$14=CH$97)),"" "")"),"5")</f>
        <v>5</v>
      </c>
      <c r="CI74" s="48" t="str">
        <f>IFERROR(__xludf.DUMMYFUNCTION("IFERROR(TEXTJOIN(""/"",1,FILTER($B$15:$IV$15,$B$14:$IV$14=CI$97)),"" "")")," ")</f>
        <v> </v>
      </c>
      <c r="CJ74" s="48" t="str">
        <f>IFERROR(__xludf.DUMMYFUNCTION("IFERROR(TEXTJOIN(""/"",1,FILTER($B$15:$IV$15,$B$14:$IV$14=CJ$97)),"" "")")," ")</f>
        <v> </v>
      </c>
      <c r="CK74" s="48" t="str">
        <f>IFERROR(__xludf.DUMMYFUNCTION("IFERROR(TEXTJOIN(""/"",1,FILTER($B$15:$IV$15,$B$14:$IV$14=CK$97)),"" "")")," ")</f>
        <v> </v>
      </c>
      <c r="CL74" s="48" t="str">
        <f>IFERROR(__xludf.DUMMYFUNCTION("IFERROR(TEXTJOIN(""/"",1,FILTER($B$15:$IV$15,$B$14:$IV$14=CL$97)),"" "")")," ")</f>
        <v> </v>
      </c>
      <c r="CM74" s="48" t="str">
        <f>IFERROR(__xludf.DUMMYFUNCTION("IFERROR(TEXTJOIN(""/"",1,FILTER($B$15:$IV$15,$B$14:$IV$14=CM$97)),"" "")")," ")</f>
        <v> </v>
      </c>
      <c r="CN74" s="48" t="str">
        <f>IFERROR(__xludf.DUMMYFUNCTION("IFERROR(TEXTJOIN(""/"",1,FILTER($B$15:$IV$15,$B$14:$IV$14=CN$97)),"" "")"),"-")</f>
        <v>-</v>
      </c>
      <c r="CO74" s="48" t="str">
        <f>IFERROR(__xludf.DUMMYFUNCTION("IFERROR(TEXTJOIN(""/"",1,FILTER($B$15:$IV$15,$B$14:$IV$14=CO$97)),"" "")"),"4")</f>
        <v>4</v>
      </c>
      <c r="CP74" s="48" t="str">
        <f>IFERROR(__xludf.DUMMYFUNCTION("IFERROR(TEXTJOIN(""/"",1,FILTER($B$15:$IV$15,$B$14:$IV$14=CP$97)),"" "")")," ")</f>
        <v> </v>
      </c>
      <c r="CQ74" s="48" t="str">
        <f>IFERROR(__xludf.DUMMYFUNCTION("IFERROR(TEXTJOIN(""/"",1,FILTER($B$15:$IV$15,$B$14:$IV$14=CQ$97)),"" "")")," ")</f>
        <v> </v>
      </c>
      <c r="CR74" s="48" t="str">
        <f>IFERROR(__xludf.DUMMYFUNCTION("IFERROR(TEXTJOIN(""/"",1,FILTER($B$15:$IV$15,$B$14:$IV$14=CR$97)),"" "")")," ")</f>
        <v> </v>
      </c>
      <c r="CS74" s="48" t="str">
        <f>IFERROR(__xludf.DUMMYFUNCTION("IFERROR(TEXTJOIN(""/"",1,FILTER($B$15:$IV$15,$B$14:$IV$14=CS$97)),"" "")")," ")</f>
        <v> </v>
      </c>
      <c r="CT74" s="48" t="str">
        <f>IFERROR(__xludf.DUMMYFUNCTION("IFERROR(TEXTJOIN(""/"",1,FILTER($B$15:$IV$15,$B$14:$IV$14=CT$97)),"" "")")," ")</f>
        <v> </v>
      </c>
      <c r="CU74" s="48" t="str">
        <f>IFERROR(__xludf.DUMMYFUNCTION("IFERROR(TEXTJOIN(""/"",1,FILTER($B$15:$IV$15,$B$14:$IV$14=CU$97)),"" "")")," ")</f>
        <v> </v>
      </c>
      <c r="CV74" s="48" t="str">
        <f>IFERROR(__xludf.DUMMYFUNCTION("IFERROR(TEXTJOIN(""/"",1,FILTER($B$15:$IV$15,$B$14:$IV$14=CV$97)),"" "")"),"")</f>
        <v/>
      </c>
      <c r="CW74" s="48" t="str">
        <f>IFERROR(__xludf.DUMMYFUNCTION("IFERROR(TEXTJOIN(""/"",1,FILTER($B$15:$IV$15,$B$14:$IV$14=CW$97)),"" "")")," ")</f>
        <v> </v>
      </c>
      <c r="CX74" s="48" t="str">
        <f>IFERROR(__xludf.DUMMYFUNCTION("IFERROR(TEXTJOIN(""/"",1,FILTER($B$15:$IV$15,$B$14:$IV$14=CX$97)),"" "")")," ")</f>
        <v> </v>
      </c>
      <c r="CY74" s="48" t="str">
        <f>IFERROR(__xludf.DUMMYFUNCTION("IFERROR(TEXTJOIN(""/"",1,FILTER($B$15:$IV$15,$B$14:$IV$14=CY$97)),"" "")")," ")</f>
        <v> </v>
      </c>
      <c r="CZ74" s="48" t="str">
        <f>IFERROR(__xludf.DUMMYFUNCTION("IFERROR(TEXTJOIN(""/"",1,FILTER($B$15:$IV$15,$B$14:$IV$14=CZ$97)),"" "")")," ")</f>
        <v> </v>
      </c>
      <c r="DA74" s="48" t="str">
        <f>IFERROR(__xludf.DUMMYFUNCTION("IFERROR(TEXTJOIN(""/"",1,FILTER($B$15:$IV$15,$B$14:$IV$14=DA$97)),"" "")")," ")</f>
        <v> </v>
      </c>
      <c r="DB74" s="48" t="str">
        <f>IFERROR(__xludf.DUMMYFUNCTION("IFERROR(TEXTJOIN(""/"",1,FILTER($B$15:$IV$15,$B$14:$IV$14=DB$97)),"" "")"),"")</f>
        <v/>
      </c>
      <c r="DC74" s="48" t="str">
        <f>IFERROR(__xludf.DUMMYFUNCTION("IFERROR(TEXTJOIN(""/"",1,FILTER($B$15:$IV$15,$B$14:$IV$14=DC$97)),"" "")"),"")</f>
        <v/>
      </c>
      <c r="DD74" s="48" t="str">
        <f>IFERROR(__xludf.DUMMYFUNCTION("IFERROR(TEXTJOIN(""/"",1,FILTER($B$15:$IV$15,$B$14:$IV$14=DD$97)),"" "")")," ")</f>
        <v> </v>
      </c>
      <c r="DE74" s="48" t="str">
        <f>IFERROR(__xludf.DUMMYFUNCTION("IFERROR(TEXTJOIN(""/"",1,FILTER($B$15:$IV$15,$B$14:$IV$14=DE$97)),"" "")")," ")</f>
        <v> </v>
      </c>
      <c r="DF74" s="48" t="str">
        <f>IFERROR(__xludf.DUMMYFUNCTION("IFERROR(TEXTJOIN(""/"",1,FILTER($B$15:$IV$15,$B$14:$IV$14=DF$97)),"" "")")," ")</f>
        <v> </v>
      </c>
      <c r="DG74" s="48" t="str">
        <f>IFERROR(__xludf.DUMMYFUNCTION("IFERROR(TEXTJOIN(""/"",1,FILTER($B$15:$IV$15,$B$14:$IV$14=DG$97)),"" "")")," ")</f>
        <v> </v>
      </c>
      <c r="DH74" s="48" t="str">
        <f>IFERROR(__xludf.DUMMYFUNCTION("IFERROR(TEXTJOIN(""/"",1,FILTER($B$15:$IV$15,$B$14:$IV$14=DH$97)),"" "")")," ")</f>
        <v> </v>
      </c>
      <c r="DI74" s="48" t="str">
        <f>IFERROR(__xludf.DUMMYFUNCTION("IFERROR(TEXTJOIN(""/"",1,FILTER($B$15:$IV$15,$B$14:$IV$14=DI$97)),"" "")"),"5")</f>
        <v>5</v>
      </c>
      <c r="DJ74" s="48" t="str">
        <f>IFERROR(__xludf.DUMMYFUNCTION("IFERROR(TEXTJOIN(""/"",1,FILTER($B$15:$IV$15,$B$14:$IV$14=DJ$97)),"" "")"),"5")</f>
        <v>5</v>
      </c>
      <c r="DK74" s="48" t="str">
        <f>IFERROR(__xludf.DUMMYFUNCTION("IFERROR(TEXTJOIN(""/"",1,FILTER($B$15:$IV$15,$B$14:$IV$14=DK$97)),"" "")")," ")</f>
        <v> </v>
      </c>
      <c r="DL74" s="48" t="str">
        <f>IFERROR(__xludf.DUMMYFUNCTION("IFERROR(TEXTJOIN(""/"",1,FILTER($B$15:$IV$15,$B$14:$IV$14=DL$97)),"" "")")," ")</f>
        <v> </v>
      </c>
      <c r="DM74" s="48" t="str">
        <f>IFERROR(__xludf.DUMMYFUNCTION("IFERROR(TEXTJOIN(""/"",1,FILTER($B$15:$IV$15,$B$14:$IV$14=DM$97)),"" "")")," ")</f>
        <v> </v>
      </c>
      <c r="DN74" s="48" t="str">
        <f>IFERROR(__xludf.DUMMYFUNCTION("IFERROR(TEXTJOIN(""/"",1,FILTER($B$15:$IV$15,$B$14:$IV$14=DN$97)),"" "")")," ")</f>
        <v> </v>
      </c>
      <c r="DO74" s="48" t="str">
        <f>IFERROR(__xludf.DUMMYFUNCTION("IFERROR(TEXTJOIN(""/"",1,FILTER($B$15:$IV$15,$B$14:$IV$14=DO$97)),"" "")")," ")</f>
        <v> </v>
      </c>
      <c r="DP74" s="48" t="str">
        <f>IFERROR(__xludf.DUMMYFUNCTION("IFERROR(TEXTJOIN(""/"",1,FILTER($B$15:$IV$15,$B$14:$IV$14=DP$97)),"" "")")," ")</f>
        <v> </v>
      </c>
      <c r="DQ74" s="48" t="str">
        <f>IFERROR(__xludf.DUMMYFUNCTION("IFERROR(TEXTJOIN(""/"",1,FILTER($B$15:$IV$15,$B$14:$IV$14=DQ$97)),"" "")")," ")</f>
        <v> </v>
      </c>
      <c r="DR74" s="48" t="str">
        <f>IFERROR(__xludf.DUMMYFUNCTION("IFERROR(TEXTJOIN(""/"",1,FILTER($B$15:$IV$15,$B$14:$IV$14=DR$97)),"" "")")," ")</f>
        <v> </v>
      </c>
      <c r="DS74" s="48" t="str">
        <f>IFERROR(__xludf.DUMMYFUNCTION("IFERROR(TEXTJOIN(""/"",1,FILTER($B$15:$IV$15,$B$14:$IV$14=DS$97)),"" "")")," ")</f>
        <v> </v>
      </c>
      <c r="DT74" s="48" t="str">
        <f>IFERROR(__xludf.DUMMYFUNCTION("IFERROR(TEXTJOIN(""/"",1,FILTER($B$15:$IV$15,$B$14:$IV$14=DT$97)),"" "")")," ")</f>
        <v> </v>
      </c>
      <c r="DU74" s="48" t="str">
        <f>IFERROR(__xludf.DUMMYFUNCTION("IFERROR(TEXTJOIN(""/"",1,FILTER($B$15:$IV$15,$B$14:$IV$14=DU$97)),"" "")")," ")</f>
        <v> </v>
      </c>
      <c r="DV74" s="48" t="str">
        <f>IFERROR(__xludf.DUMMYFUNCTION("IFERROR(TEXTJOIN(""/"",1,FILTER($B$15:$IV$15,$B$14:$IV$14=DV$97)),"" "")")," ")</f>
        <v> </v>
      </c>
      <c r="DW74" s="48" t="str">
        <f>IFERROR(__xludf.DUMMYFUNCTION("IFERROR(TEXTJOIN(""/"",1,FILTER($B$15:$IV$15,$B$14:$IV$14=DW$97)),"" "")")," ")</f>
        <v> </v>
      </c>
      <c r="DX74" s="48" t="str">
        <f>IFERROR(__xludf.DUMMYFUNCTION("IFERROR(TEXTJOIN(""/"",1,FILTER($B$15:$IV$15,$B$14:$IV$14=DX$97)),"" "")")," ")</f>
        <v> </v>
      </c>
      <c r="DY74" s="48" t="str">
        <f>IFERROR(__xludf.DUMMYFUNCTION("IFERROR(TEXTJOIN(""/"",1,FILTER($B$15:$IV$15,$B$14:$IV$14=DY$97)),"" "")")," ")</f>
        <v> </v>
      </c>
      <c r="DZ74" s="48" t="str">
        <f>IFERROR(__xludf.DUMMYFUNCTION("IFERROR(TEXTJOIN(""/"",1,FILTER($B$15:$IV$15,$B$14:$IV$14=DZ$97)),"" "")")," ")</f>
        <v> </v>
      </c>
      <c r="EA74" s="48" t="str">
        <f>IFERROR(__xludf.DUMMYFUNCTION("IFERROR(TEXTJOIN(""/"",1,FILTER($B$15:$IV$15,$B$14:$IV$14=EA$97)),"" "")")," ")</f>
        <v> </v>
      </c>
      <c r="EB74" s="48" t="str">
        <f>IFERROR(__xludf.DUMMYFUNCTION("IFERROR(TEXTJOIN(""/"",1,FILTER($B$15:$IV$15,$B$14:$IV$14=EB$97)),"" "")")," ")</f>
        <v> </v>
      </c>
      <c r="EC74" s="48" t="str">
        <f>IFERROR(__xludf.DUMMYFUNCTION("IFERROR(TEXTJOIN(""/"",1,FILTER($B$15:$IV$15,$B$14:$IV$14=EC$97)),"" "")")," ")</f>
        <v> </v>
      </c>
      <c r="ED74" s="48" t="str">
        <f>IFERROR(__xludf.DUMMYFUNCTION("IFERROR(TEXTJOIN(""/"",1,FILTER($B$15:$IV$15,$B$14:$IV$14=ED$97)),"" "")"),"")</f>
        <v/>
      </c>
      <c r="EE74" s="48" t="str">
        <f>IFERROR(__xludf.DUMMYFUNCTION("IFERROR(TEXTJOIN(""/"",1,FILTER($B$15:$IV$15,$B$14:$IV$14=EE$97)),"" "")"),"")</f>
        <v/>
      </c>
      <c r="EF74" s="48" t="str">
        <f>IFERROR(__xludf.DUMMYFUNCTION("IFERROR(TEXTJOIN(""/"",1,FILTER($B$15:$IV$15,$B$14:$IV$14=EF$97)),"" "")")," ")</f>
        <v> </v>
      </c>
      <c r="EG74" s="48" t="str">
        <f>IFERROR(__xludf.DUMMYFUNCTION("IFERROR(TEXTJOIN(""/"",1,FILTER($B$15:$IV$15,$B$14:$IV$14=EG$97)),"" "")")," ")</f>
        <v> </v>
      </c>
      <c r="EH74" s="48" t="str">
        <f>IFERROR(__xludf.DUMMYFUNCTION("IFERROR(TEXTJOIN(""/"",1,FILTER($B$15:$IV$15,$B$14:$IV$14=EH$97)),"" "")")," ")</f>
        <v> </v>
      </c>
      <c r="EI74" s="48" t="str">
        <f>IFERROR(__xludf.DUMMYFUNCTION("IFERROR(TEXTJOIN(""/"",1,FILTER($B$15:$IV$15,$B$14:$IV$14=EI$97)),"" "")")," ")</f>
        <v> </v>
      </c>
      <c r="EJ74" s="48" t="str">
        <f>IFERROR(__xludf.DUMMYFUNCTION("IFERROR(TEXTJOIN(""/"",1,FILTER($B$15:$IV$15,$B$14:$IV$14=EJ$97)),"" "")")," ")</f>
        <v> </v>
      </c>
      <c r="EK74" s="48" t="str">
        <f>IFERROR(__xludf.DUMMYFUNCTION("IFERROR(TEXTJOIN(""/"",1,FILTER($B$15:$IV$15,$B$14:$IV$14=EK$97)),"" "")"),"")</f>
        <v/>
      </c>
      <c r="EL74" s="48" t="str">
        <f>IFERROR(__xludf.DUMMYFUNCTION("IFERROR(TEXTJOIN(""/"",1,FILTER($B$15:$IV$15,$B$14:$IV$14=EL$97)),"" "")"),"2")</f>
        <v>2</v>
      </c>
      <c r="EM74" s="48" t="str">
        <f>IFERROR(__xludf.DUMMYFUNCTION("IFERROR(TEXTJOIN(""/"",1,FILTER($B$15:$IV$15,$B$14:$IV$14=EM$97)),"" "")")," ")</f>
        <v> </v>
      </c>
      <c r="EN74" s="48" t="str">
        <f>IFERROR(__xludf.DUMMYFUNCTION("IFERROR(TEXTJOIN(""/"",1,FILTER($B$15:$IV$15,$B$14:$IV$14=EN$97)),"" "")")," ")</f>
        <v> </v>
      </c>
      <c r="EO74" s="48" t="str">
        <f>IFERROR(__xludf.DUMMYFUNCTION("IFERROR(TEXTJOIN(""/"",1,FILTER($B$15:$IV$15,$B$14:$IV$14=EO$97)),"" "")")," ")</f>
        <v> </v>
      </c>
      <c r="EP74" s="48" t="str">
        <f>IFERROR(__xludf.DUMMYFUNCTION("IFERROR(TEXTJOIN(""/"",1,FILTER($B$15:$IV$15,$B$14:$IV$14=EP$97)),"" "")")," ")</f>
        <v> </v>
      </c>
      <c r="EQ74" s="48" t="str">
        <f>IFERROR(__xludf.DUMMYFUNCTION("IFERROR(TEXTJOIN(""/"",1,FILTER($B$15:$IV$15,$B$14:$IV$14=EQ$97)),"" "")")," ")</f>
        <v> </v>
      </c>
      <c r="ER74" s="48" t="str">
        <f>IFERROR(__xludf.DUMMYFUNCTION("IFERROR(TEXTJOIN(""/"",1,FILTER($B$15:$IV$15,$B$14:$IV$14=ER$97)),"" "")"),"")</f>
        <v/>
      </c>
      <c r="ES74" s="48" t="str">
        <f>IFERROR(__xludf.DUMMYFUNCTION("IFERROR(TEXTJOIN(""/"",1,FILTER($B$15:$IV$15,$B$14:$IV$14=ES$97)),"" "")"),"")</f>
        <v/>
      </c>
      <c r="ET74" s="48" t="str">
        <f>IFERROR(__xludf.DUMMYFUNCTION("IFERROR(TEXTJOIN(""/"",1,FILTER($B$15:$IV$15,$B$14:$IV$14=ET$97)),"" "")")," ")</f>
        <v> </v>
      </c>
      <c r="EU74" s="48" t="str">
        <f>IFERROR(__xludf.DUMMYFUNCTION("IFERROR(TEXTJOIN(""/"",1,FILTER($B$15:$IV$15,$B$14:$IV$14=EU$97)),"" "")")," ")</f>
        <v> </v>
      </c>
      <c r="EV74" s="48" t="str">
        <f>IFERROR(__xludf.DUMMYFUNCTION("IFERROR(TEXTJOIN(""/"",1,FILTER($B$15:$IV$15,$B$14:$IV$14=EV$97)),"" "")")," ")</f>
        <v> </v>
      </c>
      <c r="EW74" s="48" t="str">
        <f>IFERROR(__xludf.DUMMYFUNCTION("IFERROR(TEXTJOIN(""/"",1,FILTER($B$15:$IV$15,$B$14:$IV$14=EW$97)),"" "")")," ")</f>
        <v> </v>
      </c>
      <c r="EX74" s="48" t="str">
        <f>IFERROR(__xludf.DUMMYFUNCTION("IFERROR(TEXTJOIN(""/"",1,FILTER($B$15:$IV$15,$B$14:$IV$14=EX$97)),"" "")")," ")</f>
        <v> </v>
      </c>
      <c r="EY74" s="48" t="str">
        <f>IFERROR(__xludf.DUMMYFUNCTION("IFERROR(TEXTJOIN(""/"",1,FILTER($B$15:$IV$15,$B$14:$IV$14=EY$97)),"" "")"),"5")</f>
        <v>5</v>
      </c>
      <c r="EZ74" s="48" t="str">
        <f>IFERROR(__xludf.DUMMYFUNCTION("IFERROR(TEXTJOIN(""/"",1,FILTER($B$15:$IV$15,$B$14:$IV$14=EZ$97)),"" "")"),"")</f>
        <v/>
      </c>
      <c r="FA74" s="48" t="str">
        <f>IFERROR(__xludf.DUMMYFUNCTION("IFERROR(TEXTJOIN(""/"",1,FILTER($B$15:$IV$15,$B$14:$IV$14=FA$97)),"" "")")," ")</f>
        <v> </v>
      </c>
      <c r="FB74" s="48" t="str">
        <f>IFERROR(__xludf.DUMMYFUNCTION("IFERROR(TEXTJOIN(""/"",1,FILTER($B$15:$IV$15,$B$14:$IV$14=FB$97)),"" "")")," ")</f>
        <v> </v>
      </c>
      <c r="FC74" s="48" t="str">
        <f>IFERROR(__xludf.DUMMYFUNCTION("IFERROR(TEXTJOIN(""/"",1,FILTER($B$15:$IV$15,$B$14:$IV$14=FC$97)),"" "")")," ")</f>
        <v> </v>
      </c>
      <c r="FD74" s="48" t="str">
        <f>IFERROR(__xludf.DUMMYFUNCTION("IFERROR(TEXTJOIN(""/"",1,FILTER($B$15:$IV$15,$B$14:$IV$14=FD$97)),"" "")")," ")</f>
        <v> </v>
      </c>
      <c r="FE74" s="48" t="str">
        <f>IFERROR(__xludf.DUMMYFUNCTION("IFERROR(TEXTJOIN(""/"",1,FILTER($B$15:$IV$15,$B$14:$IV$14=FE$97)),"" "")")," ")</f>
        <v> </v>
      </c>
      <c r="FF74" s="48" t="str">
        <f>IFERROR(__xludf.DUMMYFUNCTION("IFERROR(TEXTJOIN(""/"",1,FILTER($B$15:$IV$15,$B$14:$IV$14=FF$97)),"" "")"),"")</f>
        <v/>
      </c>
      <c r="FG74" s="48" t="str">
        <f>IFERROR(__xludf.DUMMYFUNCTION("IFERROR(TEXTJOIN(""/"",1,FILTER($B$15:$IV$15,$B$14:$IV$14=FG$97)),"" "")"),"4")</f>
        <v>4</v>
      </c>
      <c r="FH74" s="48" t="str">
        <f>IFERROR(__xludf.DUMMYFUNCTION("IFERROR(TEXTJOIN(""/"",1,FILTER($B$15:$IV$15,$B$14:$IV$14=FH$97)),"" "")")," ")</f>
        <v> </v>
      </c>
      <c r="FI74" s="48" t="str">
        <f>IFERROR(__xludf.DUMMYFUNCTION("IFERROR(TEXTJOIN(""/"",1,FILTER($B$15:$IV$15,$B$14:$IV$14=FI$97)),"" "")")," ")</f>
        <v> </v>
      </c>
      <c r="FJ74" s="48" t="str">
        <f>IFERROR(__xludf.DUMMYFUNCTION("IFERROR(TEXTJOIN(""/"",1,FILTER($B$15:$IV$15,$B$14:$IV$14=FJ$97)),"" "")")," ")</f>
        <v> </v>
      </c>
      <c r="FK74" s="48" t="str">
        <f>IFERROR(__xludf.DUMMYFUNCTION("IFERROR(TEXTJOIN(""/"",1,FILTER($B$15:$IV$15,$B$14:$IV$14=FK$97)),"" "")")," ")</f>
        <v> </v>
      </c>
      <c r="FL74" s="48" t="str">
        <f>IFERROR(__xludf.DUMMYFUNCTION("IFERROR(TEXTJOIN(""/"",1,FILTER($B$15:$IV$15,$B$14:$IV$14=FL$97)),"" "")")," ")</f>
        <v> </v>
      </c>
      <c r="FM74" s="48" t="str">
        <f>IFERROR(__xludf.DUMMYFUNCTION("IFERROR(TEXTJOIN(""/"",1,FILTER($B$15:$IV$15,$B$14:$IV$14=FM$97)),"" "")"),"")</f>
        <v/>
      </c>
      <c r="FN74" s="48" t="str">
        <f>IFERROR(__xludf.DUMMYFUNCTION("IFERROR(TEXTJOIN(""/"",1,FILTER($B$15:$IV$15,$B$14:$IV$14=FN$97)),"" "")"),"2")</f>
        <v>2</v>
      </c>
      <c r="FO74" s="48" t="str">
        <f>IFERROR(__xludf.DUMMYFUNCTION("IFERROR(TEXTJOIN(""/"",1,FILTER($B$15:$IV$15,$B$14:$IV$14=FO$97)),"" "")")," ")</f>
        <v> </v>
      </c>
      <c r="FP74" s="48" t="str">
        <f>IFERROR(__xludf.DUMMYFUNCTION("IFERROR(TEXTJOIN(""/"",1,FILTER($B$15:$IV$15,$B$14:$IV$14=FP$97)),"" "")")," ")</f>
        <v> </v>
      </c>
      <c r="FQ74" s="48" t="str">
        <f>IFERROR(__xludf.DUMMYFUNCTION("IFERROR(TEXTJOIN(""/"",1,FILTER($B$15:$IV$15,$B$14:$IV$14=FQ$97)),"" "")")," ")</f>
        <v> </v>
      </c>
      <c r="FR74" s="48" t="str">
        <f>IFERROR(__xludf.DUMMYFUNCTION("IFERROR(TEXTJOIN(""/"",1,FILTER($B$15:$IV$15,$B$14:$IV$14=FR$97)),"" "")")," ")</f>
        <v> </v>
      </c>
      <c r="FS74" s="48" t="str">
        <f>IFERROR(__xludf.DUMMYFUNCTION("IFERROR(TEXTJOIN(""/"",1,FILTER($B$15:$IV$15,$B$14:$IV$14=FS$97)),"" "")")," ")</f>
        <v> </v>
      </c>
      <c r="FT74" s="48" t="str">
        <f>IFERROR(__xludf.DUMMYFUNCTION("IFERROR(TEXTJOIN(""/"",1,FILTER($B$15:$IV$15,$B$14:$IV$14=FT$97)),"" "")"),"4")</f>
        <v>4</v>
      </c>
      <c r="FU74" s="48" t="str">
        <f>IFERROR(__xludf.DUMMYFUNCTION("IFERROR(TEXTJOIN(""/"",1,FILTER($B$15:$IV$15,$B$14:$IV$14=FU$97)),"" "")"),"")</f>
        <v/>
      </c>
      <c r="FV74" s="48" t="str">
        <f>IFERROR(__xludf.DUMMYFUNCTION("IFERROR(TEXTJOIN(""/"",1,FILTER($B$15:$IV$15,$B$14:$IV$14=FV$97)),"" "")")," ")</f>
        <v> </v>
      </c>
      <c r="FW74" s="48" t="str">
        <f>IFERROR(__xludf.DUMMYFUNCTION("IFERROR(TEXTJOIN(""/"",1,FILTER($B$15:$IV$15,$B$14:$IV$14=FW$97)),"" "")")," ")</f>
        <v> </v>
      </c>
      <c r="FX74" s="48" t="str">
        <f>IFERROR(__xludf.DUMMYFUNCTION("IFERROR(TEXTJOIN(""/"",1,FILTER($B$15:$IV$15,$B$14:$IV$14=FX$97)),"" "")")," ")</f>
        <v> </v>
      </c>
      <c r="FY74" s="48" t="str">
        <f>IFERROR(__xludf.DUMMYFUNCTION("IFERROR(TEXTJOIN(""/"",1,FILTER($B$15:$IV$15,$B$14:$IV$14=FY$97)),"" "")")," ")</f>
        <v> </v>
      </c>
      <c r="FZ74" s="48" t="str">
        <f>IFERROR(__xludf.DUMMYFUNCTION("IFERROR(TEXTJOIN(""/"",1,FILTER($B$15:$IV$15,$B$14:$IV$14=FZ$97)),"" "")")," ")</f>
        <v> </v>
      </c>
      <c r="GA74" s="48" t="str">
        <f>IFERROR(__xludf.DUMMYFUNCTION("IFERROR(TEXTJOIN(""/"",1,FILTER($B$15:$IV$15,$B$14:$IV$14=GA$97)),"" "")"),"")</f>
        <v/>
      </c>
      <c r="GB74" s="48" t="str">
        <f>IFERROR(__xludf.DUMMYFUNCTION("IFERROR(TEXTJOIN(""/"",1,FILTER($B$15:$IV$15,$B$14:$IV$14=GB$97)),"" "")"),"")</f>
        <v/>
      </c>
      <c r="GC74" s="48" t="str">
        <f>IFERROR(__xludf.DUMMYFUNCTION("IFERROR(TEXTJOIN(""/"",1,FILTER($B$15:$IV$15,$B$14:$IV$14=GC$97)),"" "")")," ")</f>
        <v> </v>
      </c>
      <c r="GD74" s="48" t="str">
        <f>IFERROR(__xludf.DUMMYFUNCTION("IFERROR(TEXTJOIN(""/"",1,FILTER($B$15:$IV$15,$B$14:$IV$14=GD$97)),"" "")")," ")</f>
        <v> </v>
      </c>
      <c r="GE74" s="48" t="str">
        <f>IFERROR(__xludf.DUMMYFUNCTION("IFERROR(TEXTJOIN(""/"",1,FILTER($B$15:$IV$15,$B$14:$IV$14=GE$97)),"" "")")," ")</f>
        <v> </v>
      </c>
      <c r="GF74" s="48" t="str">
        <f>IFERROR(__xludf.DUMMYFUNCTION("IFERROR(TEXTJOIN(""/"",1,FILTER($B$15:$IV$15,$B$14:$IV$14=GF$97)),"" "")")," ")</f>
        <v> </v>
      </c>
      <c r="GG74" s="48" t="str">
        <f>IFERROR(__xludf.DUMMYFUNCTION("IFERROR(TEXTJOIN(""/"",1,FILTER($B$15:$IV$15,$B$14:$IV$14=GG$97)),"" "")")," ")</f>
        <v> </v>
      </c>
      <c r="GH74" s="48" t="str">
        <f>IFERROR(__xludf.DUMMYFUNCTION("IFERROR(TEXTJOIN(""/"",1,FILTER($B$15:$IV$15,$B$14:$IV$14=GH$97)),"" "")")," ")</f>
        <v> </v>
      </c>
      <c r="GI74" s="48" t="str">
        <f>IFERROR(__xludf.DUMMYFUNCTION("IFERROR(TEXTJOIN(""/"",1,FILTER($B$15:$IV$15,$B$14:$IV$14=GI$97)),"" "")"),"5")</f>
        <v>5</v>
      </c>
      <c r="GJ74" s="48" t="str">
        <f>IFERROR(__xludf.DUMMYFUNCTION("IFERROR(TEXTJOIN(""/"",1,FILTER($B$15:$IV$15,$B$14:$IV$14=GJ$97)),"" "")")," ")</f>
        <v> </v>
      </c>
      <c r="GK74" s="48" t="str">
        <f>IFERROR(__xludf.DUMMYFUNCTION("IFERROR(TEXTJOIN(""/"",1,FILTER($B$15:$IV$15,$B$14:$IV$14=GK$97)),"" "")")," ")</f>
        <v> </v>
      </c>
      <c r="GL74" s="48" t="str">
        <f>IFERROR(__xludf.DUMMYFUNCTION("IFERROR(TEXTJOIN(""/"",1,FILTER($B$15:$IV$15,$B$14:$IV$14=GL$97)),"" "")")," ")</f>
        <v> </v>
      </c>
      <c r="GM74" s="48" t="str">
        <f>IFERROR(__xludf.DUMMYFUNCTION("IFERROR(TEXTJOIN(""/"",1,FILTER($B$15:$IV$15,$B$14:$IV$14=GM$97)),"" "")")," ")</f>
        <v> </v>
      </c>
      <c r="GN74" s="48" t="str">
        <f>IFERROR(__xludf.DUMMYFUNCTION("IFERROR(TEXTJOIN(""/"",1,FILTER($B$15:$IV$15,$B$14:$IV$14=GN$97)),"" "")")," ")</f>
        <v> </v>
      </c>
      <c r="GO74" s="48" t="str">
        <f>IFERROR(__xludf.DUMMYFUNCTION("IFERROR(TEXTJOIN(""/"",1,FILTER($B$15:$IV$15,$B$14:$IV$14=GO$97)),"" "")"),"4")</f>
        <v>4</v>
      </c>
      <c r="GP74" s="48" t="str">
        <f>IFERROR(__xludf.DUMMYFUNCTION("IFERROR(TEXTJOIN(""/"",1,FILTER($B$15:$IV$15,$B$14:$IV$14=GP$97)),"" "")"),"")</f>
        <v/>
      </c>
      <c r="GQ74" s="48" t="str">
        <f>IFERROR(__xludf.DUMMYFUNCTION("IFERROR(TEXTJOIN(""/"",1,FILTER($B$15:$IV$15,$B$14:$IV$14=GQ$97)),"" "")")," ")</f>
        <v> </v>
      </c>
      <c r="GR74" s="48" t="str">
        <f>IFERROR(__xludf.DUMMYFUNCTION("IFERROR(TEXTJOIN(""/"",1,FILTER($B$15:$IV$15,$B$14:$IV$14=GR$97)),"" "")")," ")</f>
        <v> </v>
      </c>
      <c r="GS74" s="48" t="str">
        <f>IFERROR(__xludf.DUMMYFUNCTION("IFERROR(TEXTJOIN(""/"",1,FILTER($B$15:$IV$15,$B$14:$IV$14=GS$97)),"" "")")," ")</f>
        <v> </v>
      </c>
      <c r="GT74" s="48" t="str">
        <f>IFERROR(__xludf.DUMMYFUNCTION("IFERROR(TEXTJOIN(""/"",1,FILTER($B$15:$IV$15,$B$14:$IV$14=GT$97)),"" "")")," ")</f>
        <v> </v>
      </c>
      <c r="GU74" s="48" t="str">
        <f>IFERROR(__xludf.DUMMYFUNCTION("IFERROR(TEXTJOIN(""/"",1,FILTER($B$15:$IV$15,$B$14:$IV$14=GU$97)),"" "")")," ")</f>
        <v> </v>
      </c>
      <c r="GV74" s="48" t="str">
        <f>IFERROR(__xludf.DUMMYFUNCTION("IFERROR(TEXTJOIN(""/"",1,FILTER($B$15:$IV$15,$B$14:$IV$14=GV$97)),"" "")")," ")</f>
        <v> </v>
      </c>
      <c r="GW74" s="48" t="str">
        <f>IFERROR(__xludf.DUMMYFUNCTION("IFERROR(TEXTJOIN(""/"",1,FILTER($B$15:$IV$15,$B$14:$IV$14=GW$97)),"" "")")," ")</f>
        <v> </v>
      </c>
      <c r="GX74" s="48" t="str">
        <f>IFERROR(__xludf.DUMMYFUNCTION("IFERROR(TEXTJOIN(""/"",1,FILTER($B$15:$IV$15,$B$14:$IV$14=GX$97)),"" "")")," ")</f>
        <v> </v>
      </c>
      <c r="GY74" s="48" t="str">
        <f>IFERROR(__xludf.DUMMYFUNCTION("IFERROR(TEXTJOIN(""/"",1,FILTER($B$15:$IV$15,$B$14:$IV$14=GY$97)),"" "")")," ")</f>
        <v> </v>
      </c>
      <c r="GZ74" s="48" t="str">
        <f>IFERROR(__xludf.DUMMYFUNCTION("IFERROR(TEXTJOIN(""/"",1,FILTER($B$15:$IV$15,$B$14:$IV$14=GZ$97)),"" "")")," ")</f>
        <v> </v>
      </c>
      <c r="HA74" s="48" t="str">
        <f>IFERROR(__xludf.DUMMYFUNCTION("IFERROR(TEXTJOIN(""/"",1,FILTER($B$15:$IV$15,$B$14:$IV$14=HA$97)),"" "")")," ")</f>
        <v> </v>
      </c>
      <c r="HB74" s="48" t="str">
        <f>IFERROR(__xludf.DUMMYFUNCTION("IFERROR(TEXTJOIN(""/"",1,FILTER($B$15:$IV$15,$B$14:$IV$14=HB$97)),"" "")")," ")</f>
        <v> </v>
      </c>
      <c r="HC74" s="48" t="str">
        <f>IFERROR(__xludf.DUMMYFUNCTION("IFERROR(TEXTJOIN(""/"",1,FILTER($B$15:$IV$15,$B$14:$IV$14=HC$97)),"" "")")," ")</f>
        <v> </v>
      </c>
      <c r="HD74" s="48" t="str">
        <f>IFERROR(__xludf.DUMMYFUNCTION("IFERROR(TEXTJOIN(""/"",1,FILTER($B$15:$IV$15,$B$14:$IV$14=HD$97)),"" "")")," ")</f>
        <v> </v>
      </c>
      <c r="HE74" s="48" t="str">
        <f>IFERROR(__xludf.DUMMYFUNCTION("IFERROR(TEXTJOIN(""/"",1,FILTER($B$15:$IV$15,$B$14:$IV$14=HE$97)),"" "")")," ")</f>
        <v> </v>
      </c>
      <c r="HF74" s="48" t="str">
        <f>IFERROR(__xludf.DUMMYFUNCTION("IFERROR(TEXTJOIN(""/"",1,FILTER($B$15:$IV$15,$B$14:$IV$14=HF$97)),"" "")")," ")</f>
        <v> </v>
      </c>
      <c r="HG74" s="48" t="str">
        <f>IFERROR(__xludf.DUMMYFUNCTION("IFERROR(TEXTJOIN(""/"",1,FILTER($B$15:$IV$15,$B$14:$IV$14=HG$97)),"" "")")," ")</f>
        <v> </v>
      </c>
      <c r="HH74" s="48" t="str">
        <f>IFERROR(__xludf.DUMMYFUNCTION("IFERROR(TEXTJOIN(""/"",1,FILTER($B$15:$IV$15,$B$14:$IV$14=HH$97)),"" "")")," ")</f>
        <v> </v>
      </c>
      <c r="HI74" s="48" t="str">
        <f>IFERROR(__xludf.DUMMYFUNCTION("IFERROR(TEXTJOIN(""/"",1,FILTER($B$15:$IV$15,$B$14:$IV$14=HI$97)),"" "")")," ")</f>
        <v> </v>
      </c>
      <c r="HJ74" s="48" t="str">
        <f>IFERROR(__xludf.DUMMYFUNCTION("IFERROR(TEXTJOIN(""/"",1,FILTER($B$15:$IV$15,$B$14:$IV$14=HJ$97)),"" "")")," ")</f>
        <v> </v>
      </c>
      <c r="HK74" s="48" t="str">
        <f>IFERROR(__xludf.DUMMYFUNCTION("IFERROR(TEXTJOIN(""/"",1,FILTER($B$15:$IV$15,$B$14:$IV$14=HK$97)),"" "")")," ")</f>
        <v> </v>
      </c>
      <c r="HL74" s="48" t="str">
        <f>IFERROR(__xludf.DUMMYFUNCTION("IFERROR(TEXTJOIN(""/"",1,FILTER($B$15:$IV$15,$B$14:$IV$14=HL$97)),"" "")")," ")</f>
        <v> </v>
      </c>
      <c r="HM74" s="48" t="str">
        <f>IFERROR(__xludf.DUMMYFUNCTION("IFERROR(TEXTJOIN(""/"",1,FILTER($B$15:$IV$15,$B$14:$IV$14=HM$97)),"" "")")," ")</f>
        <v> </v>
      </c>
      <c r="HN74" s="48" t="str">
        <f>IFERROR(__xludf.DUMMYFUNCTION("IFERROR(TEXTJOIN(""/"",1,FILTER($B$15:$IV$15,$B$14:$IV$14=HN$97)),"" "")")," ")</f>
        <v> </v>
      </c>
      <c r="HO74" s="48" t="str">
        <f>IFERROR(__xludf.DUMMYFUNCTION("IFERROR(TEXTJOIN(""/"",1,FILTER($B$15:$IV$15,$B$14:$IV$14=HO$97)),"" "")")," ")</f>
        <v> </v>
      </c>
      <c r="HP74" s="48" t="str">
        <f>IFERROR(__xludf.DUMMYFUNCTION("IFERROR(TEXTJOIN(""/"",1,FILTER($B$15:$IV$15,$B$14:$IV$14=HP$97)),"" "")")," ")</f>
        <v> </v>
      </c>
      <c r="HQ74" s="48" t="str">
        <f>IFERROR(__xludf.DUMMYFUNCTION("IFERROR(TEXTJOIN(""/"",1,FILTER($B$15:$IV$15,$B$14:$IV$14=HQ$97)),"" "")")," ")</f>
        <v> </v>
      </c>
      <c r="HR74" s="48" t="str">
        <f>IFERROR(__xludf.DUMMYFUNCTION("IFERROR(TEXTJOIN(""/"",1,FILTER($B$15:$IV$15,$B$14:$IV$14=HR$97)),"" "")")," ")</f>
        <v> </v>
      </c>
      <c r="HS74" s="48" t="str">
        <f>IFERROR(__xludf.DUMMYFUNCTION("IFERROR(TEXTJOIN(""/"",1,FILTER($B$15:$IV$15,$B$14:$IV$14=HS$97)),"" "")")," ")</f>
        <v> </v>
      </c>
      <c r="HT74" s="48" t="str">
        <f>IFERROR(__xludf.DUMMYFUNCTION("IFERROR(TEXTJOIN(""/"",1,FILTER($B$15:$IV$15,$B$14:$IV$14=HT$97)),"" "")")," ")</f>
        <v> </v>
      </c>
      <c r="HU74" s="48" t="str">
        <f>IFERROR(__xludf.DUMMYFUNCTION("IFERROR(TEXTJOIN(""/"",1,FILTER($B$15:$IV$15,$B$14:$IV$14=HU$97)),"" "")")," ")</f>
        <v> </v>
      </c>
      <c r="HV74" s="48" t="str">
        <f>IFERROR(__xludf.DUMMYFUNCTION("IFERROR(TEXTJOIN(""/"",1,FILTER($B$15:$IV$15,$B$14:$IV$14=HV$97)),"" "")")," ")</f>
        <v> </v>
      </c>
      <c r="HW74" s="48" t="str">
        <f>IFERROR(__xludf.DUMMYFUNCTION("IFERROR(TEXTJOIN(""/"",1,FILTER($B$15:$IV$15,$B$14:$IV$14=HW$97)),"" "")")," ")</f>
        <v> </v>
      </c>
      <c r="HX74" s="48" t="str">
        <f>IFERROR(__xludf.DUMMYFUNCTION("IFERROR(TEXTJOIN(""/"",1,FILTER($B$15:$IV$15,$B$14:$IV$14=HX$97)),"" "")")," ")</f>
        <v> </v>
      </c>
      <c r="HY74" s="48" t="str">
        <f>IFERROR(__xludf.DUMMYFUNCTION("IFERROR(TEXTJOIN(""/"",1,FILTER($B$15:$IV$15,$B$14:$IV$14=HY$97)),"" "")")," ")</f>
        <v> </v>
      </c>
      <c r="HZ74" s="48" t="str">
        <f>IFERROR(__xludf.DUMMYFUNCTION("IFERROR(TEXTJOIN(""/"",1,FILTER($B$15:$IV$15,$B$14:$IV$14=HZ$97)),"" "")")," ")</f>
        <v> </v>
      </c>
      <c r="IA74" s="48" t="str">
        <f>IFERROR(__xludf.DUMMYFUNCTION("IFERROR(TEXTJOIN(""/"",1,FILTER($B$15:$IV$15,$B$14:$IV$14=IA$97)),"" "")")," ")</f>
        <v> </v>
      </c>
      <c r="IB74" s="48" t="str">
        <f>IFERROR(__xludf.DUMMYFUNCTION("IFERROR(TEXTJOIN(""/"",1,FILTER($B$15:$IV$15,$B$14:$IV$14=IB$97)),"" "")")," ")</f>
        <v> </v>
      </c>
      <c r="IC74" s="48" t="str">
        <f>IFERROR(__xludf.DUMMYFUNCTION("IFERROR(TEXTJOIN(""/"",1,FILTER($B$15:$IV$15,$B$14:$IV$14=IC$97)),"" "")")," ")</f>
        <v> </v>
      </c>
      <c r="ID74" s="48" t="str">
        <f>IFERROR(__xludf.DUMMYFUNCTION("IFERROR(TEXTJOIN(""/"",1,FILTER($B$15:$IV$15,$B$14:$IV$14=ID$97)),"" "")")," ")</f>
        <v> </v>
      </c>
      <c r="IE74" s="48" t="str">
        <f>IFERROR(__xludf.DUMMYFUNCTION("IFERROR(TEXTJOIN(""/"",1,FILTER($B$15:$IV$15,$B$14:$IV$14=IE$97)),"" "")")," ")</f>
        <v> </v>
      </c>
      <c r="IF74" s="48" t="str">
        <f>IFERROR(__xludf.DUMMYFUNCTION("IFERROR(TEXTJOIN(""/"",1,FILTER($B$15:$IV$15,$B$14:$IV$14=IF$97)),"" "")")," ")</f>
        <v> </v>
      </c>
      <c r="IG74" s="48" t="str">
        <f>IFERROR(__xludf.DUMMYFUNCTION("IFERROR(TEXTJOIN(""/"",1,FILTER($B$15:$IV$15,$B$14:$IV$14=IG$97)),"" "")")," ")</f>
        <v> </v>
      </c>
      <c r="IH74" s="48" t="str">
        <f>IFERROR(__xludf.DUMMYFUNCTION("IFERROR(TEXTJOIN(""/"",1,FILTER($B$15:$IV$15,$B$14:$IV$14=IH$97)),"" "")")," ")</f>
        <v> </v>
      </c>
      <c r="II74" s="48" t="str">
        <f>IFERROR(__xludf.DUMMYFUNCTION("IFERROR(TEXTJOIN(""/"",1,FILTER($B$15:$IV$15,$B$14:$IV$14=II$97)),"" "")")," ")</f>
        <v> </v>
      </c>
      <c r="IJ74" s="48" t="str">
        <f>IFERROR(__xludf.DUMMYFUNCTION("IFERROR(TEXTJOIN(""/"",1,FILTER($B$15:$IV$15,$B$14:$IV$14=IJ$97)),"" "")")," ")</f>
        <v> </v>
      </c>
      <c r="IK74" s="48" t="str">
        <f>IFERROR(__xludf.DUMMYFUNCTION("IFERROR(TEXTJOIN(""/"",1,FILTER($B$15:$IV$15,$B$14:$IV$14=IK$97)),"" "")")," ")</f>
        <v> </v>
      </c>
      <c r="IL74" s="48" t="str">
        <f>IFERROR(__xludf.DUMMYFUNCTION("IFERROR(TEXTJOIN(""/"",1,FILTER($B$15:$IV$15,$B$14:$IV$14=IL$97)),"" "")")," ")</f>
        <v> </v>
      </c>
      <c r="IM74" s="48" t="str">
        <f>IFERROR(__xludf.DUMMYFUNCTION("IFERROR(TEXTJOIN(""/"",1,FILTER($B$15:$IV$15,$B$14:$IV$14=IM$97)),"" "")")," ")</f>
        <v> </v>
      </c>
      <c r="IN74" s="48" t="str">
        <f>IFERROR(__xludf.DUMMYFUNCTION("IFERROR(TEXTJOIN(""/"",1,FILTER($B$15:$IV$15,$B$14:$IV$14=IN$97)),"" "")")," ")</f>
        <v> </v>
      </c>
      <c r="IO74" s="48" t="str">
        <f>IFERROR(__xludf.DUMMYFUNCTION("IFERROR(TEXTJOIN(""/"",1,FILTER($B$15:$IV$15,$B$14:$IV$14=IO$97)),"" "")")," ")</f>
        <v> </v>
      </c>
      <c r="IP74" s="48" t="str">
        <f>IFERROR(__xludf.DUMMYFUNCTION("IFERROR(TEXTJOIN(""/"",1,FILTER($B$15:$IV$15,$B$14:$IV$14=IP$97)),"" "")")," ")</f>
        <v> </v>
      </c>
      <c r="IQ74" s="48" t="str">
        <f>IFERROR(__xludf.DUMMYFUNCTION("IFERROR(TEXTJOIN(""/"",1,FILTER($B$15:$IV$15,$B$14:$IV$14=IQ$97)),"" "")")," ")</f>
        <v> </v>
      </c>
      <c r="IR74" s="48" t="str">
        <f>IFERROR(__xludf.DUMMYFUNCTION("IFERROR(TEXTJOIN(""/"",1,FILTER($B$15:$IV$15,$B$14:$IV$14=IR$97)),"" "")")," ")</f>
        <v> </v>
      </c>
      <c r="IS74" s="48" t="str">
        <f>IFERROR(__xludf.DUMMYFUNCTION("IFERROR(TEXTJOIN(""/"",1,FILTER($B$15:$IV$15,$B$14:$IV$14=IS$97)),"" "")")," ")</f>
        <v> </v>
      </c>
      <c r="IT74" s="48" t="str">
        <f>IFERROR(__xludf.DUMMYFUNCTION("IFERROR(TEXTJOIN(""/"",1,FILTER($B$15:$IV$15,$B$14:$IV$14=IT$97)),"" "")")," ")</f>
        <v> </v>
      </c>
      <c r="IU74" s="48" t="str">
        <f>IFERROR(__xludf.DUMMYFUNCTION("IFERROR(TEXTJOIN(""/"",1,FILTER($B$15:$IV$15,$B$14:$IV$14=IU$97)),"" "")")," ")</f>
        <v> </v>
      </c>
      <c r="IV74" s="48" t="str">
        <f>IFERROR(__xludf.DUMMYFUNCTION("IFERROR(TEXTJOIN(""/"",1,FILTER($B$15:$IV$15,$B$14:$IV$14=IV$97)),"" "")")," ")</f>
        <v> </v>
      </c>
      <c r="IW74" s="48" t="str">
        <f>IFERROR(__xludf.DUMMYFUNCTION("IFERROR(TEXTJOIN(""/"",1,FILTER($B$15:$IV$15,$B$14:$IV$14=IW$97)),"" "")")," ")</f>
        <v> </v>
      </c>
      <c r="IX74" s="48" t="str">
        <f>IFERROR(__xludf.DUMMYFUNCTION("IFERROR(TEXTJOIN(""/"",1,FILTER($B$15:$IV$15,$B$14:$IV$14=IX$97)),"" "")")," ")</f>
        <v> </v>
      </c>
      <c r="IY74" s="48" t="str">
        <f>IFERROR(__xludf.DUMMYFUNCTION("IFERROR(TEXTJOIN(""/"",1,FILTER($B$15:$IV$15,$B$14:$IV$14=IY$97)),"" "")")," ")</f>
        <v> </v>
      </c>
      <c r="IZ74" s="48" t="str">
        <f>IFERROR(__xludf.DUMMYFUNCTION("IFERROR(TEXTJOIN(""/"",1,FILTER($B$15:$IV$15,$B$14:$IV$14=IZ$97)),"" "")")," ")</f>
        <v> </v>
      </c>
      <c r="JA74" s="48" t="str">
        <f>IFERROR(__xludf.DUMMYFUNCTION("IFERROR(TEXTJOIN(""/"",1,FILTER($B$15:$IV$15,$B$14:$IV$14=JA$97)),"" "")")," ")</f>
        <v> </v>
      </c>
      <c r="JB74" s="48" t="str">
        <f>IFERROR(__xludf.DUMMYFUNCTION("IFERROR(TEXTJOIN(""/"",1,FILTER($B$15:$IV$15,$B$14:$IV$14=JB$97)),"" "")")," ")</f>
        <v> </v>
      </c>
      <c r="JC74" s="48" t="str">
        <f>IFERROR(__xludf.DUMMYFUNCTION("IFERROR(TEXTJOIN(""/"",1,FILTER($B$15:$IV$15,$B$14:$IV$14=JC$97)),"" "")")," ")</f>
        <v> </v>
      </c>
      <c r="JD74" s="48" t="str">
        <f>IFERROR(__xludf.DUMMYFUNCTION("IFERROR(TEXTJOIN(""/"",1,FILTER($B$15:$IV$15,$B$14:$IV$14=JD$97)),"" "")")," ")</f>
        <v> </v>
      </c>
      <c r="JE74" s="48" t="str">
        <f>IFERROR(__xludf.DUMMYFUNCTION("IFERROR(TEXTJOIN(""/"",1,FILTER($B$15:$IV$15,$B$14:$IV$14=JE$97)),"" "")")," ")</f>
        <v> </v>
      </c>
    </row>
    <row r="75">
      <c r="A75" s="47" t="str">
        <f>IFERROR(__xludf.DUMMYFUNCTION("""COMPUTED_VALUE"""),"Воспитание")</f>
        <v>Воспитание</v>
      </c>
      <c r="B75" s="48" t="str">
        <f>IFERROR(__xludf.DUMMYFUNCTION("IFERROR(TEXTJOIN(""/"",1,FILTER($B$18:$IV$18,$B$17:$IV$17=B$97)),"" "")")," ")</f>
        <v> </v>
      </c>
      <c r="C75" s="48" t="str">
        <f>IFERROR(__xludf.DUMMYFUNCTION("IFERROR(TEXTJOIN(""/"",1,FILTER($B$18:$IV$18,$B$17:$IV$17=C$97)),"" "")")," ")</f>
        <v> </v>
      </c>
      <c r="D75" s="48" t="str">
        <f>IFERROR(__xludf.DUMMYFUNCTION("IFERROR(TEXTJOIN(""/"",1,FILTER($B$18:$IV$18,$B$17:$IV$17=D$97)),"" "")")," ")</f>
        <v> </v>
      </c>
      <c r="E75" s="48" t="str">
        <f>IFERROR(__xludf.DUMMYFUNCTION("IFERROR(TEXTJOIN(""/"",1,FILTER($B$18:$IV$18,$B$17:$IV$17=E$97)),"" "")")," ")</f>
        <v> </v>
      </c>
      <c r="F75" s="48" t="str">
        <f>IFERROR(__xludf.DUMMYFUNCTION("IFERROR(TEXTJOIN(""/"",1,FILTER($B$18:$IV$18,$B$17:$IV$17=F$97)),"" "")")," ")</f>
        <v> </v>
      </c>
      <c r="G75" s="48" t="str">
        <f>IFERROR(__xludf.DUMMYFUNCTION("IFERROR(TEXTJOIN(""/"",1,FILTER($B$18:$IV$18,$B$17:$IV$17=G$97)),"" "")")," ")</f>
        <v> </v>
      </c>
      <c r="H75" s="48" t="str">
        <f>IFERROR(__xludf.DUMMYFUNCTION("IFERROR(TEXTJOIN(""/"",1,FILTER($B$18:$IV$18,$B$17:$IV$17=H$97)),"" "")"),"")</f>
        <v/>
      </c>
      <c r="I75" s="48" t="str">
        <f>IFERROR(__xludf.DUMMYFUNCTION("IFERROR(TEXTJOIN(""/"",1,FILTER($B$18:$IV$18,$B$17:$IV$17=I$97)),"" "")")," ")</f>
        <v> </v>
      </c>
      <c r="J75" s="48" t="str">
        <f>IFERROR(__xludf.DUMMYFUNCTION("IFERROR(TEXTJOIN(""/"",1,FILTER($B$18:$IV$18,$B$17:$IV$17=J$97)),"" "")")," ")</f>
        <v> </v>
      </c>
      <c r="K75" s="48" t="str">
        <f>IFERROR(__xludf.DUMMYFUNCTION("IFERROR(TEXTJOIN(""/"",1,FILTER($B$18:$IV$18,$B$17:$IV$17=K$97)),"" "")")," ")</f>
        <v> </v>
      </c>
      <c r="L75" s="48" t="str">
        <f>IFERROR(__xludf.DUMMYFUNCTION("IFERROR(TEXTJOIN(""/"",1,FILTER($B$18:$IV$18,$B$17:$IV$17=L$97)),"" "")")," ")</f>
        <v> </v>
      </c>
      <c r="M75" s="48" t="str">
        <f>IFERROR(__xludf.DUMMYFUNCTION("IFERROR(TEXTJOIN(""/"",1,FILTER($B$18:$IV$18,$B$17:$IV$17=M$97)),"" "")")," ")</f>
        <v> </v>
      </c>
      <c r="N75" s="48" t="str">
        <f>IFERROR(__xludf.DUMMYFUNCTION("IFERROR(TEXTJOIN(""/"",1,FILTER($B$18:$IV$18,$B$17:$IV$17=N$97)),"" "")")," ")</f>
        <v> </v>
      </c>
      <c r="O75" s="48" t="str">
        <f>IFERROR(__xludf.DUMMYFUNCTION("IFERROR(TEXTJOIN(""/"",1,FILTER($B$18:$IV$18,$B$17:$IV$17=O$97)),"" "")"),"5")</f>
        <v>5</v>
      </c>
      <c r="P75" s="48" t="str">
        <f>IFERROR(__xludf.DUMMYFUNCTION("IFERROR(TEXTJOIN(""/"",1,FILTER($B$18:$IV$18,$B$17:$IV$17=P$97)),"" "")")," ")</f>
        <v> </v>
      </c>
      <c r="Q75" s="48" t="str">
        <f>IFERROR(__xludf.DUMMYFUNCTION("IFERROR(TEXTJOIN(""/"",1,FILTER($B$18:$IV$18,$B$17:$IV$17=Q$97)),"" "")")," ")</f>
        <v> </v>
      </c>
      <c r="R75" s="48" t="str">
        <f>IFERROR(__xludf.DUMMYFUNCTION("IFERROR(TEXTJOIN(""/"",1,FILTER($B$18:$IV$18,$B$17:$IV$17=R$97)),"" "")")," ")</f>
        <v> </v>
      </c>
      <c r="S75" s="48" t="str">
        <f>IFERROR(__xludf.DUMMYFUNCTION("IFERROR(TEXTJOIN(""/"",1,FILTER($B$18:$IV$18,$B$17:$IV$17=S$97)),"" "")")," ")</f>
        <v> </v>
      </c>
      <c r="T75" s="48" t="str">
        <f>IFERROR(__xludf.DUMMYFUNCTION("IFERROR(TEXTJOIN(""/"",1,FILTER($B$18:$IV$18,$B$17:$IV$17=T$97)),"" "")")," ")</f>
        <v> </v>
      </c>
      <c r="U75" s="48" t="str">
        <f>IFERROR(__xludf.DUMMYFUNCTION("IFERROR(TEXTJOIN(""/"",1,FILTER($B$18:$IV$18,$B$17:$IV$17=U$97)),"" "")")," ")</f>
        <v> </v>
      </c>
      <c r="V75" s="48" t="str">
        <f>IFERROR(__xludf.DUMMYFUNCTION("IFERROR(TEXTJOIN(""/"",1,FILTER($B$18:$IV$18,$B$17:$IV$17=V$97)),"" "")"),"5")</f>
        <v>5</v>
      </c>
      <c r="W75" s="48" t="str">
        <f>IFERROR(__xludf.DUMMYFUNCTION("IFERROR(TEXTJOIN(""/"",1,FILTER($B$18:$IV$18,$B$17:$IV$17=W$97)),"" "")")," ")</f>
        <v> </v>
      </c>
      <c r="X75" s="48" t="str">
        <f>IFERROR(__xludf.DUMMYFUNCTION("IFERROR(TEXTJOIN(""/"",1,FILTER($B$18:$IV$18,$B$17:$IV$17=X$97)),"" "")")," ")</f>
        <v> </v>
      </c>
      <c r="Y75" s="48" t="str">
        <f>IFERROR(__xludf.DUMMYFUNCTION("IFERROR(TEXTJOIN(""/"",1,FILTER($B$18:$IV$18,$B$17:$IV$17=Y$97)),"" "")")," ")</f>
        <v> </v>
      </c>
      <c r="Z75" s="48" t="str">
        <f>IFERROR(__xludf.DUMMYFUNCTION("IFERROR(TEXTJOIN(""/"",1,FILTER($B$18:$IV$18,$B$17:$IV$17=Z$97)),"" "")")," ")</f>
        <v> </v>
      </c>
      <c r="AA75" s="48" t="str">
        <f>IFERROR(__xludf.DUMMYFUNCTION("IFERROR(TEXTJOIN(""/"",1,FILTER($B$18:$IV$18,$B$17:$IV$17=AA$97)),"" "")")," ")</f>
        <v> </v>
      </c>
      <c r="AB75" s="48" t="str">
        <f>IFERROR(__xludf.DUMMYFUNCTION("IFERROR(TEXTJOIN(""/"",1,FILTER($B$18:$IV$18,$B$17:$IV$17=AB$97)),"" "")")," ")</f>
        <v> </v>
      </c>
      <c r="AC75" s="48" t="str">
        <f>IFERROR(__xludf.DUMMYFUNCTION("IFERROR(TEXTJOIN(""/"",1,FILTER($B$18:$IV$18,$B$17:$IV$17=AC$97)),"" "")"),"5")</f>
        <v>5</v>
      </c>
      <c r="AD75" s="48" t="str">
        <f>IFERROR(__xludf.DUMMYFUNCTION("IFERROR(TEXTJOIN(""/"",1,FILTER($B$18:$IV$18,$B$17:$IV$17=AD$97)),"" "")")," ")</f>
        <v> </v>
      </c>
      <c r="AE75" s="48" t="str">
        <f>IFERROR(__xludf.DUMMYFUNCTION("IFERROR(TEXTJOIN(""/"",1,FILTER($B$18:$IV$18,$B$17:$IV$17=AE$97)),"" "")")," ")</f>
        <v> </v>
      </c>
      <c r="AF75" s="48" t="str">
        <f>IFERROR(__xludf.DUMMYFUNCTION("IFERROR(TEXTJOIN(""/"",1,FILTER($B$18:$IV$18,$B$17:$IV$17=AF$97)),"" "")")," ")</f>
        <v> </v>
      </c>
      <c r="AG75" s="48" t="str">
        <f>IFERROR(__xludf.DUMMYFUNCTION("IFERROR(TEXTJOIN(""/"",1,FILTER($B$18:$IV$18,$B$17:$IV$17=AG$97)),"" "")")," ")</f>
        <v> </v>
      </c>
      <c r="AH75" s="48" t="str">
        <f>IFERROR(__xludf.DUMMYFUNCTION("IFERROR(TEXTJOIN(""/"",1,FILTER($B$18:$IV$18,$B$17:$IV$17=AH$97)),"" "")")," ")</f>
        <v> </v>
      </c>
      <c r="AI75" s="48" t="str">
        <f>IFERROR(__xludf.DUMMYFUNCTION("IFERROR(TEXTJOIN(""/"",1,FILTER($B$18:$IV$18,$B$17:$IV$17=AI$97)),"" "")")," ")</f>
        <v> </v>
      </c>
      <c r="AJ75" s="48" t="str">
        <f>IFERROR(__xludf.DUMMYFUNCTION("IFERROR(TEXTJOIN(""/"",1,FILTER($B$18:$IV$18,$B$17:$IV$17=AJ$97)),"" "")"),"")</f>
        <v/>
      </c>
      <c r="AK75" s="48" t="str">
        <f>IFERROR(__xludf.DUMMYFUNCTION("IFERROR(TEXTJOIN(""/"",1,FILTER($B$18:$IV$18,$B$17:$IV$17=AK$97)),"" "")")," ")</f>
        <v> </v>
      </c>
      <c r="AL75" s="48" t="str">
        <f>IFERROR(__xludf.DUMMYFUNCTION("IFERROR(TEXTJOIN(""/"",1,FILTER($B$18:$IV$18,$B$17:$IV$17=AL$97)),"" "")")," ")</f>
        <v> </v>
      </c>
      <c r="AM75" s="48" t="str">
        <f>IFERROR(__xludf.DUMMYFUNCTION("IFERROR(TEXTJOIN(""/"",1,FILTER($B$18:$IV$18,$B$17:$IV$17=AM$97)),"" "")")," ")</f>
        <v> </v>
      </c>
      <c r="AN75" s="48" t="str">
        <f>IFERROR(__xludf.DUMMYFUNCTION("IFERROR(TEXTJOIN(""/"",1,FILTER($B$18:$IV$18,$B$17:$IV$17=AN$97)),"" "")")," ")</f>
        <v> </v>
      </c>
      <c r="AO75" s="48" t="str">
        <f>IFERROR(__xludf.DUMMYFUNCTION("IFERROR(TEXTJOIN(""/"",1,FILTER($B$18:$IV$18,$B$17:$IV$17=AO$97)),"" "")")," ")</f>
        <v> </v>
      </c>
      <c r="AP75" s="48" t="str">
        <f>IFERROR(__xludf.DUMMYFUNCTION("IFERROR(TEXTJOIN(""/"",1,FILTER($B$18:$IV$18,$B$17:$IV$17=AP$97)),"" "")")," ")</f>
        <v> </v>
      </c>
      <c r="AQ75" s="48" t="str">
        <f>IFERROR(__xludf.DUMMYFUNCTION("IFERROR(TEXTJOIN(""/"",1,FILTER($B$18:$IV$18,$B$17:$IV$17=AQ$97)),"" "")"),"")</f>
        <v/>
      </c>
      <c r="AR75" s="48" t="str">
        <f>IFERROR(__xludf.DUMMYFUNCTION("IFERROR(TEXTJOIN(""/"",1,FILTER($B$18:$IV$18,$B$17:$IV$17=AR$97)),"" "")")," ")</f>
        <v> </v>
      </c>
      <c r="AS75" s="48" t="str">
        <f>IFERROR(__xludf.DUMMYFUNCTION("IFERROR(TEXTJOIN(""/"",1,FILTER($B$18:$IV$18,$B$17:$IV$17=AS$97)),"" "")")," ")</f>
        <v> </v>
      </c>
      <c r="AT75" s="48" t="str">
        <f>IFERROR(__xludf.DUMMYFUNCTION("IFERROR(TEXTJOIN(""/"",1,FILTER($B$18:$IV$18,$B$17:$IV$17=AT$97)),"" "")")," ")</f>
        <v> </v>
      </c>
      <c r="AU75" s="48" t="str">
        <f>IFERROR(__xludf.DUMMYFUNCTION("IFERROR(TEXTJOIN(""/"",1,FILTER($B$18:$IV$18,$B$17:$IV$17=AU$97)),"" "")")," ")</f>
        <v> </v>
      </c>
      <c r="AV75" s="48" t="str">
        <f>IFERROR(__xludf.DUMMYFUNCTION("IFERROR(TEXTJOIN(""/"",1,FILTER($B$18:$IV$18,$B$17:$IV$17=AV$97)),"" "")")," ")</f>
        <v> </v>
      </c>
      <c r="AW75" s="48" t="str">
        <f>IFERROR(__xludf.DUMMYFUNCTION("IFERROR(TEXTJOIN(""/"",1,FILTER($B$18:$IV$18,$B$17:$IV$17=AW$97)),"" "")")," ")</f>
        <v> </v>
      </c>
      <c r="AX75" s="48" t="str">
        <f>IFERROR(__xludf.DUMMYFUNCTION("IFERROR(TEXTJOIN(""/"",1,FILTER($B$18:$IV$18,$B$17:$IV$17=AX$97)),"" "")"),"")</f>
        <v/>
      </c>
      <c r="AY75" s="48" t="str">
        <f>IFERROR(__xludf.DUMMYFUNCTION("IFERROR(TEXTJOIN(""/"",1,FILTER($B$18:$IV$18,$B$17:$IV$17=AY$97)),"" "")")," ")</f>
        <v> </v>
      </c>
      <c r="AZ75" s="48" t="str">
        <f>IFERROR(__xludf.DUMMYFUNCTION("IFERROR(TEXTJOIN(""/"",1,FILTER($B$18:$IV$18,$B$17:$IV$17=AZ$97)),"" "")")," ")</f>
        <v> </v>
      </c>
      <c r="BA75" s="48" t="str">
        <f>IFERROR(__xludf.DUMMYFUNCTION("IFERROR(TEXTJOIN(""/"",1,FILTER($B$18:$IV$18,$B$17:$IV$17=BA$97)),"" "")")," ")</f>
        <v> </v>
      </c>
      <c r="BB75" s="48" t="str">
        <f>IFERROR(__xludf.DUMMYFUNCTION("IFERROR(TEXTJOIN(""/"",1,FILTER($B$18:$IV$18,$B$17:$IV$17=BB$97)),"" "")")," ")</f>
        <v> </v>
      </c>
      <c r="BC75" s="48" t="str">
        <f>IFERROR(__xludf.DUMMYFUNCTION("IFERROR(TEXTJOIN(""/"",1,FILTER($B$18:$IV$18,$B$17:$IV$17=BC$97)),"" "")")," ")</f>
        <v> </v>
      </c>
      <c r="BD75" s="48" t="str">
        <f>IFERROR(__xludf.DUMMYFUNCTION("IFERROR(TEXTJOIN(""/"",1,FILTER($B$18:$IV$18,$B$17:$IV$17=BD$97)),"" "")")," ")</f>
        <v> </v>
      </c>
      <c r="BE75" s="48" t="str">
        <f>IFERROR(__xludf.DUMMYFUNCTION("IFERROR(TEXTJOIN(""/"",1,FILTER($B$18:$IV$18,$B$17:$IV$17=BE$97)),"" "")"),"5")</f>
        <v>5</v>
      </c>
      <c r="BF75" s="48" t="str">
        <f>IFERROR(__xludf.DUMMYFUNCTION("IFERROR(TEXTJOIN(""/"",1,FILTER($B$18:$IV$18,$B$17:$IV$17=BF$97)),"" "")")," ")</f>
        <v> </v>
      </c>
      <c r="BG75" s="48" t="str">
        <f>IFERROR(__xludf.DUMMYFUNCTION("IFERROR(TEXTJOIN(""/"",1,FILTER($B$18:$IV$18,$B$17:$IV$17=BG$97)),"" "")")," ")</f>
        <v> </v>
      </c>
      <c r="BH75" s="48" t="str">
        <f>IFERROR(__xludf.DUMMYFUNCTION("IFERROR(TEXTJOIN(""/"",1,FILTER($B$18:$IV$18,$B$17:$IV$17=BH$97)),"" "")")," ")</f>
        <v> </v>
      </c>
      <c r="BI75" s="48" t="str">
        <f>IFERROR(__xludf.DUMMYFUNCTION("IFERROR(TEXTJOIN(""/"",1,FILTER($B$18:$IV$18,$B$17:$IV$17=BI$97)),"" "")")," ")</f>
        <v> </v>
      </c>
      <c r="BJ75" s="48" t="str">
        <f>IFERROR(__xludf.DUMMYFUNCTION("IFERROR(TEXTJOIN(""/"",1,FILTER($B$18:$IV$18,$B$17:$IV$17=BJ$97)),"" "")")," ")</f>
        <v> </v>
      </c>
      <c r="BK75" s="48" t="str">
        <f>IFERROR(__xludf.DUMMYFUNCTION("IFERROR(TEXTJOIN(""/"",1,FILTER($B$18:$IV$18,$B$17:$IV$17=BK$97)),"" "")")," ")</f>
        <v> </v>
      </c>
      <c r="BL75" s="48" t="str">
        <f>IFERROR(__xludf.DUMMYFUNCTION("IFERROR(TEXTJOIN(""/"",1,FILTER($B$18:$IV$18,$B$17:$IV$17=BL$97)),"" "")"),"")</f>
        <v/>
      </c>
      <c r="BM75" s="48" t="str">
        <f>IFERROR(__xludf.DUMMYFUNCTION("IFERROR(TEXTJOIN(""/"",1,FILTER($B$18:$IV$18,$B$17:$IV$17=BM$97)),"" "")")," ")</f>
        <v> </v>
      </c>
      <c r="BN75" s="48" t="str">
        <f>IFERROR(__xludf.DUMMYFUNCTION("IFERROR(TEXTJOIN(""/"",1,FILTER($B$18:$IV$18,$B$17:$IV$17=BN$97)),"" "")")," ")</f>
        <v> </v>
      </c>
      <c r="BO75" s="48" t="str">
        <f>IFERROR(__xludf.DUMMYFUNCTION("IFERROR(TEXTJOIN(""/"",1,FILTER($B$18:$IV$18,$B$17:$IV$17=BO$97)),"" "")")," ")</f>
        <v> </v>
      </c>
      <c r="BP75" s="48" t="str">
        <f>IFERROR(__xludf.DUMMYFUNCTION("IFERROR(TEXTJOIN(""/"",1,FILTER($B$18:$IV$18,$B$17:$IV$17=BP$97)),"" "")")," ")</f>
        <v> </v>
      </c>
      <c r="BQ75" s="48" t="str">
        <f>IFERROR(__xludf.DUMMYFUNCTION("IFERROR(TEXTJOIN(""/"",1,FILTER($B$18:$IV$18,$B$17:$IV$17=BQ$97)),"" "")")," ")</f>
        <v> </v>
      </c>
      <c r="BR75" s="48" t="str">
        <f>IFERROR(__xludf.DUMMYFUNCTION("IFERROR(TEXTJOIN(""/"",1,FILTER($B$18:$IV$18,$B$17:$IV$17=BR$97)),"" "")")," ")</f>
        <v> </v>
      </c>
      <c r="BS75" s="48" t="str">
        <f>IFERROR(__xludf.DUMMYFUNCTION("IFERROR(TEXTJOIN(""/"",1,FILTER($B$18:$IV$18,$B$17:$IV$17=BS$97)),"" "")")," ")</f>
        <v> </v>
      </c>
      <c r="BT75" s="48" t="str">
        <f>IFERROR(__xludf.DUMMYFUNCTION("IFERROR(TEXTJOIN(""/"",1,FILTER($B$18:$IV$18,$B$17:$IV$17=BT$97)),"" "")")," ")</f>
        <v> </v>
      </c>
      <c r="BU75" s="48" t="str">
        <f>IFERROR(__xludf.DUMMYFUNCTION("IFERROR(TEXTJOIN(""/"",1,FILTER($B$18:$IV$18,$B$17:$IV$17=BU$97)),"" "")")," ")</f>
        <v> </v>
      </c>
      <c r="BV75" s="48" t="str">
        <f>IFERROR(__xludf.DUMMYFUNCTION("IFERROR(TEXTJOIN(""/"",1,FILTER($B$18:$IV$18,$B$17:$IV$17=BV$97)),"" "")")," ")</f>
        <v> </v>
      </c>
      <c r="BW75" s="48" t="str">
        <f>IFERROR(__xludf.DUMMYFUNCTION("IFERROR(TEXTJOIN(""/"",1,FILTER($B$18:$IV$18,$B$17:$IV$17=BW$97)),"" "")")," ")</f>
        <v> </v>
      </c>
      <c r="BX75" s="48" t="str">
        <f>IFERROR(__xludf.DUMMYFUNCTION("IFERROR(TEXTJOIN(""/"",1,FILTER($B$18:$IV$18,$B$17:$IV$17=BX$97)),"" "")")," ")</f>
        <v> </v>
      </c>
      <c r="BY75" s="48" t="str">
        <f>IFERROR(__xludf.DUMMYFUNCTION("IFERROR(TEXTJOIN(""/"",1,FILTER($B$18:$IV$18,$B$17:$IV$17=BY$97)),"" "")")," ")</f>
        <v> </v>
      </c>
      <c r="BZ75" s="48" t="str">
        <f>IFERROR(__xludf.DUMMYFUNCTION("IFERROR(TEXTJOIN(""/"",1,FILTER($B$18:$IV$18,$B$17:$IV$17=BZ$97)),"" "")"),"")</f>
        <v/>
      </c>
      <c r="CA75" s="48" t="str">
        <f>IFERROR(__xludf.DUMMYFUNCTION("IFERROR(TEXTJOIN(""/"",1,FILTER($B$18:$IV$18,$B$17:$IV$17=CA$97)),"" "")")," ")</f>
        <v> </v>
      </c>
      <c r="CB75" s="48" t="str">
        <f>IFERROR(__xludf.DUMMYFUNCTION("IFERROR(TEXTJOIN(""/"",1,FILTER($B$18:$IV$18,$B$17:$IV$17=CB$97)),"" "")")," ")</f>
        <v> </v>
      </c>
      <c r="CC75" s="48" t="str">
        <f>IFERROR(__xludf.DUMMYFUNCTION("IFERROR(TEXTJOIN(""/"",1,FILTER($B$18:$IV$18,$B$17:$IV$17=CC$97)),"" "")")," ")</f>
        <v> </v>
      </c>
      <c r="CD75" s="48" t="str">
        <f>IFERROR(__xludf.DUMMYFUNCTION("IFERROR(TEXTJOIN(""/"",1,FILTER($B$18:$IV$18,$B$17:$IV$17=CD$97)),"" "")")," ")</f>
        <v> </v>
      </c>
      <c r="CE75" s="48" t="str">
        <f>IFERROR(__xludf.DUMMYFUNCTION("IFERROR(TEXTJOIN(""/"",1,FILTER($B$18:$IV$18,$B$17:$IV$17=CE$97)),"" "")")," ")</f>
        <v> </v>
      </c>
      <c r="CF75" s="48" t="str">
        <f>IFERROR(__xludf.DUMMYFUNCTION("IFERROR(TEXTJOIN(""/"",1,FILTER($B$18:$IV$18,$B$17:$IV$17=CF$97)),"" "")")," ")</f>
        <v> </v>
      </c>
      <c r="CG75" s="48" t="str">
        <f>IFERROR(__xludf.DUMMYFUNCTION("IFERROR(TEXTJOIN(""/"",1,FILTER($B$18:$IV$18,$B$17:$IV$17=CG$97)),"" "")"),"5")</f>
        <v>5</v>
      </c>
      <c r="CH75" s="48" t="str">
        <f>IFERROR(__xludf.DUMMYFUNCTION("IFERROR(TEXTJOIN(""/"",1,FILTER($B$18:$IV$18,$B$17:$IV$17=CH$97)),"" "")")," ")</f>
        <v> </v>
      </c>
      <c r="CI75" s="48" t="str">
        <f>IFERROR(__xludf.DUMMYFUNCTION("IFERROR(TEXTJOIN(""/"",1,FILTER($B$18:$IV$18,$B$17:$IV$17=CI$97)),"" "")")," ")</f>
        <v> </v>
      </c>
      <c r="CJ75" s="48" t="str">
        <f>IFERROR(__xludf.DUMMYFUNCTION("IFERROR(TEXTJOIN(""/"",1,FILTER($B$18:$IV$18,$B$17:$IV$17=CJ$97)),"" "")")," ")</f>
        <v> </v>
      </c>
      <c r="CK75" s="48" t="str">
        <f>IFERROR(__xludf.DUMMYFUNCTION("IFERROR(TEXTJOIN(""/"",1,FILTER($B$18:$IV$18,$B$17:$IV$17=CK$97)),"" "")")," ")</f>
        <v> </v>
      </c>
      <c r="CL75" s="48" t="str">
        <f>IFERROR(__xludf.DUMMYFUNCTION("IFERROR(TEXTJOIN(""/"",1,FILTER($B$18:$IV$18,$B$17:$IV$17=CL$97)),"" "")")," ")</f>
        <v> </v>
      </c>
      <c r="CM75" s="48" t="str">
        <f>IFERROR(__xludf.DUMMYFUNCTION("IFERROR(TEXTJOIN(""/"",1,FILTER($B$18:$IV$18,$B$17:$IV$17=CM$97)),"" "")")," ")</f>
        <v> </v>
      </c>
      <c r="CN75" s="48" t="str">
        <f>IFERROR(__xludf.DUMMYFUNCTION("IFERROR(TEXTJOIN(""/"",1,FILTER($B$18:$IV$18,$B$17:$IV$17=CN$97)),"" "")"),"-")</f>
        <v>-</v>
      </c>
      <c r="CO75" s="48" t="str">
        <f>IFERROR(__xludf.DUMMYFUNCTION("IFERROR(TEXTJOIN(""/"",1,FILTER($B$18:$IV$18,$B$17:$IV$17=CO$97)),"" "")")," ")</f>
        <v> </v>
      </c>
      <c r="CP75" s="48" t="str">
        <f>IFERROR(__xludf.DUMMYFUNCTION("IFERROR(TEXTJOIN(""/"",1,FILTER($B$18:$IV$18,$B$17:$IV$17=CP$97)),"" "")")," ")</f>
        <v> </v>
      </c>
      <c r="CQ75" s="48" t="str">
        <f>IFERROR(__xludf.DUMMYFUNCTION("IFERROR(TEXTJOIN(""/"",1,FILTER($B$18:$IV$18,$B$17:$IV$17=CQ$97)),"" "")")," ")</f>
        <v> </v>
      </c>
      <c r="CR75" s="48" t="str">
        <f>IFERROR(__xludf.DUMMYFUNCTION("IFERROR(TEXTJOIN(""/"",1,FILTER($B$18:$IV$18,$B$17:$IV$17=CR$97)),"" "")")," ")</f>
        <v> </v>
      </c>
      <c r="CS75" s="48" t="str">
        <f>IFERROR(__xludf.DUMMYFUNCTION("IFERROR(TEXTJOIN(""/"",1,FILTER($B$18:$IV$18,$B$17:$IV$17=CS$97)),"" "")")," ")</f>
        <v> </v>
      </c>
      <c r="CT75" s="48" t="str">
        <f>IFERROR(__xludf.DUMMYFUNCTION("IFERROR(TEXTJOIN(""/"",1,FILTER($B$18:$IV$18,$B$17:$IV$17=CT$97)),"" "")")," ")</f>
        <v> </v>
      </c>
      <c r="CU75" s="48" t="str">
        <f>IFERROR(__xludf.DUMMYFUNCTION("IFERROR(TEXTJOIN(""/"",1,FILTER($B$18:$IV$18,$B$17:$IV$17=CU$97)),"" "")")," ")</f>
        <v> </v>
      </c>
      <c r="CV75" s="48" t="str">
        <f>IFERROR(__xludf.DUMMYFUNCTION("IFERROR(TEXTJOIN(""/"",1,FILTER($B$18:$IV$18,$B$17:$IV$17=CV$97)),"" "")")," ")</f>
        <v> </v>
      </c>
      <c r="CW75" s="48" t="str">
        <f>IFERROR(__xludf.DUMMYFUNCTION("IFERROR(TEXTJOIN(""/"",1,FILTER($B$18:$IV$18,$B$17:$IV$17=CW$97)),"" "")")," ")</f>
        <v> </v>
      </c>
      <c r="CX75" s="48" t="str">
        <f>IFERROR(__xludf.DUMMYFUNCTION("IFERROR(TEXTJOIN(""/"",1,FILTER($B$18:$IV$18,$B$17:$IV$17=CX$97)),"" "")")," ")</f>
        <v> </v>
      </c>
      <c r="CY75" s="48" t="str">
        <f>IFERROR(__xludf.DUMMYFUNCTION("IFERROR(TEXTJOIN(""/"",1,FILTER($B$18:$IV$18,$B$17:$IV$17=CY$97)),"" "")")," ")</f>
        <v> </v>
      </c>
      <c r="CZ75" s="48" t="str">
        <f>IFERROR(__xludf.DUMMYFUNCTION("IFERROR(TEXTJOIN(""/"",1,FILTER($B$18:$IV$18,$B$17:$IV$17=CZ$97)),"" "")")," ")</f>
        <v> </v>
      </c>
      <c r="DA75" s="48" t="str">
        <f>IFERROR(__xludf.DUMMYFUNCTION("IFERROR(TEXTJOIN(""/"",1,FILTER($B$18:$IV$18,$B$17:$IV$17=DA$97)),"" "")")," ")</f>
        <v> </v>
      </c>
      <c r="DB75" s="48" t="str">
        <f>IFERROR(__xludf.DUMMYFUNCTION("IFERROR(TEXTJOIN(""/"",1,FILTER($B$18:$IV$18,$B$17:$IV$17=DB$97)),"" "")"),"")</f>
        <v/>
      </c>
      <c r="DC75" s="48" t="str">
        <f>IFERROR(__xludf.DUMMYFUNCTION("IFERROR(TEXTJOIN(""/"",1,FILTER($B$18:$IV$18,$B$17:$IV$17=DC$97)),"" "")")," ")</f>
        <v> </v>
      </c>
      <c r="DD75" s="48" t="str">
        <f>IFERROR(__xludf.DUMMYFUNCTION("IFERROR(TEXTJOIN(""/"",1,FILTER($B$18:$IV$18,$B$17:$IV$17=DD$97)),"" "")")," ")</f>
        <v> </v>
      </c>
      <c r="DE75" s="48" t="str">
        <f>IFERROR(__xludf.DUMMYFUNCTION("IFERROR(TEXTJOIN(""/"",1,FILTER($B$18:$IV$18,$B$17:$IV$17=DE$97)),"" "")")," ")</f>
        <v> </v>
      </c>
      <c r="DF75" s="48" t="str">
        <f>IFERROR(__xludf.DUMMYFUNCTION("IFERROR(TEXTJOIN(""/"",1,FILTER($B$18:$IV$18,$B$17:$IV$17=DF$97)),"" "")")," ")</f>
        <v> </v>
      </c>
      <c r="DG75" s="48" t="str">
        <f>IFERROR(__xludf.DUMMYFUNCTION("IFERROR(TEXTJOIN(""/"",1,FILTER($B$18:$IV$18,$B$17:$IV$17=DG$97)),"" "")")," ")</f>
        <v> </v>
      </c>
      <c r="DH75" s="48" t="str">
        <f>IFERROR(__xludf.DUMMYFUNCTION("IFERROR(TEXTJOIN(""/"",1,FILTER($B$18:$IV$18,$B$17:$IV$17=DH$97)),"" "")")," ")</f>
        <v> </v>
      </c>
      <c r="DI75" s="48" t="str">
        <f>IFERROR(__xludf.DUMMYFUNCTION("IFERROR(TEXTJOIN(""/"",1,FILTER($B$18:$IV$18,$B$17:$IV$17=DI$97)),"" "")"),"5")</f>
        <v>5</v>
      </c>
      <c r="DJ75" s="48" t="str">
        <f>IFERROR(__xludf.DUMMYFUNCTION("IFERROR(TEXTJOIN(""/"",1,FILTER($B$18:$IV$18,$B$17:$IV$17=DJ$97)),"" "")")," ")</f>
        <v> </v>
      </c>
      <c r="DK75" s="48" t="str">
        <f>IFERROR(__xludf.DUMMYFUNCTION("IFERROR(TEXTJOIN(""/"",1,FILTER($B$18:$IV$18,$B$17:$IV$17=DK$97)),"" "")")," ")</f>
        <v> </v>
      </c>
      <c r="DL75" s="48" t="str">
        <f>IFERROR(__xludf.DUMMYFUNCTION("IFERROR(TEXTJOIN(""/"",1,FILTER($B$18:$IV$18,$B$17:$IV$17=DL$97)),"" "")")," ")</f>
        <v> </v>
      </c>
      <c r="DM75" s="48" t="str">
        <f>IFERROR(__xludf.DUMMYFUNCTION("IFERROR(TEXTJOIN(""/"",1,FILTER($B$18:$IV$18,$B$17:$IV$17=DM$97)),"" "")")," ")</f>
        <v> </v>
      </c>
      <c r="DN75" s="48" t="str">
        <f>IFERROR(__xludf.DUMMYFUNCTION("IFERROR(TEXTJOIN(""/"",1,FILTER($B$18:$IV$18,$B$17:$IV$17=DN$97)),"" "")")," ")</f>
        <v> </v>
      </c>
      <c r="DO75" s="48" t="str">
        <f>IFERROR(__xludf.DUMMYFUNCTION("IFERROR(TEXTJOIN(""/"",1,FILTER($B$18:$IV$18,$B$17:$IV$17=DO$97)),"" "")")," ")</f>
        <v> </v>
      </c>
      <c r="DP75" s="48" t="str">
        <f>IFERROR(__xludf.DUMMYFUNCTION("IFERROR(TEXTJOIN(""/"",1,FILTER($B$18:$IV$18,$B$17:$IV$17=DP$97)),"" "")")," ")</f>
        <v> </v>
      </c>
      <c r="DQ75" s="48" t="str">
        <f>IFERROR(__xludf.DUMMYFUNCTION("IFERROR(TEXTJOIN(""/"",1,FILTER($B$18:$IV$18,$B$17:$IV$17=DQ$97)),"" "")")," ")</f>
        <v> </v>
      </c>
      <c r="DR75" s="48" t="str">
        <f>IFERROR(__xludf.DUMMYFUNCTION("IFERROR(TEXTJOIN(""/"",1,FILTER($B$18:$IV$18,$B$17:$IV$17=DR$97)),"" "")")," ")</f>
        <v> </v>
      </c>
      <c r="DS75" s="48" t="str">
        <f>IFERROR(__xludf.DUMMYFUNCTION("IFERROR(TEXTJOIN(""/"",1,FILTER($B$18:$IV$18,$B$17:$IV$17=DS$97)),"" "")")," ")</f>
        <v> </v>
      </c>
      <c r="DT75" s="48" t="str">
        <f>IFERROR(__xludf.DUMMYFUNCTION("IFERROR(TEXTJOIN(""/"",1,FILTER($B$18:$IV$18,$B$17:$IV$17=DT$97)),"" "")")," ")</f>
        <v> </v>
      </c>
      <c r="DU75" s="48" t="str">
        <f>IFERROR(__xludf.DUMMYFUNCTION("IFERROR(TEXTJOIN(""/"",1,FILTER($B$18:$IV$18,$B$17:$IV$17=DU$97)),"" "")")," ")</f>
        <v> </v>
      </c>
      <c r="DV75" s="48" t="str">
        <f>IFERROR(__xludf.DUMMYFUNCTION("IFERROR(TEXTJOIN(""/"",1,FILTER($B$18:$IV$18,$B$17:$IV$17=DV$97)),"" "")")," ")</f>
        <v> </v>
      </c>
      <c r="DW75" s="48" t="str">
        <f>IFERROR(__xludf.DUMMYFUNCTION("IFERROR(TEXTJOIN(""/"",1,FILTER($B$18:$IV$18,$B$17:$IV$17=DW$97)),"" "")")," ")</f>
        <v> </v>
      </c>
      <c r="DX75" s="48" t="str">
        <f>IFERROR(__xludf.DUMMYFUNCTION("IFERROR(TEXTJOIN(""/"",1,FILTER($B$18:$IV$18,$B$17:$IV$17=DX$97)),"" "")")," ")</f>
        <v> </v>
      </c>
      <c r="DY75" s="48" t="str">
        <f>IFERROR(__xludf.DUMMYFUNCTION("IFERROR(TEXTJOIN(""/"",1,FILTER($B$18:$IV$18,$B$17:$IV$17=DY$97)),"" "")")," ")</f>
        <v> </v>
      </c>
      <c r="DZ75" s="48" t="str">
        <f>IFERROR(__xludf.DUMMYFUNCTION("IFERROR(TEXTJOIN(""/"",1,FILTER($B$18:$IV$18,$B$17:$IV$17=DZ$97)),"" "")")," ")</f>
        <v> </v>
      </c>
      <c r="EA75" s="48" t="str">
        <f>IFERROR(__xludf.DUMMYFUNCTION("IFERROR(TEXTJOIN(""/"",1,FILTER($B$18:$IV$18,$B$17:$IV$17=EA$97)),"" "")")," ")</f>
        <v> </v>
      </c>
      <c r="EB75" s="48" t="str">
        <f>IFERROR(__xludf.DUMMYFUNCTION("IFERROR(TEXTJOIN(""/"",1,FILTER($B$18:$IV$18,$B$17:$IV$17=EB$97)),"" "")")," ")</f>
        <v> </v>
      </c>
      <c r="EC75" s="48" t="str">
        <f>IFERROR(__xludf.DUMMYFUNCTION("IFERROR(TEXTJOIN(""/"",1,FILTER($B$18:$IV$18,$B$17:$IV$17=EC$97)),"" "")")," ")</f>
        <v> </v>
      </c>
      <c r="ED75" s="48" t="str">
        <f>IFERROR(__xludf.DUMMYFUNCTION("IFERROR(TEXTJOIN(""/"",1,FILTER($B$18:$IV$18,$B$17:$IV$17=ED$97)),"" "")"),"5")</f>
        <v>5</v>
      </c>
      <c r="EE75" s="48" t="str">
        <f>IFERROR(__xludf.DUMMYFUNCTION("IFERROR(TEXTJOIN(""/"",1,FILTER($B$18:$IV$18,$B$17:$IV$17=EE$97)),"" "")")," ")</f>
        <v> </v>
      </c>
      <c r="EF75" s="48" t="str">
        <f>IFERROR(__xludf.DUMMYFUNCTION("IFERROR(TEXTJOIN(""/"",1,FILTER($B$18:$IV$18,$B$17:$IV$17=EF$97)),"" "")")," ")</f>
        <v> </v>
      </c>
      <c r="EG75" s="48" t="str">
        <f>IFERROR(__xludf.DUMMYFUNCTION("IFERROR(TEXTJOIN(""/"",1,FILTER($B$18:$IV$18,$B$17:$IV$17=EG$97)),"" "")")," ")</f>
        <v> </v>
      </c>
      <c r="EH75" s="48" t="str">
        <f>IFERROR(__xludf.DUMMYFUNCTION("IFERROR(TEXTJOIN(""/"",1,FILTER($B$18:$IV$18,$B$17:$IV$17=EH$97)),"" "")")," ")</f>
        <v> </v>
      </c>
      <c r="EI75" s="48" t="str">
        <f>IFERROR(__xludf.DUMMYFUNCTION("IFERROR(TEXTJOIN(""/"",1,FILTER($B$18:$IV$18,$B$17:$IV$17=EI$97)),"" "")")," ")</f>
        <v> </v>
      </c>
      <c r="EJ75" s="48" t="str">
        <f>IFERROR(__xludf.DUMMYFUNCTION("IFERROR(TEXTJOIN(""/"",1,FILTER($B$18:$IV$18,$B$17:$IV$17=EJ$97)),"" "")")," ")</f>
        <v> </v>
      </c>
      <c r="EK75" s="48" t="str">
        <f>IFERROR(__xludf.DUMMYFUNCTION("IFERROR(TEXTJOIN(""/"",1,FILTER($B$18:$IV$18,$B$17:$IV$17=EK$97)),"" "")"),"")</f>
        <v/>
      </c>
      <c r="EL75" s="48" t="str">
        <f>IFERROR(__xludf.DUMMYFUNCTION("IFERROR(TEXTJOIN(""/"",1,FILTER($B$18:$IV$18,$B$17:$IV$17=EL$97)),"" "")")," ")</f>
        <v> </v>
      </c>
      <c r="EM75" s="48" t="str">
        <f>IFERROR(__xludf.DUMMYFUNCTION("IFERROR(TEXTJOIN(""/"",1,FILTER($B$18:$IV$18,$B$17:$IV$17=EM$97)),"" "")")," ")</f>
        <v> </v>
      </c>
      <c r="EN75" s="48" t="str">
        <f>IFERROR(__xludf.DUMMYFUNCTION("IFERROR(TEXTJOIN(""/"",1,FILTER($B$18:$IV$18,$B$17:$IV$17=EN$97)),"" "")")," ")</f>
        <v> </v>
      </c>
      <c r="EO75" s="48" t="str">
        <f>IFERROR(__xludf.DUMMYFUNCTION("IFERROR(TEXTJOIN(""/"",1,FILTER($B$18:$IV$18,$B$17:$IV$17=EO$97)),"" "")")," ")</f>
        <v> </v>
      </c>
      <c r="EP75" s="48" t="str">
        <f>IFERROR(__xludf.DUMMYFUNCTION("IFERROR(TEXTJOIN(""/"",1,FILTER($B$18:$IV$18,$B$17:$IV$17=EP$97)),"" "")")," ")</f>
        <v> </v>
      </c>
      <c r="EQ75" s="48" t="str">
        <f>IFERROR(__xludf.DUMMYFUNCTION("IFERROR(TEXTJOIN(""/"",1,FILTER($B$18:$IV$18,$B$17:$IV$17=EQ$97)),"" "")")," ")</f>
        <v> </v>
      </c>
      <c r="ER75" s="48" t="str">
        <f>IFERROR(__xludf.DUMMYFUNCTION("IFERROR(TEXTJOIN(""/"",1,FILTER($B$18:$IV$18,$B$17:$IV$17=ER$97)),"" "")"),"-")</f>
        <v>-</v>
      </c>
      <c r="ES75" s="48" t="str">
        <f>IFERROR(__xludf.DUMMYFUNCTION("IFERROR(TEXTJOIN(""/"",1,FILTER($B$18:$IV$18,$B$17:$IV$17=ES$97)),"" "")")," ")</f>
        <v> </v>
      </c>
      <c r="ET75" s="48" t="str">
        <f>IFERROR(__xludf.DUMMYFUNCTION("IFERROR(TEXTJOIN(""/"",1,FILTER($B$18:$IV$18,$B$17:$IV$17=ET$97)),"" "")")," ")</f>
        <v> </v>
      </c>
      <c r="EU75" s="48" t="str">
        <f>IFERROR(__xludf.DUMMYFUNCTION("IFERROR(TEXTJOIN(""/"",1,FILTER($B$18:$IV$18,$B$17:$IV$17=EU$97)),"" "")")," ")</f>
        <v> </v>
      </c>
      <c r="EV75" s="48" t="str">
        <f>IFERROR(__xludf.DUMMYFUNCTION("IFERROR(TEXTJOIN(""/"",1,FILTER($B$18:$IV$18,$B$17:$IV$17=EV$97)),"" "")")," ")</f>
        <v> </v>
      </c>
      <c r="EW75" s="48" t="str">
        <f>IFERROR(__xludf.DUMMYFUNCTION("IFERROR(TEXTJOIN(""/"",1,FILTER($B$18:$IV$18,$B$17:$IV$17=EW$97)),"" "")")," ")</f>
        <v> </v>
      </c>
      <c r="EX75" s="48" t="str">
        <f>IFERROR(__xludf.DUMMYFUNCTION("IFERROR(TEXTJOIN(""/"",1,FILTER($B$18:$IV$18,$B$17:$IV$17=EX$97)),"" "")")," ")</f>
        <v> </v>
      </c>
      <c r="EY75" s="48" t="str">
        <f>IFERROR(__xludf.DUMMYFUNCTION("IFERROR(TEXTJOIN(""/"",1,FILTER($B$18:$IV$18,$B$17:$IV$17=EY$97)),"" "")"),"")</f>
        <v/>
      </c>
      <c r="EZ75" s="48" t="str">
        <f>IFERROR(__xludf.DUMMYFUNCTION("IFERROR(TEXTJOIN(""/"",1,FILTER($B$18:$IV$18,$B$17:$IV$17=EZ$97)),"" "")")," ")</f>
        <v> </v>
      </c>
      <c r="FA75" s="48" t="str">
        <f>IFERROR(__xludf.DUMMYFUNCTION("IFERROR(TEXTJOIN(""/"",1,FILTER($B$18:$IV$18,$B$17:$IV$17=FA$97)),"" "")")," ")</f>
        <v> </v>
      </c>
      <c r="FB75" s="48" t="str">
        <f>IFERROR(__xludf.DUMMYFUNCTION("IFERROR(TEXTJOIN(""/"",1,FILTER($B$18:$IV$18,$B$17:$IV$17=FB$97)),"" "")")," ")</f>
        <v> </v>
      </c>
      <c r="FC75" s="48" t="str">
        <f>IFERROR(__xludf.DUMMYFUNCTION("IFERROR(TEXTJOIN(""/"",1,FILTER($B$18:$IV$18,$B$17:$IV$17=FC$97)),"" "")")," ")</f>
        <v> </v>
      </c>
      <c r="FD75" s="48" t="str">
        <f>IFERROR(__xludf.DUMMYFUNCTION("IFERROR(TEXTJOIN(""/"",1,FILTER($B$18:$IV$18,$B$17:$IV$17=FD$97)),"" "")")," ")</f>
        <v> </v>
      </c>
      <c r="FE75" s="48" t="str">
        <f>IFERROR(__xludf.DUMMYFUNCTION("IFERROR(TEXTJOIN(""/"",1,FILTER($B$18:$IV$18,$B$17:$IV$17=FE$97)),"" "")")," ")</f>
        <v> </v>
      </c>
      <c r="FF75" s="48" t="str">
        <f>IFERROR(__xludf.DUMMYFUNCTION("IFERROR(TEXTJOIN(""/"",1,FILTER($B$18:$IV$18,$B$17:$IV$17=FF$97)),"" "")"),"5")</f>
        <v>5</v>
      </c>
      <c r="FG75" s="48" t="str">
        <f>IFERROR(__xludf.DUMMYFUNCTION("IFERROR(TEXTJOIN(""/"",1,FILTER($B$18:$IV$18,$B$17:$IV$17=FG$97)),"" "")")," ")</f>
        <v> </v>
      </c>
      <c r="FH75" s="48" t="str">
        <f>IFERROR(__xludf.DUMMYFUNCTION("IFERROR(TEXTJOIN(""/"",1,FILTER($B$18:$IV$18,$B$17:$IV$17=FH$97)),"" "")")," ")</f>
        <v> </v>
      </c>
      <c r="FI75" s="48" t="str">
        <f>IFERROR(__xludf.DUMMYFUNCTION("IFERROR(TEXTJOIN(""/"",1,FILTER($B$18:$IV$18,$B$17:$IV$17=FI$97)),"" "")")," ")</f>
        <v> </v>
      </c>
      <c r="FJ75" s="48" t="str">
        <f>IFERROR(__xludf.DUMMYFUNCTION("IFERROR(TEXTJOIN(""/"",1,FILTER($B$18:$IV$18,$B$17:$IV$17=FJ$97)),"" "")")," ")</f>
        <v> </v>
      </c>
      <c r="FK75" s="48" t="str">
        <f>IFERROR(__xludf.DUMMYFUNCTION("IFERROR(TEXTJOIN(""/"",1,FILTER($B$18:$IV$18,$B$17:$IV$17=FK$97)),"" "")")," ")</f>
        <v> </v>
      </c>
      <c r="FL75" s="48" t="str">
        <f>IFERROR(__xludf.DUMMYFUNCTION("IFERROR(TEXTJOIN(""/"",1,FILTER($B$18:$IV$18,$B$17:$IV$17=FL$97)),"" "")")," ")</f>
        <v> </v>
      </c>
      <c r="FM75" s="48" t="str">
        <f>IFERROR(__xludf.DUMMYFUNCTION("IFERROR(TEXTJOIN(""/"",1,FILTER($B$18:$IV$18,$B$17:$IV$17=FM$97)),"" "")"),"")</f>
        <v/>
      </c>
      <c r="FN75" s="48" t="str">
        <f>IFERROR(__xludf.DUMMYFUNCTION("IFERROR(TEXTJOIN(""/"",1,FILTER($B$18:$IV$18,$B$17:$IV$17=FN$97)),"" "")")," ")</f>
        <v> </v>
      </c>
      <c r="FO75" s="48" t="str">
        <f>IFERROR(__xludf.DUMMYFUNCTION("IFERROR(TEXTJOIN(""/"",1,FILTER($B$18:$IV$18,$B$17:$IV$17=FO$97)),"" "")")," ")</f>
        <v> </v>
      </c>
      <c r="FP75" s="48" t="str">
        <f>IFERROR(__xludf.DUMMYFUNCTION("IFERROR(TEXTJOIN(""/"",1,FILTER($B$18:$IV$18,$B$17:$IV$17=FP$97)),"" "")")," ")</f>
        <v> </v>
      </c>
      <c r="FQ75" s="48" t="str">
        <f>IFERROR(__xludf.DUMMYFUNCTION("IFERROR(TEXTJOIN(""/"",1,FILTER($B$18:$IV$18,$B$17:$IV$17=FQ$97)),"" "")")," ")</f>
        <v> </v>
      </c>
      <c r="FR75" s="48" t="str">
        <f>IFERROR(__xludf.DUMMYFUNCTION("IFERROR(TEXTJOIN(""/"",1,FILTER($B$18:$IV$18,$B$17:$IV$17=FR$97)),"" "")")," ")</f>
        <v> </v>
      </c>
      <c r="FS75" s="48" t="str">
        <f>IFERROR(__xludf.DUMMYFUNCTION("IFERROR(TEXTJOIN(""/"",1,FILTER($B$18:$IV$18,$B$17:$IV$17=FS$97)),"" "")")," ")</f>
        <v> </v>
      </c>
      <c r="FT75" s="48" t="str">
        <f>IFERROR(__xludf.DUMMYFUNCTION("IFERROR(TEXTJOIN(""/"",1,FILTER($B$18:$IV$18,$B$17:$IV$17=FT$97)),"" "")"),"2")</f>
        <v>2</v>
      </c>
      <c r="FU75" s="48" t="str">
        <f>IFERROR(__xludf.DUMMYFUNCTION("IFERROR(TEXTJOIN(""/"",1,FILTER($B$18:$IV$18,$B$17:$IV$17=FU$97)),"" "")")," ")</f>
        <v> </v>
      </c>
      <c r="FV75" s="48" t="str">
        <f>IFERROR(__xludf.DUMMYFUNCTION("IFERROR(TEXTJOIN(""/"",1,FILTER($B$18:$IV$18,$B$17:$IV$17=FV$97)),"" "")")," ")</f>
        <v> </v>
      </c>
      <c r="FW75" s="48" t="str">
        <f>IFERROR(__xludf.DUMMYFUNCTION("IFERROR(TEXTJOIN(""/"",1,FILTER($B$18:$IV$18,$B$17:$IV$17=FW$97)),"" "")")," ")</f>
        <v> </v>
      </c>
      <c r="FX75" s="48" t="str">
        <f>IFERROR(__xludf.DUMMYFUNCTION("IFERROR(TEXTJOIN(""/"",1,FILTER($B$18:$IV$18,$B$17:$IV$17=FX$97)),"" "")")," ")</f>
        <v> </v>
      </c>
      <c r="FY75" s="48" t="str">
        <f>IFERROR(__xludf.DUMMYFUNCTION("IFERROR(TEXTJOIN(""/"",1,FILTER($B$18:$IV$18,$B$17:$IV$17=FY$97)),"" "")")," ")</f>
        <v> </v>
      </c>
      <c r="FZ75" s="48" t="str">
        <f>IFERROR(__xludf.DUMMYFUNCTION("IFERROR(TEXTJOIN(""/"",1,FILTER($B$18:$IV$18,$B$17:$IV$17=FZ$97)),"" "")")," ")</f>
        <v> </v>
      </c>
      <c r="GA75" s="48" t="str">
        <f>IFERROR(__xludf.DUMMYFUNCTION("IFERROR(TEXTJOIN(""/"",1,FILTER($B$18:$IV$18,$B$17:$IV$17=GA$97)),"" "")"),"")</f>
        <v/>
      </c>
      <c r="GB75" s="48" t="str">
        <f>IFERROR(__xludf.DUMMYFUNCTION("IFERROR(TEXTJOIN(""/"",1,FILTER($B$18:$IV$18,$B$17:$IV$17=GB$97)),"" "")")," ")</f>
        <v> </v>
      </c>
      <c r="GC75" s="48" t="str">
        <f>IFERROR(__xludf.DUMMYFUNCTION("IFERROR(TEXTJOIN(""/"",1,FILTER($B$18:$IV$18,$B$17:$IV$17=GC$97)),"" "")")," ")</f>
        <v> </v>
      </c>
      <c r="GD75" s="48" t="str">
        <f>IFERROR(__xludf.DUMMYFUNCTION("IFERROR(TEXTJOIN(""/"",1,FILTER($B$18:$IV$18,$B$17:$IV$17=GD$97)),"" "")")," ")</f>
        <v> </v>
      </c>
      <c r="GE75" s="48" t="str">
        <f>IFERROR(__xludf.DUMMYFUNCTION("IFERROR(TEXTJOIN(""/"",1,FILTER($B$18:$IV$18,$B$17:$IV$17=GE$97)),"" "")")," ")</f>
        <v> </v>
      </c>
      <c r="GF75" s="48" t="str">
        <f>IFERROR(__xludf.DUMMYFUNCTION("IFERROR(TEXTJOIN(""/"",1,FILTER($B$18:$IV$18,$B$17:$IV$17=GF$97)),"" "")")," ")</f>
        <v> </v>
      </c>
      <c r="GG75" s="48" t="str">
        <f>IFERROR(__xludf.DUMMYFUNCTION("IFERROR(TEXTJOIN(""/"",1,FILTER($B$18:$IV$18,$B$17:$IV$17=GG$97)),"" "")")," ")</f>
        <v> </v>
      </c>
      <c r="GH75" s="48" t="str">
        <f>IFERROR(__xludf.DUMMYFUNCTION("IFERROR(TEXTJOIN(""/"",1,FILTER($B$18:$IV$18,$B$17:$IV$17=GH$97)),"" "")"),"")</f>
        <v/>
      </c>
      <c r="GI75" s="48" t="str">
        <f>IFERROR(__xludf.DUMMYFUNCTION("IFERROR(TEXTJOIN(""/"",1,FILTER($B$18:$IV$18,$B$17:$IV$17=GI$97)),"" "")")," ")</f>
        <v> </v>
      </c>
      <c r="GJ75" s="48" t="str">
        <f>IFERROR(__xludf.DUMMYFUNCTION("IFERROR(TEXTJOIN(""/"",1,FILTER($B$18:$IV$18,$B$17:$IV$17=GJ$97)),"" "")")," ")</f>
        <v> </v>
      </c>
      <c r="GK75" s="48" t="str">
        <f>IFERROR(__xludf.DUMMYFUNCTION("IFERROR(TEXTJOIN(""/"",1,FILTER($B$18:$IV$18,$B$17:$IV$17=GK$97)),"" "")")," ")</f>
        <v> </v>
      </c>
      <c r="GL75" s="48" t="str">
        <f>IFERROR(__xludf.DUMMYFUNCTION("IFERROR(TEXTJOIN(""/"",1,FILTER($B$18:$IV$18,$B$17:$IV$17=GL$97)),"" "")")," ")</f>
        <v> </v>
      </c>
      <c r="GM75" s="48" t="str">
        <f>IFERROR(__xludf.DUMMYFUNCTION("IFERROR(TEXTJOIN(""/"",1,FILTER($B$18:$IV$18,$B$17:$IV$17=GM$97)),"" "")")," ")</f>
        <v> </v>
      </c>
      <c r="GN75" s="48" t="str">
        <f>IFERROR(__xludf.DUMMYFUNCTION("IFERROR(TEXTJOIN(""/"",1,FILTER($B$18:$IV$18,$B$17:$IV$17=GN$97)),"" "")")," ")</f>
        <v> </v>
      </c>
      <c r="GO75" s="48" t="str">
        <f>IFERROR(__xludf.DUMMYFUNCTION("IFERROR(TEXTJOIN(""/"",1,FILTER($B$18:$IV$18,$B$17:$IV$17=GO$97)),"" "")"),"5")</f>
        <v>5</v>
      </c>
      <c r="GP75" s="48" t="str">
        <f>IFERROR(__xludf.DUMMYFUNCTION("IFERROR(TEXTJOIN(""/"",1,FILTER($B$18:$IV$18,$B$17:$IV$17=GP$97)),"" "")")," ")</f>
        <v> </v>
      </c>
      <c r="GQ75" s="48" t="str">
        <f>IFERROR(__xludf.DUMMYFUNCTION("IFERROR(TEXTJOIN(""/"",1,FILTER($B$18:$IV$18,$B$17:$IV$17=GQ$97)),"" "")")," ")</f>
        <v> </v>
      </c>
      <c r="GR75" s="48" t="str">
        <f>IFERROR(__xludf.DUMMYFUNCTION("IFERROR(TEXTJOIN(""/"",1,FILTER($B$18:$IV$18,$B$17:$IV$17=GR$97)),"" "")")," ")</f>
        <v> </v>
      </c>
      <c r="GS75" s="48" t="str">
        <f>IFERROR(__xludf.DUMMYFUNCTION("IFERROR(TEXTJOIN(""/"",1,FILTER($B$18:$IV$18,$B$17:$IV$17=GS$97)),"" "")")," ")</f>
        <v> </v>
      </c>
      <c r="GT75" s="48" t="str">
        <f>IFERROR(__xludf.DUMMYFUNCTION("IFERROR(TEXTJOIN(""/"",1,FILTER($B$18:$IV$18,$B$17:$IV$17=GT$97)),"" "")")," ")</f>
        <v> </v>
      </c>
      <c r="GU75" s="48" t="str">
        <f>IFERROR(__xludf.DUMMYFUNCTION("IFERROR(TEXTJOIN(""/"",1,FILTER($B$18:$IV$18,$B$17:$IV$17=GU$97)),"" "")")," ")</f>
        <v> </v>
      </c>
      <c r="GV75" s="48" t="str">
        <f>IFERROR(__xludf.DUMMYFUNCTION("IFERROR(TEXTJOIN(""/"",1,FILTER($B$18:$IV$18,$B$17:$IV$17=GV$97)),"" "")")," ")</f>
        <v> </v>
      </c>
      <c r="GW75" s="48" t="str">
        <f>IFERROR(__xludf.DUMMYFUNCTION("IFERROR(TEXTJOIN(""/"",1,FILTER($B$18:$IV$18,$B$17:$IV$17=GW$97)),"" "")")," ")</f>
        <v> </v>
      </c>
      <c r="GX75" s="48" t="str">
        <f>IFERROR(__xludf.DUMMYFUNCTION("IFERROR(TEXTJOIN(""/"",1,FILTER($B$18:$IV$18,$B$17:$IV$17=GX$97)),"" "")")," ")</f>
        <v> </v>
      </c>
      <c r="GY75" s="48" t="str">
        <f>IFERROR(__xludf.DUMMYFUNCTION("IFERROR(TEXTJOIN(""/"",1,FILTER($B$18:$IV$18,$B$17:$IV$17=GY$97)),"" "")")," ")</f>
        <v> </v>
      </c>
      <c r="GZ75" s="48" t="str">
        <f>IFERROR(__xludf.DUMMYFUNCTION("IFERROR(TEXTJOIN(""/"",1,FILTER($B$18:$IV$18,$B$17:$IV$17=GZ$97)),"" "")")," ")</f>
        <v> </v>
      </c>
      <c r="HA75" s="48" t="str">
        <f>IFERROR(__xludf.DUMMYFUNCTION("IFERROR(TEXTJOIN(""/"",1,FILTER($B$18:$IV$18,$B$17:$IV$17=HA$97)),"" "")")," ")</f>
        <v> </v>
      </c>
      <c r="HB75" s="48" t="str">
        <f>IFERROR(__xludf.DUMMYFUNCTION("IFERROR(TEXTJOIN(""/"",1,FILTER($B$18:$IV$18,$B$17:$IV$17=HB$97)),"" "")")," ")</f>
        <v> </v>
      </c>
      <c r="HC75" s="48" t="str">
        <f>IFERROR(__xludf.DUMMYFUNCTION("IFERROR(TEXTJOIN(""/"",1,FILTER($B$18:$IV$18,$B$17:$IV$17=HC$97)),"" "")")," ")</f>
        <v> </v>
      </c>
      <c r="HD75" s="48" t="str">
        <f>IFERROR(__xludf.DUMMYFUNCTION("IFERROR(TEXTJOIN(""/"",1,FILTER($B$18:$IV$18,$B$17:$IV$17=HD$97)),"" "")")," ")</f>
        <v> </v>
      </c>
      <c r="HE75" s="48" t="str">
        <f>IFERROR(__xludf.DUMMYFUNCTION("IFERROR(TEXTJOIN(""/"",1,FILTER($B$18:$IV$18,$B$17:$IV$17=HE$97)),"" "")")," ")</f>
        <v> </v>
      </c>
      <c r="HF75" s="48" t="str">
        <f>IFERROR(__xludf.DUMMYFUNCTION("IFERROR(TEXTJOIN(""/"",1,FILTER($B$18:$IV$18,$B$17:$IV$17=HF$97)),"" "")")," ")</f>
        <v> </v>
      </c>
      <c r="HG75" s="48" t="str">
        <f>IFERROR(__xludf.DUMMYFUNCTION("IFERROR(TEXTJOIN(""/"",1,FILTER($B$18:$IV$18,$B$17:$IV$17=HG$97)),"" "")")," ")</f>
        <v> </v>
      </c>
      <c r="HH75" s="48" t="str">
        <f>IFERROR(__xludf.DUMMYFUNCTION("IFERROR(TEXTJOIN(""/"",1,FILTER($B$18:$IV$18,$B$17:$IV$17=HH$97)),"" "")")," ")</f>
        <v> </v>
      </c>
      <c r="HI75" s="48" t="str">
        <f>IFERROR(__xludf.DUMMYFUNCTION("IFERROR(TEXTJOIN(""/"",1,FILTER($B$18:$IV$18,$B$17:$IV$17=HI$97)),"" "")")," ")</f>
        <v> </v>
      </c>
      <c r="HJ75" s="48" t="str">
        <f>IFERROR(__xludf.DUMMYFUNCTION("IFERROR(TEXTJOIN(""/"",1,FILTER($B$18:$IV$18,$B$17:$IV$17=HJ$97)),"" "")")," ")</f>
        <v> </v>
      </c>
      <c r="HK75" s="48" t="str">
        <f>IFERROR(__xludf.DUMMYFUNCTION("IFERROR(TEXTJOIN(""/"",1,FILTER($B$18:$IV$18,$B$17:$IV$17=HK$97)),"" "")")," ")</f>
        <v> </v>
      </c>
      <c r="HL75" s="48" t="str">
        <f>IFERROR(__xludf.DUMMYFUNCTION("IFERROR(TEXTJOIN(""/"",1,FILTER($B$18:$IV$18,$B$17:$IV$17=HL$97)),"" "")")," ")</f>
        <v> </v>
      </c>
      <c r="HM75" s="48" t="str">
        <f>IFERROR(__xludf.DUMMYFUNCTION("IFERROR(TEXTJOIN(""/"",1,FILTER($B$18:$IV$18,$B$17:$IV$17=HM$97)),"" "")")," ")</f>
        <v> </v>
      </c>
      <c r="HN75" s="48" t="str">
        <f>IFERROR(__xludf.DUMMYFUNCTION("IFERROR(TEXTJOIN(""/"",1,FILTER($B$18:$IV$18,$B$17:$IV$17=HN$97)),"" "")")," ")</f>
        <v> </v>
      </c>
      <c r="HO75" s="48" t="str">
        <f>IFERROR(__xludf.DUMMYFUNCTION("IFERROR(TEXTJOIN(""/"",1,FILTER($B$18:$IV$18,$B$17:$IV$17=HO$97)),"" "")")," ")</f>
        <v> </v>
      </c>
      <c r="HP75" s="48" t="str">
        <f>IFERROR(__xludf.DUMMYFUNCTION("IFERROR(TEXTJOIN(""/"",1,FILTER($B$18:$IV$18,$B$17:$IV$17=HP$97)),"" "")")," ")</f>
        <v> </v>
      </c>
      <c r="HQ75" s="48" t="str">
        <f>IFERROR(__xludf.DUMMYFUNCTION("IFERROR(TEXTJOIN(""/"",1,FILTER($B$18:$IV$18,$B$17:$IV$17=HQ$97)),"" "")")," ")</f>
        <v> </v>
      </c>
      <c r="HR75" s="48" t="str">
        <f>IFERROR(__xludf.DUMMYFUNCTION("IFERROR(TEXTJOIN(""/"",1,FILTER($B$18:$IV$18,$B$17:$IV$17=HR$97)),"" "")")," ")</f>
        <v> </v>
      </c>
      <c r="HS75" s="48" t="str">
        <f>IFERROR(__xludf.DUMMYFUNCTION("IFERROR(TEXTJOIN(""/"",1,FILTER($B$18:$IV$18,$B$17:$IV$17=HS$97)),"" "")")," ")</f>
        <v> </v>
      </c>
      <c r="HT75" s="48" t="str">
        <f>IFERROR(__xludf.DUMMYFUNCTION("IFERROR(TEXTJOIN(""/"",1,FILTER($B$18:$IV$18,$B$17:$IV$17=HT$97)),"" "")")," ")</f>
        <v> </v>
      </c>
      <c r="HU75" s="48" t="str">
        <f>IFERROR(__xludf.DUMMYFUNCTION("IFERROR(TEXTJOIN(""/"",1,FILTER($B$18:$IV$18,$B$17:$IV$17=HU$97)),"" "")")," ")</f>
        <v> </v>
      </c>
      <c r="HV75" s="48" t="str">
        <f>IFERROR(__xludf.DUMMYFUNCTION("IFERROR(TEXTJOIN(""/"",1,FILTER($B$18:$IV$18,$B$17:$IV$17=HV$97)),"" "")")," ")</f>
        <v> </v>
      </c>
      <c r="HW75" s="48" t="str">
        <f>IFERROR(__xludf.DUMMYFUNCTION("IFERROR(TEXTJOIN(""/"",1,FILTER($B$18:$IV$18,$B$17:$IV$17=HW$97)),"" "")")," ")</f>
        <v> </v>
      </c>
      <c r="HX75" s="48" t="str">
        <f>IFERROR(__xludf.DUMMYFUNCTION("IFERROR(TEXTJOIN(""/"",1,FILTER($B$18:$IV$18,$B$17:$IV$17=HX$97)),"" "")")," ")</f>
        <v> </v>
      </c>
      <c r="HY75" s="48" t="str">
        <f>IFERROR(__xludf.DUMMYFUNCTION("IFERROR(TEXTJOIN(""/"",1,FILTER($B$18:$IV$18,$B$17:$IV$17=HY$97)),"" "")")," ")</f>
        <v> </v>
      </c>
      <c r="HZ75" s="48" t="str">
        <f>IFERROR(__xludf.DUMMYFUNCTION("IFERROR(TEXTJOIN(""/"",1,FILTER($B$18:$IV$18,$B$17:$IV$17=HZ$97)),"" "")")," ")</f>
        <v> </v>
      </c>
      <c r="IA75" s="48" t="str">
        <f>IFERROR(__xludf.DUMMYFUNCTION("IFERROR(TEXTJOIN(""/"",1,FILTER($B$18:$IV$18,$B$17:$IV$17=IA$97)),"" "")")," ")</f>
        <v> </v>
      </c>
      <c r="IB75" s="48" t="str">
        <f>IFERROR(__xludf.DUMMYFUNCTION("IFERROR(TEXTJOIN(""/"",1,FILTER($B$18:$IV$18,$B$17:$IV$17=IB$97)),"" "")")," ")</f>
        <v> </v>
      </c>
      <c r="IC75" s="48" t="str">
        <f>IFERROR(__xludf.DUMMYFUNCTION("IFERROR(TEXTJOIN(""/"",1,FILTER($B$18:$IV$18,$B$17:$IV$17=IC$97)),"" "")")," ")</f>
        <v> </v>
      </c>
      <c r="ID75" s="48" t="str">
        <f>IFERROR(__xludf.DUMMYFUNCTION("IFERROR(TEXTJOIN(""/"",1,FILTER($B$18:$IV$18,$B$17:$IV$17=ID$97)),"" "")")," ")</f>
        <v> </v>
      </c>
      <c r="IE75" s="48" t="str">
        <f>IFERROR(__xludf.DUMMYFUNCTION("IFERROR(TEXTJOIN(""/"",1,FILTER($B$18:$IV$18,$B$17:$IV$17=IE$97)),"" "")")," ")</f>
        <v> </v>
      </c>
      <c r="IF75" s="48" t="str">
        <f>IFERROR(__xludf.DUMMYFUNCTION("IFERROR(TEXTJOIN(""/"",1,FILTER($B$18:$IV$18,$B$17:$IV$17=IF$97)),"" "")")," ")</f>
        <v> </v>
      </c>
      <c r="IG75" s="48" t="str">
        <f>IFERROR(__xludf.DUMMYFUNCTION("IFERROR(TEXTJOIN(""/"",1,FILTER($B$18:$IV$18,$B$17:$IV$17=IG$97)),"" "")")," ")</f>
        <v> </v>
      </c>
      <c r="IH75" s="48" t="str">
        <f>IFERROR(__xludf.DUMMYFUNCTION("IFERROR(TEXTJOIN(""/"",1,FILTER($B$18:$IV$18,$B$17:$IV$17=IH$97)),"" "")")," ")</f>
        <v> </v>
      </c>
      <c r="II75" s="48" t="str">
        <f>IFERROR(__xludf.DUMMYFUNCTION("IFERROR(TEXTJOIN(""/"",1,FILTER($B$18:$IV$18,$B$17:$IV$17=II$97)),"" "")")," ")</f>
        <v> </v>
      </c>
      <c r="IJ75" s="48" t="str">
        <f>IFERROR(__xludf.DUMMYFUNCTION("IFERROR(TEXTJOIN(""/"",1,FILTER($B$18:$IV$18,$B$17:$IV$17=IJ$97)),"" "")")," ")</f>
        <v> </v>
      </c>
      <c r="IK75" s="48" t="str">
        <f>IFERROR(__xludf.DUMMYFUNCTION("IFERROR(TEXTJOIN(""/"",1,FILTER($B$18:$IV$18,$B$17:$IV$17=IK$97)),"" "")")," ")</f>
        <v> </v>
      </c>
      <c r="IL75" s="48" t="str">
        <f>IFERROR(__xludf.DUMMYFUNCTION("IFERROR(TEXTJOIN(""/"",1,FILTER($B$18:$IV$18,$B$17:$IV$17=IL$97)),"" "")")," ")</f>
        <v> </v>
      </c>
      <c r="IM75" s="48" t="str">
        <f>IFERROR(__xludf.DUMMYFUNCTION("IFERROR(TEXTJOIN(""/"",1,FILTER($B$18:$IV$18,$B$17:$IV$17=IM$97)),"" "")")," ")</f>
        <v> </v>
      </c>
      <c r="IN75" s="48" t="str">
        <f>IFERROR(__xludf.DUMMYFUNCTION("IFERROR(TEXTJOIN(""/"",1,FILTER($B$18:$IV$18,$B$17:$IV$17=IN$97)),"" "")")," ")</f>
        <v> </v>
      </c>
      <c r="IO75" s="48" t="str">
        <f>IFERROR(__xludf.DUMMYFUNCTION("IFERROR(TEXTJOIN(""/"",1,FILTER($B$18:$IV$18,$B$17:$IV$17=IO$97)),"" "")")," ")</f>
        <v> </v>
      </c>
      <c r="IP75" s="48" t="str">
        <f>IFERROR(__xludf.DUMMYFUNCTION("IFERROR(TEXTJOIN(""/"",1,FILTER($B$18:$IV$18,$B$17:$IV$17=IP$97)),"" "")")," ")</f>
        <v> </v>
      </c>
      <c r="IQ75" s="48" t="str">
        <f>IFERROR(__xludf.DUMMYFUNCTION("IFERROR(TEXTJOIN(""/"",1,FILTER($B$18:$IV$18,$B$17:$IV$17=IQ$97)),"" "")")," ")</f>
        <v> </v>
      </c>
      <c r="IR75" s="48" t="str">
        <f>IFERROR(__xludf.DUMMYFUNCTION("IFERROR(TEXTJOIN(""/"",1,FILTER($B$18:$IV$18,$B$17:$IV$17=IR$97)),"" "")")," ")</f>
        <v> </v>
      </c>
      <c r="IS75" s="48" t="str">
        <f>IFERROR(__xludf.DUMMYFUNCTION("IFERROR(TEXTJOIN(""/"",1,FILTER($B$18:$IV$18,$B$17:$IV$17=IS$97)),"" "")")," ")</f>
        <v> </v>
      </c>
      <c r="IT75" s="48" t="str">
        <f>IFERROR(__xludf.DUMMYFUNCTION("IFERROR(TEXTJOIN(""/"",1,FILTER($B$18:$IV$18,$B$17:$IV$17=IT$97)),"" "")")," ")</f>
        <v> </v>
      </c>
      <c r="IU75" s="48" t="str">
        <f>IFERROR(__xludf.DUMMYFUNCTION("IFERROR(TEXTJOIN(""/"",1,FILTER($B$18:$IV$18,$B$17:$IV$17=IU$97)),"" "")")," ")</f>
        <v> </v>
      </c>
      <c r="IV75" s="48" t="str">
        <f>IFERROR(__xludf.DUMMYFUNCTION("IFERROR(TEXTJOIN(""/"",1,FILTER($B$18:$IV$18,$B$17:$IV$17=IV$97)),"" "")")," ")</f>
        <v> </v>
      </c>
      <c r="IW75" s="48" t="str">
        <f>IFERROR(__xludf.DUMMYFUNCTION("IFERROR(TEXTJOIN(""/"",1,FILTER($B$18:$IV$18,$B$17:$IV$17=IW$97)),"" "")")," ")</f>
        <v> </v>
      </c>
      <c r="IX75" s="48" t="str">
        <f>IFERROR(__xludf.DUMMYFUNCTION("IFERROR(TEXTJOIN(""/"",1,FILTER($B$18:$IV$18,$B$17:$IV$17=IX$97)),"" "")")," ")</f>
        <v> </v>
      </c>
      <c r="IY75" s="48" t="str">
        <f>IFERROR(__xludf.DUMMYFUNCTION("IFERROR(TEXTJOIN(""/"",1,FILTER($B$18:$IV$18,$B$17:$IV$17=IY$97)),"" "")")," ")</f>
        <v> </v>
      </c>
      <c r="IZ75" s="48" t="str">
        <f>IFERROR(__xludf.DUMMYFUNCTION("IFERROR(TEXTJOIN(""/"",1,FILTER($B$18:$IV$18,$B$17:$IV$17=IZ$97)),"" "")")," ")</f>
        <v> </v>
      </c>
      <c r="JA75" s="48" t="str">
        <f>IFERROR(__xludf.DUMMYFUNCTION("IFERROR(TEXTJOIN(""/"",1,FILTER($B$18:$IV$18,$B$17:$IV$17=JA$97)),"" "")")," ")</f>
        <v> </v>
      </c>
      <c r="JB75" s="48" t="str">
        <f>IFERROR(__xludf.DUMMYFUNCTION("IFERROR(TEXTJOIN(""/"",1,FILTER($B$18:$IV$18,$B$17:$IV$17=JB$97)),"" "")")," ")</f>
        <v> </v>
      </c>
      <c r="JC75" s="48" t="str">
        <f>IFERROR(__xludf.DUMMYFUNCTION("IFERROR(TEXTJOIN(""/"",1,FILTER($B$18:$IV$18,$B$17:$IV$17=JC$97)),"" "")")," ")</f>
        <v> </v>
      </c>
      <c r="JD75" s="48" t="str">
        <f>IFERROR(__xludf.DUMMYFUNCTION("IFERROR(TEXTJOIN(""/"",1,FILTER($B$18:$IV$18,$B$17:$IV$17=JD$97)),"" "")")," ")</f>
        <v> </v>
      </c>
      <c r="JE75" s="48" t="str">
        <f>IFERROR(__xludf.DUMMYFUNCTION("IFERROR(TEXTJOIN(""/"",1,FILTER($B$18:$IV$18,$B$17:$IV$17=JE$97)),"" "")")," ")</f>
        <v> </v>
      </c>
    </row>
    <row r="76">
      <c r="A76" s="47" t="str">
        <f>IFERROR(__xludf.DUMMYFUNCTION("""COMPUTED_VALUE"""),"Физкультура")</f>
        <v>Физкультура</v>
      </c>
      <c r="B76" s="48" t="str">
        <f>IFERROR(__xludf.DUMMYFUNCTION("IFERROR(TEXTJOIN(""/"",1,FILTER($B$21:$IV$21,$B$20:$IV$20=B$97)),"" "")")," ")</f>
        <v> </v>
      </c>
      <c r="C76" s="48" t="str">
        <f>IFERROR(__xludf.DUMMYFUNCTION("IFERROR(TEXTJOIN(""/"",1,FILTER($B$21:$IV$21,$B$20:$IV$20=C$97)),"" "")")," ")</f>
        <v> </v>
      </c>
      <c r="D76" s="48" t="str">
        <f>IFERROR(__xludf.DUMMYFUNCTION("IFERROR(TEXTJOIN(""/"",1,FILTER($B$21:$IV$21,$B$20:$IV$20=D$97)),"" "")")," ")</f>
        <v> </v>
      </c>
      <c r="E76" s="48" t="str">
        <f>IFERROR(__xludf.DUMMYFUNCTION("IFERROR(TEXTJOIN(""/"",1,FILTER($B$21:$IV$21,$B$20:$IV$20=E$97)),"" "")")," ")</f>
        <v> </v>
      </c>
      <c r="F76" s="48" t="str">
        <f>IFERROR(__xludf.DUMMYFUNCTION("IFERROR(TEXTJOIN(""/"",1,FILTER($B$21:$IV$21,$B$20:$IV$20=F$97)),"" "")"),"5")</f>
        <v>5</v>
      </c>
      <c r="G76" s="48" t="str">
        <f>IFERROR(__xludf.DUMMYFUNCTION("IFERROR(TEXTJOIN(""/"",1,FILTER($B$21:$IV$21,$B$20:$IV$20=G$97)),"" "")")," ")</f>
        <v> </v>
      </c>
      <c r="H76" s="48" t="str">
        <f>IFERROR(__xludf.DUMMYFUNCTION("IFERROR(TEXTJOIN(""/"",1,FILTER($B$21:$IV$21,$B$20:$IV$20=H$97)),"" "")"),"5")</f>
        <v>5</v>
      </c>
      <c r="I76" s="48" t="str">
        <f>IFERROR(__xludf.DUMMYFUNCTION("IFERROR(TEXTJOIN(""/"",1,FILTER($B$21:$IV$21,$B$20:$IV$20=I$97)),"" "")")," ")</f>
        <v> </v>
      </c>
      <c r="J76" s="48" t="str">
        <f>IFERROR(__xludf.DUMMYFUNCTION("IFERROR(TEXTJOIN(""/"",1,FILTER($B$21:$IV$21,$B$20:$IV$20=J$97)),"" "")")," ")</f>
        <v> </v>
      </c>
      <c r="K76" s="48" t="str">
        <f>IFERROR(__xludf.DUMMYFUNCTION("IFERROR(TEXTJOIN(""/"",1,FILTER($B$21:$IV$21,$B$20:$IV$20=K$97)),"" "")")," ")</f>
        <v> </v>
      </c>
      <c r="L76" s="48" t="str">
        <f>IFERROR(__xludf.DUMMYFUNCTION("IFERROR(TEXTJOIN(""/"",1,FILTER($B$21:$IV$21,$B$20:$IV$20=L$97)),"" "")")," ")</f>
        <v> </v>
      </c>
      <c r="M76" s="48" t="str">
        <f>IFERROR(__xludf.DUMMYFUNCTION("IFERROR(TEXTJOIN(""/"",1,FILTER($B$21:$IV$21,$B$20:$IV$20=M$97)),"" "")"),"Б/ф")</f>
        <v>Б/ф</v>
      </c>
      <c r="N76" s="48" t="str">
        <f>IFERROR(__xludf.DUMMYFUNCTION("IFERROR(TEXTJOIN(""/"",1,FILTER($B$21:$IV$21,$B$20:$IV$20=N$97)),"" "")")," ")</f>
        <v> </v>
      </c>
      <c r="O76" s="48" t="str">
        <f>IFERROR(__xludf.DUMMYFUNCTION("IFERROR(TEXTJOIN(""/"",1,FILTER($B$21:$IV$21,$B$20:$IV$20=O$97)),"" "")"),"4")</f>
        <v>4</v>
      </c>
      <c r="P76" s="48" t="str">
        <f>IFERROR(__xludf.DUMMYFUNCTION("IFERROR(TEXTJOIN(""/"",1,FILTER($B$21:$IV$21,$B$20:$IV$20=P$97)),"" "")")," ")</f>
        <v> </v>
      </c>
      <c r="Q76" s="48" t="str">
        <f>IFERROR(__xludf.DUMMYFUNCTION("IFERROR(TEXTJOIN(""/"",1,FILTER($B$21:$IV$21,$B$20:$IV$20=Q$97)),"" "")"),"Б/ф")</f>
        <v>Б/ф</v>
      </c>
      <c r="R76" s="48" t="str">
        <f>IFERROR(__xludf.DUMMYFUNCTION("IFERROR(TEXTJOIN(""/"",1,FILTER($B$21:$IV$21,$B$20:$IV$20=R$97)),"" "")")," ")</f>
        <v> </v>
      </c>
      <c r="S76" s="48" t="str">
        <f>IFERROR(__xludf.DUMMYFUNCTION("IFERROR(TEXTJOIN(""/"",1,FILTER($B$21:$IV$21,$B$20:$IV$20=S$97)),"" "")")," ")</f>
        <v> </v>
      </c>
      <c r="T76" s="48" t="str">
        <f>IFERROR(__xludf.DUMMYFUNCTION("IFERROR(TEXTJOIN(""/"",1,FILTER($B$21:$IV$21,$B$20:$IV$20=T$97)),"" "")")," ")</f>
        <v> </v>
      </c>
      <c r="U76" s="48" t="str">
        <f>IFERROR(__xludf.DUMMYFUNCTION("IFERROR(TEXTJOIN(""/"",1,FILTER($B$21:$IV$21,$B$20:$IV$20=U$97)),"" "")")," ")</f>
        <v> </v>
      </c>
      <c r="V76" s="48" t="str">
        <f>IFERROR(__xludf.DUMMYFUNCTION("IFERROR(TEXTJOIN(""/"",1,FILTER($B$21:$IV$21,$B$20:$IV$20=V$97)),"" "")"),"5")</f>
        <v>5</v>
      </c>
      <c r="W76" s="48" t="str">
        <f>IFERROR(__xludf.DUMMYFUNCTION("IFERROR(TEXTJOIN(""/"",1,FILTER($B$21:$IV$21,$B$20:$IV$20=W$97)),"" "")")," ")</f>
        <v> </v>
      </c>
      <c r="X76" s="48" t="str">
        <f>IFERROR(__xludf.DUMMYFUNCTION("IFERROR(TEXTJOIN(""/"",1,FILTER($B$21:$IV$21,$B$20:$IV$20=X$97)),"" "")"),"")</f>
        <v/>
      </c>
      <c r="Y76" s="48" t="str">
        <f>IFERROR(__xludf.DUMMYFUNCTION("IFERROR(TEXTJOIN(""/"",1,FILTER($B$21:$IV$21,$B$20:$IV$20=Y$97)),"" "")")," ")</f>
        <v> </v>
      </c>
      <c r="Z76" s="48" t="str">
        <f>IFERROR(__xludf.DUMMYFUNCTION("IFERROR(TEXTJOIN(""/"",1,FILTER($B$21:$IV$21,$B$20:$IV$20=Z$97)),"" "")")," ")</f>
        <v> </v>
      </c>
      <c r="AA76" s="48" t="str">
        <f>IFERROR(__xludf.DUMMYFUNCTION("IFERROR(TEXTJOIN(""/"",1,FILTER($B$21:$IV$21,$B$20:$IV$20=AA$97)),"" "")")," ")</f>
        <v> </v>
      </c>
      <c r="AB76" s="48" t="str">
        <f>IFERROR(__xludf.DUMMYFUNCTION("IFERROR(TEXTJOIN(""/"",1,FILTER($B$21:$IV$21,$B$20:$IV$20=AB$97)),"" "")")," ")</f>
        <v> </v>
      </c>
      <c r="AC76" s="48" t="str">
        <f>IFERROR(__xludf.DUMMYFUNCTION("IFERROR(TEXTJOIN(""/"",1,FILTER($B$21:$IV$21,$B$20:$IV$20=AC$97)),"" "")"),"2")</f>
        <v>2</v>
      </c>
      <c r="AD76" s="48" t="str">
        <f>IFERROR(__xludf.DUMMYFUNCTION("IFERROR(TEXTJOIN(""/"",1,FILTER($B$21:$IV$21,$B$20:$IV$20=AD$97)),"" "")")," ")</f>
        <v> </v>
      </c>
      <c r="AE76" s="48" t="str">
        <f>IFERROR(__xludf.DUMMYFUNCTION("IFERROR(TEXTJOIN(""/"",1,FILTER($B$21:$IV$21,$B$20:$IV$20=AE$97)),"" "")")," ")</f>
        <v> </v>
      </c>
      <c r="AF76" s="48" t="str">
        <f>IFERROR(__xludf.DUMMYFUNCTION("IFERROR(TEXTJOIN(""/"",1,FILTER($B$21:$IV$21,$B$20:$IV$20=AF$97)),"" "")")," ")</f>
        <v> </v>
      </c>
      <c r="AG76" s="48" t="str">
        <f>IFERROR(__xludf.DUMMYFUNCTION("IFERROR(TEXTJOIN(""/"",1,FILTER($B$21:$IV$21,$B$20:$IV$20=AG$97)),"" "")")," ")</f>
        <v> </v>
      </c>
      <c r="AH76" s="48" t="str">
        <f>IFERROR(__xludf.DUMMYFUNCTION("IFERROR(TEXTJOIN(""/"",1,FILTER($B$21:$IV$21,$B$20:$IV$20=AH$97)),"" "")")," ")</f>
        <v> </v>
      </c>
      <c r="AI76" s="48" t="str">
        <f>IFERROR(__xludf.DUMMYFUNCTION("IFERROR(TEXTJOIN(""/"",1,FILTER($B$21:$IV$21,$B$20:$IV$20=AI$97)),"" "")")," ")</f>
        <v> </v>
      </c>
      <c r="AJ76" s="48" t="str">
        <f>IFERROR(__xludf.DUMMYFUNCTION("IFERROR(TEXTJOIN(""/"",1,FILTER($B$21:$IV$21,$B$20:$IV$20=AJ$97)),"" "")"),"4")</f>
        <v>4</v>
      </c>
      <c r="AK76" s="48" t="str">
        <f>IFERROR(__xludf.DUMMYFUNCTION("IFERROR(TEXTJOIN(""/"",1,FILTER($B$21:$IV$21,$B$20:$IV$20=AK$97)),"" "")")," ")</f>
        <v> </v>
      </c>
      <c r="AL76" s="48" t="str">
        <f>IFERROR(__xludf.DUMMYFUNCTION("IFERROR(TEXTJOIN(""/"",1,FILTER($B$21:$IV$21,$B$20:$IV$20=AL$97)),"" "")"),"")</f>
        <v/>
      </c>
      <c r="AM76" s="48" t="str">
        <f>IFERROR(__xludf.DUMMYFUNCTION("IFERROR(TEXTJOIN(""/"",1,FILTER($B$21:$IV$21,$B$20:$IV$20=AM$97)),"" "")")," ")</f>
        <v> </v>
      </c>
      <c r="AN76" s="48" t="str">
        <f>IFERROR(__xludf.DUMMYFUNCTION("IFERROR(TEXTJOIN(""/"",1,FILTER($B$21:$IV$21,$B$20:$IV$20=AN$97)),"" "")")," ")</f>
        <v> </v>
      </c>
      <c r="AO76" s="48" t="str">
        <f>IFERROR(__xludf.DUMMYFUNCTION("IFERROR(TEXTJOIN(""/"",1,FILTER($B$21:$IV$21,$B$20:$IV$20=AO$97)),"" "")")," ")</f>
        <v> </v>
      </c>
      <c r="AP76" s="48" t="str">
        <f>IFERROR(__xludf.DUMMYFUNCTION("IFERROR(TEXTJOIN(""/"",1,FILTER($B$21:$IV$21,$B$20:$IV$20=AP$97)),"" "")")," ")</f>
        <v> </v>
      </c>
      <c r="AQ76" s="48" t="str">
        <f>IFERROR(__xludf.DUMMYFUNCTION("IFERROR(TEXTJOIN(""/"",1,FILTER($B$21:$IV$21,$B$20:$IV$20=AQ$97)),"" "")"),"2")</f>
        <v>2</v>
      </c>
      <c r="AR76" s="48" t="str">
        <f>IFERROR(__xludf.DUMMYFUNCTION("IFERROR(TEXTJOIN(""/"",1,FILTER($B$21:$IV$21,$B$20:$IV$20=AR$97)),"" "")")," ")</f>
        <v> </v>
      </c>
      <c r="AS76" s="48" t="str">
        <f>IFERROR(__xludf.DUMMYFUNCTION("IFERROR(TEXTJOIN(""/"",1,FILTER($B$21:$IV$21,$B$20:$IV$20=AS$97)),"" "")"),"5")</f>
        <v>5</v>
      </c>
      <c r="AT76" s="48" t="str">
        <f>IFERROR(__xludf.DUMMYFUNCTION("IFERROR(TEXTJOIN(""/"",1,FILTER($B$21:$IV$21,$B$20:$IV$20=AT$97)),"" "")")," ")</f>
        <v> </v>
      </c>
      <c r="AU76" s="48" t="str">
        <f>IFERROR(__xludf.DUMMYFUNCTION("IFERROR(TEXTJOIN(""/"",1,FILTER($B$21:$IV$21,$B$20:$IV$20=AU$97)),"" "")")," ")</f>
        <v> </v>
      </c>
      <c r="AV76" s="48" t="str">
        <f>IFERROR(__xludf.DUMMYFUNCTION("IFERROR(TEXTJOIN(""/"",1,FILTER($B$21:$IV$21,$B$20:$IV$20=AV$97)),"" "")")," ")</f>
        <v> </v>
      </c>
      <c r="AW76" s="48" t="str">
        <f>IFERROR(__xludf.DUMMYFUNCTION("IFERROR(TEXTJOIN(""/"",1,FILTER($B$21:$IV$21,$B$20:$IV$20=AW$97)),"" "")")," ")</f>
        <v> </v>
      </c>
      <c r="AX76" s="48" t="str">
        <f>IFERROR(__xludf.DUMMYFUNCTION("IFERROR(TEXTJOIN(""/"",1,FILTER($B$21:$IV$21,$B$20:$IV$20=AX$97)),"" "")"),"4")</f>
        <v>4</v>
      </c>
      <c r="AY76" s="48" t="str">
        <f>IFERROR(__xludf.DUMMYFUNCTION("IFERROR(TEXTJOIN(""/"",1,FILTER($B$21:$IV$21,$B$20:$IV$20=AY$97)),"" "")")," ")</f>
        <v> </v>
      </c>
      <c r="AZ76" s="48" t="str">
        <f>IFERROR(__xludf.DUMMYFUNCTION("IFERROR(TEXTJOIN(""/"",1,FILTER($B$21:$IV$21,$B$20:$IV$20=AZ$97)),"" "")"),"5")</f>
        <v>5</v>
      </c>
      <c r="BA76" s="48" t="str">
        <f>IFERROR(__xludf.DUMMYFUNCTION("IFERROR(TEXTJOIN(""/"",1,FILTER($B$21:$IV$21,$B$20:$IV$20=BA$97)),"" "")")," ")</f>
        <v> </v>
      </c>
      <c r="BB76" s="48" t="str">
        <f>IFERROR(__xludf.DUMMYFUNCTION("IFERROR(TEXTJOIN(""/"",1,FILTER($B$21:$IV$21,$B$20:$IV$20=BB$97)),"" "")")," ")</f>
        <v> </v>
      </c>
      <c r="BC76" s="48" t="str">
        <f>IFERROR(__xludf.DUMMYFUNCTION("IFERROR(TEXTJOIN(""/"",1,FILTER($B$21:$IV$21,$B$20:$IV$20=BC$97)),"" "")"),"5")</f>
        <v>5</v>
      </c>
      <c r="BD76" s="48" t="str">
        <f>IFERROR(__xludf.DUMMYFUNCTION("IFERROR(TEXTJOIN(""/"",1,FILTER($B$21:$IV$21,$B$20:$IV$20=BD$97)),"" "")")," ")</f>
        <v> </v>
      </c>
      <c r="BE76" s="48" t="str">
        <f>IFERROR(__xludf.DUMMYFUNCTION("IFERROR(TEXTJOIN(""/"",1,FILTER($B$21:$IV$21,$B$20:$IV$20=BE$97)),"" "")"),"5")</f>
        <v>5</v>
      </c>
      <c r="BF76" s="48" t="str">
        <f>IFERROR(__xludf.DUMMYFUNCTION("IFERROR(TEXTJOIN(""/"",1,FILTER($B$21:$IV$21,$B$20:$IV$20=BF$97)),"" "")")," ")</f>
        <v> </v>
      </c>
      <c r="BG76" s="48" t="str">
        <f>IFERROR(__xludf.DUMMYFUNCTION("IFERROR(TEXTJOIN(""/"",1,FILTER($B$21:$IV$21,$B$20:$IV$20=BG$97)),"" "")"),"2")</f>
        <v>2</v>
      </c>
      <c r="BH76" s="48" t="str">
        <f>IFERROR(__xludf.DUMMYFUNCTION("IFERROR(TEXTJOIN(""/"",1,FILTER($B$21:$IV$21,$B$20:$IV$20=BH$97)),"" "")")," ")</f>
        <v> </v>
      </c>
      <c r="BI76" s="48" t="str">
        <f>IFERROR(__xludf.DUMMYFUNCTION("IFERROR(TEXTJOIN(""/"",1,FILTER($B$21:$IV$21,$B$20:$IV$20=BI$97)),"" "")")," ")</f>
        <v> </v>
      </c>
      <c r="BJ76" s="48" t="str">
        <f>IFERROR(__xludf.DUMMYFUNCTION("IFERROR(TEXTJOIN(""/"",1,FILTER($B$21:$IV$21,$B$20:$IV$20=BJ$97)),"" "")")," ")</f>
        <v> </v>
      </c>
      <c r="BK76" s="48" t="str">
        <f>IFERROR(__xludf.DUMMYFUNCTION("IFERROR(TEXTJOIN(""/"",1,FILTER($B$21:$IV$21,$B$20:$IV$20=BK$97)),"" "")")," ")</f>
        <v> </v>
      </c>
      <c r="BL76" s="48" t="str">
        <f>IFERROR(__xludf.DUMMYFUNCTION("IFERROR(TEXTJOIN(""/"",1,FILTER($B$21:$IV$21,$B$20:$IV$20=BL$97)),"" "")"),"5")</f>
        <v>5</v>
      </c>
      <c r="BM76" s="48" t="str">
        <f>IFERROR(__xludf.DUMMYFUNCTION("IFERROR(TEXTJOIN(""/"",1,FILTER($B$21:$IV$21,$B$20:$IV$20=BM$97)),"" "")")," ")</f>
        <v> </v>
      </c>
      <c r="BN76" s="48" t="str">
        <f>IFERROR(__xludf.DUMMYFUNCTION("IFERROR(TEXTJOIN(""/"",1,FILTER($B$21:$IV$21,$B$20:$IV$20=BN$97)),"" "")")," ")</f>
        <v> </v>
      </c>
      <c r="BO76" s="48" t="str">
        <f>IFERROR(__xludf.DUMMYFUNCTION("IFERROR(TEXTJOIN(""/"",1,FILTER($B$21:$IV$21,$B$20:$IV$20=BO$97)),"" "")")," ")</f>
        <v> </v>
      </c>
      <c r="BP76" s="48" t="str">
        <f>IFERROR(__xludf.DUMMYFUNCTION("IFERROR(TEXTJOIN(""/"",1,FILTER($B$21:$IV$21,$B$20:$IV$20=BP$97)),"" "")")," ")</f>
        <v> </v>
      </c>
      <c r="BQ76" s="48" t="str">
        <f>IFERROR(__xludf.DUMMYFUNCTION("IFERROR(TEXTJOIN(""/"",1,FILTER($B$21:$IV$21,$B$20:$IV$20=BQ$97)),"" "")")," ")</f>
        <v> </v>
      </c>
      <c r="BR76" s="48" t="str">
        <f>IFERROR(__xludf.DUMMYFUNCTION("IFERROR(TEXTJOIN(""/"",1,FILTER($B$21:$IV$21,$B$20:$IV$20=BR$97)),"" "")")," ")</f>
        <v> </v>
      </c>
      <c r="BS76" s="48" t="str">
        <f>IFERROR(__xludf.DUMMYFUNCTION("IFERROR(TEXTJOIN(""/"",1,FILTER($B$21:$IV$21,$B$20:$IV$20=BS$97)),"" "")"),"5")</f>
        <v>5</v>
      </c>
      <c r="BT76" s="48" t="str">
        <f>IFERROR(__xludf.DUMMYFUNCTION("IFERROR(TEXTJOIN(""/"",1,FILTER($B$21:$IV$21,$B$20:$IV$20=BT$97)),"" "")")," ")</f>
        <v> </v>
      </c>
      <c r="BU76" s="48" t="str">
        <f>IFERROR(__xludf.DUMMYFUNCTION("IFERROR(TEXTJOIN(""/"",1,FILTER($B$21:$IV$21,$B$20:$IV$20=BU$97)),"" "")"),"Б/Ф")</f>
        <v>Б/Ф</v>
      </c>
      <c r="BV76" s="48" t="str">
        <f>IFERROR(__xludf.DUMMYFUNCTION("IFERROR(TEXTJOIN(""/"",1,FILTER($B$21:$IV$21,$B$20:$IV$20=BV$97)),"" "")")," ")</f>
        <v> </v>
      </c>
      <c r="BW76" s="48" t="str">
        <f>IFERROR(__xludf.DUMMYFUNCTION("IFERROR(TEXTJOIN(""/"",1,FILTER($B$21:$IV$21,$B$20:$IV$20=BW$97)),"" "")")," ")</f>
        <v> </v>
      </c>
      <c r="BX76" s="48" t="str">
        <f>IFERROR(__xludf.DUMMYFUNCTION("IFERROR(TEXTJOIN(""/"",1,FILTER($B$21:$IV$21,$B$20:$IV$20=BX$97)),"" "")")," ")</f>
        <v> </v>
      </c>
      <c r="BY76" s="48" t="str">
        <f>IFERROR(__xludf.DUMMYFUNCTION("IFERROR(TEXTJOIN(""/"",1,FILTER($B$21:$IV$21,$B$20:$IV$20=BY$97)),"" "")")," ")</f>
        <v> </v>
      </c>
      <c r="BZ76" s="48" t="str">
        <f>IFERROR(__xludf.DUMMYFUNCTION("IFERROR(TEXTJOIN(""/"",1,FILTER($B$21:$IV$21,$B$20:$IV$20=BZ$97)),"" "")"),"Н")</f>
        <v>Н</v>
      </c>
      <c r="CA76" s="48" t="str">
        <f>IFERROR(__xludf.DUMMYFUNCTION("IFERROR(TEXTJOIN(""/"",1,FILTER($B$21:$IV$21,$B$20:$IV$20=CA$97)),"" "")")," ")</f>
        <v> </v>
      </c>
      <c r="CB76" s="48" t="str">
        <f>IFERROR(__xludf.DUMMYFUNCTION("IFERROR(TEXTJOIN(""/"",1,FILTER($B$21:$IV$21,$B$20:$IV$20=CB$97)),"" "")"),"5")</f>
        <v>5</v>
      </c>
      <c r="CC76" s="48" t="str">
        <f>IFERROR(__xludf.DUMMYFUNCTION("IFERROR(TEXTJOIN(""/"",1,FILTER($B$21:$IV$21,$B$20:$IV$20=CC$97)),"" "")")," ")</f>
        <v> </v>
      </c>
      <c r="CD76" s="48" t="str">
        <f>IFERROR(__xludf.DUMMYFUNCTION("IFERROR(TEXTJOIN(""/"",1,FILTER($B$21:$IV$21,$B$20:$IV$20=CD$97)),"" "")")," ")</f>
        <v> </v>
      </c>
      <c r="CE76" s="48" t="str">
        <f>IFERROR(__xludf.DUMMYFUNCTION("IFERROR(TEXTJOIN(""/"",1,FILTER($B$21:$IV$21,$B$20:$IV$20=CE$97)),"" "")")," ")</f>
        <v> </v>
      </c>
      <c r="CF76" s="48" t="str">
        <f>IFERROR(__xludf.DUMMYFUNCTION("IFERROR(TEXTJOIN(""/"",1,FILTER($B$21:$IV$21,$B$20:$IV$20=CF$97)),"" "")")," ")</f>
        <v> </v>
      </c>
      <c r="CG76" s="48" t="str">
        <f>IFERROR(__xludf.DUMMYFUNCTION("IFERROR(TEXTJOIN(""/"",1,FILTER($B$21:$IV$21,$B$20:$IV$20=CG$97)),"" "")"),"5")</f>
        <v>5</v>
      </c>
      <c r="CH76" s="48" t="str">
        <f>IFERROR(__xludf.DUMMYFUNCTION("IFERROR(TEXTJOIN(""/"",1,FILTER($B$21:$IV$21,$B$20:$IV$20=CH$97)),"" "")")," ")</f>
        <v> </v>
      </c>
      <c r="CI76" s="48" t="str">
        <f>IFERROR(__xludf.DUMMYFUNCTION("IFERROR(TEXTJOIN(""/"",1,FILTER($B$21:$IV$21,$B$20:$IV$20=CI$97)),"" "")"),"5")</f>
        <v>5</v>
      </c>
      <c r="CJ76" s="48" t="str">
        <f>IFERROR(__xludf.DUMMYFUNCTION("IFERROR(TEXTJOIN(""/"",1,FILTER($B$21:$IV$21,$B$20:$IV$20=CJ$97)),"" "")")," ")</f>
        <v> </v>
      </c>
      <c r="CK76" s="48" t="str">
        <f>IFERROR(__xludf.DUMMYFUNCTION("IFERROR(TEXTJOIN(""/"",1,FILTER($B$21:$IV$21,$B$20:$IV$20=CK$97)),"" "")")," ")</f>
        <v> </v>
      </c>
      <c r="CL76" s="48" t="str">
        <f>IFERROR(__xludf.DUMMYFUNCTION("IFERROR(TEXTJOIN(""/"",1,FILTER($B$21:$IV$21,$B$20:$IV$20=CL$97)),"" "")")," ")</f>
        <v> </v>
      </c>
      <c r="CM76" s="48" t="str">
        <f>IFERROR(__xludf.DUMMYFUNCTION("IFERROR(TEXTJOIN(""/"",1,FILTER($B$21:$IV$21,$B$20:$IV$20=CM$97)),"" "")")," ")</f>
        <v> </v>
      </c>
      <c r="CN76" s="48" t="str">
        <f>IFERROR(__xludf.DUMMYFUNCTION("IFERROR(TEXTJOIN(""/"",1,FILTER($B$21:$IV$21,$B$20:$IV$20=CN$97)),"" "")"),"н")</f>
        <v>н</v>
      </c>
      <c r="CO76" s="48" t="str">
        <f>IFERROR(__xludf.DUMMYFUNCTION("IFERROR(TEXTJOIN(""/"",1,FILTER($B$21:$IV$21,$B$20:$IV$20=CO$97)),"" "")")," ")</f>
        <v> </v>
      </c>
      <c r="CP76" s="48" t="str">
        <f>IFERROR(__xludf.DUMMYFUNCTION("IFERROR(TEXTJOIN(""/"",1,FILTER($B$21:$IV$21,$B$20:$IV$20=CP$97)),"" "")"),"б/ф")</f>
        <v>б/ф</v>
      </c>
      <c r="CQ76" s="48" t="str">
        <f>IFERROR(__xludf.DUMMYFUNCTION("IFERROR(TEXTJOIN(""/"",1,FILTER($B$21:$IV$21,$B$20:$IV$20=CQ$97)),"" "")")," ")</f>
        <v> </v>
      </c>
      <c r="CR76" s="48" t="str">
        <f>IFERROR(__xludf.DUMMYFUNCTION("IFERROR(TEXTJOIN(""/"",1,FILTER($B$21:$IV$21,$B$20:$IV$20=CR$97)),"" "")")," ")</f>
        <v> </v>
      </c>
      <c r="CS76" s="48" t="str">
        <f>IFERROR(__xludf.DUMMYFUNCTION("IFERROR(TEXTJOIN(""/"",1,FILTER($B$21:$IV$21,$B$20:$IV$20=CS$97)),"" "")"),"2")</f>
        <v>2</v>
      </c>
      <c r="CT76" s="48" t="str">
        <f>IFERROR(__xludf.DUMMYFUNCTION("IFERROR(TEXTJOIN(""/"",1,FILTER($B$21:$IV$21,$B$20:$IV$20=CT$97)),"" "")")," ")</f>
        <v> </v>
      </c>
      <c r="CU76" s="48" t="str">
        <f>IFERROR(__xludf.DUMMYFUNCTION("IFERROR(TEXTJOIN(""/"",1,FILTER($B$21:$IV$21,$B$20:$IV$20=CU$97)),"" "")")," ")</f>
        <v> </v>
      </c>
      <c r="CV76" s="48" t="str">
        <f>IFERROR(__xludf.DUMMYFUNCTION("IFERROR(TEXTJOIN(""/"",1,FILTER($B$21:$IV$21,$B$20:$IV$20=CV$97)),"" "")")," ")</f>
        <v> </v>
      </c>
      <c r="CW76" s="48" t="str">
        <f>IFERROR(__xludf.DUMMYFUNCTION("IFERROR(TEXTJOIN(""/"",1,FILTER($B$21:$IV$21,$B$20:$IV$20=CW$97)),"" "")"),"5")</f>
        <v>5</v>
      </c>
      <c r="CX76" s="48" t="str">
        <f>IFERROR(__xludf.DUMMYFUNCTION("IFERROR(TEXTJOIN(""/"",1,FILTER($B$21:$IV$21,$B$20:$IV$20=CX$97)),"" "")")," ")</f>
        <v> </v>
      </c>
      <c r="CY76" s="48" t="str">
        <f>IFERROR(__xludf.DUMMYFUNCTION("IFERROR(TEXTJOIN(""/"",1,FILTER($B$21:$IV$21,$B$20:$IV$20=CY$97)),"" "")")," ")</f>
        <v> </v>
      </c>
      <c r="CZ76" s="48" t="str">
        <f>IFERROR(__xludf.DUMMYFUNCTION("IFERROR(TEXTJOIN(""/"",1,FILTER($B$21:$IV$21,$B$20:$IV$20=CZ$97)),"" "")")," ")</f>
        <v> </v>
      </c>
      <c r="DA76" s="48" t="str">
        <f>IFERROR(__xludf.DUMMYFUNCTION("IFERROR(TEXTJOIN(""/"",1,FILTER($B$21:$IV$21,$B$20:$IV$20=DA$97)),"" "")")," ")</f>
        <v> </v>
      </c>
      <c r="DB76" s="48" t="str">
        <f>IFERROR(__xludf.DUMMYFUNCTION("IFERROR(TEXTJOIN(""/"",1,FILTER($B$21:$IV$21,$B$20:$IV$20=DB$97)),"" "")"),"5")</f>
        <v>5</v>
      </c>
      <c r="DC76" s="48" t="str">
        <f>IFERROR(__xludf.DUMMYFUNCTION("IFERROR(TEXTJOIN(""/"",1,FILTER($B$21:$IV$21,$B$20:$IV$20=DC$97)),"" "")")," ")</f>
        <v> </v>
      </c>
      <c r="DD76" s="48" t="str">
        <f>IFERROR(__xludf.DUMMYFUNCTION("IFERROR(TEXTJOIN(""/"",1,FILTER($B$21:$IV$21,$B$20:$IV$20=DD$97)),"" "")"),"2")</f>
        <v>2</v>
      </c>
      <c r="DE76" s="48" t="str">
        <f>IFERROR(__xludf.DUMMYFUNCTION("IFERROR(TEXTJOIN(""/"",1,FILTER($B$21:$IV$21,$B$20:$IV$20=DE$97)),"" "")")," ")</f>
        <v> </v>
      </c>
      <c r="DF76" s="48" t="str">
        <f>IFERROR(__xludf.DUMMYFUNCTION("IFERROR(TEXTJOIN(""/"",1,FILTER($B$21:$IV$21,$B$20:$IV$20=DF$97)),"" "")")," ")</f>
        <v> </v>
      </c>
      <c r="DG76" s="48" t="str">
        <f>IFERROR(__xludf.DUMMYFUNCTION("IFERROR(TEXTJOIN(""/"",1,FILTER($B$21:$IV$21,$B$20:$IV$20=DG$97)),"" "")")," ")</f>
        <v> </v>
      </c>
      <c r="DH76" s="48" t="str">
        <f>IFERROR(__xludf.DUMMYFUNCTION("IFERROR(TEXTJOIN(""/"",1,FILTER($B$21:$IV$21,$B$20:$IV$20=DH$97)),"" "")")," ")</f>
        <v> </v>
      </c>
      <c r="DI76" s="48" t="str">
        <f>IFERROR(__xludf.DUMMYFUNCTION("IFERROR(TEXTJOIN(""/"",1,FILTER($B$21:$IV$21,$B$20:$IV$20=DI$97)),"" "")")," ")</f>
        <v> </v>
      </c>
      <c r="DJ76" s="48" t="str">
        <f>IFERROR(__xludf.DUMMYFUNCTION("IFERROR(TEXTJOIN(""/"",1,FILTER($B$21:$IV$21,$B$20:$IV$20=DJ$97)),"" "")")," ")</f>
        <v> </v>
      </c>
      <c r="DK76" s="48" t="str">
        <f>IFERROR(__xludf.DUMMYFUNCTION("IFERROR(TEXTJOIN(""/"",1,FILTER($B$21:$IV$21,$B$20:$IV$20=DK$97)),"" "")")," ")</f>
        <v> </v>
      </c>
      <c r="DL76" s="48" t="str">
        <f>IFERROR(__xludf.DUMMYFUNCTION("IFERROR(TEXTJOIN(""/"",1,FILTER($B$21:$IV$21,$B$20:$IV$20=DL$97)),"" "")")," ")</f>
        <v> </v>
      </c>
      <c r="DM76" s="48" t="str">
        <f>IFERROR(__xludf.DUMMYFUNCTION("IFERROR(TEXTJOIN(""/"",1,FILTER($B$21:$IV$21,$B$20:$IV$20=DM$97)),"" "")")," ")</f>
        <v> </v>
      </c>
      <c r="DN76" s="48" t="str">
        <f>IFERROR(__xludf.DUMMYFUNCTION("IFERROR(TEXTJOIN(""/"",1,FILTER($B$21:$IV$21,$B$20:$IV$20=DN$97)),"" "")")," ")</f>
        <v> </v>
      </c>
      <c r="DO76" s="48" t="str">
        <f>IFERROR(__xludf.DUMMYFUNCTION("IFERROR(TEXTJOIN(""/"",1,FILTER($B$21:$IV$21,$B$20:$IV$20=DO$97)),"" "")")," ")</f>
        <v> </v>
      </c>
      <c r="DP76" s="48" t="str">
        <f>IFERROR(__xludf.DUMMYFUNCTION("IFERROR(TEXTJOIN(""/"",1,FILTER($B$21:$IV$21,$B$20:$IV$20=DP$97)),"" "")")," ")</f>
        <v> </v>
      </c>
      <c r="DQ76" s="48" t="str">
        <f>IFERROR(__xludf.DUMMYFUNCTION("IFERROR(TEXTJOIN(""/"",1,FILTER($B$21:$IV$21,$B$20:$IV$20=DQ$97)),"" "")")," ")</f>
        <v> </v>
      </c>
      <c r="DR76" s="48" t="str">
        <f>IFERROR(__xludf.DUMMYFUNCTION("IFERROR(TEXTJOIN(""/"",1,FILTER($B$21:$IV$21,$B$20:$IV$20=DR$97)),"" "")")," ")</f>
        <v> </v>
      </c>
      <c r="DS76" s="48" t="str">
        <f>IFERROR(__xludf.DUMMYFUNCTION("IFERROR(TEXTJOIN(""/"",1,FILTER($B$21:$IV$21,$B$20:$IV$20=DS$97)),"" "")")," ")</f>
        <v> </v>
      </c>
      <c r="DT76" s="48" t="str">
        <f>IFERROR(__xludf.DUMMYFUNCTION("IFERROR(TEXTJOIN(""/"",1,FILTER($B$21:$IV$21,$B$20:$IV$20=DT$97)),"" "")")," ")</f>
        <v> </v>
      </c>
      <c r="DU76" s="48" t="str">
        <f>IFERROR(__xludf.DUMMYFUNCTION("IFERROR(TEXTJOIN(""/"",1,FILTER($B$21:$IV$21,$B$20:$IV$20=DU$97)),"" "")")," ")</f>
        <v> </v>
      </c>
      <c r="DV76" s="48" t="str">
        <f>IFERROR(__xludf.DUMMYFUNCTION("IFERROR(TEXTJOIN(""/"",1,FILTER($B$21:$IV$21,$B$20:$IV$20=DV$97)),"" "")")," ")</f>
        <v> </v>
      </c>
      <c r="DW76" s="48" t="str">
        <f>IFERROR(__xludf.DUMMYFUNCTION("IFERROR(TEXTJOIN(""/"",1,FILTER($B$21:$IV$21,$B$20:$IV$20=DW$97)),"" "")")," ")</f>
        <v> </v>
      </c>
      <c r="DX76" s="48" t="str">
        <f>IFERROR(__xludf.DUMMYFUNCTION("IFERROR(TEXTJOIN(""/"",1,FILTER($B$21:$IV$21,$B$20:$IV$20=DX$97)),"" "")")," ")</f>
        <v> </v>
      </c>
      <c r="DY76" s="48" t="str">
        <f>IFERROR(__xludf.DUMMYFUNCTION("IFERROR(TEXTJOIN(""/"",1,FILTER($B$21:$IV$21,$B$20:$IV$20=DY$97)),"" "")")," ")</f>
        <v> </v>
      </c>
      <c r="DZ76" s="48" t="str">
        <f>IFERROR(__xludf.DUMMYFUNCTION("IFERROR(TEXTJOIN(""/"",1,FILTER($B$21:$IV$21,$B$20:$IV$20=DZ$97)),"" "")")," ")</f>
        <v> </v>
      </c>
      <c r="EA76" s="48" t="str">
        <f>IFERROR(__xludf.DUMMYFUNCTION("IFERROR(TEXTJOIN(""/"",1,FILTER($B$21:$IV$21,$B$20:$IV$20=EA$97)),"" "")")," ")</f>
        <v> </v>
      </c>
      <c r="EB76" s="48" t="str">
        <f>IFERROR(__xludf.DUMMYFUNCTION("IFERROR(TEXTJOIN(""/"",1,FILTER($B$21:$IV$21,$B$20:$IV$20=EB$97)),"" "")")," ")</f>
        <v> </v>
      </c>
      <c r="EC76" s="48" t="str">
        <f>IFERROR(__xludf.DUMMYFUNCTION("IFERROR(TEXTJOIN(""/"",1,FILTER($B$21:$IV$21,$B$20:$IV$20=EC$97)),"" "")")," ")</f>
        <v> </v>
      </c>
      <c r="ED76" s="48" t="str">
        <f>IFERROR(__xludf.DUMMYFUNCTION("IFERROR(TEXTJOIN(""/"",1,FILTER($B$21:$IV$21,$B$20:$IV$20=ED$97)),"" "")"),"5")</f>
        <v>5</v>
      </c>
      <c r="EE76" s="48" t="str">
        <f>IFERROR(__xludf.DUMMYFUNCTION("IFERROR(TEXTJOIN(""/"",1,FILTER($B$21:$IV$21,$B$20:$IV$20=EE$97)),"" "")")," ")</f>
        <v> </v>
      </c>
      <c r="EF76" s="48" t="str">
        <f>IFERROR(__xludf.DUMMYFUNCTION("IFERROR(TEXTJOIN(""/"",1,FILTER($B$21:$IV$21,$B$20:$IV$20=EF$97)),"" "")"),"о8")</f>
        <v>о8</v>
      </c>
      <c r="EG76" s="48" t="str">
        <f>IFERROR(__xludf.DUMMYFUNCTION("IFERROR(TEXTJOIN(""/"",1,FILTER($B$21:$IV$21,$B$20:$IV$20=EG$97)),"" "")")," ")</f>
        <v> </v>
      </c>
      <c r="EH76" s="48" t="str">
        <f>IFERROR(__xludf.DUMMYFUNCTION("IFERROR(TEXTJOIN(""/"",1,FILTER($B$21:$IV$21,$B$20:$IV$20=EH$97)),"" "")")," ")</f>
        <v> </v>
      </c>
      <c r="EI76" s="48" t="str">
        <f>IFERROR(__xludf.DUMMYFUNCTION("IFERROR(TEXTJOIN(""/"",1,FILTER($B$21:$IV$21,$B$20:$IV$20=EI$97)),"" "")")," ")</f>
        <v> </v>
      </c>
      <c r="EJ76" s="48" t="str">
        <f>IFERROR(__xludf.DUMMYFUNCTION("IFERROR(TEXTJOIN(""/"",1,FILTER($B$21:$IV$21,$B$20:$IV$20=EJ$97)),"" "")")," ")</f>
        <v> </v>
      </c>
      <c r="EK76" s="48" t="str">
        <f>IFERROR(__xludf.DUMMYFUNCTION("IFERROR(TEXTJOIN(""/"",1,FILTER($B$21:$IV$21,$B$20:$IV$20=EK$97)),"" "")"),"б/ф")</f>
        <v>б/ф</v>
      </c>
      <c r="EL76" s="48" t="str">
        <f>IFERROR(__xludf.DUMMYFUNCTION("IFERROR(TEXTJOIN(""/"",1,FILTER($B$21:$IV$21,$B$20:$IV$20=EL$97)),"" "")")," ")</f>
        <v> </v>
      </c>
      <c r="EM76" s="48" t="str">
        <f>IFERROR(__xludf.DUMMYFUNCTION("IFERROR(TEXTJOIN(""/"",1,FILTER($B$21:$IV$21,$B$20:$IV$20=EM$97)),"" "")"),"4")</f>
        <v>4</v>
      </c>
      <c r="EN76" s="48" t="str">
        <f>IFERROR(__xludf.DUMMYFUNCTION("IFERROR(TEXTJOIN(""/"",1,FILTER($B$21:$IV$21,$B$20:$IV$20=EN$97)),"" "")")," ")</f>
        <v> </v>
      </c>
      <c r="EO76" s="48" t="str">
        <f>IFERROR(__xludf.DUMMYFUNCTION("IFERROR(TEXTJOIN(""/"",1,FILTER($B$21:$IV$21,$B$20:$IV$20=EO$97)),"" "")")," ")</f>
        <v> </v>
      </c>
      <c r="EP76" s="48" t="str">
        <f>IFERROR(__xludf.DUMMYFUNCTION("IFERROR(TEXTJOIN(""/"",1,FILTER($B$21:$IV$21,$B$20:$IV$20=EP$97)),"" "")")," ")</f>
        <v> </v>
      </c>
      <c r="EQ76" s="48" t="str">
        <f>IFERROR(__xludf.DUMMYFUNCTION("IFERROR(TEXTJOIN(""/"",1,FILTER($B$21:$IV$21,$B$20:$IV$20=EQ$97)),"" "")")," ")</f>
        <v> </v>
      </c>
      <c r="ER76" s="48" t="str">
        <f>IFERROR(__xludf.DUMMYFUNCTION("IFERROR(TEXTJOIN(""/"",1,FILTER($B$21:$IV$21,$B$20:$IV$20=ER$97)),"" "")"),"н")</f>
        <v>н</v>
      </c>
      <c r="ES76" s="48" t="str">
        <f>IFERROR(__xludf.DUMMYFUNCTION("IFERROR(TEXTJOIN(""/"",1,FILTER($B$21:$IV$21,$B$20:$IV$20=ES$97)),"" "")")," ")</f>
        <v> </v>
      </c>
      <c r="ET76" s="48" t="str">
        <f>IFERROR(__xludf.DUMMYFUNCTION("IFERROR(TEXTJOIN(""/"",1,FILTER($B$21:$IV$21,$B$20:$IV$20=ET$97)),"" "")"),"5")</f>
        <v>5</v>
      </c>
      <c r="EU76" s="48" t="str">
        <f>IFERROR(__xludf.DUMMYFUNCTION("IFERROR(TEXTJOIN(""/"",1,FILTER($B$21:$IV$21,$B$20:$IV$20=EU$97)),"" "")")," ")</f>
        <v> </v>
      </c>
      <c r="EV76" s="48" t="str">
        <f>IFERROR(__xludf.DUMMYFUNCTION("IFERROR(TEXTJOIN(""/"",1,FILTER($B$21:$IV$21,$B$20:$IV$20=EV$97)),"" "")")," ")</f>
        <v> </v>
      </c>
      <c r="EW76" s="48" t="str">
        <f>IFERROR(__xludf.DUMMYFUNCTION("IFERROR(TEXTJOIN(""/"",1,FILTER($B$21:$IV$21,$B$20:$IV$20=EW$97)),"" "")")," ")</f>
        <v> </v>
      </c>
      <c r="EX76" s="48" t="str">
        <f>IFERROR(__xludf.DUMMYFUNCTION("IFERROR(TEXTJOIN(""/"",1,FILTER($B$21:$IV$21,$B$20:$IV$20=EX$97)),"" "")")," ")</f>
        <v> </v>
      </c>
      <c r="EY76" s="48" t="str">
        <f>IFERROR(__xludf.DUMMYFUNCTION("IFERROR(TEXTJOIN(""/"",1,FILTER($B$21:$IV$21,$B$20:$IV$20=EY$97)),"" "")"),"5")</f>
        <v>5</v>
      </c>
      <c r="EZ76" s="48" t="str">
        <f>IFERROR(__xludf.DUMMYFUNCTION("IFERROR(TEXTJOIN(""/"",1,FILTER($B$21:$IV$21,$B$20:$IV$20=EZ$97)),"" "")")," ")</f>
        <v> </v>
      </c>
      <c r="FA76" s="48" t="str">
        <f>IFERROR(__xludf.DUMMYFUNCTION("IFERROR(TEXTJOIN(""/"",1,FILTER($B$21:$IV$21,$B$20:$IV$20=FA$97)),"" "")"),"б/ф")</f>
        <v>б/ф</v>
      </c>
      <c r="FB76" s="48" t="str">
        <f>IFERROR(__xludf.DUMMYFUNCTION("IFERROR(TEXTJOIN(""/"",1,FILTER($B$21:$IV$21,$B$20:$IV$20=FB$97)),"" "")")," ")</f>
        <v> </v>
      </c>
      <c r="FC76" s="48" t="str">
        <f>IFERROR(__xludf.DUMMYFUNCTION("IFERROR(TEXTJOIN(""/"",1,FILTER($B$21:$IV$21,$B$20:$IV$20=FC$97)),"" "")")," ")</f>
        <v> </v>
      </c>
      <c r="FD76" s="48" t="str">
        <f>IFERROR(__xludf.DUMMYFUNCTION("IFERROR(TEXTJOIN(""/"",1,FILTER($B$21:$IV$21,$B$20:$IV$20=FD$97)),"" "")")," ")</f>
        <v> </v>
      </c>
      <c r="FE76" s="48" t="str">
        <f>IFERROR(__xludf.DUMMYFUNCTION("IFERROR(TEXTJOIN(""/"",1,FILTER($B$21:$IV$21,$B$20:$IV$20=FE$97)),"" "")")," ")</f>
        <v> </v>
      </c>
      <c r="FF76" s="48" t="str">
        <f>IFERROR(__xludf.DUMMYFUNCTION("IFERROR(TEXTJOIN(""/"",1,FILTER($B$21:$IV$21,$B$20:$IV$20=FF$97)),"" "")"),"5")</f>
        <v>5</v>
      </c>
      <c r="FG76" s="48" t="str">
        <f>IFERROR(__xludf.DUMMYFUNCTION("IFERROR(TEXTJOIN(""/"",1,FILTER($B$21:$IV$21,$B$20:$IV$20=FG$97)),"" "")")," ")</f>
        <v> </v>
      </c>
      <c r="FH76" s="48" t="str">
        <f>IFERROR(__xludf.DUMMYFUNCTION("IFERROR(TEXTJOIN(""/"",1,FILTER($B$21:$IV$21,$B$20:$IV$20=FH$97)),"" "")"),"5")</f>
        <v>5</v>
      </c>
      <c r="FI76" s="48" t="str">
        <f>IFERROR(__xludf.DUMMYFUNCTION("IFERROR(TEXTJOIN(""/"",1,FILTER($B$21:$IV$21,$B$20:$IV$20=FI$97)),"" "")")," ")</f>
        <v> </v>
      </c>
      <c r="FJ76" s="48" t="str">
        <f>IFERROR(__xludf.DUMMYFUNCTION("IFERROR(TEXTJOIN(""/"",1,FILTER($B$21:$IV$21,$B$20:$IV$20=FJ$97)),"" "")")," ")</f>
        <v> </v>
      </c>
      <c r="FK76" s="48" t="str">
        <f>IFERROR(__xludf.DUMMYFUNCTION("IFERROR(TEXTJOIN(""/"",1,FILTER($B$21:$IV$21,$B$20:$IV$20=FK$97)),"" "")")," ")</f>
        <v> </v>
      </c>
      <c r="FL76" s="48" t="str">
        <f>IFERROR(__xludf.DUMMYFUNCTION("IFERROR(TEXTJOIN(""/"",1,FILTER($B$21:$IV$21,$B$20:$IV$20=FL$97)),"" "")")," ")</f>
        <v> </v>
      </c>
      <c r="FM76" s="48" t="str">
        <f>IFERROR(__xludf.DUMMYFUNCTION("IFERROR(TEXTJOIN(""/"",1,FILTER($B$21:$IV$21,$B$20:$IV$20=FM$97)),"" "")"),"2")</f>
        <v>2</v>
      </c>
      <c r="FN76" s="48" t="str">
        <f>IFERROR(__xludf.DUMMYFUNCTION("IFERROR(TEXTJOIN(""/"",1,FILTER($B$21:$IV$21,$B$20:$IV$20=FN$97)),"" "")")," ")</f>
        <v> </v>
      </c>
      <c r="FO76" s="48" t="str">
        <f>IFERROR(__xludf.DUMMYFUNCTION("IFERROR(TEXTJOIN(""/"",1,FILTER($B$21:$IV$21,$B$20:$IV$20=FO$97)),"" "")"),"5")</f>
        <v>5</v>
      </c>
      <c r="FP76" s="48" t="str">
        <f>IFERROR(__xludf.DUMMYFUNCTION("IFERROR(TEXTJOIN(""/"",1,FILTER($B$21:$IV$21,$B$20:$IV$20=FP$97)),"" "")")," ")</f>
        <v> </v>
      </c>
      <c r="FQ76" s="48" t="str">
        <f>IFERROR(__xludf.DUMMYFUNCTION("IFERROR(TEXTJOIN(""/"",1,FILTER($B$21:$IV$21,$B$20:$IV$20=FQ$97)),"" "")")," ")</f>
        <v> </v>
      </c>
      <c r="FR76" s="48" t="str">
        <f>IFERROR(__xludf.DUMMYFUNCTION("IFERROR(TEXTJOIN(""/"",1,FILTER($B$21:$IV$21,$B$20:$IV$20=FR$97)),"" "")"),"О7")</f>
        <v>О7</v>
      </c>
      <c r="FS76" s="48" t="str">
        <f>IFERROR(__xludf.DUMMYFUNCTION("IFERROR(TEXTJOIN(""/"",1,FILTER($B$21:$IV$21,$B$20:$IV$20=FS$97)),"" "")")," ")</f>
        <v> </v>
      </c>
      <c r="FT76" s="48" t="str">
        <f>IFERROR(__xludf.DUMMYFUNCTION("IFERROR(TEXTJOIN(""/"",1,FILTER($B$21:$IV$21,$B$20:$IV$20=FT$97)),"" "")"),"Б")</f>
        <v>Б</v>
      </c>
      <c r="FU76" s="48" t="str">
        <f>IFERROR(__xludf.DUMMYFUNCTION("IFERROR(TEXTJOIN(""/"",1,FILTER($B$21:$IV$21,$B$20:$IV$20=FU$97)),"" "")")," ")</f>
        <v> </v>
      </c>
      <c r="FV76" s="48" t="str">
        <f>IFERROR(__xludf.DUMMYFUNCTION("IFERROR(TEXTJOIN(""/"",1,FILTER($B$21:$IV$21,$B$20:$IV$20=FV$97)),"" "")"),"Н")</f>
        <v>Н</v>
      </c>
      <c r="FW76" s="48" t="str">
        <f>IFERROR(__xludf.DUMMYFUNCTION("IFERROR(TEXTJOIN(""/"",1,FILTER($B$21:$IV$21,$B$20:$IV$20=FW$97)),"" "")")," ")</f>
        <v> </v>
      </c>
      <c r="FX76" s="48" t="str">
        <f>IFERROR(__xludf.DUMMYFUNCTION("IFERROR(TEXTJOIN(""/"",1,FILTER($B$21:$IV$21,$B$20:$IV$20=FX$97)),"" "")")," ")</f>
        <v> </v>
      </c>
      <c r="FY76" s="48" t="str">
        <f>IFERROR(__xludf.DUMMYFUNCTION("IFERROR(TEXTJOIN(""/"",1,FILTER($B$21:$IV$21,$B$20:$IV$20=FY$97)),"" "")")," ")</f>
        <v> </v>
      </c>
      <c r="FZ76" s="48" t="str">
        <f>IFERROR(__xludf.DUMMYFUNCTION("IFERROR(TEXTJOIN(""/"",1,FILTER($B$21:$IV$21,$B$20:$IV$20=FZ$97)),"" "")")," ")</f>
        <v> </v>
      </c>
      <c r="GA76" s="48" t="str">
        <f>IFERROR(__xludf.DUMMYFUNCTION("IFERROR(TEXTJOIN(""/"",1,FILTER($B$21:$IV$21,$B$20:$IV$20=GA$97)),"" "")"),"5")</f>
        <v>5</v>
      </c>
      <c r="GB76" s="48" t="str">
        <f>IFERROR(__xludf.DUMMYFUNCTION("IFERROR(TEXTJOIN(""/"",1,FILTER($B$21:$IV$21,$B$20:$IV$20=GB$97)),"" "")")," ")</f>
        <v> </v>
      </c>
      <c r="GC76" s="48" t="str">
        <f>IFERROR(__xludf.DUMMYFUNCTION("IFERROR(TEXTJOIN(""/"",1,FILTER($B$21:$IV$21,$B$20:$IV$20=GC$97)),"" "")"),"5")</f>
        <v>5</v>
      </c>
      <c r="GD76" s="48" t="str">
        <f>IFERROR(__xludf.DUMMYFUNCTION("IFERROR(TEXTJOIN(""/"",1,FILTER($B$21:$IV$21,$B$20:$IV$20=GD$97)),"" "")")," ")</f>
        <v> </v>
      </c>
      <c r="GE76" s="48" t="str">
        <f>IFERROR(__xludf.DUMMYFUNCTION("IFERROR(TEXTJOIN(""/"",1,FILTER($B$21:$IV$21,$B$20:$IV$20=GE$97)),"" "")")," ")</f>
        <v> </v>
      </c>
      <c r="GF76" s="48" t="str">
        <f>IFERROR(__xludf.DUMMYFUNCTION("IFERROR(TEXTJOIN(""/"",1,FILTER($B$21:$IV$21,$B$20:$IV$20=GF$97)),"" "")")," ")</f>
        <v> </v>
      </c>
      <c r="GG76" s="48" t="str">
        <f>IFERROR(__xludf.DUMMYFUNCTION("IFERROR(TEXTJOIN(""/"",1,FILTER($B$21:$IV$21,$B$20:$IV$20=GG$97)),"" "")")," ")</f>
        <v> </v>
      </c>
      <c r="GH76" s="48" t="str">
        <f>IFERROR(__xludf.DUMMYFUNCTION("IFERROR(TEXTJOIN(""/"",1,FILTER($B$21:$IV$21,$B$20:$IV$20=GH$97)),"" "")")," ")</f>
        <v> </v>
      </c>
      <c r="GI76" s="48" t="str">
        <f>IFERROR(__xludf.DUMMYFUNCTION("IFERROR(TEXTJOIN(""/"",1,FILTER($B$21:$IV$21,$B$20:$IV$20=GI$97)),"" "")")," ")</f>
        <v> </v>
      </c>
      <c r="GJ76" s="48" t="str">
        <f>IFERROR(__xludf.DUMMYFUNCTION("IFERROR(TEXTJOIN(""/"",1,FILTER($B$21:$IV$21,$B$20:$IV$20=GJ$97)),"" "")"),"5")</f>
        <v>5</v>
      </c>
      <c r="GK76" s="48" t="str">
        <f>IFERROR(__xludf.DUMMYFUNCTION("IFERROR(TEXTJOIN(""/"",1,FILTER($B$21:$IV$21,$B$20:$IV$20=GK$97)),"" "")")," ")</f>
        <v> </v>
      </c>
      <c r="GL76" s="48" t="str">
        <f>IFERROR(__xludf.DUMMYFUNCTION("IFERROR(TEXTJOIN(""/"",1,FILTER($B$21:$IV$21,$B$20:$IV$20=GL$97)),"" "")")," ")</f>
        <v> </v>
      </c>
      <c r="GM76" s="48" t="str">
        <f>IFERROR(__xludf.DUMMYFUNCTION("IFERROR(TEXTJOIN(""/"",1,FILTER($B$21:$IV$21,$B$20:$IV$20=GM$97)),"" "")")," ")</f>
        <v> </v>
      </c>
      <c r="GN76" s="48" t="str">
        <f>IFERROR(__xludf.DUMMYFUNCTION("IFERROR(TEXTJOIN(""/"",1,FILTER($B$21:$IV$21,$B$20:$IV$20=GN$97)),"" "")")," ")</f>
        <v> </v>
      </c>
      <c r="GO76" s="48" t="str">
        <f>IFERROR(__xludf.DUMMYFUNCTION("IFERROR(TEXTJOIN(""/"",1,FILTER($B$21:$IV$21,$B$20:$IV$20=GO$97)),"" "")"),"")</f>
        <v/>
      </c>
      <c r="GP76" s="48" t="str">
        <f>IFERROR(__xludf.DUMMYFUNCTION("IFERROR(TEXTJOIN(""/"",1,FILTER($B$21:$IV$21,$B$20:$IV$20=GP$97)),"" "")")," ")</f>
        <v> </v>
      </c>
      <c r="GQ76" s="48" t="str">
        <f>IFERROR(__xludf.DUMMYFUNCTION("IFERROR(TEXTJOIN(""/"",1,FILTER($B$21:$IV$21,$B$20:$IV$20=GQ$97)),"" "")"),"")</f>
        <v/>
      </c>
      <c r="GR76" s="48" t="str">
        <f>IFERROR(__xludf.DUMMYFUNCTION("IFERROR(TEXTJOIN(""/"",1,FILTER($B$21:$IV$21,$B$20:$IV$20=GR$97)),"" "")")," ")</f>
        <v> </v>
      </c>
      <c r="GS76" s="48" t="str">
        <f>IFERROR(__xludf.DUMMYFUNCTION("IFERROR(TEXTJOIN(""/"",1,FILTER($B$21:$IV$21,$B$20:$IV$20=GS$97)),"" "")")," ")</f>
        <v> </v>
      </c>
      <c r="GT76" s="48" t="str">
        <f>IFERROR(__xludf.DUMMYFUNCTION("IFERROR(TEXTJOIN(""/"",1,FILTER($B$21:$IV$21,$B$20:$IV$20=GT$97)),"" "")")," ")</f>
        <v> </v>
      </c>
      <c r="GU76" s="48" t="str">
        <f>IFERROR(__xludf.DUMMYFUNCTION("IFERROR(TEXTJOIN(""/"",1,FILTER($B$21:$IV$21,$B$20:$IV$20=GU$97)),"" "")")," ")</f>
        <v> </v>
      </c>
      <c r="GV76" s="48" t="str">
        <f>IFERROR(__xludf.DUMMYFUNCTION("IFERROR(TEXTJOIN(""/"",1,FILTER($B$21:$IV$21,$B$20:$IV$20=GV$97)),"" "")")," ")</f>
        <v> </v>
      </c>
      <c r="GW76" s="48" t="str">
        <f>IFERROR(__xludf.DUMMYFUNCTION("IFERROR(TEXTJOIN(""/"",1,FILTER($B$21:$IV$21,$B$20:$IV$20=GW$97)),"" "")")," ")</f>
        <v> </v>
      </c>
      <c r="GX76" s="48" t="str">
        <f>IFERROR(__xludf.DUMMYFUNCTION("IFERROR(TEXTJOIN(""/"",1,FILTER($B$21:$IV$21,$B$20:$IV$20=GX$97)),"" "")")," ")</f>
        <v> </v>
      </c>
      <c r="GY76" s="48" t="str">
        <f>IFERROR(__xludf.DUMMYFUNCTION("IFERROR(TEXTJOIN(""/"",1,FILTER($B$21:$IV$21,$B$20:$IV$20=GY$97)),"" "")")," ")</f>
        <v> </v>
      </c>
      <c r="GZ76" s="48" t="str">
        <f>IFERROR(__xludf.DUMMYFUNCTION("IFERROR(TEXTJOIN(""/"",1,FILTER($B$21:$IV$21,$B$20:$IV$20=GZ$97)),"" "")")," ")</f>
        <v> </v>
      </c>
      <c r="HA76" s="48" t="str">
        <f>IFERROR(__xludf.DUMMYFUNCTION("IFERROR(TEXTJOIN(""/"",1,FILTER($B$21:$IV$21,$B$20:$IV$20=HA$97)),"" "")")," ")</f>
        <v> </v>
      </c>
      <c r="HB76" s="48" t="str">
        <f>IFERROR(__xludf.DUMMYFUNCTION("IFERROR(TEXTJOIN(""/"",1,FILTER($B$21:$IV$21,$B$20:$IV$20=HB$97)),"" "")")," ")</f>
        <v> </v>
      </c>
      <c r="HC76" s="48" t="str">
        <f>IFERROR(__xludf.DUMMYFUNCTION("IFERROR(TEXTJOIN(""/"",1,FILTER($B$21:$IV$21,$B$20:$IV$20=HC$97)),"" "")")," ")</f>
        <v> </v>
      </c>
      <c r="HD76" s="48" t="str">
        <f>IFERROR(__xludf.DUMMYFUNCTION("IFERROR(TEXTJOIN(""/"",1,FILTER($B$21:$IV$21,$B$20:$IV$20=HD$97)),"" "")")," ")</f>
        <v> </v>
      </c>
      <c r="HE76" s="48" t="str">
        <f>IFERROR(__xludf.DUMMYFUNCTION("IFERROR(TEXTJOIN(""/"",1,FILTER($B$21:$IV$21,$B$20:$IV$20=HE$97)),"" "")")," ")</f>
        <v> </v>
      </c>
      <c r="HF76" s="48" t="str">
        <f>IFERROR(__xludf.DUMMYFUNCTION("IFERROR(TEXTJOIN(""/"",1,FILTER($B$21:$IV$21,$B$20:$IV$20=HF$97)),"" "")")," ")</f>
        <v> </v>
      </c>
      <c r="HG76" s="48" t="str">
        <f>IFERROR(__xludf.DUMMYFUNCTION("IFERROR(TEXTJOIN(""/"",1,FILTER($B$21:$IV$21,$B$20:$IV$20=HG$97)),"" "")")," ")</f>
        <v> </v>
      </c>
      <c r="HH76" s="48" t="str">
        <f>IFERROR(__xludf.DUMMYFUNCTION("IFERROR(TEXTJOIN(""/"",1,FILTER($B$21:$IV$21,$B$20:$IV$20=HH$97)),"" "")")," ")</f>
        <v> </v>
      </c>
      <c r="HI76" s="48" t="str">
        <f>IFERROR(__xludf.DUMMYFUNCTION("IFERROR(TEXTJOIN(""/"",1,FILTER($B$21:$IV$21,$B$20:$IV$20=HI$97)),"" "")")," ")</f>
        <v> </v>
      </c>
      <c r="HJ76" s="48" t="str">
        <f>IFERROR(__xludf.DUMMYFUNCTION("IFERROR(TEXTJOIN(""/"",1,FILTER($B$21:$IV$21,$B$20:$IV$20=HJ$97)),"" "")")," ")</f>
        <v> </v>
      </c>
      <c r="HK76" s="48" t="str">
        <f>IFERROR(__xludf.DUMMYFUNCTION("IFERROR(TEXTJOIN(""/"",1,FILTER($B$21:$IV$21,$B$20:$IV$20=HK$97)),"" "")")," ")</f>
        <v> </v>
      </c>
      <c r="HL76" s="48" t="str">
        <f>IFERROR(__xludf.DUMMYFUNCTION("IFERROR(TEXTJOIN(""/"",1,FILTER($B$21:$IV$21,$B$20:$IV$20=HL$97)),"" "")")," ")</f>
        <v> </v>
      </c>
      <c r="HM76" s="48" t="str">
        <f>IFERROR(__xludf.DUMMYFUNCTION("IFERROR(TEXTJOIN(""/"",1,FILTER($B$21:$IV$21,$B$20:$IV$20=HM$97)),"" "")")," ")</f>
        <v> </v>
      </c>
      <c r="HN76" s="48" t="str">
        <f>IFERROR(__xludf.DUMMYFUNCTION("IFERROR(TEXTJOIN(""/"",1,FILTER($B$21:$IV$21,$B$20:$IV$20=HN$97)),"" "")")," ")</f>
        <v> </v>
      </c>
      <c r="HO76" s="48" t="str">
        <f>IFERROR(__xludf.DUMMYFUNCTION("IFERROR(TEXTJOIN(""/"",1,FILTER($B$21:$IV$21,$B$20:$IV$20=HO$97)),"" "")")," ")</f>
        <v> </v>
      </c>
      <c r="HP76" s="48" t="str">
        <f>IFERROR(__xludf.DUMMYFUNCTION("IFERROR(TEXTJOIN(""/"",1,FILTER($B$21:$IV$21,$B$20:$IV$20=HP$97)),"" "")")," ")</f>
        <v> </v>
      </c>
      <c r="HQ76" s="48" t="str">
        <f>IFERROR(__xludf.DUMMYFUNCTION("IFERROR(TEXTJOIN(""/"",1,FILTER($B$21:$IV$21,$B$20:$IV$20=HQ$97)),"" "")")," ")</f>
        <v> </v>
      </c>
      <c r="HR76" s="48" t="str">
        <f>IFERROR(__xludf.DUMMYFUNCTION("IFERROR(TEXTJOIN(""/"",1,FILTER($B$21:$IV$21,$B$20:$IV$20=HR$97)),"" "")")," ")</f>
        <v> </v>
      </c>
      <c r="HS76" s="48" t="str">
        <f>IFERROR(__xludf.DUMMYFUNCTION("IFERROR(TEXTJOIN(""/"",1,FILTER($B$21:$IV$21,$B$20:$IV$20=HS$97)),"" "")")," ")</f>
        <v> </v>
      </c>
      <c r="HT76" s="48" t="str">
        <f>IFERROR(__xludf.DUMMYFUNCTION("IFERROR(TEXTJOIN(""/"",1,FILTER($B$21:$IV$21,$B$20:$IV$20=HT$97)),"" "")")," ")</f>
        <v> </v>
      </c>
      <c r="HU76" s="48" t="str">
        <f>IFERROR(__xludf.DUMMYFUNCTION("IFERROR(TEXTJOIN(""/"",1,FILTER($B$21:$IV$21,$B$20:$IV$20=HU$97)),"" "")")," ")</f>
        <v> </v>
      </c>
      <c r="HV76" s="48" t="str">
        <f>IFERROR(__xludf.DUMMYFUNCTION("IFERROR(TEXTJOIN(""/"",1,FILTER($B$21:$IV$21,$B$20:$IV$20=HV$97)),"" "")")," ")</f>
        <v> </v>
      </c>
      <c r="HW76" s="48" t="str">
        <f>IFERROR(__xludf.DUMMYFUNCTION("IFERROR(TEXTJOIN(""/"",1,FILTER($B$21:$IV$21,$B$20:$IV$20=HW$97)),"" "")")," ")</f>
        <v> </v>
      </c>
      <c r="HX76" s="48" t="str">
        <f>IFERROR(__xludf.DUMMYFUNCTION("IFERROR(TEXTJOIN(""/"",1,FILTER($B$21:$IV$21,$B$20:$IV$20=HX$97)),"" "")")," ")</f>
        <v> </v>
      </c>
      <c r="HY76" s="48" t="str">
        <f>IFERROR(__xludf.DUMMYFUNCTION("IFERROR(TEXTJOIN(""/"",1,FILTER($B$21:$IV$21,$B$20:$IV$20=HY$97)),"" "")")," ")</f>
        <v> </v>
      </c>
      <c r="HZ76" s="48" t="str">
        <f>IFERROR(__xludf.DUMMYFUNCTION("IFERROR(TEXTJOIN(""/"",1,FILTER($B$21:$IV$21,$B$20:$IV$20=HZ$97)),"" "")")," ")</f>
        <v> </v>
      </c>
      <c r="IA76" s="48" t="str">
        <f>IFERROR(__xludf.DUMMYFUNCTION("IFERROR(TEXTJOIN(""/"",1,FILTER($B$21:$IV$21,$B$20:$IV$20=IA$97)),"" "")")," ")</f>
        <v> </v>
      </c>
      <c r="IB76" s="48" t="str">
        <f>IFERROR(__xludf.DUMMYFUNCTION("IFERROR(TEXTJOIN(""/"",1,FILTER($B$21:$IV$21,$B$20:$IV$20=IB$97)),"" "")")," ")</f>
        <v> </v>
      </c>
      <c r="IC76" s="48" t="str">
        <f>IFERROR(__xludf.DUMMYFUNCTION("IFERROR(TEXTJOIN(""/"",1,FILTER($B$21:$IV$21,$B$20:$IV$20=IC$97)),"" "")")," ")</f>
        <v> </v>
      </c>
      <c r="ID76" s="48" t="str">
        <f>IFERROR(__xludf.DUMMYFUNCTION("IFERROR(TEXTJOIN(""/"",1,FILTER($B$21:$IV$21,$B$20:$IV$20=ID$97)),"" "")")," ")</f>
        <v> </v>
      </c>
      <c r="IE76" s="48" t="str">
        <f>IFERROR(__xludf.DUMMYFUNCTION("IFERROR(TEXTJOIN(""/"",1,FILTER($B$21:$IV$21,$B$20:$IV$20=IE$97)),"" "")")," ")</f>
        <v> </v>
      </c>
      <c r="IF76" s="48" t="str">
        <f>IFERROR(__xludf.DUMMYFUNCTION("IFERROR(TEXTJOIN(""/"",1,FILTER($B$21:$IV$21,$B$20:$IV$20=IF$97)),"" "")")," ")</f>
        <v> </v>
      </c>
      <c r="IG76" s="48" t="str">
        <f>IFERROR(__xludf.DUMMYFUNCTION("IFERROR(TEXTJOIN(""/"",1,FILTER($B$21:$IV$21,$B$20:$IV$20=IG$97)),"" "")")," ")</f>
        <v> </v>
      </c>
      <c r="IH76" s="48" t="str">
        <f>IFERROR(__xludf.DUMMYFUNCTION("IFERROR(TEXTJOIN(""/"",1,FILTER($B$21:$IV$21,$B$20:$IV$20=IH$97)),"" "")")," ")</f>
        <v> </v>
      </c>
      <c r="II76" s="48" t="str">
        <f>IFERROR(__xludf.DUMMYFUNCTION("IFERROR(TEXTJOIN(""/"",1,FILTER($B$21:$IV$21,$B$20:$IV$20=II$97)),"" "")")," ")</f>
        <v> </v>
      </c>
      <c r="IJ76" s="48" t="str">
        <f>IFERROR(__xludf.DUMMYFUNCTION("IFERROR(TEXTJOIN(""/"",1,FILTER($B$21:$IV$21,$B$20:$IV$20=IJ$97)),"" "")")," ")</f>
        <v> </v>
      </c>
      <c r="IK76" s="48" t="str">
        <f>IFERROR(__xludf.DUMMYFUNCTION("IFERROR(TEXTJOIN(""/"",1,FILTER($B$21:$IV$21,$B$20:$IV$20=IK$97)),"" "")")," ")</f>
        <v> </v>
      </c>
      <c r="IL76" s="48" t="str">
        <f>IFERROR(__xludf.DUMMYFUNCTION("IFERROR(TEXTJOIN(""/"",1,FILTER($B$21:$IV$21,$B$20:$IV$20=IL$97)),"" "")")," ")</f>
        <v> </v>
      </c>
      <c r="IM76" s="48" t="str">
        <f>IFERROR(__xludf.DUMMYFUNCTION("IFERROR(TEXTJOIN(""/"",1,FILTER($B$21:$IV$21,$B$20:$IV$20=IM$97)),"" "")")," ")</f>
        <v> </v>
      </c>
      <c r="IN76" s="48" t="str">
        <f>IFERROR(__xludf.DUMMYFUNCTION("IFERROR(TEXTJOIN(""/"",1,FILTER($B$21:$IV$21,$B$20:$IV$20=IN$97)),"" "")")," ")</f>
        <v> </v>
      </c>
      <c r="IO76" s="48" t="str">
        <f>IFERROR(__xludf.DUMMYFUNCTION("IFERROR(TEXTJOIN(""/"",1,FILTER($B$21:$IV$21,$B$20:$IV$20=IO$97)),"" "")")," ")</f>
        <v> </v>
      </c>
      <c r="IP76" s="48" t="str">
        <f>IFERROR(__xludf.DUMMYFUNCTION("IFERROR(TEXTJOIN(""/"",1,FILTER($B$21:$IV$21,$B$20:$IV$20=IP$97)),"" "")")," ")</f>
        <v> </v>
      </c>
      <c r="IQ76" s="48" t="str">
        <f>IFERROR(__xludf.DUMMYFUNCTION("IFERROR(TEXTJOIN(""/"",1,FILTER($B$21:$IV$21,$B$20:$IV$20=IQ$97)),"" "")")," ")</f>
        <v> </v>
      </c>
      <c r="IR76" s="48" t="str">
        <f>IFERROR(__xludf.DUMMYFUNCTION("IFERROR(TEXTJOIN(""/"",1,FILTER($B$21:$IV$21,$B$20:$IV$20=IR$97)),"" "")")," ")</f>
        <v> </v>
      </c>
      <c r="IS76" s="48" t="str">
        <f>IFERROR(__xludf.DUMMYFUNCTION("IFERROR(TEXTJOIN(""/"",1,FILTER($B$21:$IV$21,$B$20:$IV$20=IS$97)),"" "")")," ")</f>
        <v> </v>
      </c>
      <c r="IT76" s="48" t="str">
        <f>IFERROR(__xludf.DUMMYFUNCTION("IFERROR(TEXTJOIN(""/"",1,FILTER($B$21:$IV$21,$B$20:$IV$20=IT$97)),"" "")")," ")</f>
        <v> </v>
      </c>
      <c r="IU76" s="48" t="str">
        <f>IFERROR(__xludf.DUMMYFUNCTION("IFERROR(TEXTJOIN(""/"",1,FILTER($B$21:$IV$21,$B$20:$IV$20=IU$97)),"" "")")," ")</f>
        <v> </v>
      </c>
      <c r="IV76" s="48" t="str">
        <f>IFERROR(__xludf.DUMMYFUNCTION("IFERROR(TEXTJOIN(""/"",1,FILTER($B$21:$IV$21,$B$20:$IV$20=IV$97)),"" "")")," ")</f>
        <v> </v>
      </c>
      <c r="IW76" s="48" t="str">
        <f>IFERROR(__xludf.DUMMYFUNCTION("IFERROR(TEXTJOIN(""/"",1,FILTER($B$21:$IV$21,$B$20:$IV$20=IW$97)),"" "")")," ")</f>
        <v> </v>
      </c>
      <c r="IX76" s="48" t="str">
        <f>IFERROR(__xludf.DUMMYFUNCTION("IFERROR(TEXTJOIN(""/"",1,FILTER($B$21:$IV$21,$B$20:$IV$20=IX$97)),"" "")")," ")</f>
        <v> </v>
      </c>
      <c r="IY76" s="48" t="str">
        <f>IFERROR(__xludf.DUMMYFUNCTION("IFERROR(TEXTJOIN(""/"",1,FILTER($B$21:$IV$21,$B$20:$IV$20=IY$97)),"" "")")," ")</f>
        <v> </v>
      </c>
      <c r="IZ76" s="48" t="str">
        <f>IFERROR(__xludf.DUMMYFUNCTION("IFERROR(TEXTJOIN(""/"",1,FILTER($B$21:$IV$21,$B$20:$IV$20=IZ$97)),"" "")")," ")</f>
        <v> </v>
      </c>
      <c r="JA76" s="48" t="str">
        <f>IFERROR(__xludf.DUMMYFUNCTION("IFERROR(TEXTJOIN(""/"",1,FILTER($B$21:$IV$21,$B$20:$IV$20=JA$97)),"" "")")," ")</f>
        <v> </v>
      </c>
      <c r="JB76" s="48" t="str">
        <f>IFERROR(__xludf.DUMMYFUNCTION("IFERROR(TEXTJOIN(""/"",1,FILTER($B$21:$IV$21,$B$20:$IV$20=JB$97)),"" "")")," ")</f>
        <v> </v>
      </c>
      <c r="JC76" s="48" t="str">
        <f>IFERROR(__xludf.DUMMYFUNCTION("IFERROR(TEXTJOIN(""/"",1,FILTER($B$21:$IV$21,$B$20:$IV$20=JC$97)),"" "")")," ")</f>
        <v> </v>
      </c>
      <c r="JD76" s="48" t="str">
        <f>IFERROR(__xludf.DUMMYFUNCTION("IFERROR(TEXTJOIN(""/"",1,FILTER($B$21:$IV$21,$B$20:$IV$20=JD$97)),"" "")")," ")</f>
        <v> </v>
      </c>
      <c r="JE76" s="48" t="str">
        <f>IFERROR(__xludf.DUMMYFUNCTION("IFERROR(TEXTJOIN(""/"",1,FILTER($B$21:$IV$21,$B$20:$IV$20=JE$97)),"" "")")," ")</f>
        <v> </v>
      </c>
    </row>
    <row r="77">
      <c r="A77" s="47" t="str">
        <f>IFERROR(__xludf.DUMMYFUNCTION("""COMPUTED_VALUE"""),"Математика")</f>
        <v>Математика</v>
      </c>
      <c r="B77" s="48" t="str">
        <f>IFERROR(__xludf.DUMMYFUNCTION("IFERROR(TEXTJOIN(""/"",1,FILTER($B$24:$IV$24,$B$23:$IV$23=B$97)),"" "")"),"")</f>
        <v/>
      </c>
      <c r="C77" s="48" t="str">
        <f>IFERROR(__xludf.DUMMYFUNCTION("IFERROR(TEXTJOIN(""/"",1,FILTER($B$24:$IV$24,$B$23:$IV$23=C$97)),"" "")"),"")</f>
        <v/>
      </c>
      <c r="D77" s="48" t="str">
        <f>IFERROR(__xludf.DUMMYFUNCTION("IFERROR(TEXTJOIN(""/"",1,FILTER($B$24:$IV$24,$B$23:$IV$23=D$97)),"" "")"),"")</f>
        <v/>
      </c>
      <c r="E77" s="48" t="str">
        <f>IFERROR(__xludf.DUMMYFUNCTION("IFERROR(TEXTJOIN(""/"",1,FILTER($B$24:$IV$24,$B$23:$IV$23=E$97)),"" "")"),"")</f>
        <v/>
      </c>
      <c r="F77" s="48" t="str">
        <f>IFERROR(__xludf.DUMMYFUNCTION("IFERROR(TEXTJOIN(""/"",1,FILTER($B$24:$IV$24,$B$23:$IV$23=F$97)),"" "")")," ")</f>
        <v> </v>
      </c>
      <c r="G77" s="48" t="str">
        <f>IFERROR(__xludf.DUMMYFUNCTION("IFERROR(TEXTJOIN(""/"",1,FILTER($B$24:$IV$24,$B$23:$IV$23=G$97)),"" "")")," ")</f>
        <v> </v>
      </c>
      <c r="H77" s="48" t="str">
        <f>IFERROR(__xludf.DUMMYFUNCTION("IFERROR(TEXTJOIN(""/"",1,FILTER($B$24:$IV$24,$B$23:$IV$23=H$97)),"" "")")," ")</f>
        <v> </v>
      </c>
      <c r="I77" s="48" t="str">
        <f>IFERROR(__xludf.DUMMYFUNCTION("IFERROR(TEXTJOIN(""/"",1,FILTER($B$24:$IV$24,$B$23:$IV$23=I$97)),"" "")"),"")</f>
        <v/>
      </c>
      <c r="J77" s="48" t="str">
        <f>IFERROR(__xludf.DUMMYFUNCTION("IFERROR(TEXTJOIN(""/"",1,FILTER($B$24:$IV$24,$B$23:$IV$23=J$97)),"" "")"),"4")</f>
        <v>4</v>
      </c>
      <c r="K77" s="48" t="str">
        <f>IFERROR(__xludf.DUMMYFUNCTION("IFERROR(TEXTJOIN(""/"",1,FILTER($B$24:$IV$24,$B$23:$IV$23=K$97)),"" "")"),"")</f>
        <v/>
      </c>
      <c r="L77" s="48" t="str">
        <f>IFERROR(__xludf.DUMMYFUNCTION("IFERROR(TEXTJOIN(""/"",1,FILTER($B$24:$IV$24,$B$23:$IV$23=L$97)),"" "")"),"")</f>
        <v/>
      </c>
      <c r="M77" s="48" t="str">
        <f>IFERROR(__xludf.DUMMYFUNCTION("IFERROR(TEXTJOIN(""/"",1,FILTER($B$24:$IV$24,$B$23:$IV$23=M$97)),"" "")")," ")</f>
        <v> </v>
      </c>
      <c r="N77" s="48" t="str">
        <f>IFERROR(__xludf.DUMMYFUNCTION("IFERROR(TEXTJOIN(""/"",1,FILTER($B$24:$IV$24,$B$23:$IV$23=N$97)),"" "")")," ")</f>
        <v> </v>
      </c>
      <c r="O77" s="48" t="str">
        <f>IFERROR(__xludf.DUMMYFUNCTION("IFERROR(TEXTJOIN(""/"",1,FILTER($B$24:$IV$24,$B$23:$IV$23=O$97)),"" "")")," ")</f>
        <v> </v>
      </c>
      <c r="P77" s="48" t="str">
        <f>IFERROR(__xludf.DUMMYFUNCTION("IFERROR(TEXTJOIN(""/"",1,FILTER($B$24:$IV$24,$B$23:$IV$23=P$97)),"" "")"),"5")</f>
        <v>5</v>
      </c>
      <c r="Q77" s="48" t="str">
        <f>IFERROR(__xludf.DUMMYFUNCTION("IFERROR(TEXTJOIN(""/"",1,FILTER($B$24:$IV$24,$B$23:$IV$23=Q$97)),"" "")"),"5")</f>
        <v>5</v>
      </c>
      <c r="R77" s="48" t="str">
        <f>IFERROR(__xludf.DUMMYFUNCTION("IFERROR(TEXTJOIN(""/"",1,FILTER($B$24:$IV$24,$B$23:$IV$23=R$97)),"" "")"),"")</f>
        <v/>
      </c>
      <c r="S77" s="48" t="str">
        <f>IFERROR(__xludf.DUMMYFUNCTION("IFERROR(TEXTJOIN(""/"",1,FILTER($B$24:$IV$24,$B$23:$IV$23=S$97)),"" "")")," ")</f>
        <v> </v>
      </c>
      <c r="T77" s="48" t="str">
        <f>IFERROR(__xludf.DUMMYFUNCTION("IFERROR(TEXTJOIN(""/"",1,FILTER($B$24:$IV$24,$B$23:$IV$23=T$97)),"" "")"),"")</f>
        <v/>
      </c>
      <c r="U77" s="48" t="str">
        <f>IFERROR(__xludf.DUMMYFUNCTION("IFERROR(TEXTJOIN(""/"",1,FILTER($B$24:$IV$24,$B$23:$IV$23=U$97)),"" "")")," ")</f>
        <v> </v>
      </c>
      <c r="V77" s="48" t="str">
        <f>IFERROR(__xludf.DUMMYFUNCTION("IFERROR(TEXTJOIN(""/"",1,FILTER($B$24:$IV$24,$B$23:$IV$23=V$97)),"" "")")," ")</f>
        <v> </v>
      </c>
      <c r="W77" s="48" t="str">
        <f>IFERROR(__xludf.DUMMYFUNCTION("IFERROR(TEXTJOIN(""/"",1,FILTER($B$24:$IV$24,$B$23:$IV$23=W$97)),"" "")"),"5")</f>
        <v>5</v>
      </c>
      <c r="X77" s="48" t="str">
        <f>IFERROR(__xludf.DUMMYFUNCTION("IFERROR(TEXTJOIN(""/"",1,FILTER($B$24:$IV$24,$B$23:$IV$23=X$97)),"" "")"),"5")</f>
        <v>5</v>
      </c>
      <c r="Y77" s="48" t="str">
        <f>IFERROR(__xludf.DUMMYFUNCTION("IFERROR(TEXTJOIN(""/"",1,FILTER($B$24:$IV$24,$B$23:$IV$23=Y$97)),"" "")"),"5")</f>
        <v>5</v>
      </c>
      <c r="Z77" s="48" t="str">
        <f>IFERROR(__xludf.DUMMYFUNCTION("IFERROR(TEXTJOIN(""/"",1,FILTER($B$24:$IV$24,$B$23:$IV$23=Z$97)),"" "")")," ")</f>
        <v> </v>
      </c>
      <c r="AA77" s="48" t="str">
        <f>IFERROR(__xludf.DUMMYFUNCTION("IFERROR(TEXTJOIN(""/"",1,FILTER($B$24:$IV$24,$B$23:$IV$23=AA$97)),"" "")"),"")</f>
        <v/>
      </c>
      <c r="AB77" s="48" t="str">
        <f>IFERROR(__xludf.DUMMYFUNCTION("IFERROR(TEXTJOIN(""/"",1,FILTER($B$24:$IV$24,$B$23:$IV$23=AB$97)),"" "")")," ")</f>
        <v> </v>
      </c>
      <c r="AC77" s="48" t="str">
        <f>IFERROR(__xludf.DUMMYFUNCTION("IFERROR(TEXTJOIN(""/"",1,FILTER($B$24:$IV$24,$B$23:$IV$23=AC$97)),"" "")")," ")</f>
        <v> </v>
      </c>
      <c r="AD77" s="48" t="str">
        <f>IFERROR(__xludf.DUMMYFUNCTION("IFERROR(TEXTJOIN(""/"",1,FILTER($B$24:$IV$24,$B$23:$IV$23=AD$97)),"" "")"),"5")</f>
        <v>5</v>
      </c>
      <c r="AE77" s="48" t="str">
        <f>IFERROR(__xludf.DUMMYFUNCTION("IFERROR(TEXTJOIN(""/"",1,FILTER($B$24:$IV$24,$B$23:$IV$23=AE$97)),"" "")")," ")</f>
        <v> </v>
      </c>
      <c r="AF77" s="48" t="str">
        <f>IFERROR(__xludf.DUMMYFUNCTION("IFERROR(TEXTJOIN(""/"",1,FILTER($B$24:$IV$24,$B$23:$IV$23=AF$97)),"" "")"),"")</f>
        <v/>
      </c>
      <c r="AG77" s="48" t="str">
        <f>IFERROR(__xludf.DUMMYFUNCTION("IFERROR(TEXTJOIN(""/"",1,FILTER($B$24:$IV$24,$B$23:$IV$23=AG$97)),"" "")")," ")</f>
        <v> </v>
      </c>
      <c r="AH77" s="48" t="str">
        <f>IFERROR(__xludf.DUMMYFUNCTION("IFERROR(TEXTJOIN(""/"",1,FILTER($B$24:$IV$24,$B$23:$IV$23=AH$97)),"" "")"),"")</f>
        <v/>
      </c>
      <c r="AI77" s="48" t="str">
        <f>IFERROR(__xludf.DUMMYFUNCTION("IFERROR(TEXTJOIN(""/"",1,FILTER($B$24:$IV$24,$B$23:$IV$23=AI$97)),"" "")")," ")</f>
        <v> </v>
      </c>
      <c r="AJ77" s="48" t="str">
        <f>IFERROR(__xludf.DUMMYFUNCTION("IFERROR(TEXTJOIN(""/"",1,FILTER($B$24:$IV$24,$B$23:$IV$23=AJ$97)),"" "")")," ")</f>
        <v> </v>
      </c>
      <c r="AK77" s="48" t="str">
        <f>IFERROR(__xludf.DUMMYFUNCTION("IFERROR(TEXTJOIN(""/"",1,FILTER($B$24:$IV$24,$B$23:$IV$23=AK$97)),"" "")"),"4")</f>
        <v>4</v>
      </c>
      <c r="AL77" s="48" t="str">
        <f>IFERROR(__xludf.DUMMYFUNCTION("IFERROR(TEXTJOIN(""/"",1,FILTER($B$24:$IV$24,$B$23:$IV$23=AL$97)),"" "")"),"")</f>
        <v/>
      </c>
      <c r="AM77" s="48" t="str">
        <f>IFERROR(__xludf.DUMMYFUNCTION("IFERROR(TEXTJOIN(""/"",1,FILTER($B$24:$IV$24,$B$23:$IV$23=AM$97)),"" "")"),"")</f>
        <v/>
      </c>
      <c r="AN77" s="48" t="str">
        <f>IFERROR(__xludf.DUMMYFUNCTION("IFERROR(TEXTJOIN(""/"",1,FILTER($B$24:$IV$24,$B$23:$IV$23=AN$97)),"" "")")," ")</f>
        <v> </v>
      </c>
      <c r="AO77" s="48" t="str">
        <f>IFERROR(__xludf.DUMMYFUNCTION("IFERROR(TEXTJOIN(""/"",1,FILTER($B$24:$IV$24,$B$23:$IV$23=AO$97)),"" "")"),"")</f>
        <v/>
      </c>
      <c r="AP77" s="48" t="str">
        <f>IFERROR(__xludf.DUMMYFUNCTION("IFERROR(TEXTJOIN(""/"",1,FILTER($B$24:$IV$24,$B$23:$IV$23=AP$97)),"" "")")," ")</f>
        <v> </v>
      </c>
      <c r="AQ77" s="48" t="str">
        <f>IFERROR(__xludf.DUMMYFUNCTION("IFERROR(TEXTJOIN(""/"",1,FILTER($B$24:$IV$24,$B$23:$IV$23=AQ$97)),"" "")")," ")</f>
        <v> </v>
      </c>
      <c r="AR77" s="48" t="str">
        <f>IFERROR(__xludf.DUMMYFUNCTION("IFERROR(TEXTJOIN(""/"",1,FILTER($B$24:$IV$24,$B$23:$IV$23=AR$97)),"" "")"),"4")</f>
        <v>4</v>
      </c>
      <c r="AS77" s="48" t="str">
        <f>IFERROR(__xludf.DUMMYFUNCTION("IFERROR(TEXTJOIN(""/"",1,FILTER($B$24:$IV$24,$B$23:$IV$23=AS$97)),"" "")"),"")</f>
        <v/>
      </c>
      <c r="AT77" s="48" t="str">
        <f>IFERROR(__xludf.DUMMYFUNCTION("IFERROR(TEXTJOIN(""/"",1,FILTER($B$24:$IV$24,$B$23:$IV$23=AT$97)),"" "")"),"")</f>
        <v/>
      </c>
      <c r="AU77" s="48" t="str">
        <f>IFERROR(__xludf.DUMMYFUNCTION("IFERROR(TEXTJOIN(""/"",1,FILTER($B$24:$IV$24,$B$23:$IV$23=AU$97)),"" "")"),"")</f>
        <v/>
      </c>
      <c r="AV77" s="48" t="str">
        <f>IFERROR(__xludf.DUMMYFUNCTION("IFERROR(TEXTJOIN(""/"",1,FILTER($B$24:$IV$24,$B$23:$IV$23=AV$97)),"" "")"),"5")</f>
        <v>5</v>
      </c>
      <c r="AW77" s="48" t="str">
        <f>IFERROR(__xludf.DUMMYFUNCTION("IFERROR(TEXTJOIN(""/"",1,FILTER($B$24:$IV$24,$B$23:$IV$23=AW$97)),"" "")"),"")</f>
        <v/>
      </c>
      <c r="AX77" s="48" t="str">
        <f>IFERROR(__xludf.DUMMYFUNCTION("IFERROR(TEXTJOIN(""/"",1,FILTER($B$24:$IV$24,$B$23:$IV$23=AX$97)),"" "")"),"")</f>
        <v/>
      </c>
      <c r="AY77" s="48" t="str">
        <f>IFERROR(__xludf.DUMMYFUNCTION("IFERROR(TEXTJOIN(""/"",1,FILTER($B$24:$IV$24,$B$23:$IV$23=AY$97)),"" "")"),"")</f>
        <v/>
      </c>
      <c r="AZ77" s="48" t="str">
        <f>IFERROR(__xludf.DUMMYFUNCTION("IFERROR(TEXTJOIN(""/"",1,FILTER($B$24:$IV$24,$B$23:$IV$23=AZ$97)),"" "")"),"5")</f>
        <v>5</v>
      </c>
      <c r="BA77" s="48" t="str">
        <f>IFERROR(__xludf.DUMMYFUNCTION("IFERROR(TEXTJOIN(""/"",1,FILTER($B$24:$IV$24,$B$23:$IV$23=BA$97)),"" "")"),"")</f>
        <v/>
      </c>
      <c r="BB77" s="48" t="str">
        <f>IFERROR(__xludf.DUMMYFUNCTION("IFERROR(TEXTJOIN(""/"",1,FILTER($B$24:$IV$24,$B$23:$IV$23=BB$97)),"" "")"),"")</f>
        <v/>
      </c>
      <c r="BC77" s="48" t="str">
        <f>IFERROR(__xludf.DUMMYFUNCTION("IFERROR(TEXTJOIN(""/"",1,FILTER($B$24:$IV$24,$B$23:$IV$23=BC$97)),"" "")"),"")</f>
        <v/>
      </c>
      <c r="BD77" s="48" t="str">
        <f>IFERROR(__xludf.DUMMYFUNCTION("IFERROR(TEXTJOIN(""/"",1,FILTER($B$24:$IV$24,$B$23:$IV$23=BD$97)),"" "")"),"")</f>
        <v/>
      </c>
      <c r="BE77" s="48" t="str">
        <f>IFERROR(__xludf.DUMMYFUNCTION("IFERROR(TEXTJOIN(""/"",1,FILTER($B$24:$IV$24,$B$23:$IV$23=BE$97)),"" "")"),"")</f>
        <v/>
      </c>
      <c r="BF77" s="48" t="str">
        <f>IFERROR(__xludf.DUMMYFUNCTION("IFERROR(TEXTJOIN(""/"",1,FILTER($B$24:$IV$24,$B$23:$IV$23=BF$97)),"" "")"),"")</f>
        <v/>
      </c>
      <c r="BG77" s="48" t="str">
        <f>IFERROR(__xludf.DUMMYFUNCTION("IFERROR(TEXTJOIN(""/"",1,FILTER($B$24:$IV$24,$B$23:$IV$23=BG$97)),"" "")"),"3")</f>
        <v>3</v>
      </c>
      <c r="BH77" s="48" t="str">
        <f>IFERROR(__xludf.DUMMYFUNCTION("IFERROR(TEXTJOIN(""/"",1,FILTER($B$24:$IV$24,$B$23:$IV$23=BH$97)),"" "")"),"5")</f>
        <v>5</v>
      </c>
      <c r="BI77" s="48" t="str">
        <f>IFERROR(__xludf.DUMMYFUNCTION("IFERROR(TEXTJOIN(""/"",1,FILTER($B$24:$IV$24,$B$23:$IV$23=BI$97)),"" "")"),"")</f>
        <v/>
      </c>
      <c r="BJ77" s="48" t="str">
        <f>IFERROR(__xludf.DUMMYFUNCTION("IFERROR(TEXTJOIN(""/"",1,FILTER($B$24:$IV$24,$B$23:$IV$23=BJ$97)),"" "")")," ")</f>
        <v> </v>
      </c>
      <c r="BK77" s="48" t="str">
        <f>IFERROR(__xludf.DUMMYFUNCTION("IFERROR(TEXTJOIN(""/"",1,FILTER($B$24:$IV$24,$B$23:$IV$23=BK$97)),"" "")")," ")</f>
        <v> </v>
      </c>
      <c r="BL77" s="48" t="str">
        <f>IFERROR(__xludf.DUMMYFUNCTION("IFERROR(TEXTJOIN(""/"",1,FILTER($B$24:$IV$24,$B$23:$IV$23=BL$97)),"" "")")," ")</f>
        <v> </v>
      </c>
      <c r="BM77" s="48" t="str">
        <f>IFERROR(__xludf.DUMMYFUNCTION("IFERROR(TEXTJOIN(""/"",1,FILTER($B$24:$IV$24,$B$23:$IV$23=BM$97)),"" "")")," ")</f>
        <v> </v>
      </c>
      <c r="BN77" s="48" t="str">
        <f>IFERROR(__xludf.DUMMYFUNCTION("IFERROR(TEXTJOIN(""/"",1,FILTER($B$24:$IV$24,$B$23:$IV$23=BN$97)),"" "")")," ")</f>
        <v> </v>
      </c>
      <c r="BO77" s="48" t="str">
        <f>IFERROR(__xludf.DUMMYFUNCTION("IFERROR(TEXTJOIN(""/"",1,FILTER($B$24:$IV$24,$B$23:$IV$23=BO$97)),"" "")")," ")</f>
        <v> </v>
      </c>
      <c r="BP77" s="48" t="str">
        <f>IFERROR(__xludf.DUMMYFUNCTION("IFERROR(TEXTJOIN(""/"",1,FILTER($B$24:$IV$24,$B$23:$IV$23=BP$97)),"" "")")," ")</f>
        <v> </v>
      </c>
      <c r="BQ77" s="48" t="str">
        <f>IFERROR(__xludf.DUMMYFUNCTION("IFERROR(TEXTJOIN(""/"",1,FILTER($B$24:$IV$24,$B$23:$IV$23=BQ$97)),"" "")")," ")</f>
        <v> </v>
      </c>
      <c r="BR77" s="48" t="str">
        <f>IFERROR(__xludf.DUMMYFUNCTION("IFERROR(TEXTJOIN(""/"",1,FILTER($B$24:$IV$24,$B$23:$IV$23=BR$97)),"" "")")," ")</f>
        <v> </v>
      </c>
      <c r="BS77" s="48" t="str">
        <f>IFERROR(__xludf.DUMMYFUNCTION("IFERROR(TEXTJOIN(""/"",1,FILTER($B$24:$IV$24,$B$23:$IV$23=BS$97)),"" "")")," ")</f>
        <v> </v>
      </c>
      <c r="BT77" s="48" t="str">
        <f>IFERROR(__xludf.DUMMYFUNCTION("IFERROR(TEXTJOIN(""/"",1,FILTER($B$24:$IV$24,$B$23:$IV$23=BT$97)),"" "")"),"")</f>
        <v/>
      </c>
      <c r="BU77" s="48" t="str">
        <f>IFERROR(__xludf.DUMMYFUNCTION("IFERROR(TEXTJOIN(""/"",1,FILTER($B$24:$IV$24,$B$23:$IV$23=BU$97)),"" "")"),"")</f>
        <v/>
      </c>
      <c r="BV77" s="48" t="str">
        <f>IFERROR(__xludf.DUMMYFUNCTION("IFERROR(TEXTJOIN(""/"",1,FILTER($B$24:$IV$24,$B$23:$IV$23=BV$97)),"" "")"),"3")</f>
        <v>3</v>
      </c>
      <c r="BW77" s="48" t="str">
        <f>IFERROR(__xludf.DUMMYFUNCTION("IFERROR(TEXTJOIN(""/"",1,FILTER($B$24:$IV$24,$B$23:$IV$23=BW$97)),"" "")")," ")</f>
        <v> </v>
      </c>
      <c r="BX77" s="48" t="str">
        <f>IFERROR(__xludf.DUMMYFUNCTION("IFERROR(TEXTJOIN(""/"",1,FILTER($B$24:$IV$24,$B$23:$IV$23=BX$97)),"" "")"),"")</f>
        <v/>
      </c>
      <c r="BY77" s="48" t="str">
        <f>IFERROR(__xludf.DUMMYFUNCTION("IFERROR(TEXTJOIN(""/"",1,FILTER($B$24:$IV$24,$B$23:$IV$23=BY$97)),"" "")")," ")</f>
        <v> </v>
      </c>
      <c r="BZ77" s="48" t="str">
        <f>IFERROR(__xludf.DUMMYFUNCTION("IFERROR(TEXTJOIN(""/"",1,FILTER($B$24:$IV$24,$B$23:$IV$23=BZ$97)),"" "")")," ")</f>
        <v> </v>
      </c>
      <c r="CA77" s="48" t="str">
        <f>IFERROR(__xludf.DUMMYFUNCTION("IFERROR(TEXTJOIN(""/"",1,FILTER($B$24:$IV$24,$B$23:$IV$23=CA$97)),"" "")"),"н/н")</f>
        <v>н/н</v>
      </c>
      <c r="CB77" s="48" t="str">
        <f>IFERROR(__xludf.DUMMYFUNCTION("IFERROR(TEXTJOIN(""/"",1,FILTER($B$24:$IV$24,$B$23:$IV$23=CB$97)),"" "")"),"2")</f>
        <v>2</v>
      </c>
      <c r="CC77" s="48" t="str">
        <f>IFERROR(__xludf.DUMMYFUNCTION("IFERROR(TEXTJOIN(""/"",1,FILTER($B$24:$IV$24,$B$23:$IV$23=CC$97)),"" "")"),"")</f>
        <v/>
      </c>
      <c r="CD77" s="48" t="str">
        <f>IFERROR(__xludf.DUMMYFUNCTION("IFERROR(TEXTJOIN(""/"",1,FILTER($B$24:$IV$24,$B$23:$IV$23=CD$97)),"" "")")," ")</f>
        <v> </v>
      </c>
      <c r="CE77" s="48" t="str">
        <f>IFERROR(__xludf.DUMMYFUNCTION("IFERROR(TEXTJOIN(""/"",1,FILTER($B$24:$IV$24,$B$23:$IV$23=CE$97)),"" "")"),"н/н")</f>
        <v>н/н</v>
      </c>
      <c r="CF77" s="48" t="str">
        <f>IFERROR(__xludf.DUMMYFUNCTION("IFERROR(TEXTJOIN(""/"",1,FILTER($B$24:$IV$24,$B$23:$IV$23=CF$97)),"" "")")," ")</f>
        <v> </v>
      </c>
      <c r="CG77" s="48" t="str">
        <f>IFERROR(__xludf.DUMMYFUNCTION("IFERROR(TEXTJOIN(""/"",1,FILTER($B$24:$IV$24,$B$23:$IV$23=CG$97)),"" "")")," ")</f>
        <v> </v>
      </c>
      <c r="CH77" s="48" t="str">
        <f>IFERROR(__xludf.DUMMYFUNCTION("IFERROR(TEXTJOIN(""/"",1,FILTER($B$24:$IV$24,$B$23:$IV$23=CH$97)),"" "")"),"5")</f>
        <v>5</v>
      </c>
      <c r="CI77" s="48" t="str">
        <f>IFERROR(__xludf.DUMMYFUNCTION("IFERROR(TEXTJOIN(""/"",1,FILTER($B$24:$IV$24,$B$23:$IV$23=CI$97)),"" "")"),"3")</f>
        <v>3</v>
      </c>
      <c r="CJ77" s="48" t="str">
        <f>IFERROR(__xludf.DUMMYFUNCTION("IFERROR(TEXTJOIN(""/"",1,FILTER($B$24:$IV$24,$B$23:$IV$23=CJ$97)),"" "")"),"")</f>
        <v/>
      </c>
      <c r="CK77" s="48" t="str">
        <f>IFERROR(__xludf.DUMMYFUNCTION("IFERROR(TEXTJOIN(""/"",1,FILTER($B$24:$IV$24,$B$23:$IV$23=CK$97)),"" "")")," ")</f>
        <v> </v>
      </c>
      <c r="CL77" s="48" t="str">
        <f>IFERROR(__xludf.DUMMYFUNCTION("IFERROR(TEXTJOIN(""/"",1,FILTER($B$24:$IV$24,$B$23:$IV$23=CL$97)),"" "")"),"5")</f>
        <v>5</v>
      </c>
      <c r="CM77" s="48" t="str">
        <f>IFERROR(__xludf.DUMMYFUNCTION("IFERROR(TEXTJOIN(""/"",1,FILTER($B$24:$IV$24,$B$23:$IV$23=CM$97)),"" "")")," ")</f>
        <v> </v>
      </c>
      <c r="CN77" s="48" t="str">
        <f>IFERROR(__xludf.DUMMYFUNCTION("IFERROR(TEXTJOIN(""/"",1,FILTER($B$24:$IV$24,$B$23:$IV$23=CN$97)),"" "")")," ")</f>
        <v> </v>
      </c>
      <c r="CO77" s="48" t="str">
        <f>IFERROR(__xludf.DUMMYFUNCTION("IFERROR(TEXTJOIN(""/"",1,FILTER($B$24:$IV$24,$B$23:$IV$23=CO$97)),"" "")"),"")</f>
        <v/>
      </c>
      <c r="CP77" s="48" t="str">
        <f>IFERROR(__xludf.DUMMYFUNCTION("IFERROR(TEXTJOIN(""/"",1,FILTER($B$24:$IV$24,$B$23:$IV$23=CP$97)),"" "")"),"")</f>
        <v/>
      </c>
      <c r="CQ77" s="48" t="str">
        <f>IFERROR(__xludf.DUMMYFUNCTION("IFERROR(TEXTJOIN(""/"",1,FILTER($B$24:$IV$24,$B$23:$IV$23=CQ$97)),"" "")"),"")</f>
        <v/>
      </c>
      <c r="CR77" s="48" t="str">
        <f>IFERROR(__xludf.DUMMYFUNCTION("IFERROR(TEXTJOIN(""/"",1,FILTER($B$24:$IV$24,$B$23:$IV$23=CR$97)),"" "")")," ")</f>
        <v> </v>
      </c>
      <c r="CS77" s="48" t="str">
        <f>IFERROR(__xludf.DUMMYFUNCTION("IFERROR(TEXTJOIN(""/"",1,FILTER($B$24:$IV$24,$B$23:$IV$23=CS$97)),"" "")"),"")</f>
        <v/>
      </c>
      <c r="CT77" s="48" t="str">
        <f>IFERROR(__xludf.DUMMYFUNCTION("IFERROR(TEXTJOIN(""/"",1,FILTER($B$24:$IV$24,$B$23:$IV$23=CT$97)),"" "")")," ")</f>
        <v> </v>
      </c>
      <c r="CU77" s="48" t="str">
        <f>IFERROR(__xludf.DUMMYFUNCTION("IFERROR(TEXTJOIN(""/"",1,FILTER($B$24:$IV$24,$B$23:$IV$23=CU$97)),"" "")")," ")</f>
        <v> </v>
      </c>
      <c r="CV77" s="48" t="str">
        <f>IFERROR(__xludf.DUMMYFUNCTION("IFERROR(TEXTJOIN(""/"",1,FILTER($B$24:$IV$24,$B$23:$IV$23=CV$97)),"" "")"),"")</f>
        <v/>
      </c>
      <c r="CW77" s="48" t="str">
        <f>IFERROR(__xludf.DUMMYFUNCTION("IFERROR(TEXTJOIN(""/"",1,FILTER($B$24:$IV$24,$B$23:$IV$23=CW$97)),"" "")"),"4")</f>
        <v>4</v>
      </c>
      <c r="CX77" s="48" t="str">
        <f>IFERROR(__xludf.DUMMYFUNCTION("IFERROR(TEXTJOIN(""/"",1,FILTER($B$24:$IV$24,$B$23:$IV$23=CX$97)),"" "")"),"")</f>
        <v/>
      </c>
      <c r="CY77" s="48" t="str">
        <f>IFERROR(__xludf.DUMMYFUNCTION("IFERROR(TEXTJOIN(""/"",1,FILTER($B$24:$IV$24,$B$23:$IV$23=CY$97)),"" "")"),"")</f>
        <v/>
      </c>
      <c r="CZ77" s="48" t="str">
        <f>IFERROR(__xludf.DUMMYFUNCTION("IFERROR(TEXTJOIN(""/"",1,FILTER($B$24:$IV$24,$B$23:$IV$23=CZ$97)),"" "")"),"4")</f>
        <v>4</v>
      </c>
      <c r="DA77" s="48" t="str">
        <f>IFERROR(__xludf.DUMMYFUNCTION("IFERROR(TEXTJOIN(""/"",1,FILTER($B$24:$IV$24,$B$23:$IV$23=DA$97)),"" "")"),"")</f>
        <v/>
      </c>
      <c r="DB77" s="48" t="str">
        <f>IFERROR(__xludf.DUMMYFUNCTION("IFERROR(TEXTJOIN(""/"",1,FILTER($B$24:$IV$24,$B$23:$IV$23=DB$97)),"" "")"),"")</f>
        <v/>
      </c>
      <c r="DC77" s="48" t="str">
        <f>IFERROR(__xludf.DUMMYFUNCTION("IFERROR(TEXTJOIN(""/"",1,FILTER($B$24:$IV$24,$B$23:$IV$23=DC$97)),"" "")"),"5")</f>
        <v>5</v>
      </c>
      <c r="DD77" s="48" t="str">
        <f>IFERROR(__xludf.DUMMYFUNCTION("IFERROR(TEXTJOIN(""/"",1,FILTER($B$24:$IV$24,$B$23:$IV$23=DD$97)),"" "")"),"")</f>
        <v/>
      </c>
      <c r="DE77" s="48" t="str">
        <f>IFERROR(__xludf.DUMMYFUNCTION("IFERROR(TEXTJOIN(""/"",1,FILTER($B$24:$IV$24,$B$23:$IV$23=DE$97)),"" "")"),"5")</f>
        <v>5</v>
      </c>
      <c r="DF77" s="48" t="str">
        <f>IFERROR(__xludf.DUMMYFUNCTION("IFERROR(TEXTJOIN(""/"",1,FILTER($B$24:$IV$24,$B$23:$IV$23=DF$97)),"" "")"),"")</f>
        <v/>
      </c>
      <c r="DG77" s="48" t="str">
        <f>IFERROR(__xludf.DUMMYFUNCTION("IFERROR(TEXTJOIN(""/"",1,FILTER($B$24:$IV$24,$B$23:$IV$23=DG$97)),"" "")"),"5")</f>
        <v>5</v>
      </c>
      <c r="DH77" s="48" t="str">
        <f>IFERROR(__xludf.DUMMYFUNCTION("IFERROR(TEXTJOIN(""/"",1,FILTER($B$24:$IV$24,$B$23:$IV$23=DH$97)),"" "")"),"")</f>
        <v/>
      </c>
      <c r="DI77" s="48" t="str">
        <f>IFERROR(__xludf.DUMMYFUNCTION("IFERROR(TEXTJOIN(""/"",1,FILTER($B$24:$IV$24,$B$23:$IV$23=DI$97)),"" "")"),"")</f>
        <v/>
      </c>
      <c r="DJ77" s="48" t="str">
        <f>IFERROR(__xludf.DUMMYFUNCTION("IFERROR(TEXTJOIN(""/"",1,FILTER($B$24:$IV$24,$B$23:$IV$23=DJ$97)),"" "")"),"н")</f>
        <v>н</v>
      </c>
      <c r="DK77" s="48" t="str">
        <f>IFERROR(__xludf.DUMMYFUNCTION("IFERROR(TEXTJOIN(""/"",1,FILTER($B$24:$IV$24,$B$23:$IV$23=DK$97)),"" "")"),"")</f>
        <v/>
      </c>
      <c r="DL77" s="48" t="str">
        <f>IFERROR(__xludf.DUMMYFUNCTION("IFERROR(TEXTJOIN(""/"",1,FILTER($B$24:$IV$24,$B$23:$IV$23=DL$97)),"" "")"),"")</f>
        <v/>
      </c>
      <c r="DM77" s="48" t="str">
        <f>IFERROR(__xludf.DUMMYFUNCTION("IFERROR(TEXTJOIN(""/"",1,FILTER($B$24:$IV$24,$B$23:$IV$23=DM$97)),"" "")"),"5")</f>
        <v>5</v>
      </c>
      <c r="DN77" s="48" t="str">
        <f>IFERROR(__xludf.DUMMYFUNCTION("IFERROR(TEXTJOIN(""/"",1,FILTER($B$24:$IV$24,$B$23:$IV$23=DN$97)),"" "")"),"")</f>
        <v/>
      </c>
      <c r="DO77" s="48" t="str">
        <f>IFERROR(__xludf.DUMMYFUNCTION("IFERROR(TEXTJOIN(""/"",1,FILTER($B$24:$IV$24,$B$23:$IV$23=DO$97)),"" "")")," ")</f>
        <v> </v>
      </c>
      <c r="DP77" s="48" t="str">
        <f>IFERROR(__xludf.DUMMYFUNCTION("IFERROR(TEXTJOIN(""/"",1,FILTER($B$24:$IV$24,$B$23:$IV$23=DP$97)),"" "")")," ")</f>
        <v> </v>
      </c>
      <c r="DQ77" s="48" t="str">
        <f>IFERROR(__xludf.DUMMYFUNCTION("IFERROR(TEXTJOIN(""/"",1,FILTER($B$24:$IV$24,$B$23:$IV$23=DQ$97)),"" "")")," ")</f>
        <v> </v>
      </c>
      <c r="DR77" s="48" t="str">
        <f>IFERROR(__xludf.DUMMYFUNCTION("IFERROR(TEXTJOIN(""/"",1,FILTER($B$24:$IV$24,$B$23:$IV$23=DR$97)),"" "")")," ")</f>
        <v> </v>
      </c>
      <c r="DS77" s="48" t="str">
        <f>IFERROR(__xludf.DUMMYFUNCTION("IFERROR(TEXTJOIN(""/"",1,FILTER($B$24:$IV$24,$B$23:$IV$23=DS$97)),"" "")")," ")</f>
        <v> </v>
      </c>
      <c r="DT77" s="48" t="str">
        <f>IFERROR(__xludf.DUMMYFUNCTION("IFERROR(TEXTJOIN(""/"",1,FILTER($B$24:$IV$24,$B$23:$IV$23=DT$97)),"" "")")," ")</f>
        <v> </v>
      </c>
      <c r="DU77" s="48" t="str">
        <f>IFERROR(__xludf.DUMMYFUNCTION("IFERROR(TEXTJOIN(""/"",1,FILTER($B$24:$IV$24,$B$23:$IV$23=DU$97)),"" "")")," ")</f>
        <v> </v>
      </c>
      <c r="DV77" s="48" t="str">
        <f>IFERROR(__xludf.DUMMYFUNCTION("IFERROR(TEXTJOIN(""/"",1,FILTER($B$24:$IV$24,$B$23:$IV$23=DV$97)),"" "")")," ")</f>
        <v> </v>
      </c>
      <c r="DW77" s="48" t="str">
        <f>IFERROR(__xludf.DUMMYFUNCTION("IFERROR(TEXTJOIN(""/"",1,FILTER($B$24:$IV$24,$B$23:$IV$23=DW$97)),"" "")")," ")</f>
        <v> </v>
      </c>
      <c r="DX77" s="48" t="str">
        <f>IFERROR(__xludf.DUMMYFUNCTION("IFERROR(TEXTJOIN(""/"",1,FILTER($B$24:$IV$24,$B$23:$IV$23=DX$97)),"" "")")," ")</f>
        <v> </v>
      </c>
      <c r="DY77" s="48" t="str">
        <f>IFERROR(__xludf.DUMMYFUNCTION("IFERROR(TEXTJOIN(""/"",1,FILTER($B$24:$IV$24,$B$23:$IV$23=DY$97)),"" "")")," ")</f>
        <v> </v>
      </c>
      <c r="DZ77" s="48" t="str">
        <f>IFERROR(__xludf.DUMMYFUNCTION("IFERROR(TEXTJOIN(""/"",1,FILTER($B$24:$IV$24,$B$23:$IV$23=DZ$97)),"" "")")," ")</f>
        <v> </v>
      </c>
      <c r="EA77" s="48" t="str">
        <f>IFERROR(__xludf.DUMMYFUNCTION("IFERROR(TEXTJOIN(""/"",1,FILTER($B$24:$IV$24,$B$23:$IV$23=EA$97)),"" "")")," ")</f>
        <v> </v>
      </c>
      <c r="EB77" s="48" t="str">
        <f>IFERROR(__xludf.DUMMYFUNCTION("IFERROR(TEXTJOIN(""/"",1,FILTER($B$24:$IV$24,$B$23:$IV$23=EB$97)),"" "")")," ")</f>
        <v> </v>
      </c>
      <c r="EC77" s="48" t="str">
        <f>IFERROR(__xludf.DUMMYFUNCTION("IFERROR(TEXTJOIN(""/"",1,FILTER($B$24:$IV$24,$B$23:$IV$23=EC$97)),"" "")")," ")</f>
        <v> </v>
      </c>
      <c r="ED77" s="48" t="str">
        <f>IFERROR(__xludf.DUMMYFUNCTION("IFERROR(TEXTJOIN(""/"",1,FILTER($B$24:$IV$24,$B$23:$IV$23=ED$97)),"" "")")," ")</f>
        <v> </v>
      </c>
      <c r="EE77" s="48" t="str">
        <f>IFERROR(__xludf.DUMMYFUNCTION("IFERROR(TEXTJOIN(""/"",1,FILTER($B$24:$IV$24,$B$23:$IV$23=EE$97)),"" "")"),"")</f>
        <v/>
      </c>
      <c r="EF77" s="48" t="str">
        <f>IFERROR(__xludf.DUMMYFUNCTION("IFERROR(TEXTJOIN(""/"",1,FILTER($B$24:$IV$24,$B$23:$IV$23=EF$97)),"" "")"),"")</f>
        <v/>
      </c>
      <c r="EG77" s="48" t="str">
        <f>IFERROR(__xludf.DUMMYFUNCTION("IFERROR(TEXTJOIN(""/"",1,FILTER($B$24:$IV$24,$B$23:$IV$23=EG$97)),"" "")"),"")</f>
        <v/>
      </c>
      <c r="EH77" s="48" t="str">
        <f>IFERROR(__xludf.DUMMYFUNCTION("IFERROR(TEXTJOIN(""/"",1,FILTER($B$24:$IV$24,$B$23:$IV$23=EH$97)),"" "")")," ")</f>
        <v> </v>
      </c>
      <c r="EI77" s="48" t="str">
        <f>IFERROR(__xludf.DUMMYFUNCTION("IFERROR(TEXTJOIN(""/"",1,FILTER($B$24:$IV$24,$B$23:$IV$23=EI$97)),"" "")"),"")</f>
        <v/>
      </c>
      <c r="EJ77" s="48" t="str">
        <f>IFERROR(__xludf.DUMMYFUNCTION("IFERROR(TEXTJOIN(""/"",1,FILTER($B$24:$IV$24,$B$23:$IV$23=EJ$97)),"" "")")," ")</f>
        <v> </v>
      </c>
      <c r="EK77" s="48" t="str">
        <f>IFERROR(__xludf.DUMMYFUNCTION("IFERROR(TEXTJOIN(""/"",1,FILTER($B$24:$IV$24,$B$23:$IV$23=EK$97)),"" "")")," ")</f>
        <v> </v>
      </c>
      <c r="EL77" s="48" t="str">
        <f>IFERROR(__xludf.DUMMYFUNCTION("IFERROR(TEXTJOIN(""/"",1,FILTER($B$24:$IV$24,$B$23:$IV$23=EL$97)),"" "")"),"3")</f>
        <v>3</v>
      </c>
      <c r="EM77" s="48" t="str">
        <f>IFERROR(__xludf.DUMMYFUNCTION("IFERROR(TEXTJOIN(""/"",1,FILTER($B$24:$IV$24,$B$23:$IV$23=EM$97)),"" "")"),"")</f>
        <v/>
      </c>
      <c r="EN77" s="48" t="str">
        <f>IFERROR(__xludf.DUMMYFUNCTION("IFERROR(TEXTJOIN(""/"",1,FILTER($B$24:$IV$24,$B$23:$IV$23=EN$97)),"" "")"),"")</f>
        <v/>
      </c>
      <c r="EO77" s="48" t="str">
        <f>IFERROR(__xludf.DUMMYFUNCTION("IFERROR(TEXTJOIN(""/"",1,FILTER($B$24:$IV$24,$B$23:$IV$23=EO$97)),"" "")")," ")</f>
        <v> </v>
      </c>
      <c r="EP77" s="48" t="str">
        <f>IFERROR(__xludf.DUMMYFUNCTION("IFERROR(TEXTJOIN(""/"",1,FILTER($B$24:$IV$24,$B$23:$IV$23=EP$97)),"" "")"),"4")</f>
        <v>4</v>
      </c>
      <c r="EQ77" s="48" t="str">
        <f>IFERROR(__xludf.DUMMYFUNCTION("IFERROR(TEXTJOIN(""/"",1,FILTER($B$24:$IV$24,$B$23:$IV$23=EQ$97)),"" "")")," ")</f>
        <v> </v>
      </c>
      <c r="ER77" s="48" t="str">
        <f>IFERROR(__xludf.DUMMYFUNCTION("IFERROR(TEXTJOIN(""/"",1,FILTER($B$24:$IV$24,$B$23:$IV$23=ER$97)),"" "")")," ")</f>
        <v> </v>
      </c>
      <c r="ES77" s="48" t="str">
        <f>IFERROR(__xludf.DUMMYFUNCTION("IFERROR(TEXTJOIN(""/"",1,FILTER($B$24:$IV$24,$B$23:$IV$23=ES$97)),"" "")"),"4/4/5")</f>
        <v>4/4/5</v>
      </c>
      <c r="ET77" s="48" t="str">
        <f>IFERROR(__xludf.DUMMYFUNCTION("IFERROR(TEXTJOIN(""/"",1,FILTER($B$24:$IV$24,$B$23:$IV$23=ET$97)),"" "")"),"")</f>
        <v/>
      </c>
      <c r="EU77" s="48" t="str">
        <f>IFERROR(__xludf.DUMMYFUNCTION("IFERROR(TEXTJOIN(""/"",1,FILTER($B$24:$IV$24,$B$23:$IV$23=EU$97)),"" "")"),"")</f>
        <v/>
      </c>
      <c r="EV77" s="48" t="str">
        <f>IFERROR(__xludf.DUMMYFUNCTION("IFERROR(TEXTJOIN(""/"",1,FILTER($B$24:$IV$24,$B$23:$IV$23=EV$97)),"" "")")," ")</f>
        <v> </v>
      </c>
      <c r="EW77" s="48" t="str">
        <f>IFERROR(__xludf.DUMMYFUNCTION("IFERROR(TEXTJOIN(""/"",1,FILTER($B$24:$IV$24,$B$23:$IV$23=EW$97)),"" "")"),"н")</f>
        <v>н</v>
      </c>
      <c r="EX77" s="48" t="str">
        <f>IFERROR(__xludf.DUMMYFUNCTION("IFERROR(TEXTJOIN(""/"",1,FILTER($B$24:$IV$24,$B$23:$IV$23=EX$97)),"" "")")," ")</f>
        <v> </v>
      </c>
      <c r="EY77" s="48" t="str">
        <f>IFERROR(__xludf.DUMMYFUNCTION("IFERROR(TEXTJOIN(""/"",1,FILTER($B$24:$IV$24,$B$23:$IV$23=EY$97)),"" "")")," ")</f>
        <v> </v>
      </c>
      <c r="EZ77" s="48" t="str">
        <f>IFERROR(__xludf.DUMMYFUNCTION("IFERROR(TEXTJOIN(""/"",1,FILTER($B$24:$IV$24,$B$23:$IV$23=EZ$97)),"" "")"),"4")</f>
        <v>4</v>
      </c>
      <c r="FA77" s="48" t="str">
        <f>IFERROR(__xludf.DUMMYFUNCTION("IFERROR(TEXTJOIN(""/"",1,FILTER($B$24:$IV$24,$B$23:$IV$23=FA$97)),"" "")"),"")</f>
        <v/>
      </c>
      <c r="FB77" s="48" t="str">
        <f>IFERROR(__xludf.DUMMYFUNCTION("IFERROR(TEXTJOIN(""/"",1,FILTER($B$24:$IV$24,$B$23:$IV$23=FB$97)),"" "")"),"")</f>
        <v/>
      </c>
      <c r="FC77" s="48" t="str">
        <f>IFERROR(__xludf.DUMMYFUNCTION("IFERROR(TEXTJOIN(""/"",1,FILTER($B$24:$IV$24,$B$23:$IV$23=FC$97)),"" "")")," ")</f>
        <v> </v>
      </c>
      <c r="FD77" s="48" t="str">
        <f>IFERROR(__xludf.DUMMYFUNCTION("IFERROR(TEXTJOIN(""/"",1,FILTER($B$24:$IV$24,$B$23:$IV$23=FD$97)),"" "")"),"5/3")</f>
        <v>5/3</v>
      </c>
      <c r="FE77" s="48" t="str">
        <f>IFERROR(__xludf.DUMMYFUNCTION("IFERROR(TEXTJOIN(""/"",1,FILTER($B$24:$IV$24,$B$23:$IV$23=FE$97)),"" "")")," ")</f>
        <v> </v>
      </c>
      <c r="FF77" s="48" t="str">
        <f>IFERROR(__xludf.DUMMYFUNCTION("IFERROR(TEXTJOIN(""/"",1,FILTER($B$24:$IV$24,$B$23:$IV$23=FF$97)),"" "")")," ")</f>
        <v> </v>
      </c>
      <c r="FG77" s="48" t="str">
        <f>IFERROR(__xludf.DUMMYFUNCTION("IFERROR(TEXTJOIN(""/"",1,FILTER($B$24:$IV$24,$B$23:$IV$23=FG$97)),"" "")"),"2")</f>
        <v>2</v>
      </c>
      <c r="FH77" s="48" t="str">
        <f>IFERROR(__xludf.DUMMYFUNCTION("IFERROR(TEXTJOIN(""/"",1,FILTER($B$24:$IV$24,$B$23:$IV$23=FH$97)),"" "")")," ")</f>
        <v> </v>
      </c>
      <c r="FI77" s="48" t="str">
        <f>IFERROR(__xludf.DUMMYFUNCTION("IFERROR(TEXTJOIN(""/"",1,FILTER($B$24:$IV$24,$B$23:$IV$23=FI$97)),"" "")"),"")</f>
        <v/>
      </c>
      <c r="FJ77" s="48" t="str">
        <f>IFERROR(__xludf.DUMMYFUNCTION("IFERROR(TEXTJOIN(""/"",1,FILTER($B$24:$IV$24,$B$23:$IV$23=FJ$97)),"" "")")," ")</f>
        <v> </v>
      </c>
      <c r="FK77" s="48" t="str">
        <f>IFERROR(__xludf.DUMMYFUNCTION("IFERROR(TEXTJOIN(""/"",1,FILTER($B$24:$IV$24,$B$23:$IV$23=FK$97)),"" "")"),"")</f>
        <v/>
      </c>
      <c r="FL77" s="48" t="str">
        <f>IFERROR(__xludf.DUMMYFUNCTION("IFERROR(TEXTJOIN(""/"",1,FILTER($B$24:$IV$24,$B$23:$IV$23=FL$97)),"" "")")," ")</f>
        <v> </v>
      </c>
      <c r="FM77" s="48" t="str">
        <f>IFERROR(__xludf.DUMMYFUNCTION("IFERROR(TEXTJOIN(""/"",1,FILTER($B$24:$IV$24,$B$23:$IV$23=FM$97)),"" "")")," ")</f>
        <v> </v>
      </c>
      <c r="FN77" s="48" t="str">
        <f>IFERROR(__xludf.DUMMYFUNCTION("IFERROR(TEXTJOIN(""/"",1,FILTER($B$24:$IV$24,$B$23:$IV$23=FN$97)),"" "")"),"")</f>
        <v/>
      </c>
      <c r="FO77" s="48" t="str">
        <f>IFERROR(__xludf.DUMMYFUNCTION("IFERROR(TEXTJOIN(""/"",1,FILTER($B$24:$IV$24,$B$23:$IV$23=FO$97)),"" "")")," ")</f>
        <v> </v>
      </c>
      <c r="FP77" s="48" t="str">
        <f>IFERROR(__xludf.DUMMYFUNCTION("IFERROR(TEXTJOIN(""/"",1,FILTER($B$24:$IV$24,$B$23:$IV$23=FP$97)),"" "")")," ")</f>
        <v> </v>
      </c>
      <c r="FQ77" s="48" t="str">
        <f>IFERROR(__xludf.DUMMYFUNCTION("IFERROR(TEXTJOIN(""/"",1,FILTER($B$24:$IV$24,$B$23:$IV$23=FQ$97)),"" "")")," ")</f>
        <v> </v>
      </c>
      <c r="FR77" s="48" t="str">
        <f>IFERROR(__xludf.DUMMYFUNCTION("IFERROR(TEXTJOIN(""/"",1,FILTER($B$24:$IV$24,$B$23:$IV$23=FR$97)),"" "")"),"3")</f>
        <v>3</v>
      </c>
      <c r="FS77" s="48" t="str">
        <f>IFERROR(__xludf.DUMMYFUNCTION("IFERROR(TEXTJOIN(""/"",1,FILTER($B$24:$IV$24,$B$23:$IV$23=FS$97)),"" "")")," ")</f>
        <v> </v>
      </c>
      <c r="FT77" s="48" t="str">
        <f>IFERROR(__xludf.DUMMYFUNCTION("IFERROR(TEXTJOIN(""/"",1,FILTER($B$24:$IV$24,$B$23:$IV$23=FT$97)),"" "")")," ")</f>
        <v> </v>
      </c>
      <c r="FU77" s="48" t="str">
        <f>IFERROR(__xludf.DUMMYFUNCTION("IFERROR(TEXTJOIN(""/"",1,FILTER($B$24:$IV$24,$B$23:$IV$23=FU$97)),"" "")"),"3")</f>
        <v>3</v>
      </c>
      <c r="FV77" s="48" t="str">
        <f>IFERROR(__xludf.DUMMYFUNCTION("IFERROR(TEXTJOIN(""/"",1,FILTER($B$24:$IV$24,$B$23:$IV$23=FV$97)),"" "")"),"н")</f>
        <v>н</v>
      </c>
      <c r="FW77" s="48" t="str">
        <f>IFERROR(__xludf.DUMMYFUNCTION("IFERROR(TEXTJOIN(""/"",1,FILTER($B$24:$IV$24,$B$23:$IV$23=FW$97)),"" "")"),"")</f>
        <v/>
      </c>
      <c r="FX77" s="48" t="str">
        <f>IFERROR(__xludf.DUMMYFUNCTION("IFERROR(TEXTJOIN(""/"",1,FILTER($B$24:$IV$24,$B$23:$IV$23=FX$97)),"" "")")," ")</f>
        <v> </v>
      </c>
      <c r="FY77" s="48" t="str">
        <f>IFERROR(__xludf.DUMMYFUNCTION("IFERROR(TEXTJOIN(""/"",1,FILTER($B$24:$IV$24,$B$23:$IV$23=FY$97)),"" "")"),"")</f>
        <v/>
      </c>
      <c r="FZ77" s="48" t="str">
        <f>IFERROR(__xludf.DUMMYFUNCTION("IFERROR(TEXTJOIN(""/"",1,FILTER($B$24:$IV$24,$B$23:$IV$23=FZ$97)),"" "")")," ")</f>
        <v> </v>
      </c>
      <c r="GA77" s="48" t="str">
        <f>IFERROR(__xludf.DUMMYFUNCTION("IFERROR(TEXTJOIN(""/"",1,FILTER($B$24:$IV$24,$B$23:$IV$23=GA$97)),"" "")")," ")</f>
        <v> </v>
      </c>
      <c r="GB77" s="48" t="str">
        <f>IFERROR(__xludf.DUMMYFUNCTION("IFERROR(TEXTJOIN(""/"",1,FILTER($B$24:$IV$24,$B$23:$IV$23=GB$97)),"" "")"),"5")</f>
        <v>5</v>
      </c>
      <c r="GC77" s="48" t="str">
        <f>IFERROR(__xludf.DUMMYFUNCTION("IFERROR(TEXTJOIN(""/"",1,FILTER($B$24:$IV$24,$B$23:$IV$23=GC$97)),"" "")"),"")</f>
        <v/>
      </c>
      <c r="GD77" s="48" t="str">
        <f>IFERROR(__xludf.DUMMYFUNCTION("IFERROR(TEXTJOIN(""/"",1,FILTER($B$24:$IV$24,$B$23:$IV$23=GD$97)),"" "")"),"")</f>
        <v/>
      </c>
      <c r="GE77" s="48" t="str">
        <f>IFERROR(__xludf.DUMMYFUNCTION("IFERROR(TEXTJOIN(""/"",1,FILTER($B$24:$IV$24,$B$23:$IV$23=GE$97)),"" "")")," ")</f>
        <v> </v>
      </c>
      <c r="GF77" s="48" t="str">
        <f>IFERROR(__xludf.DUMMYFUNCTION("IFERROR(TEXTJOIN(""/"",1,FILTER($B$24:$IV$24,$B$23:$IV$23=GF$97)),"" "")"),"н")</f>
        <v>н</v>
      </c>
      <c r="GG77" s="48" t="str">
        <f>IFERROR(__xludf.DUMMYFUNCTION("IFERROR(TEXTJOIN(""/"",1,FILTER($B$24:$IV$24,$B$23:$IV$23=GG$97)),"" "")")," ")</f>
        <v> </v>
      </c>
      <c r="GH77" s="48" t="str">
        <f>IFERROR(__xludf.DUMMYFUNCTION("IFERROR(TEXTJOIN(""/"",1,FILTER($B$24:$IV$24,$B$23:$IV$23=GH$97)),"" "")")," ")</f>
        <v> </v>
      </c>
      <c r="GI77" s="48" t="str">
        <f>IFERROR(__xludf.DUMMYFUNCTION("IFERROR(TEXTJOIN(""/"",1,FILTER($B$24:$IV$24,$B$23:$IV$23=GI$97)),"" "")"),"4")</f>
        <v>4</v>
      </c>
      <c r="GJ77" s="48" t="str">
        <f>IFERROR(__xludf.DUMMYFUNCTION("IFERROR(TEXTJOIN(""/"",1,FILTER($B$24:$IV$24,$B$23:$IV$23=GJ$97)),"" "")"),"")</f>
        <v/>
      </c>
      <c r="GK77" s="48" t="str">
        <f>IFERROR(__xludf.DUMMYFUNCTION("IFERROR(TEXTJOIN(""/"",1,FILTER($B$24:$IV$24,$B$23:$IV$23=GK$97)),"" "")"),"")</f>
        <v/>
      </c>
      <c r="GL77" s="48" t="str">
        <f>IFERROR(__xludf.DUMMYFUNCTION("IFERROR(TEXTJOIN(""/"",1,FILTER($B$24:$IV$24,$B$23:$IV$23=GL$97)),"" "")")," ")</f>
        <v> </v>
      </c>
      <c r="GM77" s="48" t="str">
        <f>IFERROR(__xludf.DUMMYFUNCTION("IFERROR(TEXTJOIN(""/"",1,FILTER($B$24:$IV$24,$B$23:$IV$23=GM$97)),"" "")"),"5")</f>
        <v>5</v>
      </c>
      <c r="GN77" s="48" t="str">
        <f>IFERROR(__xludf.DUMMYFUNCTION("IFERROR(TEXTJOIN(""/"",1,FILTER($B$24:$IV$24,$B$23:$IV$23=GN$97)),"" "")")," ")</f>
        <v> </v>
      </c>
      <c r="GO77" s="48" t="str">
        <f>IFERROR(__xludf.DUMMYFUNCTION("IFERROR(TEXTJOIN(""/"",1,FILTER($B$24:$IV$24,$B$23:$IV$23=GO$97)),"" "")")," ")</f>
        <v> </v>
      </c>
      <c r="GP77" s="48" t="str">
        <f>IFERROR(__xludf.DUMMYFUNCTION("IFERROR(TEXTJOIN(""/"",1,FILTER($B$24:$IV$24,$B$23:$IV$23=GP$97)),"" "")"),"4")</f>
        <v>4</v>
      </c>
      <c r="GQ77" s="48" t="str">
        <f>IFERROR(__xludf.DUMMYFUNCTION("IFERROR(TEXTJOIN(""/"",1,FILTER($B$24:$IV$24,$B$23:$IV$23=GQ$97)),"" "")"),"")</f>
        <v/>
      </c>
      <c r="GR77" s="48" t="str">
        <f>IFERROR(__xludf.DUMMYFUNCTION("IFERROR(TEXTJOIN(""/"",1,FILTER($B$24:$IV$24,$B$23:$IV$23=GR$97)),"" "")"),"")</f>
        <v/>
      </c>
      <c r="GS77" s="48" t="str">
        <f>IFERROR(__xludf.DUMMYFUNCTION("IFERROR(TEXTJOIN(""/"",1,FILTER($B$24:$IV$24,$B$23:$IV$23=GS$97)),"" "")")," ")</f>
        <v> </v>
      </c>
      <c r="GT77" s="48" t="str">
        <f>IFERROR(__xludf.DUMMYFUNCTION("IFERROR(TEXTJOIN(""/"",1,FILTER($B$24:$IV$24,$B$23:$IV$23=GT$97)),"" "")")," ")</f>
        <v> </v>
      </c>
      <c r="GU77" s="48" t="str">
        <f>IFERROR(__xludf.DUMMYFUNCTION("IFERROR(TEXTJOIN(""/"",1,FILTER($B$24:$IV$24,$B$23:$IV$23=GU$97)),"" "")")," ")</f>
        <v> </v>
      </c>
      <c r="GV77" s="48" t="str">
        <f>IFERROR(__xludf.DUMMYFUNCTION("IFERROR(TEXTJOIN(""/"",1,FILTER($B$24:$IV$24,$B$23:$IV$23=GV$97)),"" "")")," ")</f>
        <v> </v>
      </c>
      <c r="GW77" s="48" t="str">
        <f>IFERROR(__xludf.DUMMYFUNCTION("IFERROR(TEXTJOIN(""/"",1,FILTER($B$24:$IV$24,$B$23:$IV$23=GW$97)),"" "")")," ")</f>
        <v> </v>
      </c>
      <c r="GX77" s="48" t="str">
        <f>IFERROR(__xludf.DUMMYFUNCTION("IFERROR(TEXTJOIN(""/"",1,FILTER($B$24:$IV$24,$B$23:$IV$23=GX$97)),"" "")")," ")</f>
        <v> </v>
      </c>
      <c r="GY77" s="48" t="str">
        <f>IFERROR(__xludf.DUMMYFUNCTION("IFERROR(TEXTJOIN(""/"",1,FILTER($B$24:$IV$24,$B$23:$IV$23=GY$97)),"" "")")," ")</f>
        <v> </v>
      </c>
      <c r="GZ77" s="48" t="str">
        <f>IFERROR(__xludf.DUMMYFUNCTION("IFERROR(TEXTJOIN(""/"",1,FILTER($B$24:$IV$24,$B$23:$IV$23=GZ$97)),"" "")")," ")</f>
        <v> </v>
      </c>
      <c r="HA77" s="48" t="str">
        <f>IFERROR(__xludf.DUMMYFUNCTION("IFERROR(TEXTJOIN(""/"",1,FILTER($B$24:$IV$24,$B$23:$IV$23=HA$97)),"" "")")," ")</f>
        <v> </v>
      </c>
      <c r="HB77" s="48" t="str">
        <f>IFERROR(__xludf.DUMMYFUNCTION("IFERROR(TEXTJOIN(""/"",1,FILTER($B$24:$IV$24,$B$23:$IV$23=HB$97)),"" "")")," ")</f>
        <v> </v>
      </c>
      <c r="HC77" s="48" t="str">
        <f>IFERROR(__xludf.DUMMYFUNCTION("IFERROR(TEXTJOIN(""/"",1,FILTER($B$24:$IV$24,$B$23:$IV$23=HC$97)),"" "")")," ")</f>
        <v> </v>
      </c>
      <c r="HD77" s="48" t="str">
        <f>IFERROR(__xludf.DUMMYFUNCTION("IFERROR(TEXTJOIN(""/"",1,FILTER($B$24:$IV$24,$B$23:$IV$23=HD$97)),"" "")")," ")</f>
        <v> </v>
      </c>
      <c r="HE77" s="48" t="str">
        <f>IFERROR(__xludf.DUMMYFUNCTION("IFERROR(TEXTJOIN(""/"",1,FILTER($B$24:$IV$24,$B$23:$IV$23=HE$97)),"" "")")," ")</f>
        <v> </v>
      </c>
      <c r="HF77" s="48" t="str">
        <f>IFERROR(__xludf.DUMMYFUNCTION("IFERROR(TEXTJOIN(""/"",1,FILTER($B$24:$IV$24,$B$23:$IV$23=HF$97)),"" "")")," ")</f>
        <v> </v>
      </c>
      <c r="HG77" s="48" t="str">
        <f>IFERROR(__xludf.DUMMYFUNCTION("IFERROR(TEXTJOIN(""/"",1,FILTER($B$24:$IV$24,$B$23:$IV$23=HG$97)),"" "")")," ")</f>
        <v> </v>
      </c>
      <c r="HH77" s="48" t="str">
        <f>IFERROR(__xludf.DUMMYFUNCTION("IFERROR(TEXTJOIN(""/"",1,FILTER($B$24:$IV$24,$B$23:$IV$23=HH$97)),"" "")")," ")</f>
        <v> </v>
      </c>
      <c r="HI77" s="48" t="str">
        <f>IFERROR(__xludf.DUMMYFUNCTION("IFERROR(TEXTJOIN(""/"",1,FILTER($B$24:$IV$24,$B$23:$IV$23=HI$97)),"" "")")," ")</f>
        <v> </v>
      </c>
      <c r="HJ77" s="48" t="str">
        <f>IFERROR(__xludf.DUMMYFUNCTION("IFERROR(TEXTJOIN(""/"",1,FILTER($B$24:$IV$24,$B$23:$IV$23=HJ$97)),"" "")")," ")</f>
        <v> </v>
      </c>
      <c r="HK77" s="48" t="str">
        <f>IFERROR(__xludf.DUMMYFUNCTION("IFERROR(TEXTJOIN(""/"",1,FILTER($B$24:$IV$24,$B$23:$IV$23=HK$97)),"" "")")," ")</f>
        <v> </v>
      </c>
      <c r="HL77" s="48" t="str">
        <f>IFERROR(__xludf.DUMMYFUNCTION("IFERROR(TEXTJOIN(""/"",1,FILTER($B$24:$IV$24,$B$23:$IV$23=HL$97)),"" "")")," ")</f>
        <v> </v>
      </c>
      <c r="HM77" s="48" t="str">
        <f>IFERROR(__xludf.DUMMYFUNCTION("IFERROR(TEXTJOIN(""/"",1,FILTER($B$24:$IV$24,$B$23:$IV$23=HM$97)),"" "")")," ")</f>
        <v> </v>
      </c>
      <c r="HN77" s="48" t="str">
        <f>IFERROR(__xludf.DUMMYFUNCTION("IFERROR(TEXTJOIN(""/"",1,FILTER($B$24:$IV$24,$B$23:$IV$23=HN$97)),"" "")")," ")</f>
        <v> </v>
      </c>
      <c r="HO77" s="48" t="str">
        <f>IFERROR(__xludf.DUMMYFUNCTION("IFERROR(TEXTJOIN(""/"",1,FILTER($B$24:$IV$24,$B$23:$IV$23=HO$97)),"" "")")," ")</f>
        <v> </v>
      </c>
      <c r="HP77" s="48" t="str">
        <f>IFERROR(__xludf.DUMMYFUNCTION("IFERROR(TEXTJOIN(""/"",1,FILTER($B$24:$IV$24,$B$23:$IV$23=HP$97)),"" "")")," ")</f>
        <v> </v>
      </c>
      <c r="HQ77" s="48" t="str">
        <f>IFERROR(__xludf.DUMMYFUNCTION("IFERROR(TEXTJOIN(""/"",1,FILTER($B$24:$IV$24,$B$23:$IV$23=HQ$97)),"" "")")," ")</f>
        <v> </v>
      </c>
      <c r="HR77" s="48" t="str">
        <f>IFERROR(__xludf.DUMMYFUNCTION("IFERROR(TEXTJOIN(""/"",1,FILTER($B$24:$IV$24,$B$23:$IV$23=HR$97)),"" "")")," ")</f>
        <v> </v>
      </c>
      <c r="HS77" s="48" t="str">
        <f>IFERROR(__xludf.DUMMYFUNCTION("IFERROR(TEXTJOIN(""/"",1,FILTER($B$24:$IV$24,$B$23:$IV$23=HS$97)),"" "")")," ")</f>
        <v> </v>
      </c>
      <c r="HT77" s="48" t="str">
        <f>IFERROR(__xludf.DUMMYFUNCTION("IFERROR(TEXTJOIN(""/"",1,FILTER($B$24:$IV$24,$B$23:$IV$23=HT$97)),"" "")")," ")</f>
        <v> </v>
      </c>
      <c r="HU77" s="48" t="str">
        <f>IFERROR(__xludf.DUMMYFUNCTION("IFERROR(TEXTJOIN(""/"",1,FILTER($B$24:$IV$24,$B$23:$IV$23=HU$97)),"" "")")," ")</f>
        <v> </v>
      </c>
      <c r="HV77" s="48" t="str">
        <f>IFERROR(__xludf.DUMMYFUNCTION("IFERROR(TEXTJOIN(""/"",1,FILTER($B$24:$IV$24,$B$23:$IV$23=HV$97)),"" "")")," ")</f>
        <v> </v>
      </c>
      <c r="HW77" s="48" t="str">
        <f>IFERROR(__xludf.DUMMYFUNCTION("IFERROR(TEXTJOIN(""/"",1,FILTER($B$24:$IV$24,$B$23:$IV$23=HW$97)),"" "")")," ")</f>
        <v> </v>
      </c>
      <c r="HX77" s="48" t="str">
        <f>IFERROR(__xludf.DUMMYFUNCTION("IFERROR(TEXTJOIN(""/"",1,FILTER($B$24:$IV$24,$B$23:$IV$23=HX$97)),"" "")")," ")</f>
        <v> </v>
      </c>
      <c r="HY77" s="48" t="str">
        <f>IFERROR(__xludf.DUMMYFUNCTION("IFERROR(TEXTJOIN(""/"",1,FILTER($B$24:$IV$24,$B$23:$IV$23=HY$97)),"" "")")," ")</f>
        <v> </v>
      </c>
      <c r="HZ77" s="48" t="str">
        <f>IFERROR(__xludf.DUMMYFUNCTION("IFERROR(TEXTJOIN(""/"",1,FILTER($B$24:$IV$24,$B$23:$IV$23=HZ$97)),"" "")")," ")</f>
        <v> </v>
      </c>
      <c r="IA77" s="48" t="str">
        <f>IFERROR(__xludf.DUMMYFUNCTION("IFERROR(TEXTJOIN(""/"",1,FILTER($B$24:$IV$24,$B$23:$IV$23=IA$97)),"" "")")," ")</f>
        <v> </v>
      </c>
      <c r="IB77" s="48" t="str">
        <f>IFERROR(__xludf.DUMMYFUNCTION("IFERROR(TEXTJOIN(""/"",1,FILTER($B$24:$IV$24,$B$23:$IV$23=IB$97)),"" "")")," ")</f>
        <v> </v>
      </c>
      <c r="IC77" s="48" t="str">
        <f>IFERROR(__xludf.DUMMYFUNCTION("IFERROR(TEXTJOIN(""/"",1,FILTER($B$24:$IV$24,$B$23:$IV$23=IC$97)),"" "")")," ")</f>
        <v> </v>
      </c>
      <c r="ID77" s="48" t="str">
        <f>IFERROR(__xludf.DUMMYFUNCTION("IFERROR(TEXTJOIN(""/"",1,FILTER($B$24:$IV$24,$B$23:$IV$23=ID$97)),"" "")")," ")</f>
        <v> </v>
      </c>
      <c r="IE77" s="48" t="str">
        <f>IFERROR(__xludf.DUMMYFUNCTION("IFERROR(TEXTJOIN(""/"",1,FILTER($B$24:$IV$24,$B$23:$IV$23=IE$97)),"" "")")," ")</f>
        <v> </v>
      </c>
      <c r="IF77" s="48" t="str">
        <f>IFERROR(__xludf.DUMMYFUNCTION("IFERROR(TEXTJOIN(""/"",1,FILTER($B$24:$IV$24,$B$23:$IV$23=IF$97)),"" "")")," ")</f>
        <v> </v>
      </c>
      <c r="IG77" s="48" t="str">
        <f>IFERROR(__xludf.DUMMYFUNCTION("IFERROR(TEXTJOIN(""/"",1,FILTER($B$24:$IV$24,$B$23:$IV$23=IG$97)),"" "")")," ")</f>
        <v> </v>
      </c>
      <c r="IH77" s="48" t="str">
        <f>IFERROR(__xludf.DUMMYFUNCTION("IFERROR(TEXTJOIN(""/"",1,FILTER($B$24:$IV$24,$B$23:$IV$23=IH$97)),"" "")")," ")</f>
        <v> </v>
      </c>
      <c r="II77" s="48" t="str">
        <f>IFERROR(__xludf.DUMMYFUNCTION("IFERROR(TEXTJOIN(""/"",1,FILTER($B$24:$IV$24,$B$23:$IV$23=II$97)),"" "")")," ")</f>
        <v> </v>
      </c>
      <c r="IJ77" s="48" t="str">
        <f>IFERROR(__xludf.DUMMYFUNCTION("IFERROR(TEXTJOIN(""/"",1,FILTER($B$24:$IV$24,$B$23:$IV$23=IJ$97)),"" "")")," ")</f>
        <v> </v>
      </c>
      <c r="IK77" s="48" t="str">
        <f>IFERROR(__xludf.DUMMYFUNCTION("IFERROR(TEXTJOIN(""/"",1,FILTER($B$24:$IV$24,$B$23:$IV$23=IK$97)),"" "")")," ")</f>
        <v> </v>
      </c>
      <c r="IL77" s="48" t="str">
        <f>IFERROR(__xludf.DUMMYFUNCTION("IFERROR(TEXTJOIN(""/"",1,FILTER($B$24:$IV$24,$B$23:$IV$23=IL$97)),"" "")")," ")</f>
        <v> </v>
      </c>
      <c r="IM77" s="48" t="str">
        <f>IFERROR(__xludf.DUMMYFUNCTION("IFERROR(TEXTJOIN(""/"",1,FILTER($B$24:$IV$24,$B$23:$IV$23=IM$97)),"" "")")," ")</f>
        <v> </v>
      </c>
      <c r="IN77" s="48" t="str">
        <f>IFERROR(__xludf.DUMMYFUNCTION("IFERROR(TEXTJOIN(""/"",1,FILTER($B$24:$IV$24,$B$23:$IV$23=IN$97)),"" "")")," ")</f>
        <v> </v>
      </c>
      <c r="IO77" s="48" t="str">
        <f>IFERROR(__xludf.DUMMYFUNCTION("IFERROR(TEXTJOIN(""/"",1,FILTER($B$24:$IV$24,$B$23:$IV$23=IO$97)),"" "")")," ")</f>
        <v> </v>
      </c>
      <c r="IP77" s="48" t="str">
        <f>IFERROR(__xludf.DUMMYFUNCTION("IFERROR(TEXTJOIN(""/"",1,FILTER($B$24:$IV$24,$B$23:$IV$23=IP$97)),"" "")")," ")</f>
        <v> </v>
      </c>
      <c r="IQ77" s="48" t="str">
        <f>IFERROR(__xludf.DUMMYFUNCTION("IFERROR(TEXTJOIN(""/"",1,FILTER($B$24:$IV$24,$B$23:$IV$23=IQ$97)),"" "")")," ")</f>
        <v> </v>
      </c>
      <c r="IR77" s="48" t="str">
        <f>IFERROR(__xludf.DUMMYFUNCTION("IFERROR(TEXTJOIN(""/"",1,FILTER($B$24:$IV$24,$B$23:$IV$23=IR$97)),"" "")")," ")</f>
        <v> </v>
      </c>
      <c r="IS77" s="48" t="str">
        <f>IFERROR(__xludf.DUMMYFUNCTION("IFERROR(TEXTJOIN(""/"",1,FILTER($B$24:$IV$24,$B$23:$IV$23=IS$97)),"" "")")," ")</f>
        <v> </v>
      </c>
      <c r="IT77" s="48" t="str">
        <f>IFERROR(__xludf.DUMMYFUNCTION("IFERROR(TEXTJOIN(""/"",1,FILTER($B$24:$IV$24,$B$23:$IV$23=IT$97)),"" "")")," ")</f>
        <v> </v>
      </c>
      <c r="IU77" s="48" t="str">
        <f>IFERROR(__xludf.DUMMYFUNCTION("IFERROR(TEXTJOIN(""/"",1,FILTER($B$24:$IV$24,$B$23:$IV$23=IU$97)),"" "")")," ")</f>
        <v> </v>
      </c>
      <c r="IV77" s="48" t="str">
        <f>IFERROR(__xludf.DUMMYFUNCTION("IFERROR(TEXTJOIN(""/"",1,FILTER($B$24:$IV$24,$B$23:$IV$23=IV$97)),"" "")")," ")</f>
        <v> </v>
      </c>
      <c r="IW77" s="48" t="str">
        <f>IFERROR(__xludf.DUMMYFUNCTION("IFERROR(TEXTJOIN(""/"",1,FILTER($B$24:$IV$24,$B$23:$IV$23=IW$97)),"" "")")," ")</f>
        <v> </v>
      </c>
      <c r="IX77" s="48" t="str">
        <f>IFERROR(__xludf.DUMMYFUNCTION("IFERROR(TEXTJOIN(""/"",1,FILTER($B$24:$IV$24,$B$23:$IV$23=IX$97)),"" "")")," ")</f>
        <v> </v>
      </c>
      <c r="IY77" s="48" t="str">
        <f>IFERROR(__xludf.DUMMYFUNCTION("IFERROR(TEXTJOIN(""/"",1,FILTER($B$24:$IV$24,$B$23:$IV$23=IY$97)),"" "")")," ")</f>
        <v> </v>
      </c>
      <c r="IZ77" s="48" t="str">
        <f>IFERROR(__xludf.DUMMYFUNCTION("IFERROR(TEXTJOIN(""/"",1,FILTER($B$24:$IV$24,$B$23:$IV$23=IZ$97)),"" "")")," ")</f>
        <v> </v>
      </c>
      <c r="JA77" s="48" t="str">
        <f>IFERROR(__xludf.DUMMYFUNCTION("IFERROR(TEXTJOIN(""/"",1,FILTER($B$24:$IV$24,$B$23:$IV$23=JA$97)),"" "")")," ")</f>
        <v> </v>
      </c>
      <c r="JB77" s="48" t="str">
        <f>IFERROR(__xludf.DUMMYFUNCTION("IFERROR(TEXTJOIN(""/"",1,FILTER($B$24:$IV$24,$B$23:$IV$23=JB$97)),"" "")")," ")</f>
        <v> </v>
      </c>
      <c r="JC77" s="48" t="str">
        <f>IFERROR(__xludf.DUMMYFUNCTION("IFERROR(TEXTJOIN(""/"",1,FILTER($B$24:$IV$24,$B$23:$IV$23=JC$97)),"" "")")," ")</f>
        <v> </v>
      </c>
      <c r="JD77" s="48" t="str">
        <f>IFERROR(__xludf.DUMMYFUNCTION("IFERROR(TEXTJOIN(""/"",1,FILTER($B$24:$IV$24,$B$23:$IV$23=JD$97)),"" "")")," ")</f>
        <v> </v>
      </c>
      <c r="JE77" s="48" t="str">
        <f>IFERROR(__xludf.DUMMYFUNCTION("IFERROR(TEXTJOIN(""/"",1,FILTER($B$24:$IV$24,$B$23:$IV$23=JE$97)),"" "")")," ")</f>
        <v> </v>
      </c>
    </row>
    <row r="78">
      <c r="A78" s="47" t="str">
        <f>IFERROR(__xludf.DUMMYFUNCTION("""COMPUTED_VALUE"""),"Ботаника")</f>
        <v>Ботаника</v>
      </c>
      <c r="B78" s="48" t="str">
        <f>IFERROR(__xludf.DUMMYFUNCTION("IFERROR(TEXTJOIN(""/"",1,FILTER($B$27:$IV$27,$B$26:$IV$26=B$97)),"" "")")," ")</f>
        <v> </v>
      </c>
      <c r="C78" s="48" t="str">
        <f>IFERROR(__xludf.DUMMYFUNCTION("IFERROR(TEXTJOIN(""/"",1,FILTER($B$27:$IV$27,$B$26:$IV$26=C$97)),"" "")"),"4")</f>
        <v>4</v>
      </c>
      <c r="D78" s="48" t="str">
        <f>IFERROR(__xludf.DUMMYFUNCTION("IFERROR(TEXTJOIN(""/"",1,FILTER($B$27:$IV$27,$B$26:$IV$26=D$97)),"" "")")," ")</f>
        <v> </v>
      </c>
      <c r="E78" s="48" t="str">
        <f>IFERROR(__xludf.DUMMYFUNCTION("IFERROR(TEXTJOIN(""/"",1,FILTER($B$27:$IV$27,$B$26:$IV$26=E$97)),"" "")")," ")</f>
        <v> </v>
      </c>
      <c r="F78" s="48" t="str">
        <f>IFERROR(__xludf.DUMMYFUNCTION("IFERROR(TEXTJOIN(""/"",1,FILTER($B$27:$IV$27,$B$26:$IV$26=F$97)),"" "")")," ")</f>
        <v> </v>
      </c>
      <c r="G78" s="48" t="str">
        <f>IFERROR(__xludf.DUMMYFUNCTION("IFERROR(TEXTJOIN(""/"",1,FILTER($B$27:$IV$27,$B$26:$IV$26=G$97)),"" "")")," ")</f>
        <v> </v>
      </c>
      <c r="H78" s="48" t="str">
        <f>IFERROR(__xludf.DUMMYFUNCTION("IFERROR(TEXTJOIN(""/"",1,FILTER($B$27:$IV$27,$B$26:$IV$26=H$97)),"" "")")," ")</f>
        <v> </v>
      </c>
      <c r="I78" s="48" t="str">
        <f>IFERROR(__xludf.DUMMYFUNCTION("IFERROR(TEXTJOIN(""/"",1,FILTER($B$27:$IV$27,$B$26:$IV$26=I$97)),"" "")")," ")</f>
        <v> </v>
      </c>
      <c r="J78" s="48" t="str">
        <f>IFERROR(__xludf.DUMMYFUNCTION("IFERROR(TEXTJOIN(""/"",1,FILTER($B$27:$IV$27,$B$26:$IV$26=J$97)),"" "")")," ")</f>
        <v> </v>
      </c>
      <c r="K78" s="48" t="str">
        <f>IFERROR(__xludf.DUMMYFUNCTION("IFERROR(TEXTJOIN(""/"",1,FILTER($B$27:$IV$27,$B$26:$IV$26=K$97)),"" "")"),"")</f>
        <v/>
      </c>
      <c r="L78" s="48" t="str">
        <f>IFERROR(__xludf.DUMMYFUNCTION("IFERROR(TEXTJOIN(""/"",1,FILTER($B$27:$IV$27,$B$26:$IV$26=L$97)),"" "")")," ")</f>
        <v> </v>
      </c>
      <c r="M78" s="48" t="str">
        <f>IFERROR(__xludf.DUMMYFUNCTION("IFERROR(TEXTJOIN(""/"",1,FILTER($B$27:$IV$27,$B$26:$IV$26=M$97)),"" "")")," ")</f>
        <v> </v>
      </c>
      <c r="N78" s="48" t="str">
        <f>IFERROR(__xludf.DUMMYFUNCTION("IFERROR(TEXTJOIN(""/"",1,FILTER($B$27:$IV$27,$B$26:$IV$26=N$97)),"" "")")," ")</f>
        <v> </v>
      </c>
      <c r="O78" s="48" t="str">
        <f>IFERROR(__xludf.DUMMYFUNCTION("IFERROR(TEXTJOIN(""/"",1,FILTER($B$27:$IV$27,$B$26:$IV$26=O$97)),"" "")")," ")</f>
        <v> </v>
      </c>
      <c r="P78" s="48" t="str">
        <f>IFERROR(__xludf.DUMMYFUNCTION("IFERROR(TEXTJOIN(""/"",1,FILTER($B$27:$IV$27,$B$26:$IV$26=P$97)),"" "")")," ")</f>
        <v> </v>
      </c>
      <c r="Q78" s="48" t="str">
        <f>IFERROR(__xludf.DUMMYFUNCTION("IFERROR(TEXTJOIN(""/"",1,FILTER($B$27:$IV$27,$B$26:$IV$26=Q$97)),"" "")")," ")</f>
        <v> </v>
      </c>
      <c r="R78" s="48" t="str">
        <f>IFERROR(__xludf.DUMMYFUNCTION("IFERROR(TEXTJOIN(""/"",1,FILTER($B$27:$IV$27,$B$26:$IV$26=R$97)),"" "")"),"")</f>
        <v/>
      </c>
      <c r="S78" s="48" t="str">
        <f>IFERROR(__xludf.DUMMYFUNCTION("IFERROR(TEXTJOIN(""/"",1,FILTER($B$27:$IV$27,$B$26:$IV$26=S$97)),"" "")")," ")</f>
        <v> </v>
      </c>
      <c r="T78" s="48" t="str">
        <f>IFERROR(__xludf.DUMMYFUNCTION("IFERROR(TEXTJOIN(""/"",1,FILTER($B$27:$IV$27,$B$26:$IV$26=T$97)),"" "")")," ")</f>
        <v> </v>
      </c>
      <c r="U78" s="48" t="str">
        <f>IFERROR(__xludf.DUMMYFUNCTION("IFERROR(TEXTJOIN(""/"",1,FILTER($B$27:$IV$27,$B$26:$IV$26=U$97)),"" "")")," ")</f>
        <v> </v>
      </c>
      <c r="V78" s="48" t="str">
        <f>IFERROR(__xludf.DUMMYFUNCTION("IFERROR(TEXTJOIN(""/"",1,FILTER($B$27:$IV$27,$B$26:$IV$26=V$97)),"" "")")," ")</f>
        <v> </v>
      </c>
      <c r="W78" s="48" t="str">
        <f>IFERROR(__xludf.DUMMYFUNCTION("IFERROR(TEXTJOIN(""/"",1,FILTER($B$27:$IV$27,$B$26:$IV$26=W$97)),"" "")")," ")</f>
        <v> </v>
      </c>
      <c r="X78" s="48" t="str">
        <f>IFERROR(__xludf.DUMMYFUNCTION("IFERROR(TEXTJOIN(""/"",1,FILTER($B$27:$IV$27,$B$26:$IV$26=X$97)),"" "")")," ")</f>
        <v> </v>
      </c>
      <c r="Y78" s="48" t="str">
        <f>IFERROR(__xludf.DUMMYFUNCTION("IFERROR(TEXTJOIN(""/"",1,FILTER($B$27:$IV$27,$B$26:$IV$26=Y$97)),"" "")"),"")</f>
        <v/>
      </c>
      <c r="Z78" s="48" t="str">
        <f>IFERROR(__xludf.DUMMYFUNCTION("IFERROR(TEXTJOIN(""/"",1,FILTER($B$27:$IV$27,$B$26:$IV$26=Z$97)),"" "")")," ")</f>
        <v> </v>
      </c>
      <c r="AA78" s="48" t="str">
        <f>IFERROR(__xludf.DUMMYFUNCTION("IFERROR(TEXTJOIN(""/"",1,FILTER($B$27:$IV$27,$B$26:$IV$26=AA$97)),"" "")")," ")</f>
        <v> </v>
      </c>
      <c r="AB78" s="48" t="str">
        <f>IFERROR(__xludf.DUMMYFUNCTION("IFERROR(TEXTJOIN(""/"",1,FILTER($B$27:$IV$27,$B$26:$IV$26=AB$97)),"" "")")," ")</f>
        <v> </v>
      </c>
      <c r="AC78" s="48" t="str">
        <f>IFERROR(__xludf.DUMMYFUNCTION("IFERROR(TEXTJOIN(""/"",1,FILTER($B$27:$IV$27,$B$26:$IV$26=AC$97)),"" "")")," ")</f>
        <v> </v>
      </c>
      <c r="AD78" s="48" t="str">
        <f>IFERROR(__xludf.DUMMYFUNCTION("IFERROR(TEXTJOIN(""/"",1,FILTER($B$27:$IV$27,$B$26:$IV$26=AD$97)),"" "")")," ")</f>
        <v> </v>
      </c>
      <c r="AE78" s="48" t="str">
        <f>IFERROR(__xludf.DUMMYFUNCTION("IFERROR(TEXTJOIN(""/"",1,FILTER($B$27:$IV$27,$B$26:$IV$26=AE$97)),"" "")")," ")</f>
        <v> </v>
      </c>
      <c r="AF78" s="48" t="str">
        <f>IFERROR(__xludf.DUMMYFUNCTION("IFERROR(TEXTJOIN(""/"",1,FILTER($B$27:$IV$27,$B$26:$IV$26=AF$97)),"" "")"),"")</f>
        <v/>
      </c>
      <c r="AG78" s="48" t="str">
        <f>IFERROR(__xludf.DUMMYFUNCTION("IFERROR(TEXTJOIN(""/"",1,FILTER($B$27:$IV$27,$B$26:$IV$26=AG$97)),"" "")")," ")</f>
        <v> </v>
      </c>
      <c r="AH78" s="48" t="str">
        <f>IFERROR(__xludf.DUMMYFUNCTION("IFERROR(TEXTJOIN(""/"",1,FILTER($B$27:$IV$27,$B$26:$IV$26=AH$97)),"" "")")," ")</f>
        <v> </v>
      </c>
      <c r="AI78" s="48" t="str">
        <f>IFERROR(__xludf.DUMMYFUNCTION("IFERROR(TEXTJOIN(""/"",1,FILTER($B$27:$IV$27,$B$26:$IV$26=AI$97)),"" "")")," ")</f>
        <v> </v>
      </c>
      <c r="AJ78" s="48" t="str">
        <f>IFERROR(__xludf.DUMMYFUNCTION("IFERROR(TEXTJOIN(""/"",1,FILTER($B$27:$IV$27,$B$26:$IV$26=AJ$97)),"" "")")," ")</f>
        <v> </v>
      </c>
      <c r="AK78" s="48" t="str">
        <f>IFERROR(__xludf.DUMMYFUNCTION("IFERROR(TEXTJOIN(""/"",1,FILTER($B$27:$IV$27,$B$26:$IV$26=AK$97)),"" "")")," ")</f>
        <v> </v>
      </c>
      <c r="AL78" s="48" t="str">
        <f>IFERROR(__xludf.DUMMYFUNCTION("IFERROR(TEXTJOIN(""/"",1,FILTER($B$27:$IV$27,$B$26:$IV$26=AL$97)),"" "")")," ")</f>
        <v> </v>
      </c>
      <c r="AM78" s="48" t="str">
        <f>IFERROR(__xludf.DUMMYFUNCTION("IFERROR(TEXTJOIN(""/"",1,FILTER($B$27:$IV$27,$B$26:$IV$26=AM$97)),"" "")"),"5")</f>
        <v>5</v>
      </c>
      <c r="AN78" s="48" t="str">
        <f>IFERROR(__xludf.DUMMYFUNCTION("IFERROR(TEXTJOIN(""/"",1,FILTER($B$27:$IV$27,$B$26:$IV$26=AN$97)),"" "")")," ")</f>
        <v> </v>
      </c>
      <c r="AO78" s="48" t="str">
        <f>IFERROR(__xludf.DUMMYFUNCTION("IFERROR(TEXTJOIN(""/"",1,FILTER($B$27:$IV$27,$B$26:$IV$26=AO$97)),"" "")")," ")</f>
        <v> </v>
      </c>
      <c r="AP78" s="48" t="str">
        <f>IFERROR(__xludf.DUMMYFUNCTION("IFERROR(TEXTJOIN(""/"",1,FILTER($B$27:$IV$27,$B$26:$IV$26=AP$97)),"" "")")," ")</f>
        <v> </v>
      </c>
      <c r="AQ78" s="48" t="str">
        <f>IFERROR(__xludf.DUMMYFUNCTION("IFERROR(TEXTJOIN(""/"",1,FILTER($B$27:$IV$27,$B$26:$IV$26=AQ$97)),"" "")")," ")</f>
        <v> </v>
      </c>
      <c r="AR78" s="48" t="str">
        <f>IFERROR(__xludf.DUMMYFUNCTION("IFERROR(TEXTJOIN(""/"",1,FILTER($B$27:$IV$27,$B$26:$IV$26=AR$97)),"" "")")," ")</f>
        <v> </v>
      </c>
      <c r="AS78" s="48" t="str">
        <f>IFERROR(__xludf.DUMMYFUNCTION("IFERROR(TEXTJOIN(""/"",1,FILTER($B$27:$IV$27,$B$26:$IV$26=AS$97)),"" "")")," ")</f>
        <v> </v>
      </c>
      <c r="AT78" s="48" t="str">
        <f>IFERROR(__xludf.DUMMYFUNCTION("IFERROR(TEXTJOIN(""/"",1,FILTER($B$27:$IV$27,$B$26:$IV$26=AT$97)),"" "")"),"")</f>
        <v/>
      </c>
      <c r="AU78" s="48" t="str">
        <f>IFERROR(__xludf.DUMMYFUNCTION("IFERROR(TEXTJOIN(""/"",1,FILTER($B$27:$IV$27,$B$26:$IV$26=AU$97)),"" "")")," ")</f>
        <v> </v>
      </c>
      <c r="AV78" s="48" t="str">
        <f>IFERROR(__xludf.DUMMYFUNCTION("IFERROR(TEXTJOIN(""/"",1,FILTER($B$27:$IV$27,$B$26:$IV$26=AV$97)),"" "")")," ")</f>
        <v> </v>
      </c>
      <c r="AW78" s="48" t="str">
        <f>IFERROR(__xludf.DUMMYFUNCTION("IFERROR(TEXTJOIN(""/"",1,FILTER($B$27:$IV$27,$B$26:$IV$26=AW$97)),"" "")")," ")</f>
        <v> </v>
      </c>
      <c r="AX78" s="48" t="str">
        <f>IFERROR(__xludf.DUMMYFUNCTION("IFERROR(TEXTJOIN(""/"",1,FILTER($B$27:$IV$27,$B$26:$IV$26=AX$97)),"" "")")," ")</f>
        <v> </v>
      </c>
      <c r="AY78" s="48" t="str">
        <f>IFERROR(__xludf.DUMMYFUNCTION("IFERROR(TEXTJOIN(""/"",1,FILTER($B$27:$IV$27,$B$26:$IV$26=AY$97)),"" "")")," ")</f>
        <v> </v>
      </c>
      <c r="AZ78" s="48" t="str">
        <f>IFERROR(__xludf.DUMMYFUNCTION("IFERROR(TEXTJOIN(""/"",1,FILTER($B$27:$IV$27,$B$26:$IV$26=AZ$97)),"" "")")," ")</f>
        <v> </v>
      </c>
      <c r="BA78" s="48" t="str">
        <f>IFERROR(__xludf.DUMMYFUNCTION("IFERROR(TEXTJOIN(""/"",1,FILTER($B$27:$IV$27,$B$26:$IV$26=BA$97)),"" "")")," ")</f>
        <v> </v>
      </c>
      <c r="BB78" s="48" t="str">
        <f>IFERROR(__xludf.DUMMYFUNCTION("IFERROR(TEXTJOIN(""/"",1,FILTER($B$27:$IV$27,$B$26:$IV$26=BB$97)),"" "")")," ")</f>
        <v> </v>
      </c>
      <c r="BC78" s="48" t="str">
        <f>IFERROR(__xludf.DUMMYFUNCTION("IFERROR(TEXTJOIN(""/"",1,FILTER($B$27:$IV$27,$B$26:$IV$26=BC$97)),"" "")")," ")</f>
        <v> </v>
      </c>
      <c r="BD78" s="48" t="str">
        <f>IFERROR(__xludf.DUMMYFUNCTION("IFERROR(TEXTJOIN(""/"",1,FILTER($B$27:$IV$27,$B$26:$IV$26=BD$97)),"" "")")," ")</f>
        <v> </v>
      </c>
      <c r="BE78" s="48" t="str">
        <f>IFERROR(__xludf.DUMMYFUNCTION("IFERROR(TEXTJOIN(""/"",1,FILTER($B$27:$IV$27,$B$26:$IV$26=BE$97)),"" "")")," ")</f>
        <v> </v>
      </c>
      <c r="BF78" s="48" t="str">
        <f>IFERROR(__xludf.DUMMYFUNCTION("IFERROR(TEXTJOIN(""/"",1,FILTER($B$27:$IV$27,$B$26:$IV$26=BF$97)),"" "")")," ")</f>
        <v> </v>
      </c>
      <c r="BG78" s="48" t="str">
        <f>IFERROR(__xludf.DUMMYFUNCTION("IFERROR(TEXTJOIN(""/"",1,FILTER($B$27:$IV$27,$B$26:$IV$26=BG$97)),"" "")")," ")</f>
        <v> </v>
      </c>
      <c r="BH78" s="48" t="str">
        <f>IFERROR(__xludf.DUMMYFUNCTION("IFERROR(TEXTJOIN(""/"",1,FILTER($B$27:$IV$27,$B$26:$IV$26=BH$97)),"" "")"),"5")</f>
        <v>5</v>
      </c>
      <c r="BI78" s="48" t="str">
        <f>IFERROR(__xludf.DUMMYFUNCTION("IFERROR(TEXTJOIN(""/"",1,FILTER($B$27:$IV$27,$B$26:$IV$26=BI$97)),"" "")")," ")</f>
        <v> </v>
      </c>
      <c r="BJ78" s="48" t="str">
        <f>IFERROR(__xludf.DUMMYFUNCTION("IFERROR(TEXTJOIN(""/"",1,FILTER($B$27:$IV$27,$B$26:$IV$26=BJ$97)),"" "")")," ")</f>
        <v> </v>
      </c>
      <c r="BK78" s="48" t="str">
        <f>IFERROR(__xludf.DUMMYFUNCTION("IFERROR(TEXTJOIN(""/"",1,FILTER($B$27:$IV$27,$B$26:$IV$26=BK$97)),"" "")")," ")</f>
        <v> </v>
      </c>
      <c r="BL78" s="48" t="str">
        <f>IFERROR(__xludf.DUMMYFUNCTION("IFERROR(TEXTJOIN(""/"",1,FILTER($B$27:$IV$27,$B$26:$IV$26=BL$97)),"" "")")," ")</f>
        <v> </v>
      </c>
      <c r="BM78" s="48" t="str">
        <f>IFERROR(__xludf.DUMMYFUNCTION("IFERROR(TEXTJOIN(""/"",1,FILTER($B$27:$IV$27,$B$26:$IV$26=BM$97)),"" "")")," ")</f>
        <v> </v>
      </c>
      <c r="BN78" s="48" t="str">
        <f>IFERROR(__xludf.DUMMYFUNCTION("IFERROR(TEXTJOIN(""/"",1,FILTER($B$27:$IV$27,$B$26:$IV$26=BN$97)),"" "")")," ")</f>
        <v> </v>
      </c>
      <c r="BO78" s="48" t="str">
        <f>IFERROR(__xludf.DUMMYFUNCTION("IFERROR(TEXTJOIN(""/"",1,FILTER($B$27:$IV$27,$B$26:$IV$26=BO$97)),"" "")")," ")</f>
        <v> </v>
      </c>
      <c r="BP78" s="48" t="str">
        <f>IFERROR(__xludf.DUMMYFUNCTION("IFERROR(TEXTJOIN(""/"",1,FILTER($B$27:$IV$27,$B$26:$IV$26=BP$97)),"" "")")," ")</f>
        <v> </v>
      </c>
      <c r="BQ78" s="48" t="str">
        <f>IFERROR(__xludf.DUMMYFUNCTION("IFERROR(TEXTJOIN(""/"",1,FILTER($B$27:$IV$27,$B$26:$IV$26=BQ$97)),"" "")")," ")</f>
        <v> </v>
      </c>
      <c r="BR78" s="48" t="str">
        <f>IFERROR(__xludf.DUMMYFUNCTION("IFERROR(TEXTJOIN(""/"",1,FILTER($B$27:$IV$27,$B$26:$IV$26=BR$97)),"" "")")," ")</f>
        <v> </v>
      </c>
      <c r="BS78" s="48" t="str">
        <f>IFERROR(__xludf.DUMMYFUNCTION("IFERROR(TEXTJOIN(""/"",1,FILTER($B$27:$IV$27,$B$26:$IV$26=BS$97)),"" "")")," ")</f>
        <v> </v>
      </c>
      <c r="BT78" s="48" t="str">
        <f>IFERROR(__xludf.DUMMYFUNCTION("IFERROR(TEXTJOIN(""/"",1,FILTER($B$27:$IV$27,$B$26:$IV$26=BT$97)),"" "")")," ")</f>
        <v> </v>
      </c>
      <c r="BU78" s="48" t="str">
        <f>IFERROR(__xludf.DUMMYFUNCTION("IFERROR(TEXTJOIN(""/"",1,FILTER($B$27:$IV$27,$B$26:$IV$26=BU$97)),"" "")")," ")</f>
        <v> </v>
      </c>
      <c r="BV78" s="48" t="str">
        <f>IFERROR(__xludf.DUMMYFUNCTION("IFERROR(TEXTJOIN(""/"",1,FILTER($B$27:$IV$27,$B$26:$IV$26=BV$97)),"" "")"),"")</f>
        <v/>
      </c>
      <c r="BW78" s="48" t="str">
        <f>IFERROR(__xludf.DUMMYFUNCTION("IFERROR(TEXTJOIN(""/"",1,FILTER($B$27:$IV$27,$B$26:$IV$26=BW$97)),"" "")")," ")</f>
        <v> </v>
      </c>
      <c r="BX78" s="48" t="str">
        <f>IFERROR(__xludf.DUMMYFUNCTION("IFERROR(TEXTJOIN(""/"",1,FILTER($B$27:$IV$27,$B$26:$IV$26=BX$97)),"" "")")," ")</f>
        <v> </v>
      </c>
      <c r="BY78" s="48" t="str">
        <f>IFERROR(__xludf.DUMMYFUNCTION("IFERROR(TEXTJOIN(""/"",1,FILTER($B$27:$IV$27,$B$26:$IV$26=BY$97)),"" "")")," ")</f>
        <v> </v>
      </c>
      <c r="BZ78" s="48" t="str">
        <f>IFERROR(__xludf.DUMMYFUNCTION("IFERROR(TEXTJOIN(""/"",1,FILTER($B$27:$IV$27,$B$26:$IV$26=BZ$97)),"" "")")," ")</f>
        <v> </v>
      </c>
      <c r="CA78" s="48" t="str">
        <f>IFERROR(__xludf.DUMMYFUNCTION("IFERROR(TEXTJOIN(""/"",1,FILTER($B$27:$IV$27,$B$26:$IV$26=CA$97)),"" "")")," ")</f>
        <v> </v>
      </c>
      <c r="CB78" s="48" t="str">
        <f>IFERROR(__xludf.DUMMYFUNCTION("IFERROR(TEXTJOIN(""/"",1,FILTER($B$27:$IV$27,$B$26:$IV$26=CB$97)),"" "")")," ")</f>
        <v> </v>
      </c>
      <c r="CC78" s="48" t="str">
        <f>IFERROR(__xludf.DUMMYFUNCTION("IFERROR(TEXTJOIN(""/"",1,FILTER($B$27:$IV$27,$B$26:$IV$26=CC$97)),"" "")"),"5")</f>
        <v>5</v>
      </c>
      <c r="CD78" s="48" t="str">
        <f>IFERROR(__xludf.DUMMYFUNCTION("IFERROR(TEXTJOIN(""/"",1,FILTER($B$27:$IV$27,$B$26:$IV$26=CD$97)),"" "")")," ")</f>
        <v> </v>
      </c>
      <c r="CE78" s="48" t="str">
        <f>IFERROR(__xludf.DUMMYFUNCTION("IFERROR(TEXTJOIN(""/"",1,FILTER($B$27:$IV$27,$B$26:$IV$26=CE$97)),"" "")")," ")</f>
        <v> </v>
      </c>
      <c r="CF78" s="48" t="str">
        <f>IFERROR(__xludf.DUMMYFUNCTION("IFERROR(TEXTJOIN(""/"",1,FILTER($B$27:$IV$27,$B$26:$IV$26=CF$97)),"" "")")," ")</f>
        <v> </v>
      </c>
      <c r="CG78" s="48" t="str">
        <f>IFERROR(__xludf.DUMMYFUNCTION("IFERROR(TEXTJOIN(""/"",1,FILTER($B$27:$IV$27,$B$26:$IV$26=CG$97)),"" "")")," ")</f>
        <v> </v>
      </c>
      <c r="CH78" s="48" t="str">
        <f>IFERROR(__xludf.DUMMYFUNCTION("IFERROR(TEXTJOIN(""/"",1,FILTER($B$27:$IV$27,$B$26:$IV$26=CH$97)),"" "")")," ")</f>
        <v> </v>
      </c>
      <c r="CI78" s="48" t="str">
        <f>IFERROR(__xludf.DUMMYFUNCTION("IFERROR(TEXTJOIN(""/"",1,FILTER($B$27:$IV$27,$B$26:$IV$26=CI$97)),"" "")")," ")</f>
        <v> </v>
      </c>
      <c r="CJ78" s="48" t="str">
        <f>IFERROR(__xludf.DUMMYFUNCTION("IFERROR(TEXTJOIN(""/"",1,FILTER($B$27:$IV$27,$B$26:$IV$26=CJ$97)),"" "")"),"")</f>
        <v/>
      </c>
      <c r="CK78" s="48" t="str">
        <f>IFERROR(__xludf.DUMMYFUNCTION("IFERROR(TEXTJOIN(""/"",1,FILTER($B$27:$IV$27,$B$26:$IV$26=CK$97)),"" "")")," ")</f>
        <v> </v>
      </c>
      <c r="CL78" s="48" t="str">
        <f>IFERROR(__xludf.DUMMYFUNCTION("IFERROR(TEXTJOIN(""/"",1,FILTER($B$27:$IV$27,$B$26:$IV$26=CL$97)),"" "")")," ")</f>
        <v> </v>
      </c>
      <c r="CM78" s="48" t="str">
        <f>IFERROR(__xludf.DUMMYFUNCTION("IFERROR(TEXTJOIN(""/"",1,FILTER($B$27:$IV$27,$B$26:$IV$26=CM$97)),"" "")")," ")</f>
        <v> </v>
      </c>
      <c r="CN78" s="48" t="str">
        <f>IFERROR(__xludf.DUMMYFUNCTION("IFERROR(TEXTJOIN(""/"",1,FILTER($B$27:$IV$27,$B$26:$IV$26=CN$97)),"" "")")," ")</f>
        <v> </v>
      </c>
      <c r="CO78" s="48" t="str">
        <f>IFERROR(__xludf.DUMMYFUNCTION("IFERROR(TEXTJOIN(""/"",1,FILTER($B$27:$IV$27,$B$26:$IV$26=CO$97)),"" "")")," ")</f>
        <v> </v>
      </c>
      <c r="CP78" s="48" t="str">
        <f>IFERROR(__xludf.DUMMYFUNCTION("IFERROR(TEXTJOIN(""/"",1,FILTER($B$27:$IV$27,$B$26:$IV$26=CP$97)),"" "")")," ")</f>
        <v> </v>
      </c>
      <c r="CQ78" s="48" t="str">
        <f>IFERROR(__xludf.DUMMYFUNCTION("IFERROR(TEXTJOIN(""/"",1,FILTER($B$27:$IV$27,$B$26:$IV$26=CQ$97)),"" "")"),"5")</f>
        <v>5</v>
      </c>
      <c r="CR78" s="48" t="str">
        <f>IFERROR(__xludf.DUMMYFUNCTION("IFERROR(TEXTJOIN(""/"",1,FILTER($B$27:$IV$27,$B$26:$IV$26=CR$97)),"" "")")," ")</f>
        <v> </v>
      </c>
      <c r="CS78" s="48" t="str">
        <f>IFERROR(__xludf.DUMMYFUNCTION("IFERROR(TEXTJOIN(""/"",1,FILTER($B$27:$IV$27,$B$26:$IV$26=CS$97)),"" "")")," ")</f>
        <v> </v>
      </c>
      <c r="CT78" s="48" t="str">
        <f>IFERROR(__xludf.DUMMYFUNCTION("IFERROR(TEXTJOIN(""/"",1,FILTER($B$27:$IV$27,$B$26:$IV$26=CT$97)),"" "")")," ")</f>
        <v> </v>
      </c>
      <c r="CU78" s="48" t="str">
        <f>IFERROR(__xludf.DUMMYFUNCTION("IFERROR(TEXTJOIN(""/"",1,FILTER($B$27:$IV$27,$B$26:$IV$26=CU$97)),"" "")")," ")</f>
        <v> </v>
      </c>
      <c r="CV78" s="48" t="str">
        <f>IFERROR(__xludf.DUMMYFUNCTION("IFERROR(TEXTJOIN(""/"",1,FILTER($B$27:$IV$27,$B$26:$IV$26=CV$97)),"" "")")," ")</f>
        <v> </v>
      </c>
      <c r="CW78" s="48" t="str">
        <f>IFERROR(__xludf.DUMMYFUNCTION("IFERROR(TEXTJOIN(""/"",1,FILTER($B$27:$IV$27,$B$26:$IV$26=CW$97)),"" "")")," ")</f>
        <v> </v>
      </c>
      <c r="CX78" s="48" t="str">
        <f>IFERROR(__xludf.DUMMYFUNCTION("IFERROR(TEXTJOIN(""/"",1,FILTER($B$27:$IV$27,$B$26:$IV$26=CX$97)),"" "")"),"")</f>
        <v/>
      </c>
      <c r="CY78" s="48" t="str">
        <f>IFERROR(__xludf.DUMMYFUNCTION("IFERROR(TEXTJOIN(""/"",1,FILTER($B$27:$IV$27,$B$26:$IV$26=CY$97)),"" "")")," ")</f>
        <v> </v>
      </c>
      <c r="CZ78" s="48" t="str">
        <f>IFERROR(__xludf.DUMMYFUNCTION("IFERROR(TEXTJOIN(""/"",1,FILTER($B$27:$IV$27,$B$26:$IV$26=CZ$97)),"" "")")," ")</f>
        <v> </v>
      </c>
      <c r="DA78" s="48" t="str">
        <f>IFERROR(__xludf.DUMMYFUNCTION("IFERROR(TEXTJOIN(""/"",1,FILTER($B$27:$IV$27,$B$26:$IV$26=DA$97)),"" "")")," ")</f>
        <v> </v>
      </c>
      <c r="DB78" s="48" t="str">
        <f>IFERROR(__xludf.DUMMYFUNCTION("IFERROR(TEXTJOIN(""/"",1,FILTER($B$27:$IV$27,$B$26:$IV$26=DB$97)),"" "")")," ")</f>
        <v> </v>
      </c>
      <c r="DC78" s="48" t="str">
        <f>IFERROR(__xludf.DUMMYFUNCTION("IFERROR(TEXTJOIN(""/"",1,FILTER($B$27:$IV$27,$B$26:$IV$26=DC$97)),"" "")")," ")</f>
        <v> </v>
      </c>
      <c r="DD78" s="48" t="str">
        <f>IFERROR(__xludf.DUMMYFUNCTION("IFERROR(TEXTJOIN(""/"",1,FILTER($B$27:$IV$27,$B$26:$IV$26=DD$97)),"" "")")," ")</f>
        <v> </v>
      </c>
      <c r="DE78" s="48" t="str">
        <f>IFERROR(__xludf.DUMMYFUNCTION("IFERROR(TEXTJOIN(""/"",1,FILTER($B$27:$IV$27,$B$26:$IV$26=DE$97)),"" "")"),"5")</f>
        <v>5</v>
      </c>
      <c r="DF78" s="48" t="str">
        <f>IFERROR(__xludf.DUMMYFUNCTION("IFERROR(TEXTJOIN(""/"",1,FILTER($B$27:$IV$27,$B$26:$IV$26=DF$97)),"" "")")," ")</f>
        <v> </v>
      </c>
      <c r="DG78" s="48" t="str">
        <f>IFERROR(__xludf.DUMMYFUNCTION("IFERROR(TEXTJOIN(""/"",1,FILTER($B$27:$IV$27,$B$26:$IV$26=DG$97)),"" "")")," ")</f>
        <v> </v>
      </c>
      <c r="DH78" s="48" t="str">
        <f>IFERROR(__xludf.DUMMYFUNCTION("IFERROR(TEXTJOIN(""/"",1,FILTER($B$27:$IV$27,$B$26:$IV$26=DH$97)),"" "")")," ")</f>
        <v> </v>
      </c>
      <c r="DI78" s="48" t="str">
        <f>IFERROR(__xludf.DUMMYFUNCTION("IFERROR(TEXTJOIN(""/"",1,FILTER($B$27:$IV$27,$B$26:$IV$26=DI$97)),"" "")")," ")</f>
        <v> </v>
      </c>
      <c r="DJ78" s="48" t="str">
        <f>IFERROR(__xludf.DUMMYFUNCTION("IFERROR(TEXTJOIN(""/"",1,FILTER($B$27:$IV$27,$B$26:$IV$26=DJ$97)),"" "")")," ")</f>
        <v> </v>
      </c>
      <c r="DK78" s="48" t="str">
        <f>IFERROR(__xludf.DUMMYFUNCTION("IFERROR(TEXTJOIN(""/"",1,FILTER($B$27:$IV$27,$B$26:$IV$26=DK$97)),"" "")")," ")</f>
        <v> </v>
      </c>
      <c r="DL78" s="48" t="str">
        <f>IFERROR(__xludf.DUMMYFUNCTION("IFERROR(TEXTJOIN(""/"",1,FILTER($B$27:$IV$27,$B$26:$IV$26=DL$97)),"" "")"),"4")</f>
        <v>4</v>
      </c>
      <c r="DM78" s="48" t="str">
        <f>IFERROR(__xludf.DUMMYFUNCTION("IFERROR(TEXTJOIN(""/"",1,FILTER($B$27:$IV$27,$B$26:$IV$26=DM$97)),"" "")")," ")</f>
        <v> </v>
      </c>
      <c r="DN78" s="48" t="str">
        <f>IFERROR(__xludf.DUMMYFUNCTION("IFERROR(TEXTJOIN(""/"",1,FILTER($B$27:$IV$27,$B$26:$IV$26=DN$97)),"" "")")," ")</f>
        <v> </v>
      </c>
      <c r="DO78" s="48" t="str">
        <f>IFERROR(__xludf.DUMMYFUNCTION("IFERROR(TEXTJOIN(""/"",1,FILTER($B$27:$IV$27,$B$26:$IV$26=DO$97)),"" "")")," ")</f>
        <v> </v>
      </c>
      <c r="DP78" s="48" t="str">
        <f>IFERROR(__xludf.DUMMYFUNCTION("IFERROR(TEXTJOIN(""/"",1,FILTER($B$27:$IV$27,$B$26:$IV$26=DP$97)),"" "")")," ")</f>
        <v> </v>
      </c>
      <c r="DQ78" s="48" t="str">
        <f>IFERROR(__xludf.DUMMYFUNCTION("IFERROR(TEXTJOIN(""/"",1,FILTER($B$27:$IV$27,$B$26:$IV$26=DQ$97)),"" "")")," ")</f>
        <v> </v>
      </c>
      <c r="DR78" s="48" t="str">
        <f>IFERROR(__xludf.DUMMYFUNCTION("IFERROR(TEXTJOIN(""/"",1,FILTER($B$27:$IV$27,$B$26:$IV$26=DR$97)),"" "")")," ")</f>
        <v> </v>
      </c>
      <c r="DS78" s="48" t="str">
        <f>IFERROR(__xludf.DUMMYFUNCTION("IFERROR(TEXTJOIN(""/"",1,FILTER($B$27:$IV$27,$B$26:$IV$26=DS$97)),"" "")")," ")</f>
        <v> </v>
      </c>
      <c r="DT78" s="48" t="str">
        <f>IFERROR(__xludf.DUMMYFUNCTION("IFERROR(TEXTJOIN(""/"",1,FILTER($B$27:$IV$27,$B$26:$IV$26=DT$97)),"" "")")," ")</f>
        <v> </v>
      </c>
      <c r="DU78" s="48" t="str">
        <f>IFERROR(__xludf.DUMMYFUNCTION("IFERROR(TEXTJOIN(""/"",1,FILTER($B$27:$IV$27,$B$26:$IV$26=DU$97)),"" "")")," ")</f>
        <v> </v>
      </c>
      <c r="DV78" s="48" t="str">
        <f>IFERROR(__xludf.DUMMYFUNCTION("IFERROR(TEXTJOIN(""/"",1,FILTER($B$27:$IV$27,$B$26:$IV$26=DV$97)),"" "")")," ")</f>
        <v> </v>
      </c>
      <c r="DW78" s="48" t="str">
        <f>IFERROR(__xludf.DUMMYFUNCTION("IFERROR(TEXTJOIN(""/"",1,FILTER($B$27:$IV$27,$B$26:$IV$26=DW$97)),"" "")")," ")</f>
        <v> </v>
      </c>
      <c r="DX78" s="48" t="str">
        <f>IFERROR(__xludf.DUMMYFUNCTION("IFERROR(TEXTJOIN(""/"",1,FILTER($B$27:$IV$27,$B$26:$IV$26=DX$97)),"" "")")," ")</f>
        <v> </v>
      </c>
      <c r="DY78" s="48" t="str">
        <f>IFERROR(__xludf.DUMMYFUNCTION("IFERROR(TEXTJOIN(""/"",1,FILTER($B$27:$IV$27,$B$26:$IV$26=DY$97)),"" "")")," ")</f>
        <v> </v>
      </c>
      <c r="DZ78" s="48" t="str">
        <f>IFERROR(__xludf.DUMMYFUNCTION("IFERROR(TEXTJOIN(""/"",1,FILTER($B$27:$IV$27,$B$26:$IV$26=DZ$97)),"" "")")," ")</f>
        <v> </v>
      </c>
      <c r="EA78" s="48" t="str">
        <f>IFERROR(__xludf.DUMMYFUNCTION("IFERROR(TEXTJOIN(""/"",1,FILTER($B$27:$IV$27,$B$26:$IV$26=EA$97)),"" "")")," ")</f>
        <v> </v>
      </c>
      <c r="EB78" s="48" t="str">
        <f>IFERROR(__xludf.DUMMYFUNCTION("IFERROR(TEXTJOIN(""/"",1,FILTER($B$27:$IV$27,$B$26:$IV$26=EB$97)),"" "")")," ")</f>
        <v> </v>
      </c>
      <c r="EC78" s="48" t="str">
        <f>IFERROR(__xludf.DUMMYFUNCTION("IFERROR(TEXTJOIN(""/"",1,FILTER($B$27:$IV$27,$B$26:$IV$26=EC$97)),"" "")")," ")</f>
        <v> </v>
      </c>
      <c r="ED78" s="48" t="str">
        <f>IFERROR(__xludf.DUMMYFUNCTION("IFERROR(TEXTJOIN(""/"",1,FILTER($B$27:$IV$27,$B$26:$IV$26=ED$97)),"" "")")," ")</f>
        <v> </v>
      </c>
      <c r="EE78" s="48" t="str">
        <f>IFERROR(__xludf.DUMMYFUNCTION("IFERROR(TEXTJOIN(""/"",1,FILTER($B$27:$IV$27,$B$26:$IV$26=EE$97)),"" "")")," ")</f>
        <v> </v>
      </c>
      <c r="EF78" s="48" t="str">
        <f>IFERROR(__xludf.DUMMYFUNCTION("IFERROR(TEXTJOIN(""/"",1,FILTER($B$27:$IV$27,$B$26:$IV$26=EF$97)),"" "")")," ")</f>
        <v> </v>
      </c>
      <c r="EG78" s="48" t="str">
        <f>IFERROR(__xludf.DUMMYFUNCTION("IFERROR(TEXTJOIN(""/"",1,FILTER($B$27:$IV$27,$B$26:$IV$26=EG$97)),"" "")"),"")</f>
        <v/>
      </c>
      <c r="EH78" s="48" t="str">
        <f>IFERROR(__xludf.DUMMYFUNCTION("IFERROR(TEXTJOIN(""/"",1,FILTER($B$27:$IV$27,$B$26:$IV$26=EH$97)),"" "")")," ")</f>
        <v> </v>
      </c>
      <c r="EI78" s="48" t="str">
        <f>IFERROR(__xludf.DUMMYFUNCTION("IFERROR(TEXTJOIN(""/"",1,FILTER($B$27:$IV$27,$B$26:$IV$26=EI$97)),"" "")")," ")</f>
        <v> </v>
      </c>
      <c r="EJ78" s="48" t="str">
        <f>IFERROR(__xludf.DUMMYFUNCTION("IFERROR(TEXTJOIN(""/"",1,FILTER($B$27:$IV$27,$B$26:$IV$26=EJ$97)),"" "")")," ")</f>
        <v> </v>
      </c>
      <c r="EK78" s="48" t="str">
        <f>IFERROR(__xludf.DUMMYFUNCTION("IFERROR(TEXTJOIN(""/"",1,FILTER($B$27:$IV$27,$B$26:$IV$26=EK$97)),"" "")")," ")</f>
        <v> </v>
      </c>
      <c r="EL78" s="48" t="str">
        <f>IFERROR(__xludf.DUMMYFUNCTION("IFERROR(TEXTJOIN(""/"",1,FILTER($B$27:$IV$27,$B$26:$IV$26=EL$97)),"" "")")," ")</f>
        <v> </v>
      </c>
      <c r="EM78" s="48" t="str">
        <f>IFERROR(__xludf.DUMMYFUNCTION("IFERROR(TEXTJOIN(""/"",1,FILTER($B$27:$IV$27,$B$26:$IV$26=EM$97)),"" "")")," ")</f>
        <v> </v>
      </c>
      <c r="EN78" s="48" t="str">
        <f>IFERROR(__xludf.DUMMYFUNCTION("IFERROR(TEXTJOIN(""/"",1,FILTER($B$27:$IV$27,$B$26:$IV$26=EN$97)),"" "")"),"2")</f>
        <v>2</v>
      </c>
      <c r="EO78" s="48" t="str">
        <f>IFERROR(__xludf.DUMMYFUNCTION("IFERROR(TEXTJOIN(""/"",1,FILTER($B$27:$IV$27,$B$26:$IV$26=EO$97)),"" "")")," ")</f>
        <v> </v>
      </c>
      <c r="EP78" s="48" t="str">
        <f>IFERROR(__xludf.DUMMYFUNCTION("IFERROR(TEXTJOIN(""/"",1,FILTER($B$27:$IV$27,$B$26:$IV$26=EP$97)),"" "")")," ")</f>
        <v> </v>
      </c>
      <c r="EQ78" s="48" t="str">
        <f>IFERROR(__xludf.DUMMYFUNCTION("IFERROR(TEXTJOIN(""/"",1,FILTER($B$27:$IV$27,$B$26:$IV$26=EQ$97)),"" "")")," ")</f>
        <v> </v>
      </c>
      <c r="ER78" s="48" t="str">
        <f>IFERROR(__xludf.DUMMYFUNCTION("IFERROR(TEXTJOIN(""/"",1,FILTER($B$27:$IV$27,$B$26:$IV$26=ER$97)),"" "")")," ")</f>
        <v> </v>
      </c>
      <c r="ES78" s="48" t="str">
        <f>IFERROR(__xludf.DUMMYFUNCTION("IFERROR(TEXTJOIN(""/"",1,FILTER($B$27:$IV$27,$B$26:$IV$26=ES$97)),"" "")")," ")</f>
        <v> </v>
      </c>
      <c r="ET78" s="48" t="str">
        <f>IFERROR(__xludf.DUMMYFUNCTION("IFERROR(TEXTJOIN(""/"",1,FILTER($B$27:$IV$27,$B$26:$IV$26=ET$97)),"" "")")," ")</f>
        <v> </v>
      </c>
      <c r="EU78" s="48" t="str">
        <f>IFERROR(__xludf.DUMMYFUNCTION("IFERROR(TEXTJOIN(""/"",1,FILTER($B$27:$IV$27,$B$26:$IV$26=EU$97)),"" "")"),"4")</f>
        <v>4</v>
      </c>
      <c r="EV78" s="48" t="str">
        <f>IFERROR(__xludf.DUMMYFUNCTION("IFERROR(TEXTJOIN(""/"",1,FILTER($B$27:$IV$27,$B$26:$IV$26=EV$97)),"" "")")," ")</f>
        <v> </v>
      </c>
      <c r="EW78" s="48" t="str">
        <f>IFERROR(__xludf.DUMMYFUNCTION("IFERROR(TEXTJOIN(""/"",1,FILTER($B$27:$IV$27,$B$26:$IV$26=EW$97)),"" "")")," ")</f>
        <v> </v>
      </c>
      <c r="EX78" s="48" t="str">
        <f>IFERROR(__xludf.DUMMYFUNCTION("IFERROR(TEXTJOIN(""/"",1,FILTER($B$27:$IV$27,$B$26:$IV$26=EX$97)),"" "")")," ")</f>
        <v> </v>
      </c>
      <c r="EY78" s="48" t="str">
        <f>IFERROR(__xludf.DUMMYFUNCTION("IFERROR(TEXTJOIN(""/"",1,FILTER($B$27:$IV$27,$B$26:$IV$26=EY$97)),"" "")")," ")</f>
        <v> </v>
      </c>
      <c r="EZ78" s="48" t="str">
        <f>IFERROR(__xludf.DUMMYFUNCTION("IFERROR(TEXTJOIN(""/"",1,FILTER($B$27:$IV$27,$B$26:$IV$26=EZ$97)),"" "")")," ")</f>
        <v> </v>
      </c>
      <c r="FA78" s="48" t="str">
        <f>IFERROR(__xludf.DUMMYFUNCTION("IFERROR(TEXTJOIN(""/"",1,FILTER($B$27:$IV$27,$B$26:$IV$26=FA$97)),"" "")")," ")</f>
        <v> </v>
      </c>
      <c r="FB78" s="48" t="str">
        <f>IFERROR(__xludf.DUMMYFUNCTION("IFERROR(TEXTJOIN(""/"",1,FILTER($B$27:$IV$27,$B$26:$IV$26=FB$97)),"" "")"),"")</f>
        <v/>
      </c>
      <c r="FC78" s="48" t="str">
        <f>IFERROR(__xludf.DUMMYFUNCTION("IFERROR(TEXTJOIN(""/"",1,FILTER($B$27:$IV$27,$B$26:$IV$26=FC$97)),"" "")")," ")</f>
        <v> </v>
      </c>
      <c r="FD78" s="48" t="str">
        <f>IFERROR(__xludf.DUMMYFUNCTION("IFERROR(TEXTJOIN(""/"",1,FILTER($B$27:$IV$27,$B$26:$IV$26=FD$97)),"" "")")," ")</f>
        <v> </v>
      </c>
      <c r="FE78" s="48" t="str">
        <f>IFERROR(__xludf.DUMMYFUNCTION("IFERROR(TEXTJOIN(""/"",1,FILTER($B$27:$IV$27,$B$26:$IV$26=FE$97)),"" "")")," ")</f>
        <v> </v>
      </c>
      <c r="FF78" s="48" t="str">
        <f>IFERROR(__xludf.DUMMYFUNCTION("IFERROR(TEXTJOIN(""/"",1,FILTER($B$27:$IV$27,$B$26:$IV$26=FF$97)),"" "")")," ")</f>
        <v> </v>
      </c>
      <c r="FG78" s="48" t="str">
        <f>IFERROR(__xludf.DUMMYFUNCTION("IFERROR(TEXTJOIN(""/"",1,FILTER($B$27:$IV$27,$B$26:$IV$26=FG$97)),"" "")")," ")</f>
        <v> </v>
      </c>
      <c r="FH78" s="48" t="str">
        <f>IFERROR(__xludf.DUMMYFUNCTION("IFERROR(TEXTJOIN(""/"",1,FILTER($B$27:$IV$27,$B$26:$IV$26=FH$97)),"" "")")," ")</f>
        <v> </v>
      </c>
      <c r="FI78" s="48" t="str">
        <f>IFERROR(__xludf.DUMMYFUNCTION("IFERROR(TEXTJOIN(""/"",1,FILTER($B$27:$IV$27,$B$26:$IV$26=FI$97)),"" "")"),"5")</f>
        <v>5</v>
      </c>
      <c r="FJ78" s="48" t="str">
        <f>IFERROR(__xludf.DUMMYFUNCTION("IFERROR(TEXTJOIN(""/"",1,FILTER($B$27:$IV$27,$B$26:$IV$26=FJ$97)),"" "")")," ")</f>
        <v> </v>
      </c>
      <c r="FK78" s="48" t="str">
        <f>IFERROR(__xludf.DUMMYFUNCTION("IFERROR(TEXTJOIN(""/"",1,FILTER($B$27:$IV$27,$B$26:$IV$26=FK$97)),"" "")")," ")</f>
        <v> </v>
      </c>
      <c r="FL78" s="48" t="str">
        <f>IFERROR(__xludf.DUMMYFUNCTION("IFERROR(TEXTJOIN(""/"",1,FILTER($B$27:$IV$27,$B$26:$IV$26=FL$97)),"" "")")," ")</f>
        <v> </v>
      </c>
      <c r="FM78" s="48" t="str">
        <f>IFERROR(__xludf.DUMMYFUNCTION("IFERROR(TEXTJOIN(""/"",1,FILTER($B$27:$IV$27,$B$26:$IV$26=FM$97)),"" "")")," ")</f>
        <v> </v>
      </c>
      <c r="FN78" s="48" t="str">
        <f>IFERROR(__xludf.DUMMYFUNCTION("IFERROR(TEXTJOIN(""/"",1,FILTER($B$27:$IV$27,$B$26:$IV$26=FN$97)),"" "")")," ")</f>
        <v> </v>
      </c>
      <c r="FO78" s="48" t="str">
        <f>IFERROR(__xludf.DUMMYFUNCTION("IFERROR(TEXTJOIN(""/"",1,FILTER($B$27:$IV$27,$B$26:$IV$26=FO$97)),"" "")")," ")</f>
        <v> </v>
      </c>
      <c r="FP78" s="48" t="str">
        <f>IFERROR(__xludf.DUMMYFUNCTION("IFERROR(TEXTJOIN(""/"",1,FILTER($B$27:$IV$27,$B$26:$IV$26=FP$97)),"" "")"),"")</f>
        <v/>
      </c>
      <c r="FQ78" s="48" t="str">
        <f>IFERROR(__xludf.DUMMYFUNCTION("IFERROR(TEXTJOIN(""/"",1,FILTER($B$27:$IV$27,$B$26:$IV$26=FQ$97)),"" "")")," ")</f>
        <v> </v>
      </c>
      <c r="FR78" s="48" t="str">
        <f>IFERROR(__xludf.DUMMYFUNCTION("IFERROR(TEXTJOIN(""/"",1,FILTER($B$27:$IV$27,$B$26:$IV$26=FR$97)),"" "")")," ")</f>
        <v> </v>
      </c>
      <c r="FS78" s="48" t="str">
        <f>IFERROR(__xludf.DUMMYFUNCTION("IFERROR(TEXTJOIN(""/"",1,FILTER($B$27:$IV$27,$B$26:$IV$26=FS$97)),"" "")")," ")</f>
        <v> </v>
      </c>
      <c r="FT78" s="48" t="str">
        <f>IFERROR(__xludf.DUMMYFUNCTION("IFERROR(TEXTJOIN(""/"",1,FILTER($B$27:$IV$27,$B$26:$IV$26=FT$97)),"" "")")," ")</f>
        <v> </v>
      </c>
      <c r="FU78" s="48" t="str">
        <f>IFERROR(__xludf.DUMMYFUNCTION("IFERROR(TEXTJOIN(""/"",1,FILTER($B$27:$IV$27,$B$26:$IV$26=FU$97)),"" "")")," ")</f>
        <v> </v>
      </c>
      <c r="FV78" s="48" t="str">
        <f>IFERROR(__xludf.DUMMYFUNCTION("IFERROR(TEXTJOIN(""/"",1,FILTER($B$27:$IV$27,$B$26:$IV$26=FV$97)),"" "")")," ")</f>
        <v> </v>
      </c>
      <c r="FW78" s="48" t="str">
        <f>IFERROR(__xludf.DUMMYFUNCTION("IFERROR(TEXTJOIN(""/"",1,FILTER($B$27:$IV$27,$B$26:$IV$26=FW$97)),"" "")"),"")</f>
        <v/>
      </c>
      <c r="FX78" s="48" t="str">
        <f>IFERROR(__xludf.DUMMYFUNCTION("IFERROR(TEXTJOIN(""/"",1,FILTER($B$27:$IV$27,$B$26:$IV$26=FX$97)),"" "")")," ")</f>
        <v> </v>
      </c>
      <c r="FY78" s="48" t="str">
        <f>IFERROR(__xludf.DUMMYFUNCTION("IFERROR(TEXTJOIN(""/"",1,FILTER($B$27:$IV$27,$B$26:$IV$26=FY$97)),"" "")")," ")</f>
        <v> </v>
      </c>
      <c r="FZ78" s="48" t="str">
        <f>IFERROR(__xludf.DUMMYFUNCTION("IFERROR(TEXTJOIN(""/"",1,FILTER($B$27:$IV$27,$B$26:$IV$26=FZ$97)),"" "")")," ")</f>
        <v> </v>
      </c>
      <c r="GA78" s="48" t="str">
        <f>IFERROR(__xludf.DUMMYFUNCTION("IFERROR(TEXTJOIN(""/"",1,FILTER($B$27:$IV$27,$B$26:$IV$26=GA$97)),"" "")")," ")</f>
        <v> </v>
      </c>
      <c r="GB78" s="48" t="str">
        <f>IFERROR(__xludf.DUMMYFUNCTION("IFERROR(TEXTJOIN(""/"",1,FILTER($B$27:$IV$27,$B$26:$IV$26=GB$97)),"" "")")," ")</f>
        <v> </v>
      </c>
      <c r="GC78" s="48" t="str">
        <f>IFERROR(__xludf.DUMMYFUNCTION("IFERROR(TEXTJOIN(""/"",1,FILTER($B$27:$IV$27,$B$26:$IV$26=GC$97)),"" "")")," ")</f>
        <v> </v>
      </c>
      <c r="GD78" s="48" t="str">
        <f>IFERROR(__xludf.DUMMYFUNCTION("IFERROR(TEXTJOIN(""/"",1,FILTER($B$27:$IV$27,$B$26:$IV$26=GD$97)),"" "")"),"")</f>
        <v/>
      </c>
      <c r="GE78" s="48" t="str">
        <f>IFERROR(__xludf.DUMMYFUNCTION("IFERROR(TEXTJOIN(""/"",1,FILTER($B$27:$IV$27,$B$26:$IV$26=GE$97)),"" "")")," ")</f>
        <v> </v>
      </c>
      <c r="GF78" s="48" t="str">
        <f>IFERROR(__xludf.DUMMYFUNCTION("IFERROR(TEXTJOIN(""/"",1,FILTER($B$27:$IV$27,$B$26:$IV$26=GF$97)),"" "")")," ")</f>
        <v> </v>
      </c>
      <c r="GG78" s="48" t="str">
        <f>IFERROR(__xludf.DUMMYFUNCTION("IFERROR(TEXTJOIN(""/"",1,FILTER($B$27:$IV$27,$B$26:$IV$26=GG$97)),"" "")")," ")</f>
        <v> </v>
      </c>
      <c r="GH78" s="48" t="str">
        <f>IFERROR(__xludf.DUMMYFUNCTION("IFERROR(TEXTJOIN(""/"",1,FILTER($B$27:$IV$27,$B$26:$IV$26=GH$97)),"" "")")," ")</f>
        <v> </v>
      </c>
      <c r="GI78" s="48" t="str">
        <f>IFERROR(__xludf.DUMMYFUNCTION("IFERROR(TEXTJOIN(""/"",1,FILTER($B$27:$IV$27,$B$26:$IV$26=GI$97)),"" "")")," ")</f>
        <v> </v>
      </c>
      <c r="GJ78" s="48" t="str">
        <f>IFERROR(__xludf.DUMMYFUNCTION("IFERROR(TEXTJOIN(""/"",1,FILTER($B$27:$IV$27,$B$26:$IV$26=GJ$97)),"" "")")," ")</f>
        <v> </v>
      </c>
      <c r="GK78" s="48" t="str">
        <f>IFERROR(__xludf.DUMMYFUNCTION("IFERROR(TEXTJOIN(""/"",1,FILTER($B$27:$IV$27,$B$26:$IV$26=GK$97)),"" "")"),"")</f>
        <v/>
      </c>
      <c r="GL78" s="48" t="str">
        <f>IFERROR(__xludf.DUMMYFUNCTION("IFERROR(TEXTJOIN(""/"",1,FILTER($B$27:$IV$27,$B$26:$IV$26=GL$97)),"" "")")," ")</f>
        <v> </v>
      </c>
      <c r="GM78" s="48" t="str">
        <f>IFERROR(__xludf.DUMMYFUNCTION("IFERROR(TEXTJOIN(""/"",1,FILTER($B$27:$IV$27,$B$26:$IV$26=GM$97)),"" "")")," ")</f>
        <v> </v>
      </c>
      <c r="GN78" s="48" t="str">
        <f>IFERROR(__xludf.DUMMYFUNCTION("IFERROR(TEXTJOIN(""/"",1,FILTER($B$27:$IV$27,$B$26:$IV$26=GN$97)),"" "")")," ")</f>
        <v> </v>
      </c>
      <c r="GO78" s="48" t="str">
        <f>IFERROR(__xludf.DUMMYFUNCTION("IFERROR(TEXTJOIN(""/"",1,FILTER($B$27:$IV$27,$B$26:$IV$26=GO$97)),"" "")")," ")</f>
        <v> </v>
      </c>
      <c r="GP78" s="48" t="str">
        <f>IFERROR(__xludf.DUMMYFUNCTION("IFERROR(TEXTJOIN(""/"",1,FILTER($B$27:$IV$27,$B$26:$IV$26=GP$97)),"" "")")," ")</f>
        <v> </v>
      </c>
      <c r="GQ78" s="48" t="str">
        <f>IFERROR(__xludf.DUMMYFUNCTION("IFERROR(TEXTJOIN(""/"",1,FILTER($B$27:$IV$27,$B$26:$IV$26=GQ$97)),"" "")")," ")</f>
        <v> </v>
      </c>
      <c r="GR78" s="48" t="str">
        <f>IFERROR(__xludf.DUMMYFUNCTION("IFERROR(TEXTJOIN(""/"",1,FILTER($B$27:$IV$27,$B$26:$IV$26=GR$97)),"" "")")," ")</f>
        <v> </v>
      </c>
      <c r="GS78" s="48" t="str">
        <f>IFERROR(__xludf.DUMMYFUNCTION("IFERROR(TEXTJOIN(""/"",1,FILTER($B$27:$IV$27,$B$26:$IV$26=GS$97)),"" "")")," ")</f>
        <v> </v>
      </c>
      <c r="GT78" s="48" t="str">
        <f>IFERROR(__xludf.DUMMYFUNCTION("IFERROR(TEXTJOIN(""/"",1,FILTER($B$27:$IV$27,$B$26:$IV$26=GT$97)),"" "")")," ")</f>
        <v> </v>
      </c>
      <c r="GU78" s="48" t="str">
        <f>IFERROR(__xludf.DUMMYFUNCTION("IFERROR(TEXTJOIN(""/"",1,FILTER($B$27:$IV$27,$B$26:$IV$26=GU$97)),"" "")")," ")</f>
        <v> </v>
      </c>
      <c r="GV78" s="48" t="str">
        <f>IFERROR(__xludf.DUMMYFUNCTION("IFERROR(TEXTJOIN(""/"",1,FILTER($B$27:$IV$27,$B$26:$IV$26=GV$97)),"" "")")," ")</f>
        <v> </v>
      </c>
      <c r="GW78" s="48" t="str">
        <f>IFERROR(__xludf.DUMMYFUNCTION("IFERROR(TEXTJOIN(""/"",1,FILTER($B$27:$IV$27,$B$26:$IV$26=GW$97)),"" "")")," ")</f>
        <v> </v>
      </c>
      <c r="GX78" s="48" t="str">
        <f>IFERROR(__xludf.DUMMYFUNCTION("IFERROR(TEXTJOIN(""/"",1,FILTER($B$27:$IV$27,$B$26:$IV$26=GX$97)),"" "")")," ")</f>
        <v> </v>
      </c>
      <c r="GY78" s="48" t="str">
        <f>IFERROR(__xludf.DUMMYFUNCTION("IFERROR(TEXTJOIN(""/"",1,FILTER($B$27:$IV$27,$B$26:$IV$26=GY$97)),"" "")")," ")</f>
        <v> </v>
      </c>
      <c r="GZ78" s="48" t="str">
        <f>IFERROR(__xludf.DUMMYFUNCTION("IFERROR(TEXTJOIN(""/"",1,FILTER($B$27:$IV$27,$B$26:$IV$26=GZ$97)),"" "")")," ")</f>
        <v> </v>
      </c>
      <c r="HA78" s="48" t="str">
        <f>IFERROR(__xludf.DUMMYFUNCTION("IFERROR(TEXTJOIN(""/"",1,FILTER($B$27:$IV$27,$B$26:$IV$26=HA$97)),"" "")")," ")</f>
        <v> </v>
      </c>
      <c r="HB78" s="48" t="str">
        <f>IFERROR(__xludf.DUMMYFUNCTION("IFERROR(TEXTJOIN(""/"",1,FILTER($B$27:$IV$27,$B$26:$IV$26=HB$97)),"" "")")," ")</f>
        <v> </v>
      </c>
      <c r="HC78" s="48" t="str">
        <f>IFERROR(__xludf.DUMMYFUNCTION("IFERROR(TEXTJOIN(""/"",1,FILTER($B$27:$IV$27,$B$26:$IV$26=HC$97)),"" "")")," ")</f>
        <v> </v>
      </c>
      <c r="HD78" s="48" t="str">
        <f>IFERROR(__xludf.DUMMYFUNCTION("IFERROR(TEXTJOIN(""/"",1,FILTER($B$27:$IV$27,$B$26:$IV$26=HD$97)),"" "")")," ")</f>
        <v> </v>
      </c>
      <c r="HE78" s="48" t="str">
        <f>IFERROR(__xludf.DUMMYFUNCTION("IFERROR(TEXTJOIN(""/"",1,FILTER($B$27:$IV$27,$B$26:$IV$26=HE$97)),"" "")")," ")</f>
        <v> </v>
      </c>
      <c r="HF78" s="48" t="str">
        <f>IFERROR(__xludf.DUMMYFUNCTION("IFERROR(TEXTJOIN(""/"",1,FILTER($B$27:$IV$27,$B$26:$IV$26=HF$97)),"" "")")," ")</f>
        <v> </v>
      </c>
      <c r="HG78" s="48" t="str">
        <f>IFERROR(__xludf.DUMMYFUNCTION("IFERROR(TEXTJOIN(""/"",1,FILTER($B$27:$IV$27,$B$26:$IV$26=HG$97)),"" "")")," ")</f>
        <v> </v>
      </c>
      <c r="HH78" s="48" t="str">
        <f>IFERROR(__xludf.DUMMYFUNCTION("IFERROR(TEXTJOIN(""/"",1,FILTER($B$27:$IV$27,$B$26:$IV$26=HH$97)),"" "")")," ")</f>
        <v> </v>
      </c>
      <c r="HI78" s="48" t="str">
        <f>IFERROR(__xludf.DUMMYFUNCTION("IFERROR(TEXTJOIN(""/"",1,FILTER($B$27:$IV$27,$B$26:$IV$26=HI$97)),"" "")")," ")</f>
        <v> </v>
      </c>
      <c r="HJ78" s="48" t="str">
        <f>IFERROR(__xludf.DUMMYFUNCTION("IFERROR(TEXTJOIN(""/"",1,FILTER($B$27:$IV$27,$B$26:$IV$26=HJ$97)),"" "")")," ")</f>
        <v> </v>
      </c>
      <c r="HK78" s="48" t="str">
        <f>IFERROR(__xludf.DUMMYFUNCTION("IFERROR(TEXTJOIN(""/"",1,FILTER($B$27:$IV$27,$B$26:$IV$26=HK$97)),"" "")")," ")</f>
        <v> </v>
      </c>
      <c r="HL78" s="48" t="str">
        <f>IFERROR(__xludf.DUMMYFUNCTION("IFERROR(TEXTJOIN(""/"",1,FILTER($B$27:$IV$27,$B$26:$IV$26=HL$97)),"" "")")," ")</f>
        <v> </v>
      </c>
      <c r="HM78" s="48" t="str">
        <f>IFERROR(__xludf.DUMMYFUNCTION("IFERROR(TEXTJOIN(""/"",1,FILTER($B$27:$IV$27,$B$26:$IV$26=HM$97)),"" "")")," ")</f>
        <v> </v>
      </c>
      <c r="HN78" s="48" t="str">
        <f>IFERROR(__xludf.DUMMYFUNCTION("IFERROR(TEXTJOIN(""/"",1,FILTER($B$27:$IV$27,$B$26:$IV$26=HN$97)),"" "")")," ")</f>
        <v> </v>
      </c>
      <c r="HO78" s="48" t="str">
        <f>IFERROR(__xludf.DUMMYFUNCTION("IFERROR(TEXTJOIN(""/"",1,FILTER($B$27:$IV$27,$B$26:$IV$26=HO$97)),"" "")")," ")</f>
        <v> </v>
      </c>
      <c r="HP78" s="48" t="str">
        <f>IFERROR(__xludf.DUMMYFUNCTION("IFERROR(TEXTJOIN(""/"",1,FILTER($B$27:$IV$27,$B$26:$IV$26=HP$97)),"" "")")," ")</f>
        <v> </v>
      </c>
      <c r="HQ78" s="48" t="str">
        <f>IFERROR(__xludf.DUMMYFUNCTION("IFERROR(TEXTJOIN(""/"",1,FILTER($B$27:$IV$27,$B$26:$IV$26=HQ$97)),"" "")")," ")</f>
        <v> </v>
      </c>
      <c r="HR78" s="48" t="str">
        <f>IFERROR(__xludf.DUMMYFUNCTION("IFERROR(TEXTJOIN(""/"",1,FILTER($B$27:$IV$27,$B$26:$IV$26=HR$97)),"" "")")," ")</f>
        <v> </v>
      </c>
      <c r="HS78" s="48" t="str">
        <f>IFERROR(__xludf.DUMMYFUNCTION("IFERROR(TEXTJOIN(""/"",1,FILTER($B$27:$IV$27,$B$26:$IV$26=HS$97)),"" "")")," ")</f>
        <v> </v>
      </c>
      <c r="HT78" s="48" t="str">
        <f>IFERROR(__xludf.DUMMYFUNCTION("IFERROR(TEXTJOIN(""/"",1,FILTER($B$27:$IV$27,$B$26:$IV$26=HT$97)),"" "")")," ")</f>
        <v> </v>
      </c>
      <c r="HU78" s="48" t="str">
        <f>IFERROR(__xludf.DUMMYFUNCTION("IFERROR(TEXTJOIN(""/"",1,FILTER($B$27:$IV$27,$B$26:$IV$26=HU$97)),"" "")")," ")</f>
        <v> </v>
      </c>
      <c r="HV78" s="48" t="str">
        <f>IFERROR(__xludf.DUMMYFUNCTION("IFERROR(TEXTJOIN(""/"",1,FILTER($B$27:$IV$27,$B$26:$IV$26=HV$97)),"" "")")," ")</f>
        <v> </v>
      </c>
      <c r="HW78" s="48" t="str">
        <f>IFERROR(__xludf.DUMMYFUNCTION("IFERROR(TEXTJOIN(""/"",1,FILTER($B$27:$IV$27,$B$26:$IV$26=HW$97)),"" "")")," ")</f>
        <v> </v>
      </c>
      <c r="HX78" s="48" t="str">
        <f>IFERROR(__xludf.DUMMYFUNCTION("IFERROR(TEXTJOIN(""/"",1,FILTER($B$27:$IV$27,$B$26:$IV$26=HX$97)),"" "")")," ")</f>
        <v> </v>
      </c>
      <c r="HY78" s="48" t="str">
        <f>IFERROR(__xludf.DUMMYFUNCTION("IFERROR(TEXTJOIN(""/"",1,FILTER($B$27:$IV$27,$B$26:$IV$26=HY$97)),"" "")")," ")</f>
        <v> </v>
      </c>
      <c r="HZ78" s="48" t="str">
        <f>IFERROR(__xludf.DUMMYFUNCTION("IFERROR(TEXTJOIN(""/"",1,FILTER($B$27:$IV$27,$B$26:$IV$26=HZ$97)),"" "")")," ")</f>
        <v> </v>
      </c>
      <c r="IA78" s="48" t="str">
        <f>IFERROR(__xludf.DUMMYFUNCTION("IFERROR(TEXTJOIN(""/"",1,FILTER($B$27:$IV$27,$B$26:$IV$26=IA$97)),"" "")")," ")</f>
        <v> </v>
      </c>
      <c r="IB78" s="48" t="str">
        <f>IFERROR(__xludf.DUMMYFUNCTION("IFERROR(TEXTJOIN(""/"",1,FILTER($B$27:$IV$27,$B$26:$IV$26=IB$97)),"" "")")," ")</f>
        <v> </v>
      </c>
      <c r="IC78" s="48" t="str">
        <f>IFERROR(__xludf.DUMMYFUNCTION("IFERROR(TEXTJOIN(""/"",1,FILTER($B$27:$IV$27,$B$26:$IV$26=IC$97)),"" "")")," ")</f>
        <v> </v>
      </c>
      <c r="ID78" s="48" t="str">
        <f>IFERROR(__xludf.DUMMYFUNCTION("IFERROR(TEXTJOIN(""/"",1,FILTER($B$27:$IV$27,$B$26:$IV$26=ID$97)),"" "")")," ")</f>
        <v> </v>
      </c>
      <c r="IE78" s="48" t="str">
        <f>IFERROR(__xludf.DUMMYFUNCTION("IFERROR(TEXTJOIN(""/"",1,FILTER($B$27:$IV$27,$B$26:$IV$26=IE$97)),"" "")")," ")</f>
        <v> </v>
      </c>
      <c r="IF78" s="48" t="str">
        <f>IFERROR(__xludf.DUMMYFUNCTION("IFERROR(TEXTJOIN(""/"",1,FILTER($B$27:$IV$27,$B$26:$IV$26=IF$97)),"" "")")," ")</f>
        <v> </v>
      </c>
      <c r="IG78" s="48" t="str">
        <f>IFERROR(__xludf.DUMMYFUNCTION("IFERROR(TEXTJOIN(""/"",1,FILTER($B$27:$IV$27,$B$26:$IV$26=IG$97)),"" "")")," ")</f>
        <v> </v>
      </c>
      <c r="IH78" s="48" t="str">
        <f>IFERROR(__xludf.DUMMYFUNCTION("IFERROR(TEXTJOIN(""/"",1,FILTER($B$27:$IV$27,$B$26:$IV$26=IH$97)),"" "")")," ")</f>
        <v> </v>
      </c>
      <c r="II78" s="48" t="str">
        <f>IFERROR(__xludf.DUMMYFUNCTION("IFERROR(TEXTJOIN(""/"",1,FILTER($B$27:$IV$27,$B$26:$IV$26=II$97)),"" "")")," ")</f>
        <v> </v>
      </c>
      <c r="IJ78" s="48" t="str">
        <f>IFERROR(__xludf.DUMMYFUNCTION("IFERROR(TEXTJOIN(""/"",1,FILTER($B$27:$IV$27,$B$26:$IV$26=IJ$97)),"" "")")," ")</f>
        <v> </v>
      </c>
      <c r="IK78" s="48" t="str">
        <f>IFERROR(__xludf.DUMMYFUNCTION("IFERROR(TEXTJOIN(""/"",1,FILTER($B$27:$IV$27,$B$26:$IV$26=IK$97)),"" "")")," ")</f>
        <v> </v>
      </c>
      <c r="IL78" s="48" t="str">
        <f>IFERROR(__xludf.DUMMYFUNCTION("IFERROR(TEXTJOIN(""/"",1,FILTER($B$27:$IV$27,$B$26:$IV$26=IL$97)),"" "")")," ")</f>
        <v> </v>
      </c>
      <c r="IM78" s="48" t="str">
        <f>IFERROR(__xludf.DUMMYFUNCTION("IFERROR(TEXTJOIN(""/"",1,FILTER($B$27:$IV$27,$B$26:$IV$26=IM$97)),"" "")")," ")</f>
        <v> </v>
      </c>
      <c r="IN78" s="48" t="str">
        <f>IFERROR(__xludf.DUMMYFUNCTION("IFERROR(TEXTJOIN(""/"",1,FILTER($B$27:$IV$27,$B$26:$IV$26=IN$97)),"" "")")," ")</f>
        <v> </v>
      </c>
      <c r="IO78" s="48" t="str">
        <f>IFERROR(__xludf.DUMMYFUNCTION("IFERROR(TEXTJOIN(""/"",1,FILTER($B$27:$IV$27,$B$26:$IV$26=IO$97)),"" "")")," ")</f>
        <v> </v>
      </c>
      <c r="IP78" s="48" t="str">
        <f>IFERROR(__xludf.DUMMYFUNCTION("IFERROR(TEXTJOIN(""/"",1,FILTER($B$27:$IV$27,$B$26:$IV$26=IP$97)),"" "")")," ")</f>
        <v> </v>
      </c>
      <c r="IQ78" s="48" t="str">
        <f>IFERROR(__xludf.DUMMYFUNCTION("IFERROR(TEXTJOIN(""/"",1,FILTER($B$27:$IV$27,$B$26:$IV$26=IQ$97)),"" "")")," ")</f>
        <v> </v>
      </c>
      <c r="IR78" s="48" t="str">
        <f>IFERROR(__xludf.DUMMYFUNCTION("IFERROR(TEXTJOIN(""/"",1,FILTER($B$27:$IV$27,$B$26:$IV$26=IR$97)),"" "")")," ")</f>
        <v> </v>
      </c>
      <c r="IS78" s="48" t="str">
        <f>IFERROR(__xludf.DUMMYFUNCTION("IFERROR(TEXTJOIN(""/"",1,FILTER($B$27:$IV$27,$B$26:$IV$26=IS$97)),"" "")")," ")</f>
        <v> </v>
      </c>
      <c r="IT78" s="48" t="str">
        <f>IFERROR(__xludf.DUMMYFUNCTION("IFERROR(TEXTJOIN(""/"",1,FILTER($B$27:$IV$27,$B$26:$IV$26=IT$97)),"" "")")," ")</f>
        <v> </v>
      </c>
      <c r="IU78" s="48" t="str">
        <f>IFERROR(__xludf.DUMMYFUNCTION("IFERROR(TEXTJOIN(""/"",1,FILTER($B$27:$IV$27,$B$26:$IV$26=IU$97)),"" "")")," ")</f>
        <v> </v>
      </c>
      <c r="IV78" s="48" t="str">
        <f>IFERROR(__xludf.DUMMYFUNCTION("IFERROR(TEXTJOIN(""/"",1,FILTER($B$27:$IV$27,$B$26:$IV$26=IV$97)),"" "")")," ")</f>
        <v> </v>
      </c>
      <c r="IW78" s="48" t="str">
        <f>IFERROR(__xludf.DUMMYFUNCTION("IFERROR(TEXTJOIN(""/"",1,FILTER($B$27:$IV$27,$B$26:$IV$26=IW$97)),"" "")")," ")</f>
        <v> </v>
      </c>
      <c r="IX78" s="48" t="str">
        <f>IFERROR(__xludf.DUMMYFUNCTION("IFERROR(TEXTJOIN(""/"",1,FILTER($B$27:$IV$27,$B$26:$IV$26=IX$97)),"" "")")," ")</f>
        <v> </v>
      </c>
      <c r="IY78" s="48" t="str">
        <f>IFERROR(__xludf.DUMMYFUNCTION("IFERROR(TEXTJOIN(""/"",1,FILTER($B$27:$IV$27,$B$26:$IV$26=IY$97)),"" "")")," ")</f>
        <v> </v>
      </c>
      <c r="IZ78" s="48" t="str">
        <f>IFERROR(__xludf.DUMMYFUNCTION("IFERROR(TEXTJOIN(""/"",1,FILTER($B$27:$IV$27,$B$26:$IV$26=IZ$97)),"" "")")," ")</f>
        <v> </v>
      </c>
      <c r="JA78" s="48" t="str">
        <f>IFERROR(__xludf.DUMMYFUNCTION("IFERROR(TEXTJOIN(""/"",1,FILTER($B$27:$IV$27,$B$26:$IV$26=JA$97)),"" "")")," ")</f>
        <v> </v>
      </c>
      <c r="JB78" s="48" t="str">
        <f>IFERROR(__xludf.DUMMYFUNCTION("IFERROR(TEXTJOIN(""/"",1,FILTER($B$27:$IV$27,$B$26:$IV$26=JB$97)),"" "")")," ")</f>
        <v> </v>
      </c>
      <c r="JC78" s="48" t="str">
        <f>IFERROR(__xludf.DUMMYFUNCTION("IFERROR(TEXTJOIN(""/"",1,FILTER($B$27:$IV$27,$B$26:$IV$26=JC$97)),"" "")")," ")</f>
        <v> </v>
      </c>
      <c r="JD78" s="48" t="str">
        <f>IFERROR(__xludf.DUMMYFUNCTION("IFERROR(TEXTJOIN(""/"",1,FILTER($B$27:$IV$27,$B$26:$IV$26=JD$97)),"" "")")," ")</f>
        <v> </v>
      </c>
      <c r="JE78" s="48" t="str">
        <f>IFERROR(__xludf.DUMMYFUNCTION("IFERROR(TEXTJOIN(""/"",1,FILTER($B$27:$IV$27,$B$26:$IV$26=JE$97)),"" "")")," ")</f>
        <v> </v>
      </c>
    </row>
    <row r="79">
      <c r="A79" s="47" t="str">
        <f>IFERROR(__xludf.DUMMYFUNCTION("""COMPUTED_VALUE"""),"География")</f>
        <v>География</v>
      </c>
      <c r="B79" s="48" t="str">
        <f>IFERROR(__xludf.DUMMYFUNCTION("IFERROR(TEXTJOIN(""/"",1,FILTER($B$30:$IV$30,$B$29:$IV$29=B$97)),"" "")")," ")</f>
        <v> </v>
      </c>
      <c r="C79" s="48" t="str">
        <f>IFERROR(__xludf.DUMMYFUNCTION("IFERROR(TEXTJOIN(""/"",1,FILTER($B$30:$IV$30,$B$29:$IV$29=C$97)),"" "")")," ")</f>
        <v> </v>
      </c>
      <c r="D79" s="48" t="str">
        <f>IFERROR(__xludf.DUMMYFUNCTION("IFERROR(TEXTJOIN(""/"",1,FILTER($B$30:$IV$30,$B$29:$IV$29=D$97)),"" "")")," ")</f>
        <v> </v>
      </c>
      <c r="E79" s="48" t="str">
        <f>IFERROR(__xludf.DUMMYFUNCTION("IFERROR(TEXTJOIN(""/"",1,FILTER($B$30:$IV$30,$B$29:$IV$29=E$97)),"" "")")," ")</f>
        <v> </v>
      </c>
      <c r="F79" s="48" t="str">
        <f>IFERROR(__xludf.DUMMYFUNCTION("IFERROR(TEXTJOIN(""/"",1,FILTER($B$30:$IV$30,$B$29:$IV$29=F$97)),"" "")")," ")</f>
        <v> </v>
      </c>
      <c r="G79" s="48" t="str">
        <f>IFERROR(__xludf.DUMMYFUNCTION("IFERROR(TEXTJOIN(""/"",1,FILTER($B$30:$IV$30,$B$29:$IV$29=G$97)),"" "")")," ")</f>
        <v> </v>
      </c>
      <c r="H79" s="48" t="str">
        <f>IFERROR(__xludf.DUMMYFUNCTION("IFERROR(TEXTJOIN(""/"",1,FILTER($B$30:$IV$30,$B$29:$IV$29=H$97)),"" "")"),"4")</f>
        <v>4</v>
      </c>
      <c r="I79" s="48" t="str">
        <f>IFERROR(__xludf.DUMMYFUNCTION("IFERROR(TEXTJOIN(""/"",1,FILTER($B$30:$IV$30,$B$29:$IV$29=I$97)),"" "")")," ")</f>
        <v> </v>
      </c>
      <c r="J79" s="48" t="str">
        <f>IFERROR(__xludf.DUMMYFUNCTION("IFERROR(TEXTJOIN(""/"",1,FILTER($B$30:$IV$30,$B$29:$IV$29=J$97)),"" "")")," ")</f>
        <v> </v>
      </c>
      <c r="K79" s="48" t="str">
        <f>IFERROR(__xludf.DUMMYFUNCTION("IFERROR(TEXTJOIN(""/"",1,FILTER($B$30:$IV$30,$B$29:$IV$29=K$97)),"" "")")," ")</f>
        <v> </v>
      </c>
      <c r="L79" s="48" t="str">
        <f>IFERROR(__xludf.DUMMYFUNCTION("IFERROR(TEXTJOIN(""/"",1,FILTER($B$30:$IV$30,$B$29:$IV$29=L$97)),"" "")")," ")</f>
        <v> </v>
      </c>
      <c r="M79" s="48" t="str">
        <f>IFERROR(__xludf.DUMMYFUNCTION("IFERROR(TEXTJOIN(""/"",1,FILTER($B$30:$IV$30,$B$29:$IV$29=M$97)),"" "")")," ")</f>
        <v> </v>
      </c>
      <c r="N79" s="48" t="str">
        <f>IFERROR(__xludf.DUMMYFUNCTION("IFERROR(TEXTJOIN(""/"",1,FILTER($B$30:$IV$30,$B$29:$IV$29=N$97)),"" "")")," ")</f>
        <v> </v>
      </c>
      <c r="O79" s="48" t="str">
        <f>IFERROR(__xludf.DUMMYFUNCTION("IFERROR(TEXTJOIN(""/"",1,FILTER($B$30:$IV$30,$B$29:$IV$29=O$97)),"" "")"),"")</f>
        <v/>
      </c>
      <c r="P79" s="48" t="str">
        <f>IFERROR(__xludf.DUMMYFUNCTION("IFERROR(TEXTJOIN(""/"",1,FILTER($B$30:$IV$30,$B$29:$IV$29=P$97)),"" "")")," ")</f>
        <v> </v>
      </c>
      <c r="Q79" s="48" t="str">
        <f>IFERROR(__xludf.DUMMYFUNCTION("IFERROR(TEXTJOIN(""/"",1,FILTER($B$30:$IV$30,$B$29:$IV$29=Q$97)),"" "")")," ")</f>
        <v> </v>
      </c>
      <c r="R79" s="48" t="str">
        <f>IFERROR(__xludf.DUMMYFUNCTION("IFERROR(TEXTJOIN(""/"",1,FILTER($B$30:$IV$30,$B$29:$IV$29=R$97)),"" "")")," ")</f>
        <v> </v>
      </c>
      <c r="S79" s="48" t="str">
        <f>IFERROR(__xludf.DUMMYFUNCTION("IFERROR(TEXTJOIN(""/"",1,FILTER($B$30:$IV$30,$B$29:$IV$29=S$97)),"" "")")," ")</f>
        <v> </v>
      </c>
      <c r="T79" s="48" t="str">
        <f>IFERROR(__xludf.DUMMYFUNCTION("IFERROR(TEXTJOIN(""/"",1,FILTER($B$30:$IV$30,$B$29:$IV$29=T$97)),"" "")")," ")</f>
        <v> </v>
      </c>
      <c r="U79" s="48" t="str">
        <f>IFERROR(__xludf.DUMMYFUNCTION("IFERROR(TEXTJOIN(""/"",1,FILTER($B$30:$IV$30,$B$29:$IV$29=U$97)),"" "")")," ")</f>
        <v> </v>
      </c>
      <c r="V79" s="48" t="str">
        <f>IFERROR(__xludf.DUMMYFUNCTION("IFERROR(TEXTJOIN(""/"",1,FILTER($B$30:$IV$30,$B$29:$IV$29=V$97)),"" "")"),"")</f>
        <v/>
      </c>
      <c r="W79" s="48" t="str">
        <f>IFERROR(__xludf.DUMMYFUNCTION("IFERROR(TEXTJOIN(""/"",1,FILTER($B$30:$IV$30,$B$29:$IV$29=W$97)),"" "")")," ")</f>
        <v> </v>
      </c>
      <c r="X79" s="48" t="str">
        <f>IFERROR(__xludf.DUMMYFUNCTION("IFERROR(TEXTJOIN(""/"",1,FILTER($B$30:$IV$30,$B$29:$IV$29=X$97)),"" "")")," ")</f>
        <v> </v>
      </c>
      <c r="Y79" s="48" t="str">
        <f>IFERROR(__xludf.DUMMYFUNCTION("IFERROR(TEXTJOIN(""/"",1,FILTER($B$30:$IV$30,$B$29:$IV$29=Y$97)),"" "")")," ")</f>
        <v> </v>
      </c>
      <c r="Z79" s="48" t="str">
        <f>IFERROR(__xludf.DUMMYFUNCTION("IFERROR(TEXTJOIN(""/"",1,FILTER($B$30:$IV$30,$B$29:$IV$29=Z$97)),"" "")")," ")</f>
        <v> </v>
      </c>
      <c r="AA79" s="48" t="str">
        <f>IFERROR(__xludf.DUMMYFUNCTION("IFERROR(TEXTJOIN(""/"",1,FILTER($B$30:$IV$30,$B$29:$IV$29=AA$97)),"" "")")," ")</f>
        <v> </v>
      </c>
      <c r="AB79" s="48" t="str">
        <f>IFERROR(__xludf.DUMMYFUNCTION("IFERROR(TEXTJOIN(""/"",1,FILTER($B$30:$IV$30,$B$29:$IV$29=AB$97)),"" "")")," ")</f>
        <v> </v>
      </c>
      <c r="AC79" s="48" t="str">
        <f>IFERROR(__xludf.DUMMYFUNCTION("IFERROR(TEXTJOIN(""/"",1,FILTER($B$30:$IV$30,$B$29:$IV$29=AC$97)),"" "")"),"")</f>
        <v/>
      </c>
      <c r="AD79" s="48" t="str">
        <f>IFERROR(__xludf.DUMMYFUNCTION("IFERROR(TEXTJOIN(""/"",1,FILTER($B$30:$IV$30,$B$29:$IV$29=AD$97)),"" "")")," ")</f>
        <v> </v>
      </c>
      <c r="AE79" s="48" t="str">
        <f>IFERROR(__xludf.DUMMYFUNCTION("IFERROR(TEXTJOIN(""/"",1,FILTER($B$30:$IV$30,$B$29:$IV$29=AE$97)),"" "")")," ")</f>
        <v> </v>
      </c>
      <c r="AF79" s="48" t="str">
        <f>IFERROR(__xludf.DUMMYFUNCTION("IFERROR(TEXTJOIN(""/"",1,FILTER($B$30:$IV$30,$B$29:$IV$29=AF$97)),"" "")")," ")</f>
        <v> </v>
      </c>
      <c r="AG79" s="48" t="str">
        <f>IFERROR(__xludf.DUMMYFUNCTION("IFERROR(TEXTJOIN(""/"",1,FILTER($B$30:$IV$30,$B$29:$IV$29=AG$97)),"" "")")," ")</f>
        <v> </v>
      </c>
      <c r="AH79" s="48" t="str">
        <f>IFERROR(__xludf.DUMMYFUNCTION("IFERROR(TEXTJOIN(""/"",1,FILTER($B$30:$IV$30,$B$29:$IV$29=AH$97)),"" "")")," ")</f>
        <v> </v>
      </c>
      <c r="AI79" s="48" t="str">
        <f>IFERROR(__xludf.DUMMYFUNCTION("IFERROR(TEXTJOIN(""/"",1,FILTER($B$30:$IV$30,$B$29:$IV$29=AI$97)),"" "")")," ")</f>
        <v> </v>
      </c>
      <c r="AJ79" s="48" t="str">
        <f>IFERROR(__xludf.DUMMYFUNCTION("IFERROR(TEXTJOIN(""/"",1,FILTER($B$30:$IV$30,$B$29:$IV$29=AJ$97)),"" "")"),"")</f>
        <v/>
      </c>
      <c r="AK79" s="48" t="str">
        <f>IFERROR(__xludf.DUMMYFUNCTION("IFERROR(TEXTJOIN(""/"",1,FILTER($B$30:$IV$30,$B$29:$IV$29=AK$97)),"" "")")," ")</f>
        <v> </v>
      </c>
      <c r="AL79" s="48" t="str">
        <f>IFERROR(__xludf.DUMMYFUNCTION("IFERROR(TEXTJOIN(""/"",1,FILTER($B$30:$IV$30,$B$29:$IV$29=AL$97)),"" "")")," ")</f>
        <v> </v>
      </c>
      <c r="AM79" s="48" t="str">
        <f>IFERROR(__xludf.DUMMYFUNCTION("IFERROR(TEXTJOIN(""/"",1,FILTER($B$30:$IV$30,$B$29:$IV$29=AM$97)),"" "")")," ")</f>
        <v> </v>
      </c>
      <c r="AN79" s="48" t="str">
        <f>IFERROR(__xludf.DUMMYFUNCTION("IFERROR(TEXTJOIN(""/"",1,FILTER($B$30:$IV$30,$B$29:$IV$29=AN$97)),"" "")")," ")</f>
        <v> </v>
      </c>
      <c r="AO79" s="48" t="str">
        <f>IFERROR(__xludf.DUMMYFUNCTION("IFERROR(TEXTJOIN(""/"",1,FILTER($B$30:$IV$30,$B$29:$IV$29=AO$97)),"" "")")," ")</f>
        <v> </v>
      </c>
      <c r="AP79" s="48" t="str">
        <f>IFERROR(__xludf.DUMMYFUNCTION("IFERROR(TEXTJOIN(""/"",1,FILTER($B$30:$IV$30,$B$29:$IV$29=AP$97)),"" "")")," ")</f>
        <v> </v>
      </c>
      <c r="AQ79" s="48" t="str">
        <f>IFERROR(__xludf.DUMMYFUNCTION("IFERROR(TEXTJOIN(""/"",1,FILTER($B$30:$IV$30,$B$29:$IV$29=AQ$97)),"" "")"),"5")</f>
        <v>5</v>
      </c>
      <c r="AR79" s="48" t="str">
        <f>IFERROR(__xludf.DUMMYFUNCTION("IFERROR(TEXTJOIN(""/"",1,FILTER($B$30:$IV$30,$B$29:$IV$29=AR$97)),"" "")")," ")</f>
        <v> </v>
      </c>
      <c r="AS79" s="48" t="str">
        <f>IFERROR(__xludf.DUMMYFUNCTION("IFERROR(TEXTJOIN(""/"",1,FILTER($B$30:$IV$30,$B$29:$IV$29=AS$97)),"" "")")," ")</f>
        <v> </v>
      </c>
      <c r="AT79" s="48" t="str">
        <f>IFERROR(__xludf.DUMMYFUNCTION("IFERROR(TEXTJOIN(""/"",1,FILTER($B$30:$IV$30,$B$29:$IV$29=AT$97)),"" "")")," ")</f>
        <v> </v>
      </c>
      <c r="AU79" s="48" t="str">
        <f>IFERROR(__xludf.DUMMYFUNCTION("IFERROR(TEXTJOIN(""/"",1,FILTER($B$30:$IV$30,$B$29:$IV$29=AU$97)),"" "")")," ")</f>
        <v> </v>
      </c>
      <c r="AV79" s="48" t="str">
        <f>IFERROR(__xludf.DUMMYFUNCTION("IFERROR(TEXTJOIN(""/"",1,FILTER($B$30:$IV$30,$B$29:$IV$29=AV$97)),"" "")")," ")</f>
        <v> </v>
      </c>
      <c r="AW79" s="48" t="str">
        <f>IFERROR(__xludf.DUMMYFUNCTION("IFERROR(TEXTJOIN(""/"",1,FILTER($B$30:$IV$30,$B$29:$IV$29=AW$97)),"" "")")," ")</f>
        <v> </v>
      </c>
      <c r="AX79" s="48" t="str">
        <f>IFERROR(__xludf.DUMMYFUNCTION("IFERROR(TEXTJOIN(""/"",1,FILTER($B$30:$IV$30,$B$29:$IV$29=AX$97)),"" "")"),"")</f>
        <v/>
      </c>
      <c r="AY79" s="48" t="str">
        <f>IFERROR(__xludf.DUMMYFUNCTION("IFERROR(TEXTJOIN(""/"",1,FILTER($B$30:$IV$30,$B$29:$IV$29=AY$97)),"" "")")," ")</f>
        <v> </v>
      </c>
      <c r="AZ79" s="48" t="str">
        <f>IFERROR(__xludf.DUMMYFUNCTION("IFERROR(TEXTJOIN(""/"",1,FILTER($B$30:$IV$30,$B$29:$IV$29=AZ$97)),"" "")")," ")</f>
        <v> </v>
      </c>
      <c r="BA79" s="48" t="str">
        <f>IFERROR(__xludf.DUMMYFUNCTION("IFERROR(TEXTJOIN(""/"",1,FILTER($B$30:$IV$30,$B$29:$IV$29=BA$97)),"" "")")," ")</f>
        <v> </v>
      </c>
      <c r="BB79" s="48" t="str">
        <f>IFERROR(__xludf.DUMMYFUNCTION("IFERROR(TEXTJOIN(""/"",1,FILTER($B$30:$IV$30,$B$29:$IV$29=BB$97)),"" "")")," ")</f>
        <v> </v>
      </c>
      <c r="BC79" s="48" t="str">
        <f>IFERROR(__xludf.DUMMYFUNCTION("IFERROR(TEXTJOIN(""/"",1,FILTER($B$30:$IV$30,$B$29:$IV$29=BC$97)),"" "")")," ")</f>
        <v> </v>
      </c>
      <c r="BD79" s="48" t="str">
        <f>IFERROR(__xludf.DUMMYFUNCTION("IFERROR(TEXTJOIN(""/"",1,FILTER($B$30:$IV$30,$B$29:$IV$29=BD$97)),"" "")")," ")</f>
        <v> </v>
      </c>
      <c r="BE79" s="48" t="str">
        <f>IFERROR(__xludf.DUMMYFUNCTION("IFERROR(TEXTJOIN(""/"",1,FILTER($B$30:$IV$30,$B$29:$IV$29=BE$97)),"" "")"),"")</f>
        <v/>
      </c>
      <c r="BF79" s="48" t="str">
        <f>IFERROR(__xludf.DUMMYFUNCTION("IFERROR(TEXTJOIN(""/"",1,FILTER($B$30:$IV$30,$B$29:$IV$29=BF$97)),"" "")")," ")</f>
        <v> </v>
      </c>
      <c r="BG79" s="48" t="str">
        <f>IFERROR(__xludf.DUMMYFUNCTION("IFERROR(TEXTJOIN(""/"",1,FILTER($B$30:$IV$30,$B$29:$IV$29=BG$97)),"" "")")," ")</f>
        <v> </v>
      </c>
      <c r="BH79" s="48" t="str">
        <f>IFERROR(__xludf.DUMMYFUNCTION("IFERROR(TEXTJOIN(""/"",1,FILTER($B$30:$IV$30,$B$29:$IV$29=BH$97)),"" "")")," ")</f>
        <v> </v>
      </c>
      <c r="BI79" s="48" t="str">
        <f>IFERROR(__xludf.DUMMYFUNCTION("IFERROR(TEXTJOIN(""/"",1,FILTER($B$30:$IV$30,$B$29:$IV$29=BI$97)),"" "")")," ")</f>
        <v> </v>
      </c>
      <c r="BJ79" s="48" t="str">
        <f>IFERROR(__xludf.DUMMYFUNCTION("IFERROR(TEXTJOIN(""/"",1,FILTER($B$30:$IV$30,$B$29:$IV$29=BJ$97)),"" "")")," ")</f>
        <v> </v>
      </c>
      <c r="BK79" s="48" t="str">
        <f>IFERROR(__xludf.DUMMYFUNCTION("IFERROR(TEXTJOIN(""/"",1,FILTER($B$30:$IV$30,$B$29:$IV$29=BK$97)),"" "")")," ")</f>
        <v> </v>
      </c>
      <c r="BL79" s="48" t="str">
        <f>IFERROR(__xludf.DUMMYFUNCTION("IFERROR(TEXTJOIN(""/"",1,FILTER($B$30:$IV$30,$B$29:$IV$29=BL$97)),"" "")")," ")</f>
        <v> </v>
      </c>
      <c r="BM79" s="48" t="str">
        <f>IFERROR(__xludf.DUMMYFUNCTION("IFERROR(TEXTJOIN(""/"",1,FILTER($B$30:$IV$30,$B$29:$IV$29=BM$97)),"" "")")," ")</f>
        <v> </v>
      </c>
      <c r="BN79" s="48" t="str">
        <f>IFERROR(__xludf.DUMMYFUNCTION("IFERROR(TEXTJOIN(""/"",1,FILTER($B$30:$IV$30,$B$29:$IV$29=BN$97)),"" "")")," ")</f>
        <v> </v>
      </c>
      <c r="BO79" s="48" t="str">
        <f>IFERROR(__xludf.DUMMYFUNCTION("IFERROR(TEXTJOIN(""/"",1,FILTER($B$30:$IV$30,$B$29:$IV$29=BO$97)),"" "")")," ")</f>
        <v> </v>
      </c>
      <c r="BP79" s="48" t="str">
        <f>IFERROR(__xludf.DUMMYFUNCTION("IFERROR(TEXTJOIN(""/"",1,FILTER($B$30:$IV$30,$B$29:$IV$29=BP$97)),"" "")")," ")</f>
        <v> </v>
      </c>
      <c r="BQ79" s="48" t="str">
        <f>IFERROR(__xludf.DUMMYFUNCTION("IFERROR(TEXTJOIN(""/"",1,FILTER($B$30:$IV$30,$B$29:$IV$29=BQ$97)),"" "")")," ")</f>
        <v> </v>
      </c>
      <c r="BR79" s="48" t="str">
        <f>IFERROR(__xludf.DUMMYFUNCTION("IFERROR(TEXTJOIN(""/"",1,FILTER($B$30:$IV$30,$B$29:$IV$29=BR$97)),"" "")")," ")</f>
        <v> </v>
      </c>
      <c r="BS79" s="48" t="str">
        <f>IFERROR(__xludf.DUMMYFUNCTION("IFERROR(TEXTJOIN(""/"",1,FILTER($B$30:$IV$30,$B$29:$IV$29=BS$97)),"" "")"),"")</f>
        <v/>
      </c>
      <c r="BT79" s="48" t="str">
        <f>IFERROR(__xludf.DUMMYFUNCTION("IFERROR(TEXTJOIN(""/"",1,FILTER($B$30:$IV$30,$B$29:$IV$29=BT$97)),"" "")")," ")</f>
        <v> </v>
      </c>
      <c r="BU79" s="48" t="str">
        <f>IFERROR(__xludf.DUMMYFUNCTION("IFERROR(TEXTJOIN(""/"",1,FILTER($B$30:$IV$30,$B$29:$IV$29=BU$97)),"" "")")," ")</f>
        <v> </v>
      </c>
      <c r="BV79" s="48" t="str">
        <f>IFERROR(__xludf.DUMMYFUNCTION("IFERROR(TEXTJOIN(""/"",1,FILTER($B$30:$IV$30,$B$29:$IV$29=BV$97)),"" "")")," ")</f>
        <v> </v>
      </c>
      <c r="BW79" s="48" t="str">
        <f>IFERROR(__xludf.DUMMYFUNCTION("IFERROR(TEXTJOIN(""/"",1,FILTER($B$30:$IV$30,$B$29:$IV$29=BW$97)),"" "")")," ")</f>
        <v> </v>
      </c>
      <c r="BX79" s="48" t="str">
        <f>IFERROR(__xludf.DUMMYFUNCTION("IFERROR(TEXTJOIN(""/"",1,FILTER($B$30:$IV$30,$B$29:$IV$29=BX$97)),"" "")")," ")</f>
        <v> </v>
      </c>
      <c r="BY79" s="48" t="str">
        <f>IFERROR(__xludf.DUMMYFUNCTION("IFERROR(TEXTJOIN(""/"",1,FILTER($B$30:$IV$30,$B$29:$IV$29=BY$97)),"" "")")," ")</f>
        <v> </v>
      </c>
      <c r="BZ79" s="48" t="str">
        <f>IFERROR(__xludf.DUMMYFUNCTION("IFERROR(TEXTJOIN(""/"",1,FILTER($B$30:$IV$30,$B$29:$IV$29=BZ$97)),"" "")"),"н")</f>
        <v>н</v>
      </c>
      <c r="CA79" s="48" t="str">
        <f>IFERROR(__xludf.DUMMYFUNCTION("IFERROR(TEXTJOIN(""/"",1,FILTER($B$30:$IV$30,$B$29:$IV$29=CA$97)),"" "")")," ")</f>
        <v> </v>
      </c>
      <c r="CB79" s="48" t="str">
        <f>IFERROR(__xludf.DUMMYFUNCTION("IFERROR(TEXTJOIN(""/"",1,FILTER($B$30:$IV$30,$B$29:$IV$29=CB$97)),"" "")")," ")</f>
        <v> </v>
      </c>
      <c r="CC79" s="48" t="str">
        <f>IFERROR(__xludf.DUMMYFUNCTION("IFERROR(TEXTJOIN(""/"",1,FILTER($B$30:$IV$30,$B$29:$IV$29=CC$97)),"" "")")," ")</f>
        <v> </v>
      </c>
      <c r="CD79" s="48" t="str">
        <f>IFERROR(__xludf.DUMMYFUNCTION("IFERROR(TEXTJOIN(""/"",1,FILTER($B$30:$IV$30,$B$29:$IV$29=CD$97)),"" "")")," ")</f>
        <v> </v>
      </c>
      <c r="CE79" s="48" t="str">
        <f>IFERROR(__xludf.DUMMYFUNCTION("IFERROR(TEXTJOIN(""/"",1,FILTER($B$30:$IV$30,$B$29:$IV$29=CE$97)),"" "")")," ")</f>
        <v> </v>
      </c>
      <c r="CF79" s="48" t="str">
        <f>IFERROR(__xludf.DUMMYFUNCTION("IFERROR(TEXTJOIN(""/"",1,FILTER($B$30:$IV$30,$B$29:$IV$29=CF$97)),"" "")")," ")</f>
        <v> </v>
      </c>
      <c r="CG79" s="48" t="str">
        <f>IFERROR(__xludf.DUMMYFUNCTION("IFERROR(TEXTJOIN(""/"",1,FILTER($B$30:$IV$30,$B$29:$IV$29=CG$97)),"" "")"),"")</f>
        <v/>
      </c>
      <c r="CH79" s="48" t="str">
        <f>IFERROR(__xludf.DUMMYFUNCTION("IFERROR(TEXTJOIN(""/"",1,FILTER($B$30:$IV$30,$B$29:$IV$29=CH$97)),"" "")")," ")</f>
        <v> </v>
      </c>
      <c r="CI79" s="48" t="str">
        <f>IFERROR(__xludf.DUMMYFUNCTION("IFERROR(TEXTJOIN(""/"",1,FILTER($B$30:$IV$30,$B$29:$IV$29=CI$97)),"" "")")," ")</f>
        <v> </v>
      </c>
      <c r="CJ79" s="48" t="str">
        <f>IFERROR(__xludf.DUMMYFUNCTION("IFERROR(TEXTJOIN(""/"",1,FILTER($B$30:$IV$30,$B$29:$IV$29=CJ$97)),"" "")")," ")</f>
        <v> </v>
      </c>
      <c r="CK79" s="48" t="str">
        <f>IFERROR(__xludf.DUMMYFUNCTION("IFERROR(TEXTJOIN(""/"",1,FILTER($B$30:$IV$30,$B$29:$IV$29=CK$97)),"" "")")," ")</f>
        <v> </v>
      </c>
      <c r="CL79" s="48" t="str">
        <f>IFERROR(__xludf.DUMMYFUNCTION("IFERROR(TEXTJOIN(""/"",1,FILTER($B$30:$IV$30,$B$29:$IV$29=CL$97)),"" "")")," ")</f>
        <v> </v>
      </c>
      <c r="CM79" s="48" t="str">
        <f>IFERROR(__xludf.DUMMYFUNCTION("IFERROR(TEXTJOIN(""/"",1,FILTER($B$30:$IV$30,$B$29:$IV$29=CM$97)),"" "")")," ")</f>
        <v> </v>
      </c>
      <c r="CN79" s="48" t="str">
        <f>IFERROR(__xludf.DUMMYFUNCTION("IFERROR(TEXTJOIN(""/"",1,FILTER($B$30:$IV$30,$B$29:$IV$29=CN$97)),"" "")"),"н")</f>
        <v>н</v>
      </c>
      <c r="CO79" s="48" t="str">
        <f>IFERROR(__xludf.DUMMYFUNCTION("IFERROR(TEXTJOIN(""/"",1,FILTER($B$30:$IV$30,$B$29:$IV$29=CO$97)),"" "")")," ")</f>
        <v> </v>
      </c>
      <c r="CP79" s="48" t="str">
        <f>IFERROR(__xludf.DUMMYFUNCTION("IFERROR(TEXTJOIN(""/"",1,FILTER($B$30:$IV$30,$B$29:$IV$29=CP$97)),"" "")")," ")</f>
        <v> </v>
      </c>
      <c r="CQ79" s="48" t="str">
        <f>IFERROR(__xludf.DUMMYFUNCTION("IFERROR(TEXTJOIN(""/"",1,FILTER($B$30:$IV$30,$B$29:$IV$29=CQ$97)),"" "")")," ")</f>
        <v> </v>
      </c>
      <c r="CR79" s="48" t="str">
        <f>IFERROR(__xludf.DUMMYFUNCTION("IFERROR(TEXTJOIN(""/"",1,FILTER($B$30:$IV$30,$B$29:$IV$29=CR$97)),"" "")")," ")</f>
        <v> </v>
      </c>
      <c r="CS79" s="48" t="str">
        <f>IFERROR(__xludf.DUMMYFUNCTION("IFERROR(TEXTJOIN(""/"",1,FILTER($B$30:$IV$30,$B$29:$IV$29=CS$97)),"" "")")," ")</f>
        <v> </v>
      </c>
      <c r="CT79" s="48" t="str">
        <f>IFERROR(__xludf.DUMMYFUNCTION("IFERROR(TEXTJOIN(""/"",1,FILTER($B$30:$IV$30,$B$29:$IV$29=CT$97)),"" "")")," ")</f>
        <v> </v>
      </c>
      <c r="CU79" s="48" t="str">
        <f>IFERROR(__xludf.DUMMYFUNCTION("IFERROR(TEXTJOIN(""/"",1,FILTER($B$30:$IV$30,$B$29:$IV$29=CU$97)),"" "")")," ")</f>
        <v> </v>
      </c>
      <c r="CV79" s="48" t="str">
        <f>IFERROR(__xludf.DUMMYFUNCTION("IFERROR(TEXTJOIN(""/"",1,FILTER($B$30:$IV$30,$B$29:$IV$29=CV$97)),"" "")"),"")</f>
        <v/>
      </c>
      <c r="CW79" s="48" t="str">
        <f>IFERROR(__xludf.DUMMYFUNCTION("IFERROR(TEXTJOIN(""/"",1,FILTER($B$30:$IV$30,$B$29:$IV$29=CW$97)),"" "")")," ")</f>
        <v> </v>
      </c>
      <c r="CX79" s="48" t="str">
        <f>IFERROR(__xludf.DUMMYFUNCTION("IFERROR(TEXTJOIN(""/"",1,FILTER($B$30:$IV$30,$B$29:$IV$29=CX$97)),"" "")")," ")</f>
        <v> </v>
      </c>
      <c r="CY79" s="48" t="str">
        <f>IFERROR(__xludf.DUMMYFUNCTION("IFERROR(TEXTJOIN(""/"",1,FILTER($B$30:$IV$30,$B$29:$IV$29=CY$97)),"" "")")," ")</f>
        <v> </v>
      </c>
      <c r="CZ79" s="48" t="str">
        <f>IFERROR(__xludf.DUMMYFUNCTION("IFERROR(TEXTJOIN(""/"",1,FILTER($B$30:$IV$30,$B$29:$IV$29=CZ$97)),"" "")")," ")</f>
        <v> </v>
      </c>
      <c r="DA79" s="48" t="str">
        <f>IFERROR(__xludf.DUMMYFUNCTION("IFERROR(TEXTJOIN(""/"",1,FILTER($B$30:$IV$30,$B$29:$IV$29=DA$97)),"" "")")," ")</f>
        <v> </v>
      </c>
      <c r="DB79" s="48" t="str">
        <f>IFERROR(__xludf.DUMMYFUNCTION("IFERROR(TEXTJOIN(""/"",1,FILTER($B$30:$IV$30,$B$29:$IV$29=DB$97)),"" "")"),"5/4")</f>
        <v>5/4</v>
      </c>
      <c r="DC79" s="48" t="str">
        <f>IFERROR(__xludf.DUMMYFUNCTION("IFERROR(TEXTJOIN(""/"",1,FILTER($B$30:$IV$30,$B$29:$IV$29=DC$97)),"" "")")," ")</f>
        <v> </v>
      </c>
      <c r="DD79" s="48" t="str">
        <f>IFERROR(__xludf.DUMMYFUNCTION("IFERROR(TEXTJOIN(""/"",1,FILTER($B$30:$IV$30,$B$29:$IV$29=DD$97)),"" "")")," ")</f>
        <v> </v>
      </c>
      <c r="DE79" s="48" t="str">
        <f>IFERROR(__xludf.DUMMYFUNCTION("IFERROR(TEXTJOIN(""/"",1,FILTER($B$30:$IV$30,$B$29:$IV$29=DE$97)),"" "")")," ")</f>
        <v> </v>
      </c>
      <c r="DF79" s="48" t="str">
        <f>IFERROR(__xludf.DUMMYFUNCTION("IFERROR(TEXTJOIN(""/"",1,FILTER($B$30:$IV$30,$B$29:$IV$29=DF$97)),"" "")")," ")</f>
        <v> </v>
      </c>
      <c r="DG79" s="48" t="str">
        <f>IFERROR(__xludf.DUMMYFUNCTION("IFERROR(TEXTJOIN(""/"",1,FILTER($B$30:$IV$30,$B$29:$IV$29=DG$97)),"" "")")," ")</f>
        <v> </v>
      </c>
      <c r="DH79" s="48" t="str">
        <f>IFERROR(__xludf.DUMMYFUNCTION("IFERROR(TEXTJOIN(""/"",1,FILTER($B$30:$IV$30,$B$29:$IV$29=DH$97)),"" "")")," ")</f>
        <v> </v>
      </c>
      <c r="DI79" s="48" t="str">
        <f>IFERROR(__xludf.DUMMYFUNCTION("IFERROR(TEXTJOIN(""/"",1,FILTER($B$30:$IV$30,$B$29:$IV$29=DI$97)),"" "")"),"")</f>
        <v/>
      </c>
      <c r="DJ79" s="48" t="str">
        <f>IFERROR(__xludf.DUMMYFUNCTION("IFERROR(TEXTJOIN(""/"",1,FILTER($B$30:$IV$30,$B$29:$IV$29=DJ$97)),"" "")")," ")</f>
        <v> </v>
      </c>
      <c r="DK79" s="48" t="str">
        <f>IFERROR(__xludf.DUMMYFUNCTION("IFERROR(TEXTJOIN(""/"",1,FILTER($B$30:$IV$30,$B$29:$IV$29=DK$97)),"" "")")," ")</f>
        <v> </v>
      </c>
      <c r="DL79" s="48" t="str">
        <f>IFERROR(__xludf.DUMMYFUNCTION("IFERROR(TEXTJOIN(""/"",1,FILTER($B$30:$IV$30,$B$29:$IV$29=DL$97)),"" "")")," ")</f>
        <v> </v>
      </c>
      <c r="DM79" s="48" t="str">
        <f>IFERROR(__xludf.DUMMYFUNCTION("IFERROR(TEXTJOIN(""/"",1,FILTER($B$30:$IV$30,$B$29:$IV$29=DM$97)),"" "")")," ")</f>
        <v> </v>
      </c>
      <c r="DN79" s="48" t="str">
        <f>IFERROR(__xludf.DUMMYFUNCTION("IFERROR(TEXTJOIN(""/"",1,FILTER($B$30:$IV$30,$B$29:$IV$29=DN$97)),"" "")")," ")</f>
        <v> </v>
      </c>
      <c r="DO79" s="48" t="str">
        <f>IFERROR(__xludf.DUMMYFUNCTION("IFERROR(TEXTJOIN(""/"",1,FILTER($B$30:$IV$30,$B$29:$IV$29=DO$97)),"" "")")," ")</f>
        <v> </v>
      </c>
      <c r="DP79" s="48" t="str">
        <f>IFERROR(__xludf.DUMMYFUNCTION("IFERROR(TEXTJOIN(""/"",1,FILTER($B$30:$IV$30,$B$29:$IV$29=DP$97)),"" "")")," ")</f>
        <v> </v>
      </c>
      <c r="DQ79" s="48" t="str">
        <f>IFERROR(__xludf.DUMMYFUNCTION("IFERROR(TEXTJOIN(""/"",1,FILTER($B$30:$IV$30,$B$29:$IV$29=DQ$97)),"" "")")," ")</f>
        <v> </v>
      </c>
      <c r="DR79" s="48" t="str">
        <f>IFERROR(__xludf.DUMMYFUNCTION("IFERROR(TEXTJOIN(""/"",1,FILTER($B$30:$IV$30,$B$29:$IV$29=DR$97)),"" "")")," ")</f>
        <v> </v>
      </c>
      <c r="DS79" s="48" t="str">
        <f>IFERROR(__xludf.DUMMYFUNCTION("IFERROR(TEXTJOIN(""/"",1,FILTER($B$30:$IV$30,$B$29:$IV$29=DS$97)),"" "")")," ")</f>
        <v> </v>
      </c>
      <c r="DT79" s="48" t="str">
        <f>IFERROR(__xludf.DUMMYFUNCTION("IFERROR(TEXTJOIN(""/"",1,FILTER($B$30:$IV$30,$B$29:$IV$29=DT$97)),"" "")")," ")</f>
        <v> </v>
      </c>
      <c r="DU79" s="48" t="str">
        <f>IFERROR(__xludf.DUMMYFUNCTION("IFERROR(TEXTJOIN(""/"",1,FILTER($B$30:$IV$30,$B$29:$IV$29=DU$97)),"" "")")," ")</f>
        <v> </v>
      </c>
      <c r="DV79" s="48" t="str">
        <f>IFERROR(__xludf.DUMMYFUNCTION("IFERROR(TEXTJOIN(""/"",1,FILTER($B$30:$IV$30,$B$29:$IV$29=DV$97)),"" "")")," ")</f>
        <v> </v>
      </c>
      <c r="DW79" s="48" t="str">
        <f>IFERROR(__xludf.DUMMYFUNCTION("IFERROR(TEXTJOIN(""/"",1,FILTER($B$30:$IV$30,$B$29:$IV$29=DW$97)),"" "")")," ")</f>
        <v> </v>
      </c>
      <c r="DX79" s="48" t="str">
        <f>IFERROR(__xludf.DUMMYFUNCTION("IFERROR(TEXTJOIN(""/"",1,FILTER($B$30:$IV$30,$B$29:$IV$29=DX$97)),"" "")")," ")</f>
        <v> </v>
      </c>
      <c r="DY79" s="48" t="str">
        <f>IFERROR(__xludf.DUMMYFUNCTION("IFERROR(TEXTJOIN(""/"",1,FILTER($B$30:$IV$30,$B$29:$IV$29=DY$97)),"" "")")," ")</f>
        <v> </v>
      </c>
      <c r="DZ79" s="48" t="str">
        <f>IFERROR(__xludf.DUMMYFUNCTION("IFERROR(TEXTJOIN(""/"",1,FILTER($B$30:$IV$30,$B$29:$IV$29=DZ$97)),"" "")")," ")</f>
        <v> </v>
      </c>
      <c r="EA79" s="48" t="str">
        <f>IFERROR(__xludf.DUMMYFUNCTION("IFERROR(TEXTJOIN(""/"",1,FILTER($B$30:$IV$30,$B$29:$IV$29=EA$97)),"" "")")," ")</f>
        <v> </v>
      </c>
      <c r="EB79" s="48" t="str">
        <f>IFERROR(__xludf.DUMMYFUNCTION("IFERROR(TEXTJOIN(""/"",1,FILTER($B$30:$IV$30,$B$29:$IV$29=EB$97)),"" "")")," ")</f>
        <v> </v>
      </c>
      <c r="EC79" s="48" t="str">
        <f>IFERROR(__xludf.DUMMYFUNCTION("IFERROR(TEXTJOIN(""/"",1,FILTER($B$30:$IV$30,$B$29:$IV$29=EC$97)),"" "")")," ")</f>
        <v> </v>
      </c>
      <c r="ED79" s="48" t="str">
        <f>IFERROR(__xludf.DUMMYFUNCTION("IFERROR(TEXTJOIN(""/"",1,FILTER($B$30:$IV$30,$B$29:$IV$29=ED$97)),"" "")")," ")</f>
        <v> </v>
      </c>
      <c r="EE79" s="48" t="str">
        <f>IFERROR(__xludf.DUMMYFUNCTION("IFERROR(TEXTJOIN(""/"",1,FILTER($B$30:$IV$30,$B$29:$IV$29=EE$97)),"" "")")," ")</f>
        <v> </v>
      </c>
      <c r="EF79" s="48" t="str">
        <f>IFERROR(__xludf.DUMMYFUNCTION("IFERROR(TEXTJOIN(""/"",1,FILTER($B$30:$IV$30,$B$29:$IV$29=EF$97)),"" "")")," ")</f>
        <v> </v>
      </c>
      <c r="EG79" s="48" t="str">
        <f>IFERROR(__xludf.DUMMYFUNCTION("IFERROR(TEXTJOIN(""/"",1,FILTER($B$30:$IV$30,$B$29:$IV$29=EG$97)),"" "")")," ")</f>
        <v> </v>
      </c>
      <c r="EH79" s="48" t="str">
        <f>IFERROR(__xludf.DUMMYFUNCTION("IFERROR(TEXTJOIN(""/"",1,FILTER($B$30:$IV$30,$B$29:$IV$29=EH$97)),"" "")")," ")</f>
        <v> </v>
      </c>
      <c r="EI79" s="48" t="str">
        <f>IFERROR(__xludf.DUMMYFUNCTION("IFERROR(TEXTJOIN(""/"",1,FILTER($B$30:$IV$30,$B$29:$IV$29=EI$97)),"" "")"),"")</f>
        <v/>
      </c>
      <c r="EJ79" s="48" t="str">
        <f>IFERROR(__xludf.DUMMYFUNCTION("IFERROR(TEXTJOIN(""/"",1,FILTER($B$30:$IV$30,$B$29:$IV$29=EJ$97)),"" "")")," ")</f>
        <v> </v>
      </c>
      <c r="EK79" s="48" t="str">
        <f>IFERROR(__xludf.DUMMYFUNCTION("IFERROR(TEXTJOIN(""/"",1,FILTER($B$30:$IV$30,$B$29:$IV$29=EK$97)),"" "")")," ")</f>
        <v> </v>
      </c>
      <c r="EL79" s="48" t="str">
        <f>IFERROR(__xludf.DUMMYFUNCTION("IFERROR(TEXTJOIN(""/"",1,FILTER($B$30:$IV$30,$B$29:$IV$29=EL$97)),"" "")")," ")</f>
        <v> </v>
      </c>
      <c r="EM79" s="48" t="str">
        <f>IFERROR(__xludf.DUMMYFUNCTION("IFERROR(TEXTJOIN(""/"",1,FILTER($B$30:$IV$30,$B$29:$IV$29=EM$97)),"" "")")," ")</f>
        <v> </v>
      </c>
      <c r="EN79" s="48" t="str">
        <f>IFERROR(__xludf.DUMMYFUNCTION("IFERROR(TEXTJOIN(""/"",1,FILTER($B$30:$IV$30,$B$29:$IV$29=EN$97)),"" "")")," ")</f>
        <v> </v>
      </c>
      <c r="EO79" s="48" t="str">
        <f>IFERROR(__xludf.DUMMYFUNCTION("IFERROR(TEXTJOIN(""/"",1,FILTER($B$30:$IV$30,$B$29:$IV$29=EO$97)),"" "")")," ")</f>
        <v> </v>
      </c>
      <c r="EP79" s="48" t="str">
        <f>IFERROR(__xludf.DUMMYFUNCTION("IFERROR(TEXTJOIN(""/"",1,FILTER($B$30:$IV$30,$B$29:$IV$29=EP$97)),"" "")"),"")</f>
        <v/>
      </c>
      <c r="EQ79" s="48" t="str">
        <f>IFERROR(__xludf.DUMMYFUNCTION("IFERROR(TEXTJOIN(""/"",1,FILTER($B$30:$IV$30,$B$29:$IV$29=EQ$97)),"" "")")," ")</f>
        <v> </v>
      </c>
      <c r="ER79" s="48" t="str">
        <f>IFERROR(__xludf.DUMMYFUNCTION("IFERROR(TEXTJOIN(""/"",1,FILTER($B$30:$IV$30,$B$29:$IV$29=ER$97)),"" "")")," ")</f>
        <v> </v>
      </c>
      <c r="ES79" s="48" t="str">
        <f>IFERROR(__xludf.DUMMYFUNCTION("IFERROR(TEXTJOIN(""/"",1,FILTER($B$30:$IV$30,$B$29:$IV$29=ES$97)),"" "")")," ")</f>
        <v> </v>
      </c>
      <c r="ET79" s="48" t="str">
        <f>IFERROR(__xludf.DUMMYFUNCTION("IFERROR(TEXTJOIN(""/"",1,FILTER($B$30:$IV$30,$B$29:$IV$29=ET$97)),"" "")")," ")</f>
        <v> </v>
      </c>
      <c r="EU79" s="48" t="str">
        <f>IFERROR(__xludf.DUMMYFUNCTION("IFERROR(TEXTJOIN(""/"",1,FILTER($B$30:$IV$30,$B$29:$IV$29=EU$97)),"" "")")," ")</f>
        <v> </v>
      </c>
      <c r="EV79" s="48" t="str">
        <f>IFERROR(__xludf.DUMMYFUNCTION("IFERROR(TEXTJOIN(""/"",1,FILTER($B$30:$IV$30,$B$29:$IV$29=EV$97)),"" "")")," ")</f>
        <v> </v>
      </c>
      <c r="EW79" s="48" t="str">
        <f>IFERROR(__xludf.DUMMYFUNCTION("IFERROR(TEXTJOIN(""/"",1,FILTER($B$30:$IV$30,$B$29:$IV$29=EW$97)),"" "")"),"н")</f>
        <v>н</v>
      </c>
      <c r="EX79" s="48" t="str">
        <f>IFERROR(__xludf.DUMMYFUNCTION("IFERROR(TEXTJOIN(""/"",1,FILTER($B$30:$IV$30,$B$29:$IV$29=EX$97)),"" "")")," ")</f>
        <v> </v>
      </c>
      <c r="EY79" s="48" t="str">
        <f>IFERROR(__xludf.DUMMYFUNCTION("IFERROR(TEXTJOIN(""/"",1,FILTER($B$30:$IV$30,$B$29:$IV$29=EY$97)),"" "")")," ")</f>
        <v> </v>
      </c>
      <c r="EZ79" s="48" t="str">
        <f>IFERROR(__xludf.DUMMYFUNCTION("IFERROR(TEXTJOIN(""/"",1,FILTER($B$30:$IV$30,$B$29:$IV$29=EZ$97)),"" "")")," ")</f>
        <v> </v>
      </c>
      <c r="FA79" s="48" t="str">
        <f>IFERROR(__xludf.DUMMYFUNCTION("IFERROR(TEXTJOIN(""/"",1,FILTER($B$30:$IV$30,$B$29:$IV$29=FA$97)),"" "")")," ")</f>
        <v> </v>
      </c>
      <c r="FB79" s="48" t="str">
        <f>IFERROR(__xludf.DUMMYFUNCTION("IFERROR(TEXTJOIN(""/"",1,FILTER($B$30:$IV$30,$B$29:$IV$29=FB$97)),"" "")")," ")</f>
        <v> </v>
      </c>
      <c r="FC79" s="48" t="str">
        <f>IFERROR(__xludf.DUMMYFUNCTION("IFERROR(TEXTJOIN(""/"",1,FILTER($B$30:$IV$30,$B$29:$IV$29=FC$97)),"" "")")," ")</f>
        <v> </v>
      </c>
      <c r="FD79" s="48" t="str">
        <f>IFERROR(__xludf.DUMMYFUNCTION("IFERROR(TEXTJOIN(""/"",1,FILTER($B$30:$IV$30,$B$29:$IV$29=FD$97)),"" "")"),"")</f>
        <v/>
      </c>
      <c r="FE79" s="48" t="str">
        <f>IFERROR(__xludf.DUMMYFUNCTION("IFERROR(TEXTJOIN(""/"",1,FILTER($B$30:$IV$30,$B$29:$IV$29=FE$97)),"" "")")," ")</f>
        <v> </v>
      </c>
      <c r="FF79" s="48" t="str">
        <f>IFERROR(__xludf.DUMMYFUNCTION("IFERROR(TEXTJOIN(""/"",1,FILTER($B$30:$IV$30,$B$29:$IV$29=FF$97)),"" "")")," ")</f>
        <v> </v>
      </c>
      <c r="FG79" s="48" t="str">
        <f>IFERROR(__xludf.DUMMYFUNCTION("IFERROR(TEXTJOIN(""/"",1,FILTER($B$30:$IV$30,$B$29:$IV$29=FG$97)),"" "")")," ")</f>
        <v> </v>
      </c>
      <c r="FH79" s="48" t="str">
        <f>IFERROR(__xludf.DUMMYFUNCTION("IFERROR(TEXTJOIN(""/"",1,FILTER($B$30:$IV$30,$B$29:$IV$29=FH$97)),"" "")")," ")</f>
        <v> </v>
      </c>
      <c r="FI79" s="48" t="str">
        <f>IFERROR(__xludf.DUMMYFUNCTION("IFERROR(TEXTJOIN(""/"",1,FILTER($B$30:$IV$30,$B$29:$IV$29=FI$97)),"" "")")," ")</f>
        <v> </v>
      </c>
      <c r="FJ79" s="48" t="str">
        <f>IFERROR(__xludf.DUMMYFUNCTION("IFERROR(TEXTJOIN(""/"",1,FILTER($B$30:$IV$30,$B$29:$IV$29=FJ$97)),"" "")")," ")</f>
        <v> </v>
      </c>
      <c r="FK79" s="48" t="str">
        <f>IFERROR(__xludf.DUMMYFUNCTION("IFERROR(TEXTJOIN(""/"",1,FILTER($B$30:$IV$30,$B$29:$IV$29=FK$97)),"" "")"),"")</f>
        <v/>
      </c>
      <c r="FL79" s="48" t="str">
        <f>IFERROR(__xludf.DUMMYFUNCTION("IFERROR(TEXTJOIN(""/"",1,FILTER($B$30:$IV$30,$B$29:$IV$29=FL$97)),"" "")")," ")</f>
        <v> </v>
      </c>
      <c r="FM79" s="48" t="str">
        <f>IFERROR(__xludf.DUMMYFUNCTION("IFERROR(TEXTJOIN(""/"",1,FILTER($B$30:$IV$30,$B$29:$IV$29=FM$97)),"" "")")," ")</f>
        <v> </v>
      </c>
      <c r="FN79" s="48" t="str">
        <f>IFERROR(__xludf.DUMMYFUNCTION("IFERROR(TEXTJOIN(""/"",1,FILTER($B$30:$IV$30,$B$29:$IV$29=FN$97)),"" "")")," ")</f>
        <v> </v>
      </c>
      <c r="FO79" s="48" t="str">
        <f>IFERROR(__xludf.DUMMYFUNCTION("IFERROR(TEXTJOIN(""/"",1,FILTER($B$30:$IV$30,$B$29:$IV$29=FO$97)),"" "")")," ")</f>
        <v> </v>
      </c>
      <c r="FP79" s="48" t="str">
        <f>IFERROR(__xludf.DUMMYFUNCTION("IFERROR(TEXTJOIN(""/"",1,FILTER($B$30:$IV$30,$B$29:$IV$29=FP$97)),"" "")")," ")</f>
        <v> </v>
      </c>
      <c r="FQ79" s="48" t="str">
        <f>IFERROR(__xludf.DUMMYFUNCTION("IFERROR(TEXTJOIN(""/"",1,FILTER($B$30:$IV$30,$B$29:$IV$29=FQ$97)),"" "")")," ")</f>
        <v> </v>
      </c>
      <c r="FR79" s="48" t="str">
        <f>IFERROR(__xludf.DUMMYFUNCTION("IFERROR(TEXTJOIN(""/"",1,FILTER($B$30:$IV$30,$B$29:$IV$29=FR$97)),"" "")"),"")</f>
        <v/>
      </c>
      <c r="FS79" s="48" t="str">
        <f>IFERROR(__xludf.DUMMYFUNCTION("IFERROR(TEXTJOIN(""/"",1,FILTER($B$30:$IV$30,$B$29:$IV$29=FS$97)),"" "")")," ")</f>
        <v> </v>
      </c>
      <c r="FT79" s="48" t="str">
        <f>IFERROR(__xludf.DUMMYFUNCTION("IFERROR(TEXTJOIN(""/"",1,FILTER($B$30:$IV$30,$B$29:$IV$29=FT$97)),"" "")")," ")</f>
        <v> </v>
      </c>
      <c r="FU79" s="48" t="str">
        <f>IFERROR(__xludf.DUMMYFUNCTION("IFERROR(TEXTJOIN(""/"",1,FILTER($B$30:$IV$30,$B$29:$IV$29=FU$97)),"" "")")," ")</f>
        <v> </v>
      </c>
      <c r="FV79" s="48" t="str">
        <f>IFERROR(__xludf.DUMMYFUNCTION("IFERROR(TEXTJOIN(""/"",1,FILTER($B$30:$IV$30,$B$29:$IV$29=FV$97)),"" "")")," ")</f>
        <v> </v>
      </c>
      <c r="FW79" s="48" t="str">
        <f>IFERROR(__xludf.DUMMYFUNCTION("IFERROR(TEXTJOIN(""/"",1,FILTER($B$30:$IV$30,$B$29:$IV$29=FW$97)),"" "")")," ")</f>
        <v> </v>
      </c>
      <c r="FX79" s="48" t="str">
        <f>IFERROR(__xludf.DUMMYFUNCTION("IFERROR(TEXTJOIN(""/"",1,FILTER($B$30:$IV$30,$B$29:$IV$29=FX$97)),"" "")")," ")</f>
        <v> </v>
      </c>
      <c r="FY79" s="48" t="str">
        <f>IFERROR(__xludf.DUMMYFUNCTION("IFERROR(TEXTJOIN(""/"",1,FILTER($B$30:$IV$30,$B$29:$IV$29=FY$97)),"" "")"),"")</f>
        <v/>
      </c>
      <c r="FZ79" s="48" t="str">
        <f>IFERROR(__xludf.DUMMYFUNCTION("IFERROR(TEXTJOIN(""/"",1,FILTER($B$30:$IV$30,$B$29:$IV$29=FZ$97)),"" "")")," ")</f>
        <v> </v>
      </c>
      <c r="GA79" s="48" t="str">
        <f>IFERROR(__xludf.DUMMYFUNCTION("IFERROR(TEXTJOIN(""/"",1,FILTER($B$30:$IV$30,$B$29:$IV$29=GA$97)),"" "")")," ")</f>
        <v> </v>
      </c>
      <c r="GB79" s="48" t="str">
        <f>IFERROR(__xludf.DUMMYFUNCTION("IFERROR(TEXTJOIN(""/"",1,FILTER($B$30:$IV$30,$B$29:$IV$29=GB$97)),"" "")")," ")</f>
        <v> </v>
      </c>
      <c r="GC79" s="48" t="str">
        <f>IFERROR(__xludf.DUMMYFUNCTION("IFERROR(TEXTJOIN(""/"",1,FILTER($B$30:$IV$30,$B$29:$IV$29=GC$97)),"" "")")," ")</f>
        <v> </v>
      </c>
      <c r="GD79" s="48" t="str">
        <f>IFERROR(__xludf.DUMMYFUNCTION("IFERROR(TEXTJOIN(""/"",1,FILTER($B$30:$IV$30,$B$29:$IV$29=GD$97)),"" "")")," ")</f>
        <v> </v>
      </c>
      <c r="GE79" s="48" t="str">
        <f>IFERROR(__xludf.DUMMYFUNCTION("IFERROR(TEXTJOIN(""/"",1,FILTER($B$30:$IV$30,$B$29:$IV$29=GE$97)),"" "")")," ")</f>
        <v> </v>
      </c>
      <c r="GF79" s="48" t="str">
        <f>IFERROR(__xludf.DUMMYFUNCTION("IFERROR(TEXTJOIN(""/"",1,FILTER($B$30:$IV$30,$B$29:$IV$29=GF$97)),"" "")")," ")</f>
        <v> </v>
      </c>
      <c r="GG79" s="48" t="str">
        <f>IFERROR(__xludf.DUMMYFUNCTION("IFERROR(TEXTJOIN(""/"",1,FILTER($B$30:$IV$30,$B$29:$IV$29=GG$97)),"" "")")," ")</f>
        <v> </v>
      </c>
      <c r="GH79" s="48" t="str">
        <f>IFERROR(__xludf.DUMMYFUNCTION("IFERROR(TEXTJOIN(""/"",1,FILTER($B$30:$IV$30,$B$29:$IV$29=GH$97)),"" "")")," ")</f>
        <v> </v>
      </c>
      <c r="GI79" s="48" t="str">
        <f>IFERROR(__xludf.DUMMYFUNCTION("IFERROR(TEXTJOIN(""/"",1,FILTER($B$30:$IV$30,$B$29:$IV$29=GI$97)),"" "")")," ")</f>
        <v> </v>
      </c>
      <c r="GJ79" s="48" t="str">
        <f>IFERROR(__xludf.DUMMYFUNCTION("IFERROR(TEXTJOIN(""/"",1,FILTER($B$30:$IV$30,$B$29:$IV$29=GJ$97)),"" "")")," ")</f>
        <v> </v>
      </c>
      <c r="GK79" s="48" t="str">
        <f>IFERROR(__xludf.DUMMYFUNCTION("IFERROR(TEXTJOIN(""/"",1,FILTER($B$30:$IV$30,$B$29:$IV$29=GK$97)),"" "")")," ")</f>
        <v> </v>
      </c>
      <c r="GL79" s="48" t="str">
        <f>IFERROR(__xludf.DUMMYFUNCTION("IFERROR(TEXTJOIN(""/"",1,FILTER($B$30:$IV$30,$B$29:$IV$29=GL$97)),"" "")")," ")</f>
        <v> </v>
      </c>
      <c r="GM79" s="48" t="str">
        <f>IFERROR(__xludf.DUMMYFUNCTION("IFERROR(TEXTJOIN(""/"",1,FILTER($B$30:$IV$30,$B$29:$IV$29=GM$97)),"" "")"),"н")</f>
        <v>н</v>
      </c>
      <c r="GN79" s="48" t="str">
        <f>IFERROR(__xludf.DUMMYFUNCTION("IFERROR(TEXTJOIN(""/"",1,FILTER($B$30:$IV$30,$B$29:$IV$29=GN$97)),"" "")")," ")</f>
        <v> </v>
      </c>
      <c r="GO79" s="48" t="str">
        <f>IFERROR(__xludf.DUMMYFUNCTION("IFERROR(TEXTJOIN(""/"",1,FILTER($B$30:$IV$30,$B$29:$IV$29=GO$97)),"" "")")," ")</f>
        <v> </v>
      </c>
      <c r="GP79" s="48" t="str">
        <f>IFERROR(__xludf.DUMMYFUNCTION("IFERROR(TEXTJOIN(""/"",1,FILTER($B$30:$IV$30,$B$29:$IV$29=GP$97)),"" "")")," ")</f>
        <v> </v>
      </c>
      <c r="GQ79" s="48" t="str">
        <f>IFERROR(__xludf.DUMMYFUNCTION("IFERROR(TEXTJOIN(""/"",1,FILTER($B$30:$IV$30,$B$29:$IV$29=GQ$97)),"" "")")," ")</f>
        <v> </v>
      </c>
      <c r="GR79" s="48" t="str">
        <f>IFERROR(__xludf.DUMMYFUNCTION("IFERROR(TEXTJOIN(""/"",1,FILTER($B$30:$IV$30,$B$29:$IV$29=GR$97)),"" "")")," ")</f>
        <v> </v>
      </c>
      <c r="GS79" s="48" t="str">
        <f>IFERROR(__xludf.DUMMYFUNCTION("IFERROR(TEXTJOIN(""/"",1,FILTER($B$30:$IV$30,$B$29:$IV$29=GS$97)),"" "")")," ")</f>
        <v> </v>
      </c>
      <c r="GT79" s="48" t="str">
        <f>IFERROR(__xludf.DUMMYFUNCTION("IFERROR(TEXTJOIN(""/"",1,FILTER($B$30:$IV$30,$B$29:$IV$29=GT$97)),"" "")")," ")</f>
        <v> </v>
      </c>
      <c r="GU79" s="48" t="str">
        <f>IFERROR(__xludf.DUMMYFUNCTION("IFERROR(TEXTJOIN(""/"",1,FILTER($B$30:$IV$30,$B$29:$IV$29=GU$97)),"" "")")," ")</f>
        <v> </v>
      </c>
      <c r="GV79" s="48" t="str">
        <f>IFERROR(__xludf.DUMMYFUNCTION("IFERROR(TEXTJOIN(""/"",1,FILTER($B$30:$IV$30,$B$29:$IV$29=GV$97)),"" "")")," ")</f>
        <v> </v>
      </c>
      <c r="GW79" s="48" t="str">
        <f>IFERROR(__xludf.DUMMYFUNCTION("IFERROR(TEXTJOIN(""/"",1,FILTER($B$30:$IV$30,$B$29:$IV$29=GW$97)),"" "")")," ")</f>
        <v> </v>
      </c>
      <c r="GX79" s="48" t="str">
        <f>IFERROR(__xludf.DUMMYFUNCTION("IFERROR(TEXTJOIN(""/"",1,FILTER($B$30:$IV$30,$B$29:$IV$29=GX$97)),"" "")")," ")</f>
        <v> </v>
      </c>
      <c r="GY79" s="48" t="str">
        <f>IFERROR(__xludf.DUMMYFUNCTION("IFERROR(TEXTJOIN(""/"",1,FILTER($B$30:$IV$30,$B$29:$IV$29=GY$97)),"" "")")," ")</f>
        <v> </v>
      </c>
      <c r="GZ79" s="48" t="str">
        <f>IFERROR(__xludf.DUMMYFUNCTION("IFERROR(TEXTJOIN(""/"",1,FILTER($B$30:$IV$30,$B$29:$IV$29=GZ$97)),"" "")")," ")</f>
        <v> </v>
      </c>
      <c r="HA79" s="48" t="str">
        <f>IFERROR(__xludf.DUMMYFUNCTION("IFERROR(TEXTJOIN(""/"",1,FILTER($B$30:$IV$30,$B$29:$IV$29=HA$97)),"" "")")," ")</f>
        <v> </v>
      </c>
      <c r="HB79" s="48" t="str">
        <f>IFERROR(__xludf.DUMMYFUNCTION("IFERROR(TEXTJOIN(""/"",1,FILTER($B$30:$IV$30,$B$29:$IV$29=HB$97)),"" "")")," ")</f>
        <v> </v>
      </c>
      <c r="HC79" s="48" t="str">
        <f>IFERROR(__xludf.DUMMYFUNCTION("IFERROR(TEXTJOIN(""/"",1,FILTER($B$30:$IV$30,$B$29:$IV$29=HC$97)),"" "")")," ")</f>
        <v> </v>
      </c>
      <c r="HD79" s="48" t="str">
        <f>IFERROR(__xludf.DUMMYFUNCTION("IFERROR(TEXTJOIN(""/"",1,FILTER($B$30:$IV$30,$B$29:$IV$29=HD$97)),"" "")")," ")</f>
        <v> </v>
      </c>
      <c r="HE79" s="48" t="str">
        <f>IFERROR(__xludf.DUMMYFUNCTION("IFERROR(TEXTJOIN(""/"",1,FILTER($B$30:$IV$30,$B$29:$IV$29=HE$97)),"" "")")," ")</f>
        <v> </v>
      </c>
      <c r="HF79" s="48" t="str">
        <f>IFERROR(__xludf.DUMMYFUNCTION("IFERROR(TEXTJOIN(""/"",1,FILTER($B$30:$IV$30,$B$29:$IV$29=HF$97)),"" "")")," ")</f>
        <v> </v>
      </c>
      <c r="HG79" s="48" t="str">
        <f>IFERROR(__xludf.DUMMYFUNCTION("IFERROR(TEXTJOIN(""/"",1,FILTER($B$30:$IV$30,$B$29:$IV$29=HG$97)),"" "")")," ")</f>
        <v> </v>
      </c>
      <c r="HH79" s="48" t="str">
        <f>IFERROR(__xludf.DUMMYFUNCTION("IFERROR(TEXTJOIN(""/"",1,FILTER($B$30:$IV$30,$B$29:$IV$29=HH$97)),"" "")")," ")</f>
        <v> </v>
      </c>
      <c r="HI79" s="48" t="str">
        <f>IFERROR(__xludf.DUMMYFUNCTION("IFERROR(TEXTJOIN(""/"",1,FILTER($B$30:$IV$30,$B$29:$IV$29=HI$97)),"" "")")," ")</f>
        <v> </v>
      </c>
      <c r="HJ79" s="48" t="str">
        <f>IFERROR(__xludf.DUMMYFUNCTION("IFERROR(TEXTJOIN(""/"",1,FILTER($B$30:$IV$30,$B$29:$IV$29=HJ$97)),"" "")")," ")</f>
        <v> </v>
      </c>
      <c r="HK79" s="48" t="str">
        <f>IFERROR(__xludf.DUMMYFUNCTION("IFERROR(TEXTJOIN(""/"",1,FILTER($B$30:$IV$30,$B$29:$IV$29=HK$97)),"" "")")," ")</f>
        <v> </v>
      </c>
      <c r="HL79" s="48" t="str">
        <f>IFERROR(__xludf.DUMMYFUNCTION("IFERROR(TEXTJOIN(""/"",1,FILTER($B$30:$IV$30,$B$29:$IV$29=HL$97)),"" "")")," ")</f>
        <v> </v>
      </c>
      <c r="HM79" s="48" t="str">
        <f>IFERROR(__xludf.DUMMYFUNCTION("IFERROR(TEXTJOIN(""/"",1,FILTER($B$30:$IV$30,$B$29:$IV$29=HM$97)),"" "")")," ")</f>
        <v> </v>
      </c>
      <c r="HN79" s="48" t="str">
        <f>IFERROR(__xludf.DUMMYFUNCTION("IFERROR(TEXTJOIN(""/"",1,FILTER($B$30:$IV$30,$B$29:$IV$29=HN$97)),"" "")")," ")</f>
        <v> </v>
      </c>
      <c r="HO79" s="48" t="str">
        <f>IFERROR(__xludf.DUMMYFUNCTION("IFERROR(TEXTJOIN(""/"",1,FILTER($B$30:$IV$30,$B$29:$IV$29=HO$97)),"" "")")," ")</f>
        <v> </v>
      </c>
      <c r="HP79" s="48" t="str">
        <f>IFERROR(__xludf.DUMMYFUNCTION("IFERROR(TEXTJOIN(""/"",1,FILTER($B$30:$IV$30,$B$29:$IV$29=HP$97)),"" "")")," ")</f>
        <v> </v>
      </c>
      <c r="HQ79" s="48" t="str">
        <f>IFERROR(__xludf.DUMMYFUNCTION("IFERROR(TEXTJOIN(""/"",1,FILTER($B$30:$IV$30,$B$29:$IV$29=HQ$97)),"" "")")," ")</f>
        <v> </v>
      </c>
      <c r="HR79" s="48" t="str">
        <f>IFERROR(__xludf.DUMMYFUNCTION("IFERROR(TEXTJOIN(""/"",1,FILTER($B$30:$IV$30,$B$29:$IV$29=HR$97)),"" "")")," ")</f>
        <v> </v>
      </c>
      <c r="HS79" s="48" t="str">
        <f>IFERROR(__xludf.DUMMYFUNCTION("IFERROR(TEXTJOIN(""/"",1,FILTER($B$30:$IV$30,$B$29:$IV$29=HS$97)),"" "")")," ")</f>
        <v> </v>
      </c>
      <c r="HT79" s="48" t="str">
        <f>IFERROR(__xludf.DUMMYFUNCTION("IFERROR(TEXTJOIN(""/"",1,FILTER($B$30:$IV$30,$B$29:$IV$29=HT$97)),"" "")")," ")</f>
        <v> </v>
      </c>
      <c r="HU79" s="48" t="str">
        <f>IFERROR(__xludf.DUMMYFUNCTION("IFERROR(TEXTJOIN(""/"",1,FILTER($B$30:$IV$30,$B$29:$IV$29=HU$97)),"" "")")," ")</f>
        <v> </v>
      </c>
      <c r="HV79" s="48" t="str">
        <f>IFERROR(__xludf.DUMMYFUNCTION("IFERROR(TEXTJOIN(""/"",1,FILTER($B$30:$IV$30,$B$29:$IV$29=HV$97)),"" "")")," ")</f>
        <v> </v>
      </c>
      <c r="HW79" s="48" t="str">
        <f>IFERROR(__xludf.DUMMYFUNCTION("IFERROR(TEXTJOIN(""/"",1,FILTER($B$30:$IV$30,$B$29:$IV$29=HW$97)),"" "")")," ")</f>
        <v> </v>
      </c>
      <c r="HX79" s="48" t="str">
        <f>IFERROR(__xludf.DUMMYFUNCTION("IFERROR(TEXTJOIN(""/"",1,FILTER($B$30:$IV$30,$B$29:$IV$29=HX$97)),"" "")")," ")</f>
        <v> </v>
      </c>
      <c r="HY79" s="48" t="str">
        <f>IFERROR(__xludf.DUMMYFUNCTION("IFERROR(TEXTJOIN(""/"",1,FILTER($B$30:$IV$30,$B$29:$IV$29=HY$97)),"" "")")," ")</f>
        <v> </v>
      </c>
      <c r="HZ79" s="48" t="str">
        <f>IFERROR(__xludf.DUMMYFUNCTION("IFERROR(TEXTJOIN(""/"",1,FILTER($B$30:$IV$30,$B$29:$IV$29=HZ$97)),"" "")")," ")</f>
        <v> </v>
      </c>
      <c r="IA79" s="48" t="str">
        <f>IFERROR(__xludf.DUMMYFUNCTION("IFERROR(TEXTJOIN(""/"",1,FILTER($B$30:$IV$30,$B$29:$IV$29=IA$97)),"" "")")," ")</f>
        <v> </v>
      </c>
      <c r="IB79" s="48" t="str">
        <f>IFERROR(__xludf.DUMMYFUNCTION("IFERROR(TEXTJOIN(""/"",1,FILTER($B$30:$IV$30,$B$29:$IV$29=IB$97)),"" "")")," ")</f>
        <v> </v>
      </c>
      <c r="IC79" s="48" t="str">
        <f>IFERROR(__xludf.DUMMYFUNCTION("IFERROR(TEXTJOIN(""/"",1,FILTER($B$30:$IV$30,$B$29:$IV$29=IC$97)),"" "")")," ")</f>
        <v> </v>
      </c>
      <c r="ID79" s="48" t="str">
        <f>IFERROR(__xludf.DUMMYFUNCTION("IFERROR(TEXTJOIN(""/"",1,FILTER($B$30:$IV$30,$B$29:$IV$29=ID$97)),"" "")")," ")</f>
        <v> </v>
      </c>
      <c r="IE79" s="48" t="str">
        <f>IFERROR(__xludf.DUMMYFUNCTION("IFERROR(TEXTJOIN(""/"",1,FILTER($B$30:$IV$30,$B$29:$IV$29=IE$97)),"" "")")," ")</f>
        <v> </v>
      </c>
      <c r="IF79" s="48" t="str">
        <f>IFERROR(__xludf.DUMMYFUNCTION("IFERROR(TEXTJOIN(""/"",1,FILTER($B$30:$IV$30,$B$29:$IV$29=IF$97)),"" "")")," ")</f>
        <v> </v>
      </c>
      <c r="IG79" s="48" t="str">
        <f>IFERROR(__xludf.DUMMYFUNCTION("IFERROR(TEXTJOIN(""/"",1,FILTER($B$30:$IV$30,$B$29:$IV$29=IG$97)),"" "")")," ")</f>
        <v> </v>
      </c>
      <c r="IH79" s="48" t="str">
        <f>IFERROR(__xludf.DUMMYFUNCTION("IFERROR(TEXTJOIN(""/"",1,FILTER($B$30:$IV$30,$B$29:$IV$29=IH$97)),"" "")")," ")</f>
        <v> </v>
      </c>
      <c r="II79" s="48" t="str">
        <f>IFERROR(__xludf.DUMMYFUNCTION("IFERROR(TEXTJOIN(""/"",1,FILTER($B$30:$IV$30,$B$29:$IV$29=II$97)),"" "")")," ")</f>
        <v> </v>
      </c>
      <c r="IJ79" s="48" t="str">
        <f>IFERROR(__xludf.DUMMYFUNCTION("IFERROR(TEXTJOIN(""/"",1,FILTER($B$30:$IV$30,$B$29:$IV$29=IJ$97)),"" "")")," ")</f>
        <v> </v>
      </c>
      <c r="IK79" s="48" t="str">
        <f>IFERROR(__xludf.DUMMYFUNCTION("IFERROR(TEXTJOIN(""/"",1,FILTER($B$30:$IV$30,$B$29:$IV$29=IK$97)),"" "")")," ")</f>
        <v> </v>
      </c>
      <c r="IL79" s="48" t="str">
        <f>IFERROR(__xludf.DUMMYFUNCTION("IFERROR(TEXTJOIN(""/"",1,FILTER($B$30:$IV$30,$B$29:$IV$29=IL$97)),"" "")")," ")</f>
        <v> </v>
      </c>
      <c r="IM79" s="48" t="str">
        <f>IFERROR(__xludf.DUMMYFUNCTION("IFERROR(TEXTJOIN(""/"",1,FILTER($B$30:$IV$30,$B$29:$IV$29=IM$97)),"" "")")," ")</f>
        <v> </v>
      </c>
      <c r="IN79" s="48" t="str">
        <f>IFERROR(__xludf.DUMMYFUNCTION("IFERROR(TEXTJOIN(""/"",1,FILTER($B$30:$IV$30,$B$29:$IV$29=IN$97)),"" "")")," ")</f>
        <v> </v>
      </c>
      <c r="IO79" s="48" t="str">
        <f>IFERROR(__xludf.DUMMYFUNCTION("IFERROR(TEXTJOIN(""/"",1,FILTER($B$30:$IV$30,$B$29:$IV$29=IO$97)),"" "")")," ")</f>
        <v> </v>
      </c>
      <c r="IP79" s="48" t="str">
        <f>IFERROR(__xludf.DUMMYFUNCTION("IFERROR(TEXTJOIN(""/"",1,FILTER($B$30:$IV$30,$B$29:$IV$29=IP$97)),"" "")")," ")</f>
        <v> </v>
      </c>
      <c r="IQ79" s="48" t="str">
        <f>IFERROR(__xludf.DUMMYFUNCTION("IFERROR(TEXTJOIN(""/"",1,FILTER($B$30:$IV$30,$B$29:$IV$29=IQ$97)),"" "")")," ")</f>
        <v> </v>
      </c>
      <c r="IR79" s="48" t="str">
        <f>IFERROR(__xludf.DUMMYFUNCTION("IFERROR(TEXTJOIN(""/"",1,FILTER($B$30:$IV$30,$B$29:$IV$29=IR$97)),"" "")")," ")</f>
        <v> </v>
      </c>
      <c r="IS79" s="48" t="str">
        <f>IFERROR(__xludf.DUMMYFUNCTION("IFERROR(TEXTJOIN(""/"",1,FILTER($B$30:$IV$30,$B$29:$IV$29=IS$97)),"" "")")," ")</f>
        <v> </v>
      </c>
      <c r="IT79" s="48" t="str">
        <f>IFERROR(__xludf.DUMMYFUNCTION("IFERROR(TEXTJOIN(""/"",1,FILTER($B$30:$IV$30,$B$29:$IV$29=IT$97)),"" "")")," ")</f>
        <v> </v>
      </c>
      <c r="IU79" s="48" t="str">
        <f>IFERROR(__xludf.DUMMYFUNCTION("IFERROR(TEXTJOIN(""/"",1,FILTER($B$30:$IV$30,$B$29:$IV$29=IU$97)),"" "")")," ")</f>
        <v> </v>
      </c>
      <c r="IV79" s="48" t="str">
        <f>IFERROR(__xludf.DUMMYFUNCTION("IFERROR(TEXTJOIN(""/"",1,FILTER($B$30:$IV$30,$B$29:$IV$29=IV$97)),"" "")")," ")</f>
        <v> </v>
      </c>
      <c r="IW79" s="48" t="str">
        <f>IFERROR(__xludf.DUMMYFUNCTION("IFERROR(TEXTJOIN(""/"",1,FILTER($B$30:$IV$30,$B$29:$IV$29=IW$97)),"" "")")," ")</f>
        <v> </v>
      </c>
      <c r="IX79" s="48" t="str">
        <f>IFERROR(__xludf.DUMMYFUNCTION("IFERROR(TEXTJOIN(""/"",1,FILTER($B$30:$IV$30,$B$29:$IV$29=IX$97)),"" "")")," ")</f>
        <v> </v>
      </c>
      <c r="IY79" s="48" t="str">
        <f>IFERROR(__xludf.DUMMYFUNCTION("IFERROR(TEXTJOIN(""/"",1,FILTER($B$30:$IV$30,$B$29:$IV$29=IY$97)),"" "")")," ")</f>
        <v> </v>
      </c>
      <c r="IZ79" s="48" t="str">
        <f>IFERROR(__xludf.DUMMYFUNCTION("IFERROR(TEXTJOIN(""/"",1,FILTER($B$30:$IV$30,$B$29:$IV$29=IZ$97)),"" "")")," ")</f>
        <v> </v>
      </c>
      <c r="JA79" s="48" t="str">
        <f>IFERROR(__xludf.DUMMYFUNCTION("IFERROR(TEXTJOIN(""/"",1,FILTER($B$30:$IV$30,$B$29:$IV$29=JA$97)),"" "")")," ")</f>
        <v> </v>
      </c>
      <c r="JB79" s="48" t="str">
        <f>IFERROR(__xludf.DUMMYFUNCTION("IFERROR(TEXTJOIN(""/"",1,FILTER($B$30:$IV$30,$B$29:$IV$29=JB$97)),"" "")")," ")</f>
        <v> </v>
      </c>
      <c r="JC79" s="48" t="str">
        <f>IFERROR(__xludf.DUMMYFUNCTION("IFERROR(TEXTJOIN(""/"",1,FILTER($B$30:$IV$30,$B$29:$IV$29=JC$97)),"" "")")," ")</f>
        <v> </v>
      </c>
      <c r="JD79" s="48" t="str">
        <f>IFERROR(__xludf.DUMMYFUNCTION("IFERROR(TEXTJOIN(""/"",1,FILTER($B$30:$IV$30,$B$29:$IV$29=JD$97)),"" "")")," ")</f>
        <v> </v>
      </c>
      <c r="JE79" s="48" t="str">
        <f>IFERROR(__xludf.DUMMYFUNCTION("IFERROR(TEXTJOIN(""/"",1,FILTER($B$30:$IV$30,$B$29:$IV$29=JE$97)),"" "")")," ")</f>
        <v> </v>
      </c>
    </row>
    <row r="80">
      <c r="A80" s="47" t="str">
        <f>IFERROR(__xludf.DUMMYFUNCTION("""COMPUTED_VALUE"""),"ИЗО")</f>
        <v>ИЗО</v>
      </c>
      <c r="B80" s="48" t="str">
        <f>IFERROR(__xludf.DUMMYFUNCTION("IFERROR(TEXTJOIN(""/"",1,FILTER($B$33:$IV$33,$B$32:$IV$32=B$97)),"" "")"),"")</f>
        <v/>
      </c>
      <c r="C80" s="48" t="str">
        <f>IFERROR(__xludf.DUMMYFUNCTION("IFERROR(TEXTJOIN(""/"",1,FILTER($B$33:$IV$33,$B$32:$IV$32=C$97)),"" "")")," ")</f>
        <v> </v>
      </c>
      <c r="D80" s="48" t="str">
        <f>IFERROR(__xludf.DUMMYFUNCTION("IFERROR(TEXTJOIN(""/"",1,FILTER($B$33:$IV$33,$B$32:$IV$32=D$97)),"" "")")," ")</f>
        <v> </v>
      </c>
      <c r="E80" s="48" t="str">
        <f>IFERROR(__xludf.DUMMYFUNCTION("IFERROR(TEXTJOIN(""/"",1,FILTER($B$33:$IV$33,$B$32:$IV$32=E$97)),"" "")")," ")</f>
        <v> </v>
      </c>
      <c r="F80" s="48" t="str">
        <f>IFERROR(__xludf.DUMMYFUNCTION("IFERROR(TEXTJOIN(""/"",1,FILTER($B$33:$IV$33,$B$32:$IV$32=F$97)),"" "")")," ")</f>
        <v> </v>
      </c>
      <c r="G80" s="48" t="str">
        <f>IFERROR(__xludf.DUMMYFUNCTION("IFERROR(TEXTJOIN(""/"",1,FILTER($B$33:$IV$33,$B$32:$IV$32=G$97)),"" "")")," ")</f>
        <v> </v>
      </c>
      <c r="H80" s="48" t="str">
        <f>IFERROR(__xludf.DUMMYFUNCTION("IFERROR(TEXTJOIN(""/"",1,FILTER($B$33:$IV$33,$B$32:$IV$32=H$97)),"" "")"),"")</f>
        <v/>
      </c>
      <c r="I80" s="48" t="str">
        <f>IFERROR(__xludf.DUMMYFUNCTION("IFERROR(TEXTJOIN(""/"",1,FILTER($B$33:$IV$33,$B$32:$IV$32=I$97)),"" "")")," ")</f>
        <v> </v>
      </c>
      <c r="J80" s="48" t="str">
        <f>IFERROR(__xludf.DUMMYFUNCTION("IFERROR(TEXTJOIN(""/"",1,FILTER($B$33:$IV$33,$B$32:$IV$32=J$97)),"" "")")," ")</f>
        <v> </v>
      </c>
      <c r="K80" s="48" t="str">
        <f>IFERROR(__xludf.DUMMYFUNCTION("IFERROR(TEXTJOIN(""/"",1,FILTER($B$33:$IV$33,$B$32:$IV$32=K$97)),"" "")")," ")</f>
        <v> </v>
      </c>
      <c r="L80" s="48" t="str">
        <f>IFERROR(__xludf.DUMMYFUNCTION("IFERROR(TEXTJOIN(""/"",1,FILTER($B$33:$IV$33,$B$32:$IV$32=L$97)),"" "")")," ")</f>
        <v> </v>
      </c>
      <c r="M80" s="48" t="str">
        <f>IFERROR(__xludf.DUMMYFUNCTION("IFERROR(TEXTJOIN(""/"",1,FILTER($B$33:$IV$33,$B$32:$IV$32=M$97)),"" "")")," ")</f>
        <v> </v>
      </c>
      <c r="N80" s="48" t="str">
        <f>IFERROR(__xludf.DUMMYFUNCTION("IFERROR(TEXTJOIN(""/"",1,FILTER($B$33:$IV$33,$B$32:$IV$32=N$97)),"" "")")," ")</f>
        <v> </v>
      </c>
      <c r="O80" s="48" t="str">
        <f>IFERROR(__xludf.DUMMYFUNCTION("IFERROR(TEXTJOIN(""/"",1,FILTER($B$33:$IV$33,$B$32:$IV$32=O$97)),"" "")"),"")</f>
        <v/>
      </c>
      <c r="P80" s="48" t="str">
        <f>IFERROR(__xludf.DUMMYFUNCTION("IFERROR(TEXTJOIN(""/"",1,FILTER($B$33:$IV$33,$B$32:$IV$32=P$97)),"" "")")," ")</f>
        <v> </v>
      </c>
      <c r="Q80" s="48" t="str">
        <f>IFERROR(__xludf.DUMMYFUNCTION("IFERROR(TEXTJOIN(""/"",1,FILTER($B$33:$IV$33,$B$32:$IV$32=Q$97)),"" "")")," ")</f>
        <v> </v>
      </c>
      <c r="R80" s="48" t="str">
        <f>IFERROR(__xludf.DUMMYFUNCTION("IFERROR(TEXTJOIN(""/"",1,FILTER($B$33:$IV$33,$B$32:$IV$32=R$97)),"" "")")," ")</f>
        <v> </v>
      </c>
      <c r="S80" s="48" t="str">
        <f>IFERROR(__xludf.DUMMYFUNCTION("IFERROR(TEXTJOIN(""/"",1,FILTER($B$33:$IV$33,$B$32:$IV$32=S$97)),"" "")")," ")</f>
        <v> </v>
      </c>
      <c r="T80" s="48" t="str">
        <f>IFERROR(__xludf.DUMMYFUNCTION("IFERROR(TEXTJOIN(""/"",1,FILTER($B$33:$IV$33,$B$32:$IV$32=T$97)),"" "")")," ")</f>
        <v> </v>
      </c>
      <c r="U80" s="48" t="str">
        <f>IFERROR(__xludf.DUMMYFUNCTION("IFERROR(TEXTJOIN(""/"",1,FILTER($B$33:$IV$33,$B$32:$IV$32=U$97)),"" "")")," ")</f>
        <v> </v>
      </c>
      <c r="V80" s="48" t="str">
        <f>IFERROR(__xludf.DUMMYFUNCTION("IFERROR(TEXTJOIN(""/"",1,FILTER($B$33:$IV$33,$B$32:$IV$32=V$97)),"" "")"),"5")</f>
        <v>5</v>
      </c>
      <c r="W80" s="48" t="str">
        <f>IFERROR(__xludf.DUMMYFUNCTION("IFERROR(TEXTJOIN(""/"",1,FILTER($B$33:$IV$33,$B$32:$IV$32=W$97)),"" "")")," ")</f>
        <v> </v>
      </c>
      <c r="X80" s="48" t="str">
        <f>IFERROR(__xludf.DUMMYFUNCTION("IFERROR(TEXTJOIN(""/"",1,FILTER($B$33:$IV$33,$B$32:$IV$32=X$97)),"" "")"),"")</f>
        <v/>
      </c>
      <c r="Y80" s="48" t="str">
        <f>IFERROR(__xludf.DUMMYFUNCTION("IFERROR(TEXTJOIN(""/"",1,FILTER($B$33:$IV$33,$B$32:$IV$32=Y$97)),"" "")")," ")</f>
        <v> </v>
      </c>
      <c r="Z80" s="48" t="str">
        <f>IFERROR(__xludf.DUMMYFUNCTION("IFERROR(TEXTJOIN(""/"",1,FILTER($B$33:$IV$33,$B$32:$IV$32=Z$97)),"" "")")," ")</f>
        <v> </v>
      </c>
      <c r="AA80" s="48" t="str">
        <f>IFERROR(__xludf.DUMMYFUNCTION("IFERROR(TEXTJOIN(""/"",1,FILTER($B$33:$IV$33,$B$32:$IV$32=AA$97)),"" "")")," ")</f>
        <v> </v>
      </c>
      <c r="AB80" s="48" t="str">
        <f>IFERROR(__xludf.DUMMYFUNCTION("IFERROR(TEXTJOIN(""/"",1,FILTER($B$33:$IV$33,$B$32:$IV$32=AB$97)),"" "")")," ")</f>
        <v> </v>
      </c>
      <c r="AC80" s="48" t="str">
        <f>IFERROR(__xludf.DUMMYFUNCTION("IFERROR(TEXTJOIN(""/"",1,FILTER($B$33:$IV$33,$B$32:$IV$32=AC$97)),"" "")")," ")</f>
        <v> </v>
      </c>
      <c r="AD80" s="48" t="str">
        <f>IFERROR(__xludf.DUMMYFUNCTION("IFERROR(TEXTJOIN(""/"",1,FILTER($B$33:$IV$33,$B$32:$IV$32=AD$97)),"" "")")," ")</f>
        <v> </v>
      </c>
      <c r="AE80" s="48" t="str">
        <f>IFERROR(__xludf.DUMMYFUNCTION("IFERROR(TEXTJOIN(""/"",1,FILTER($B$33:$IV$33,$B$32:$IV$32=AE$97)),"" "")")," ")</f>
        <v> </v>
      </c>
      <c r="AF80" s="48" t="str">
        <f>IFERROR(__xludf.DUMMYFUNCTION("IFERROR(TEXTJOIN(""/"",1,FILTER($B$33:$IV$33,$B$32:$IV$32=AF$97)),"" "")")," ")</f>
        <v> </v>
      </c>
      <c r="AG80" s="48" t="str">
        <f>IFERROR(__xludf.DUMMYFUNCTION("IFERROR(TEXTJOIN(""/"",1,FILTER($B$33:$IV$33,$B$32:$IV$32=AG$97)),"" "")")," ")</f>
        <v> </v>
      </c>
      <c r="AH80" s="48" t="str">
        <f>IFERROR(__xludf.DUMMYFUNCTION("IFERROR(TEXTJOIN(""/"",1,FILTER($B$33:$IV$33,$B$32:$IV$32=AH$97)),"" "")")," ")</f>
        <v> </v>
      </c>
      <c r="AI80" s="48" t="str">
        <f>IFERROR(__xludf.DUMMYFUNCTION("IFERROR(TEXTJOIN(""/"",1,FILTER($B$33:$IV$33,$B$32:$IV$32=AI$97)),"" "")")," ")</f>
        <v> </v>
      </c>
      <c r="AJ80" s="48" t="str">
        <f>IFERROR(__xludf.DUMMYFUNCTION("IFERROR(TEXTJOIN(""/"",1,FILTER($B$33:$IV$33,$B$32:$IV$32=AJ$97)),"" "")")," ")</f>
        <v> </v>
      </c>
      <c r="AK80" s="48" t="str">
        <f>IFERROR(__xludf.DUMMYFUNCTION("IFERROR(TEXTJOIN(""/"",1,FILTER($B$33:$IV$33,$B$32:$IV$32=AK$97)),"" "")")," ")</f>
        <v> </v>
      </c>
      <c r="AL80" s="48" t="str">
        <f>IFERROR(__xludf.DUMMYFUNCTION("IFERROR(TEXTJOIN(""/"",1,FILTER($B$33:$IV$33,$B$32:$IV$32=AL$97)),"" "")"),"5")</f>
        <v>5</v>
      </c>
      <c r="AM80" s="48" t="str">
        <f>IFERROR(__xludf.DUMMYFUNCTION("IFERROR(TEXTJOIN(""/"",1,FILTER($B$33:$IV$33,$B$32:$IV$32=AM$97)),"" "")")," ")</f>
        <v> </v>
      </c>
      <c r="AN80" s="48" t="str">
        <f>IFERROR(__xludf.DUMMYFUNCTION("IFERROR(TEXTJOIN(""/"",1,FILTER($B$33:$IV$33,$B$32:$IV$32=AN$97)),"" "")")," ")</f>
        <v> </v>
      </c>
      <c r="AO80" s="48" t="str">
        <f>IFERROR(__xludf.DUMMYFUNCTION("IFERROR(TEXTJOIN(""/"",1,FILTER($B$33:$IV$33,$B$32:$IV$32=AO$97)),"" "")")," ")</f>
        <v> </v>
      </c>
      <c r="AP80" s="48" t="str">
        <f>IFERROR(__xludf.DUMMYFUNCTION("IFERROR(TEXTJOIN(""/"",1,FILTER($B$33:$IV$33,$B$32:$IV$32=AP$97)),"" "")")," ")</f>
        <v> </v>
      </c>
      <c r="AQ80" s="48" t="str">
        <f>IFERROR(__xludf.DUMMYFUNCTION("IFERROR(TEXTJOIN(""/"",1,FILTER($B$33:$IV$33,$B$32:$IV$32=AQ$97)),"" "")")," ")</f>
        <v> </v>
      </c>
      <c r="AR80" s="48" t="str">
        <f>IFERROR(__xludf.DUMMYFUNCTION("IFERROR(TEXTJOIN(""/"",1,FILTER($B$33:$IV$33,$B$32:$IV$32=AR$97)),"" "")")," ")</f>
        <v> </v>
      </c>
      <c r="AS80" s="48" t="str">
        <f>IFERROR(__xludf.DUMMYFUNCTION("IFERROR(TEXTJOIN(""/"",1,FILTER($B$33:$IV$33,$B$32:$IV$32=AS$97)),"" "")"),"")</f>
        <v/>
      </c>
      <c r="AT80" s="48" t="str">
        <f>IFERROR(__xludf.DUMMYFUNCTION("IFERROR(TEXTJOIN(""/"",1,FILTER($B$33:$IV$33,$B$32:$IV$32=AT$97)),"" "")")," ")</f>
        <v> </v>
      </c>
      <c r="AU80" s="48" t="str">
        <f>IFERROR(__xludf.DUMMYFUNCTION("IFERROR(TEXTJOIN(""/"",1,FILTER($B$33:$IV$33,$B$32:$IV$32=AU$97)),"" "")")," ")</f>
        <v> </v>
      </c>
      <c r="AV80" s="48" t="str">
        <f>IFERROR(__xludf.DUMMYFUNCTION("IFERROR(TEXTJOIN(""/"",1,FILTER($B$33:$IV$33,$B$32:$IV$32=AV$97)),"" "")")," ")</f>
        <v> </v>
      </c>
      <c r="AW80" s="48" t="str">
        <f>IFERROR(__xludf.DUMMYFUNCTION("IFERROR(TEXTJOIN(""/"",1,FILTER($B$33:$IV$33,$B$32:$IV$32=AW$97)),"" "")")," ")</f>
        <v> </v>
      </c>
      <c r="AX80" s="48" t="str">
        <f>IFERROR(__xludf.DUMMYFUNCTION("IFERROR(TEXTJOIN(""/"",1,FILTER($B$33:$IV$33,$B$32:$IV$32=AX$97)),"" "")")," ")</f>
        <v> </v>
      </c>
      <c r="AY80" s="48" t="str">
        <f>IFERROR(__xludf.DUMMYFUNCTION("IFERROR(TEXTJOIN(""/"",1,FILTER($B$33:$IV$33,$B$32:$IV$32=AY$97)),"" "")")," ")</f>
        <v> </v>
      </c>
      <c r="AZ80" s="48" t="str">
        <f>IFERROR(__xludf.DUMMYFUNCTION("IFERROR(TEXTJOIN(""/"",1,FILTER($B$33:$IV$33,$B$32:$IV$32=AZ$97)),"" "")"),"")</f>
        <v/>
      </c>
      <c r="BA80" s="48" t="str">
        <f>IFERROR(__xludf.DUMMYFUNCTION("IFERROR(TEXTJOIN(""/"",1,FILTER($B$33:$IV$33,$B$32:$IV$32=BA$97)),"" "")")," ")</f>
        <v> </v>
      </c>
      <c r="BB80" s="48" t="str">
        <f>IFERROR(__xludf.DUMMYFUNCTION("IFERROR(TEXTJOIN(""/"",1,FILTER($B$33:$IV$33,$B$32:$IV$32=BB$97)),"" "")")," ")</f>
        <v> </v>
      </c>
      <c r="BC80" s="48" t="str">
        <f>IFERROR(__xludf.DUMMYFUNCTION("IFERROR(TEXTJOIN(""/"",1,FILTER($B$33:$IV$33,$B$32:$IV$32=BC$97)),"" "")")," ")</f>
        <v> </v>
      </c>
      <c r="BD80" s="48" t="str">
        <f>IFERROR(__xludf.DUMMYFUNCTION("IFERROR(TEXTJOIN(""/"",1,FILTER($B$33:$IV$33,$B$32:$IV$32=BD$97)),"" "")")," ")</f>
        <v> </v>
      </c>
      <c r="BE80" s="48" t="str">
        <f>IFERROR(__xludf.DUMMYFUNCTION("IFERROR(TEXTJOIN(""/"",1,FILTER($B$33:$IV$33,$B$32:$IV$32=BE$97)),"" "")"),"")</f>
        <v/>
      </c>
      <c r="BF80" s="48" t="str">
        <f>IFERROR(__xludf.DUMMYFUNCTION("IFERROR(TEXTJOIN(""/"",1,FILTER($B$33:$IV$33,$B$32:$IV$32=BF$97)),"" "")")," ")</f>
        <v> </v>
      </c>
      <c r="BG80" s="48" t="str">
        <f>IFERROR(__xludf.DUMMYFUNCTION("IFERROR(TEXTJOIN(""/"",1,FILTER($B$33:$IV$33,$B$32:$IV$32=BG$97)),"" "")")," ")</f>
        <v> </v>
      </c>
      <c r="BH80" s="48" t="str">
        <f>IFERROR(__xludf.DUMMYFUNCTION("IFERROR(TEXTJOIN(""/"",1,FILTER($B$33:$IV$33,$B$32:$IV$32=BH$97)),"" "")")," ")</f>
        <v> </v>
      </c>
      <c r="BI80" s="48" t="str">
        <f>IFERROR(__xludf.DUMMYFUNCTION("IFERROR(TEXTJOIN(""/"",1,FILTER($B$33:$IV$33,$B$32:$IV$32=BI$97)),"" "")")," ")</f>
        <v> </v>
      </c>
      <c r="BJ80" s="48" t="str">
        <f>IFERROR(__xludf.DUMMYFUNCTION("IFERROR(TEXTJOIN(""/"",1,FILTER($B$33:$IV$33,$B$32:$IV$32=BJ$97)),"" "")")," ")</f>
        <v> </v>
      </c>
      <c r="BK80" s="48" t="str">
        <f>IFERROR(__xludf.DUMMYFUNCTION("IFERROR(TEXTJOIN(""/"",1,FILTER($B$33:$IV$33,$B$32:$IV$32=BK$97)),"" "")")," ")</f>
        <v> </v>
      </c>
      <c r="BL80" s="48" t="str">
        <f>IFERROR(__xludf.DUMMYFUNCTION("IFERROR(TEXTJOIN(""/"",1,FILTER($B$33:$IV$33,$B$32:$IV$32=BL$97)),"" "")"),"")</f>
        <v/>
      </c>
      <c r="BM80" s="48" t="str">
        <f>IFERROR(__xludf.DUMMYFUNCTION("IFERROR(TEXTJOIN(""/"",1,FILTER($B$33:$IV$33,$B$32:$IV$32=BM$97)),"" "")")," ")</f>
        <v> </v>
      </c>
      <c r="BN80" s="48" t="str">
        <f>IFERROR(__xludf.DUMMYFUNCTION("IFERROR(TEXTJOIN(""/"",1,FILTER($B$33:$IV$33,$B$32:$IV$32=BN$97)),"" "")")," ")</f>
        <v> </v>
      </c>
      <c r="BO80" s="48" t="str">
        <f>IFERROR(__xludf.DUMMYFUNCTION("IFERROR(TEXTJOIN(""/"",1,FILTER($B$33:$IV$33,$B$32:$IV$32=BO$97)),"" "")")," ")</f>
        <v> </v>
      </c>
      <c r="BP80" s="48" t="str">
        <f>IFERROR(__xludf.DUMMYFUNCTION("IFERROR(TEXTJOIN(""/"",1,FILTER($B$33:$IV$33,$B$32:$IV$32=BP$97)),"" "")")," ")</f>
        <v> </v>
      </c>
      <c r="BQ80" s="48" t="str">
        <f>IFERROR(__xludf.DUMMYFUNCTION("IFERROR(TEXTJOIN(""/"",1,FILTER($B$33:$IV$33,$B$32:$IV$32=BQ$97)),"" "")")," ")</f>
        <v> </v>
      </c>
      <c r="BR80" s="48" t="str">
        <f>IFERROR(__xludf.DUMMYFUNCTION("IFERROR(TEXTJOIN(""/"",1,FILTER($B$33:$IV$33,$B$32:$IV$32=BR$97)),"" "")")," ")</f>
        <v> </v>
      </c>
      <c r="BS80" s="48" t="str">
        <f>IFERROR(__xludf.DUMMYFUNCTION("IFERROR(TEXTJOIN(""/"",1,FILTER($B$33:$IV$33,$B$32:$IV$32=BS$97)),"" "")"),"н")</f>
        <v>н</v>
      </c>
      <c r="BT80" s="48" t="str">
        <f>IFERROR(__xludf.DUMMYFUNCTION("IFERROR(TEXTJOIN(""/"",1,FILTER($B$33:$IV$33,$B$32:$IV$32=BT$97)),"" "")")," ")</f>
        <v> </v>
      </c>
      <c r="BU80" s="48" t="str">
        <f>IFERROR(__xludf.DUMMYFUNCTION("IFERROR(TEXTJOIN(""/"",1,FILTER($B$33:$IV$33,$B$32:$IV$32=BU$97)),"" "")")," ")</f>
        <v> </v>
      </c>
      <c r="BV80" s="48" t="str">
        <f>IFERROR(__xludf.DUMMYFUNCTION("IFERROR(TEXTJOIN(""/"",1,FILTER($B$33:$IV$33,$B$32:$IV$32=BV$97)),"" "")")," ")</f>
        <v> </v>
      </c>
      <c r="BW80" s="48" t="str">
        <f>IFERROR(__xludf.DUMMYFUNCTION("IFERROR(TEXTJOIN(""/"",1,FILTER($B$33:$IV$33,$B$32:$IV$32=BW$97)),"" "")")," ")</f>
        <v> </v>
      </c>
      <c r="BX80" s="48" t="str">
        <f>IFERROR(__xludf.DUMMYFUNCTION("IFERROR(TEXTJOIN(""/"",1,FILTER($B$33:$IV$33,$B$32:$IV$32=BX$97)),"" "")")," ")</f>
        <v> </v>
      </c>
      <c r="BY80" s="48" t="str">
        <f>IFERROR(__xludf.DUMMYFUNCTION("IFERROR(TEXTJOIN(""/"",1,FILTER($B$33:$IV$33,$B$32:$IV$32=BY$97)),"" "")")," ")</f>
        <v> </v>
      </c>
      <c r="BZ80" s="48" t="str">
        <f>IFERROR(__xludf.DUMMYFUNCTION("IFERROR(TEXTJOIN(""/"",1,FILTER($B$33:$IV$33,$B$32:$IV$32=BZ$97)),"" "")"),"")</f>
        <v/>
      </c>
      <c r="CA80" s="48" t="str">
        <f>IFERROR(__xludf.DUMMYFUNCTION("IFERROR(TEXTJOIN(""/"",1,FILTER($B$33:$IV$33,$B$32:$IV$32=CA$97)),"" "")")," ")</f>
        <v> </v>
      </c>
      <c r="CB80" s="48" t="str">
        <f>IFERROR(__xludf.DUMMYFUNCTION("IFERROR(TEXTJOIN(""/"",1,FILTER($B$33:$IV$33,$B$32:$IV$32=CB$97)),"" "")")," ")</f>
        <v> </v>
      </c>
      <c r="CC80" s="48" t="str">
        <f>IFERROR(__xludf.DUMMYFUNCTION("IFERROR(TEXTJOIN(""/"",1,FILTER($B$33:$IV$33,$B$32:$IV$32=CC$97)),"" "")")," ")</f>
        <v> </v>
      </c>
      <c r="CD80" s="48" t="str">
        <f>IFERROR(__xludf.DUMMYFUNCTION("IFERROR(TEXTJOIN(""/"",1,FILTER($B$33:$IV$33,$B$32:$IV$32=CD$97)),"" "")")," ")</f>
        <v> </v>
      </c>
      <c r="CE80" s="48" t="str">
        <f>IFERROR(__xludf.DUMMYFUNCTION("IFERROR(TEXTJOIN(""/"",1,FILTER($B$33:$IV$33,$B$32:$IV$32=CE$97)),"" "")")," ")</f>
        <v> </v>
      </c>
      <c r="CF80" s="48" t="str">
        <f>IFERROR(__xludf.DUMMYFUNCTION("IFERROR(TEXTJOIN(""/"",1,FILTER($B$33:$IV$33,$B$32:$IV$32=CF$97)),"" "")")," ")</f>
        <v> </v>
      </c>
      <c r="CG80" s="48" t="str">
        <f>IFERROR(__xludf.DUMMYFUNCTION("IFERROR(TEXTJOIN(""/"",1,FILTER($B$33:$IV$33,$B$32:$IV$32=CG$97)),"" "")"),"")</f>
        <v/>
      </c>
      <c r="CH80" s="48" t="str">
        <f>IFERROR(__xludf.DUMMYFUNCTION("IFERROR(TEXTJOIN(""/"",1,FILTER($B$33:$IV$33,$B$32:$IV$32=CH$97)),"" "")")," ")</f>
        <v> </v>
      </c>
      <c r="CI80" s="48" t="str">
        <f>IFERROR(__xludf.DUMMYFUNCTION("IFERROR(TEXTJOIN(""/"",1,FILTER($B$33:$IV$33,$B$32:$IV$32=CI$97)),"" "")")," ")</f>
        <v> </v>
      </c>
      <c r="CJ80" s="48" t="str">
        <f>IFERROR(__xludf.DUMMYFUNCTION("IFERROR(TEXTJOIN(""/"",1,FILTER($B$33:$IV$33,$B$32:$IV$32=CJ$97)),"" "")")," ")</f>
        <v> </v>
      </c>
      <c r="CK80" s="48" t="str">
        <f>IFERROR(__xludf.DUMMYFUNCTION("IFERROR(TEXTJOIN(""/"",1,FILTER($B$33:$IV$33,$B$32:$IV$32=CK$97)),"" "")")," ")</f>
        <v> </v>
      </c>
      <c r="CL80" s="48" t="str">
        <f>IFERROR(__xludf.DUMMYFUNCTION("IFERROR(TEXTJOIN(""/"",1,FILTER($B$33:$IV$33,$B$32:$IV$32=CL$97)),"" "")")," ")</f>
        <v> </v>
      </c>
      <c r="CM80" s="48" t="str">
        <f>IFERROR(__xludf.DUMMYFUNCTION("IFERROR(TEXTJOIN(""/"",1,FILTER($B$33:$IV$33,$B$32:$IV$32=CM$97)),"" "")")," ")</f>
        <v> </v>
      </c>
      <c r="CN80" s="48" t="str">
        <f>IFERROR(__xludf.DUMMYFUNCTION("IFERROR(TEXTJOIN(""/"",1,FILTER($B$33:$IV$33,$B$32:$IV$32=CN$97)),"" "")")," ")</f>
        <v> </v>
      </c>
      <c r="CO80" s="48" t="str">
        <f>IFERROR(__xludf.DUMMYFUNCTION("IFERROR(TEXTJOIN(""/"",1,FILTER($B$33:$IV$33,$B$32:$IV$32=CO$97)),"" "")")," ")</f>
        <v> </v>
      </c>
      <c r="CP80" s="48" t="str">
        <f>IFERROR(__xludf.DUMMYFUNCTION("IFERROR(TEXTJOIN(""/"",1,FILTER($B$33:$IV$33,$B$32:$IV$32=CP$97)),"" "")")," ")</f>
        <v> </v>
      </c>
      <c r="CQ80" s="48" t="str">
        <f>IFERROR(__xludf.DUMMYFUNCTION("IFERROR(TEXTJOIN(""/"",1,FILTER($B$33:$IV$33,$B$32:$IV$32=CQ$97)),"" "")")," ")</f>
        <v> </v>
      </c>
      <c r="CR80" s="48" t="str">
        <f>IFERROR(__xludf.DUMMYFUNCTION("IFERROR(TEXTJOIN(""/"",1,FILTER($B$33:$IV$33,$B$32:$IV$32=CR$97)),"" "")")," ")</f>
        <v> </v>
      </c>
      <c r="CS80" s="48" t="str">
        <f>IFERROR(__xludf.DUMMYFUNCTION("IFERROR(TEXTJOIN(""/"",1,FILTER($B$33:$IV$33,$B$32:$IV$32=CS$97)),"" "")")," ")</f>
        <v> </v>
      </c>
      <c r="CT80" s="48" t="str">
        <f>IFERROR(__xludf.DUMMYFUNCTION("IFERROR(TEXTJOIN(""/"",1,FILTER($B$33:$IV$33,$B$32:$IV$32=CT$97)),"" "")")," ")</f>
        <v> </v>
      </c>
      <c r="CU80" s="48" t="str">
        <f>IFERROR(__xludf.DUMMYFUNCTION("IFERROR(TEXTJOIN(""/"",1,FILTER($B$33:$IV$33,$B$32:$IV$32=CU$97)),"" "")")," ")</f>
        <v> </v>
      </c>
      <c r="CV80" s="48" t="str">
        <f>IFERROR(__xludf.DUMMYFUNCTION("IFERROR(TEXTJOIN(""/"",1,FILTER($B$33:$IV$33,$B$32:$IV$32=CV$97)),"" "")"),"")</f>
        <v/>
      </c>
      <c r="CW80" s="48" t="str">
        <f>IFERROR(__xludf.DUMMYFUNCTION("IFERROR(TEXTJOIN(""/"",1,FILTER($B$33:$IV$33,$B$32:$IV$32=CW$97)),"" "")")," ")</f>
        <v> </v>
      </c>
      <c r="CX80" s="48" t="str">
        <f>IFERROR(__xludf.DUMMYFUNCTION("IFERROR(TEXTJOIN(""/"",1,FILTER($B$33:$IV$33,$B$32:$IV$32=CX$97)),"" "")")," ")</f>
        <v> </v>
      </c>
      <c r="CY80" s="48" t="str">
        <f>IFERROR(__xludf.DUMMYFUNCTION("IFERROR(TEXTJOIN(""/"",1,FILTER($B$33:$IV$33,$B$32:$IV$32=CY$97)),"" "")")," ")</f>
        <v> </v>
      </c>
      <c r="CZ80" s="48" t="str">
        <f>IFERROR(__xludf.DUMMYFUNCTION("IFERROR(TEXTJOIN(""/"",1,FILTER($B$33:$IV$33,$B$32:$IV$32=CZ$97)),"" "")")," ")</f>
        <v> </v>
      </c>
      <c r="DA80" s="48" t="str">
        <f>IFERROR(__xludf.DUMMYFUNCTION("IFERROR(TEXTJOIN(""/"",1,FILTER($B$33:$IV$33,$B$32:$IV$32=DA$97)),"" "")")," ")</f>
        <v> </v>
      </c>
      <c r="DB80" s="48" t="str">
        <f>IFERROR(__xludf.DUMMYFUNCTION("IFERROR(TEXTJOIN(""/"",1,FILTER($B$33:$IV$33,$B$32:$IV$32=DB$97)),"" "")"),"")</f>
        <v/>
      </c>
      <c r="DC80" s="48" t="str">
        <f>IFERROR(__xludf.DUMMYFUNCTION("IFERROR(TEXTJOIN(""/"",1,FILTER($B$33:$IV$33,$B$32:$IV$32=DC$97)),"" "")")," ")</f>
        <v> </v>
      </c>
      <c r="DD80" s="48" t="str">
        <f>IFERROR(__xludf.DUMMYFUNCTION("IFERROR(TEXTJOIN(""/"",1,FILTER($B$33:$IV$33,$B$32:$IV$32=DD$97)),"" "")")," ")</f>
        <v> </v>
      </c>
      <c r="DE80" s="48" t="str">
        <f>IFERROR(__xludf.DUMMYFUNCTION("IFERROR(TEXTJOIN(""/"",1,FILTER($B$33:$IV$33,$B$32:$IV$32=DE$97)),"" "")")," ")</f>
        <v> </v>
      </c>
      <c r="DF80" s="48" t="str">
        <f>IFERROR(__xludf.DUMMYFUNCTION("IFERROR(TEXTJOIN(""/"",1,FILTER($B$33:$IV$33,$B$32:$IV$32=DF$97)),"" "")")," ")</f>
        <v> </v>
      </c>
      <c r="DG80" s="48" t="str">
        <f>IFERROR(__xludf.DUMMYFUNCTION("IFERROR(TEXTJOIN(""/"",1,FILTER($B$33:$IV$33,$B$32:$IV$32=DG$97)),"" "")")," ")</f>
        <v> </v>
      </c>
      <c r="DH80" s="48" t="str">
        <f>IFERROR(__xludf.DUMMYFUNCTION("IFERROR(TEXTJOIN(""/"",1,FILTER($B$33:$IV$33,$B$32:$IV$32=DH$97)),"" "")")," ")</f>
        <v> </v>
      </c>
      <c r="DI80" s="48" t="str">
        <f>IFERROR(__xludf.DUMMYFUNCTION("IFERROR(TEXTJOIN(""/"",1,FILTER($B$33:$IV$33,$B$32:$IV$32=DI$97)),"" "")"),"")</f>
        <v/>
      </c>
      <c r="DJ80" s="48" t="str">
        <f>IFERROR(__xludf.DUMMYFUNCTION("IFERROR(TEXTJOIN(""/"",1,FILTER($B$33:$IV$33,$B$32:$IV$32=DJ$97)),"" "")")," ")</f>
        <v> </v>
      </c>
      <c r="DK80" s="48" t="str">
        <f>IFERROR(__xludf.DUMMYFUNCTION("IFERROR(TEXTJOIN(""/"",1,FILTER($B$33:$IV$33,$B$32:$IV$32=DK$97)),"" "")")," ")</f>
        <v> </v>
      </c>
      <c r="DL80" s="48" t="str">
        <f>IFERROR(__xludf.DUMMYFUNCTION("IFERROR(TEXTJOIN(""/"",1,FILTER($B$33:$IV$33,$B$32:$IV$32=DL$97)),"" "")")," ")</f>
        <v> </v>
      </c>
      <c r="DM80" s="48" t="str">
        <f>IFERROR(__xludf.DUMMYFUNCTION("IFERROR(TEXTJOIN(""/"",1,FILTER($B$33:$IV$33,$B$32:$IV$32=DM$97)),"" "")")," ")</f>
        <v> </v>
      </c>
      <c r="DN80" s="48" t="str">
        <f>IFERROR(__xludf.DUMMYFUNCTION("IFERROR(TEXTJOIN(""/"",1,FILTER($B$33:$IV$33,$B$32:$IV$32=DN$97)),"" "")")," ")</f>
        <v> </v>
      </c>
      <c r="DO80" s="48" t="str">
        <f>IFERROR(__xludf.DUMMYFUNCTION("IFERROR(TEXTJOIN(""/"",1,FILTER($B$33:$IV$33,$B$32:$IV$32=DO$97)),"" "")")," ")</f>
        <v> </v>
      </c>
      <c r="DP80" s="48" t="str">
        <f>IFERROR(__xludf.DUMMYFUNCTION("IFERROR(TEXTJOIN(""/"",1,FILTER($B$33:$IV$33,$B$32:$IV$32=DP$97)),"" "")")," ")</f>
        <v> </v>
      </c>
      <c r="DQ80" s="48" t="str">
        <f>IFERROR(__xludf.DUMMYFUNCTION("IFERROR(TEXTJOIN(""/"",1,FILTER($B$33:$IV$33,$B$32:$IV$32=DQ$97)),"" "")")," ")</f>
        <v> </v>
      </c>
      <c r="DR80" s="48" t="str">
        <f>IFERROR(__xludf.DUMMYFUNCTION("IFERROR(TEXTJOIN(""/"",1,FILTER($B$33:$IV$33,$B$32:$IV$32=DR$97)),"" "")")," ")</f>
        <v> </v>
      </c>
      <c r="DS80" s="48" t="str">
        <f>IFERROR(__xludf.DUMMYFUNCTION("IFERROR(TEXTJOIN(""/"",1,FILTER($B$33:$IV$33,$B$32:$IV$32=DS$97)),"" "")")," ")</f>
        <v> </v>
      </c>
      <c r="DT80" s="48" t="str">
        <f>IFERROR(__xludf.DUMMYFUNCTION("IFERROR(TEXTJOIN(""/"",1,FILTER($B$33:$IV$33,$B$32:$IV$32=DT$97)),"" "")")," ")</f>
        <v> </v>
      </c>
      <c r="DU80" s="48" t="str">
        <f>IFERROR(__xludf.DUMMYFUNCTION("IFERROR(TEXTJOIN(""/"",1,FILTER($B$33:$IV$33,$B$32:$IV$32=DU$97)),"" "")")," ")</f>
        <v> </v>
      </c>
      <c r="DV80" s="48" t="str">
        <f>IFERROR(__xludf.DUMMYFUNCTION("IFERROR(TEXTJOIN(""/"",1,FILTER($B$33:$IV$33,$B$32:$IV$32=DV$97)),"" "")")," ")</f>
        <v> </v>
      </c>
      <c r="DW80" s="48" t="str">
        <f>IFERROR(__xludf.DUMMYFUNCTION("IFERROR(TEXTJOIN(""/"",1,FILTER($B$33:$IV$33,$B$32:$IV$32=DW$97)),"" "")")," ")</f>
        <v> </v>
      </c>
      <c r="DX80" s="48" t="str">
        <f>IFERROR(__xludf.DUMMYFUNCTION("IFERROR(TEXTJOIN(""/"",1,FILTER($B$33:$IV$33,$B$32:$IV$32=DX$97)),"" "")")," ")</f>
        <v> </v>
      </c>
      <c r="DY80" s="48" t="str">
        <f>IFERROR(__xludf.DUMMYFUNCTION("IFERROR(TEXTJOIN(""/"",1,FILTER($B$33:$IV$33,$B$32:$IV$32=DY$97)),"" "")")," ")</f>
        <v> </v>
      </c>
      <c r="DZ80" s="48" t="str">
        <f>IFERROR(__xludf.DUMMYFUNCTION("IFERROR(TEXTJOIN(""/"",1,FILTER($B$33:$IV$33,$B$32:$IV$32=DZ$97)),"" "")")," ")</f>
        <v> </v>
      </c>
      <c r="EA80" s="48" t="str">
        <f>IFERROR(__xludf.DUMMYFUNCTION("IFERROR(TEXTJOIN(""/"",1,FILTER($B$33:$IV$33,$B$32:$IV$32=EA$97)),"" "")")," ")</f>
        <v> </v>
      </c>
      <c r="EB80" s="48" t="str">
        <f>IFERROR(__xludf.DUMMYFUNCTION("IFERROR(TEXTJOIN(""/"",1,FILTER($B$33:$IV$33,$B$32:$IV$32=EB$97)),"" "")")," ")</f>
        <v> </v>
      </c>
      <c r="EC80" s="48" t="str">
        <f>IFERROR(__xludf.DUMMYFUNCTION("IFERROR(TEXTJOIN(""/"",1,FILTER($B$33:$IV$33,$B$32:$IV$32=EC$97)),"" "")")," ")</f>
        <v> </v>
      </c>
      <c r="ED80" s="48" t="str">
        <f>IFERROR(__xludf.DUMMYFUNCTION("IFERROR(TEXTJOIN(""/"",1,FILTER($B$33:$IV$33,$B$32:$IV$32=ED$97)),"" "")"),"5")</f>
        <v>5</v>
      </c>
      <c r="EE80" s="48" t="str">
        <f>IFERROR(__xludf.DUMMYFUNCTION("IFERROR(TEXTJOIN(""/"",1,FILTER($B$33:$IV$33,$B$32:$IV$32=EE$97)),"" "")")," ")</f>
        <v> </v>
      </c>
      <c r="EF80" s="48" t="str">
        <f>IFERROR(__xludf.DUMMYFUNCTION("IFERROR(TEXTJOIN(""/"",1,FILTER($B$33:$IV$33,$B$32:$IV$32=EF$97)),"" "")")," ")</f>
        <v> </v>
      </c>
      <c r="EG80" s="48" t="str">
        <f>IFERROR(__xludf.DUMMYFUNCTION("IFERROR(TEXTJOIN(""/"",1,FILTER($B$33:$IV$33,$B$32:$IV$32=EG$97)),"" "")")," ")</f>
        <v> </v>
      </c>
      <c r="EH80" s="48" t="str">
        <f>IFERROR(__xludf.DUMMYFUNCTION("IFERROR(TEXTJOIN(""/"",1,FILTER($B$33:$IV$33,$B$32:$IV$32=EH$97)),"" "")")," ")</f>
        <v> </v>
      </c>
      <c r="EI80" s="48" t="str">
        <f>IFERROR(__xludf.DUMMYFUNCTION("IFERROR(TEXTJOIN(""/"",1,FILTER($B$33:$IV$33,$B$32:$IV$32=EI$97)),"" "")")," ")</f>
        <v> </v>
      </c>
      <c r="EJ80" s="48" t="str">
        <f>IFERROR(__xludf.DUMMYFUNCTION("IFERROR(TEXTJOIN(""/"",1,FILTER($B$33:$IV$33,$B$32:$IV$32=EJ$97)),"" "")")," ")</f>
        <v> </v>
      </c>
      <c r="EK80" s="48" t="str">
        <f>IFERROR(__xludf.DUMMYFUNCTION("IFERROR(TEXTJOIN(""/"",1,FILTER($B$33:$IV$33,$B$32:$IV$32=EK$97)),"" "")"),"5")</f>
        <v>5</v>
      </c>
      <c r="EL80" s="48" t="str">
        <f>IFERROR(__xludf.DUMMYFUNCTION("IFERROR(TEXTJOIN(""/"",1,FILTER($B$33:$IV$33,$B$32:$IV$32=EL$97)),"" "")")," ")</f>
        <v> </v>
      </c>
      <c r="EM80" s="48" t="str">
        <f>IFERROR(__xludf.DUMMYFUNCTION("IFERROR(TEXTJOIN(""/"",1,FILTER($B$33:$IV$33,$B$32:$IV$32=EM$97)),"" "")")," ")</f>
        <v> </v>
      </c>
      <c r="EN80" s="48" t="str">
        <f>IFERROR(__xludf.DUMMYFUNCTION("IFERROR(TEXTJOIN(""/"",1,FILTER($B$33:$IV$33,$B$32:$IV$32=EN$97)),"" "")")," ")</f>
        <v> </v>
      </c>
      <c r="EO80" s="48" t="str">
        <f>IFERROR(__xludf.DUMMYFUNCTION("IFERROR(TEXTJOIN(""/"",1,FILTER($B$33:$IV$33,$B$32:$IV$32=EO$97)),"" "")")," ")</f>
        <v> </v>
      </c>
      <c r="EP80" s="48" t="str">
        <f>IFERROR(__xludf.DUMMYFUNCTION("IFERROR(TEXTJOIN(""/"",1,FILTER($B$33:$IV$33,$B$32:$IV$32=EP$97)),"" "")")," ")</f>
        <v> </v>
      </c>
      <c r="EQ80" s="48" t="str">
        <f>IFERROR(__xludf.DUMMYFUNCTION("IFERROR(TEXTJOIN(""/"",1,FILTER($B$33:$IV$33,$B$32:$IV$32=EQ$97)),"" "")")," ")</f>
        <v> </v>
      </c>
      <c r="ER80" s="48" t="str">
        <f>IFERROR(__xludf.DUMMYFUNCTION("IFERROR(TEXTJOIN(""/"",1,FILTER($B$33:$IV$33,$B$32:$IV$32=ER$97)),"" "")"),"")</f>
        <v/>
      </c>
      <c r="ES80" s="48" t="str">
        <f>IFERROR(__xludf.DUMMYFUNCTION("IFERROR(TEXTJOIN(""/"",1,FILTER($B$33:$IV$33,$B$32:$IV$32=ES$97)),"" "")")," ")</f>
        <v> </v>
      </c>
      <c r="ET80" s="48" t="str">
        <f>IFERROR(__xludf.DUMMYFUNCTION("IFERROR(TEXTJOIN(""/"",1,FILTER($B$33:$IV$33,$B$32:$IV$32=ET$97)),"" "")")," ")</f>
        <v> </v>
      </c>
      <c r="EU80" s="48" t="str">
        <f>IFERROR(__xludf.DUMMYFUNCTION("IFERROR(TEXTJOIN(""/"",1,FILTER($B$33:$IV$33,$B$32:$IV$32=EU$97)),"" "")")," ")</f>
        <v> </v>
      </c>
      <c r="EV80" s="48" t="str">
        <f>IFERROR(__xludf.DUMMYFUNCTION("IFERROR(TEXTJOIN(""/"",1,FILTER($B$33:$IV$33,$B$32:$IV$32=EV$97)),"" "")")," ")</f>
        <v> </v>
      </c>
      <c r="EW80" s="48" t="str">
        <f>IFERROR(__xludf.DUMMYFUNCTION("IFERROR(TEXTJOIN(""/"",1,FILTER($B$33:$IV$33,$B$32:$IV$32=EW$97)),"" "")")," ")</f>
        <v> </v>
      </c>
      <c r="EX80" s="48" t="str">
        <f>IFERROR(__xludf.DUMMYFUNCTION("IFERROR(TEXTJOIN(""/"",1,FILTER($B$33:$IV$33,$B$32:$IV$32=EX$97)),"" "")")," ")</f>
        <v> </v>
      </c>
      <c r="EY80" s="48" t="str">
        <f>IFERROR(__xludf.DUMMYFUNCTION("IFERROR(TEXTJOIN(""/"",1,FILTER($B$33:$IV$33,$B$32:$IV$32=EY$97)),"" "")"),"")</f>
        <v/>
      </c>
      <c r="EZ80" s="48" t="str">
        <f>IFERROR(__xludf.DUMMYFUNCTION("IFERROR(TEXTJOIN(""/"",1,FILTER($B$33:$IV$33,$B$32:$IV$32=EZ$97)),"" "")")," ")</f>
        <v> </v>
      </c>
      <c r="FA80" s="48" t="str">
        <f>IFERROR(__xludf.DUMMYFUNCTION("IFERROR(TEXTJOIN(""/"",1,FILTER($B$33:$IV$33,$B$32:$IV$32=FA$97)),"" "")")," ")</f>
        <v> </v>
      </c>
      <c r="FB80" s="48" t="str">
        <f>IFERROR(__xludf.DUMMYFUNCTION("IFERROR(TEXTJOIN(""/"",1,FILTER($B$33:$IV$33,$B$32:$IV$32=FB$97)),"" "")")," ")</f>
        <v> </v>
      </c>
      <c r="FC80" s="48" t="str">
        <f>IFERROR(__xludf.DUMMYFUNCTION("IFERROR(TEXTJOIN(""/"",1,FILTER($B$33:$IV$33,$B$32:$IV$32=FC$97)),"" "")")," ")</f>
        <v> </v>
      </c>
      <c r="FD80" s="48" t="str">
        <f>IFERROR(__xludf.DUMMYFUNCTION("IFERROR(TEXTJOIN(""/"",1,FILTER($B$33:$IV$33,$B$32:$IV$32=FD$97)),"" "")")," ")</f>
        <v> </v>
      </c>
      <c r="FE80" s="48" t="str">
        <f>IFERROR(__xludf.DUMMYFUNCTION("IFERROR(TEXTJOIN(""/"",1,FILTER($B$33:$IV$33,$B$32:$IV$32=FE$97)),"" "")")," ")</f>
        <v> </v>
      </c>
      <c r="FF80" s="48" t="str">
        <f>IFERROR(__xludf.DUMMYFUNCTION("IFERROR(TEXTJOIN(""/"",1,FILTER($B$33:$IV$33,$B$32:$IV$32=FF$97)),"" "")"),"5")</f>
        <v>5</v>
      </c>
      <c r="FG80" s="48" t="str">
        <f>IFERROR(__xludf.DUMMYFUNCTION("IFERROR(TEXTJOIN(""/"",1,FILTER($B$33:$IV$33,$B$32:$IV$32=FG$97)),"" "")")," ")</f>
        <v> </v>
      </c>
      <c r="FH80" s="48" t="str">
        <f>IFERROR(__xludf.DUMMYFUNCTION("IFERROR(TEXTJOIN(""/"",1,FILTER($B$33:$IV$33,$B$32:$IV$32=FH$97)),"" "")")," ")</f>
        <v> </v>
      </c>
      <c r="FI80" s="48" t="str">
        <f>IFERROR(__xludf.DUMMYFUNCTION("IFERROR(TEXTJOIN(""/"",1,FILTER($B$33:$IV$33,$B$32:$IV$32=FI$97)),"" "")")," ")</f>
        <v> </v>
      </c>
      <c r="FJ80" s="48" t="str">
        <f>IFERROR(__xludf.DUMMYFUNCTION("IFERROR(TEXTJOIN(""/"",1,FILTER($B$33:$IV$33,$B$32:$IV$32=FJ$97)),"" "")")," ")</f>
        <v> </v>
      </c>
      <c r="FK80" s="48" t="str">
        <f>IFERROR(__xludf.DUMMYFUNCTION("IFERROR(TEXTJOIN(""/"",1,FILTER($B$33:$IV$33,$B$32:$IV$32=FK$97)),"" "")")," ")</f>
        <v> </v>
      </c>
      <c r="FL80" s="48" t="str">
        <f>IFERROR(__xludf.DUMMYFUNCTION("IFERROR(TEXTJOIN(""/"",1,FILTER($B$33:$IV$33,$B$32:$IV$32=FL$97)),"" "")")," ")</f>
        <v> </v>
      </c>
      <c r="FM80" s="48" t="str">
        <f>IFERROR(__xludf.DUMMYFUNCTION("IFERROR(TEXTJOIN(""/"",1,FILTER($B$33:$IV$33,$B$32:$IV$32=FM$97)),"" "")"),"")</f>
        <v/>
      </c>
      <c r="FN80" s="48" t="str">
        <f>IFERROR(__xludf.DUMMYFUNCTION("IFERROR(TEXTJOIN(""/"",1,FILTER($B$33:$IV$33,$B$32:$IV$32=FN$97)),"" "")")," ")</f>
        <v> </v>
      </c>
      <c r="FO80" s="48" t="str">
        <f>IFERROR(__xludf.DUMMYFUNCTION("IFERROR(TEXTJOIN(""/"",1,FILTER($B$33:$IV$33,$B$32:$IV$32=FO$97)),"" "")")," ")</f>
        <v> </v>
      </c>
      <c r="FP80" s="48" t="str">
        <f>IFERROR(__xludf.DUMMYFUNCTION("IFERROR(TEXTJOIN(""/"",1,FILTER($B$33:$IV$33,$B$32:$IV$32=FP$97)),"" "")")," ")</f>
        <v> </v>
      </c>
      <c r="FQ80" s="48" t="str">
        <f>IFERROR(__xludf.DUMMYFUNCTION("IFERROR(TEXTJOIN(""/"",1,FILTER($B$33:$IV$33,$B$32:$IV$32=FQ$97)),"" "")")," ")</f>
        <v> </v>
      </c>
      <c r="FR80" s="48" t="str">
        <f>IFERROR(__xludf.DUMMYFUNCTION("IFERROR(TEXTJOIN(""/"",1,FILTER($B$33:$IV$33,$B$32:$IV$32=FR$97)),"" "")")," ")</f>
        <v> </v>
      </c>
      <c r="FS80" s="48" t="str">
        <f>IFERROR(__xludf.DUMMYFUNCTION("IFERROR(TEXTJOIN(""/"",1,FILTER($B$33:$IV$33,$B$32:$IV$32=FS$97)),"" "")")," ")</f>
        <v> </v>
      </c>
      <c r="FT80" s="48" t="str">
        <f>IFERROR(__xludf.DUMMYFUNCTION("IFERROR(TEXTJOIN(""/"",1,FILTER($B$33:$IV$33,$B$32:$IV$32=FT$97)),"" "")"),"5")</f>
        <v>5</v>
      </c>
      <c r="FU80" s="48" t="str">
        <f>IFERROR(__xludf.DUMMYFUNCTION("IFERROR(TEXTJOIN(""/"",1,FILTER($B$33:$IV$33,$B$32:$IV$32=FU$97)),"" "")")," ")</f>
        <v> </v>
      </c>
      <c r="FV80" s="48" t="str">
        <f>IFERROR(__xludf.DUMMYFUNCTION("IFERROR(TEXTJOIN(""/"",1,FILTER($B$33:$IV$33,$B$32:$IV$32=FV$97)),"" "")")," ")</f>
        <v> </v>
      </c>
      <c r="FW80" s="48" t="str">
        <f>IFERROR(__xludf.DUMMYFUNCTION("IFERROR(TEXTJOIN(""/"",1,FILTER($B$33:$IV$33,$B$32:$IV$32=FW$97)),"" "")")," ")</f>
        <v> </v>
      </c>
      <c r="FX80" s="48" t="str">
        <f>IFERROR(__xludf.DUMMYFUNCTION("IFERROR(TEXTJOIN(""/"",1,FILTER($B$33:$IV$33,$B$32:$IV$32=FX$97)),"" "")")," ")</f>
        <v> </v>
      </c>
      <c r="FY80" s="48" t="str">
        <f>IFERROR(__xludf.DUMMYFUNCTION("IFERROR(TEXTJOIN(""/"",1,FILTER($B$33:$IV$33,$B$32:$IV$32=FY$97)),"" "")")," ")</f>
        <v> </v>
      </c>
      <c r="FZ80" s="48" t="str">
        <f>IFERROR(__xludf.DUMMYFUNCTION("IFERROR(TEXTJOIN(""/"",1,FILTER($B$33:$IV$33,$B$32:$IV$32=FZ$97)),"" "")")," ")</f>
        <v> </v>
      </c>
      <c r="GA80" s="48" t="str">
        <f>IFERROR(__xludf.DUMMYFUNCTION("IFERROR(TEXTJOIN(""/"",1,FILTER($B$33:$IV$33,$B$32:$IV$32=GA$97)),"" "")"),"")</f>
        <v/>
      </c>
      <c r="GB80" s="48" t="str">
        <f>IFERROR(__xludf.DUMMYFUNCTION("IFERROR(TEXTJOIN(""/"",1,FILTER($B$33:$IV$33,$B$32:$IV$32=GB$97)),"" "")")," ")</f>
        <v> </v>
      </c>
      <c r="GC80" s="48" t="str">
        <f>IFERROR(__xludf.DUMMYFUNCTION("IFERROR(TEXTJOIN(""/"",1,FILTER($B$33:$IV$33,$B$32:$IV$32=GC$97)),"" "")")," ")</f>
        <v> </v>
      </c>
      <c r="GD80" s="48" t="str">
        <f>IFERROR(__xludf.DUMMYFUNCTION("IFERROR(TEXTJOIN(""/"",1,FILTER($B$33:$IV$33,$B$32:$IV$32=GD$97)),"" "")")," ")</f>
        <v> </v>
      </c>
      <c r="GE80" s="48" t="str">
        <f>IFERROR(__xludf.DUMMYFUNCTION("IFERROR(TEXTJOIN(""/"",1,FILTER($B$33:$IV$33,$B$32:$IV$32=GE$97)),"" "")")," ")</f>
        <v> </v>
      </c>
      <c r="GF80" s="48" t="str">
        <f>IFERROR(__xludf.DUMMYFUNCTION("IFERROR(TEXTJOIN(""/"",1,FILTER($B$33:$IV$33,$B$32:$IV$32=GF$97)),"" "")")," ")</f>
        <v> </v>
      </c>
      <c r="GG80" s="48" t="str">
        <f>IFERROR(__xludf.DUMMYFUNCTION("IFERROR(TEXTJOIN(""/"",1,FILTER($B$33:$IV$33,$B$32:$IV$32=GG$97)),"" "")")," ")</f>
        <v> </v>
      </c>
      <c r="GH80" s="48" t="str">
        <f>IFERROR(__xludf.DUMMYFUNCTION("IFERROR(TEXTJOIN(""/"",1,FILTER($B$33:$IV$33,$B$32:$IV$32=GH$97)),"" "")"),"")</f>
        <v/>
      </c>
      <c r="GI80" s="48" t="str">
        <f>IFERROR(__xludf.DUMMYFUNCTION("IFERROR(TEXTJOIN(""/"",1,FILTER($B$33:$IV$33,$B$32:$IV$32=GI$97)),"" "")")," ")</f>
        <v> </v>
      </c>
      <c r="GJ80" s="48" t="str">
        <f>IFERROR(__xludf.DUMMYFUNCTION("IFERROR(TEXTJOIN(""/"",1,FILTER($B$33:$IV$33,$B$32:$IV$32=GJ$97)),"" "")")," ")</f>
        <v> </v>
      </c>
      <c r="GK80" s="48" t="str">
        <f>IFERROR(__xludf.DUMMYFUNCTION("IFERROR(TEXTJOIN(""/"",1,FILTER($B$33:$IV$33,$B$32:$IV$32=GK$97)),"" "")")," ")</f>
        <v> </v>
      </c>
      <c r="GL80" s="48" t="str">
        <f>IFERROR(__xludf.DUMMYFUNCTION("IFERROR(TEXTJOIN(""/"",1,FILTER($B$33:$IV$33,$B$32:$IV$32=GL$97)),"" "")")," ")</f>
        <v> </v>
      </c>
      <c r="GM80" s="48" t="str">
        <f>IFERROR(__xludf.DUMMYFUNCTION("IFERROR(TEXTJOIN(""/"",1,FILTER($B$33:$IV$33,$B$32:$IV$32=GM$97)),"" "")")," ")</f>
        <v> </v>
      </c>
      <c r="GN80" s="48" t="str">
        <f>IFERROR(__xludf.DUMMYFUNCTION("IFERROR(TEXTJOIN(""/"",1,FILTER($B$33:$IV$33,$B$32:$IV$32=GN$97)),"" "")")," ")</f>
        <v> </v>
      </c>
      <c r="GO80" s="48" t="str">
        <f>IFERROR(__xludf.DUMMYFUNCTION("IFERROR(TEXTJOIN(""/"",1,FILTER($B$33:$IV$33,$B$32:$IV$32=GO$97)),"" "")"),"")</f>
        <v/>
      </c>
      <c r="GP80" s="48" t="str">
        <f>IFERROR(__xludf.DUMMYFUNCTION("IFERROR(TEXTJOIN(""/"",1,FILTER($B$33:$IV$33,$B$32:$IV$32=GP$97)),"" "")")," ")</f>
        <v> </v>
      </c>
      <c r="GQ80" s="48" t="str">
        <f>IFERROR(__xludf.DUMMYFUNCTION("IFERROR(TEXTJOIN(""/"",1,FILTER($B$33:$IV$33,$B$32:$IV$32=GQ$97)),"" "")")," ")</f>
        <v> </v>
      </c>
      <c r="GR80" s="48" t="str">
        <f>IFERROR(__xludf.DUMMYFUNCTION("IFERROR(TEXTJOIN(""/"",1,FILTER($B$33:$IV$33,$B$32:$IV$32=GR$97)),"" "")")," ")</f>
        <v> </v>
      </c>
      <c r="GS80" s="48" t="str">
        <f>IFERROR(__xludf.DUMMYFUNCTION("IFERROR(TEXTJOIN(""/"",1,FILTER($B$33:$IV$33,$B$32:$IV$32=GS$97)),"" "")")," ")</f>
        <v> </v>
      </c>
      <c r="GT80" s="48" t="str">
        <f>IFERROR(__xludf.DUMMYFUNCTION("IFERROR(TEXTJOIN(""/"",1,FILTER($B$33:$IV$33,$B$32:$IV$32=GT$97)),"" "")")," ")</f>
        <v> </v>
      </c>
      <c r="GU80" s="48" t="str">
        <f>IFERROR(__xludf.DUMMYFUNCTION("IFERROR(TEXTJOIN(""/"",1,FILTER($B$33:$IV$33,$B$32:$IV$32=GU$97)),"" "")")," ")</f>
        <v> </v>
      </c>
      <c r="GV80" s="48" t="str">
        <f>IFERROR(__xludf.DUMMYFUNCTION("IFERROR(TEXTJOIN(""/"",1,FILTER($B$33:$IV$33,$B$32:$IV$32=GV$97)),"" "")")," ")</f>
        <v> </v>
      </c>
      <c r="GW80" s="48" t="str">
        <f>IFERROR(__xludf.DUMMYFUNCTION("IFERROR(TEXTJOIN(""/"",1,FILTER($B$33:$IV$33,$B$32:$IV$32=GW$97)),"" "")")," ")</f>
        <v> </v>
      </c>
      <c r="GX80" s="48" t="str">
        <f>IFERROR(__xludf.DUMMYFUNCTION("IFERROR(TEXTJOIN(""/"",1,FILTER($B$33:$IV$33,$B$32:$IV$32=GX$97)),"" "")")," ")</f>
        <v> </v>
      </c>
      <c r="GY80" s="48" t="str">
        <f>IFERROR(__xludf.DUMMYFUNCTION("IFERROR(TEXTJOIN(""/"",1,FILTER($B$33:$IV$33,$B$32:$IV$32=GY$97)),"" "")")," ")</f>
        <v> </v>
      </c>
      <c r="GZ80" s="48" t="str">
        <f>IFERROR(__xludf.DUMMYFUNCTION("IFERROR(TEXTJOIN(""/"",1,FILTER($B$33:$IV$33,$B$32:$IV$32=GZ$97)),"" "")")," ")</f>
        <v> </v>
      </c>
      <c r="HA80" s="48" t="str">
        <f>IFERROR(__xludf.DUMMYFUNCTION("IFERROR(TEXTJOIN(""/"",1,FILTER($B$33:$IV$33,$B$32:$IV$32=HA$97)),"" "")")," ")</f>
        <v> </v>
      </c>
      <c r="HB80" s="48" t="str">
        <f>IFERROR(__xludf.DUMMYFUNCTION("IFERROR(TEXTJOIN(""/"",1,FILTER($B$33:$IV$33,$B$32:$IV$32=HB$97)),"" "")")," ")</f>
        <v> </v>
      </c>
      <c r="HC80" s="48" t="str">
        <f>IFERROR(__xludf.DUMMYFUNCTION("IFERROR(TEXTJOIN(""/"",1,FILTER($B$33:$IV$33,$B$32:$IV$32=HC$97)),"" "")")," ")</f>
        <v> </v>
      </c>
      <c r="HD80" s="48" t="str">
        <f>IFERROR(__xludf.DUMMYFUNCTION("IFERROR(TEXTJOIN(""/"",1,FILTER($B$33:$IV$33,$B$32:$IV$32=HD$97)),"" "")")," ")</f>
        <v> </v>
      </c>
      <c r="HE80" s="48" t="str">
        <f>IFERROR(__xludf.DUMMYFUNCTION("IFERROR(TEXTJOIN(""/"",1,FILTER($B$33:$IV$33,$B$32:$IV$32=HE$97)),"" "")")," ")</f>
        <v> </v>
      </c>
      <c r="HF80" s="48" t="str">
        <f>IFERROR(__xludf.DUMMYFUNCTION("IFERROR(TEXTJOIN(""/"",1,FILTER($B$33:$IV$33,$B$32:$IV$32=HF$97)),"" "")")," ")</f>
        <v> </v>
      </c>
      <c r="HG80" s="48" t="str">
        <f>IFERROR(__xludf.DUMMYFUNCTION("IFERROR(TEXTJOIN(""/"",1,FILTER($B$33:$IV$33,$B$32:$IV$32=HG$97)),"" "")")," ")</f>
        <v> </v>
      </c>
      <c r="HH80" s="48" t="str">
        <f>IFERROR(__xludf.DUMMYFUNCTION("IFERROR(TEXTJOIN(""/"",1,FILTER($B$33:$IV$33,$B$32:$IV$32=HH$97)),"" "")")," ")</f>
        <v> </v>
      </c>
      <c r="HI80" s="48" t="str">
        <f>IFERROR(__xludf.DUMMYFUNCTION("IFERROR(TEXTJOIN(""/"",1,FILTER($B$33:$IV$33,$B$32:$IV$32=HI$97)),"" "")")," ")</f>
        <v> </v>
      </c>
      <c r="HJ80" s="48" t="str">
        <f>IFERROR(__xludf.DUMMYFUNCTION("IFERROR(TEXTJOIN(""/"",1,FILTER($B$33:$IV$33,$B$32:$IV$32=HJ$97)),"" "")")," ")</f>
        <v> </v>
      </c>
      <c r="HK80" s="48" t="str">
        <f>IFERROR(__xludf.DUMMYFUNCTION("IFERROR(TEXTJOIN(""/"",1,FILTER($B$33:$IV$33,$B$32:$IV$32=HK$97)),"" "")")," ")</f>
        <v> </v>
      </c>
      <c r="HL80" s="48" t="str">
        <f>IFERROR(__xludf.DUMMYFUNCTION("IFERROR(TEXTJOIN(""/"",1,FILTER($B$33:$IV$33,$B$32:$IV$32=HL$97)),"" "")")," ")</f>
        <v> </v>
      </c>
      <c r="HM80" s="48" t="str">
        <f>IFERROR(__xludf.DUMMYFUNCTION("IFERROR(TEXTJOIN(""/"",1,FILTER($B$33:$IV$33,$B$32:$IV$32=HM$97)),"" "")")," ")</f>
        <v> </v>
      </c>
      <c r="HN80" s="48" t="str">
        <f>IFERROR(__xludf.DUMMYFUNCTION("IFERROR(TEXTJOIN(""/"",1,FILTER($B$33:$IV$33,$B$32:$IV$32=HN$97)),"" "")")," ")</f>
        <v> </v>
      </c>
      <c r="HO80" s="48" t="str">
        <f>IFERROR(__xludf.DUMMYFUNCTION("IFERROR(TEXTJOIN(""/"",1,FILTER($B$33:$IV$33,$B$32:$IV$32=HO$97)),"" "")")," ")</f>
        <v> </v>
      </c>
      <c r="HP80" s="48" t="str">
        <f>IFERROR(__xludf.DUMMYFUNCTION("IFERROR(TEXTJOIN(""/"",1,FILTER($B$33:$IV$33,$B$32:$IV$32=HP$97)),"" "")")," ")</f>
        <v> </v>
      </c>
      <c r="HQ80" s="48" t="str">
        <f>IFERROR(__xludf.DUMMYFUNCTION("IFERROR(TEXTJOIN(""/"",1,FILTER($B$33:$IV$33,$B$32:$IV$32=HQ$97)),"" "")")," ")</f>
        <v> </v>
      </c>
      <c r="HR80" s="48" t="str">
        <f>IFERROR(__xludf.DUMMYFUNCTION("IFERROR(TEXTJOIN(""/"",1,FILTER($B$33:$IV$33,$B$32:$IV$32=HR$97)),"" "")")," ")</f>
        <v> </v>
      </c>
      <c r="HS80" s="48" t="str">
        <f>IFERROR(__xludf.DUMMYFUNCTION("IFERROR(TEXTJOIN(""/"",1,FILTER($B$33:$IV$33,$B$32:$IV$32=HS$97)),"" "")")," ")</f>
        <v> </v>
      </c>
      <c r="HT80" s="48" t="str">
        <f>IFERROR(__xludf.DUMMYFUNCTION("IFERROR(TEXTJOIN(""/"",1,FILTER($B$33:$IV$33,$B$32:$IV$32=HT$97)),"" "")")," ")</f>
        <v> </v>
      </c>
      <c r="HU80" s="48" t="str">
        <f>IFERROR(__xludf.DUMMYFUNCTION("IFERROR(TEXTJOIN(""/"",1,FILTER($B$33:$IV$33,$B$32:$IV$32=HU$97)),"" "")")," ")</f>
        <v> </v>
      </c>
      <c r="HV80" s="48" t="str">
        <f>IFERROR(__xludf.DUMMYFUNCTION("IFERROR(TEXTJOIN(""/"",1,FILTER($B$33:$IV$33,$B$32:$IV$32=HV$97)),"" "")")," ")</f>
        <v> </v>
      </c>
      <c r="HW80" s="48" t="str">
        <f>IFERROR(__xludf.DUMMYFUNCTION("IFERROR(TEXTJOIN(""/"",1,FILTER($B$33:$IV$33,$B$32:$IV$32=HW$97)),"" "")")," ")</f>
        <v> </v>
      </c>
      <c r="HX80" s="48" t="str">
        <f>IFERROR(__xludf.DUMMYFUNCTION("IFERROR(TEXTJOIN(""/"",1,FILTER($B$33:$IV$33,$B$32:$IV$32=HX$97)),"" "")")," ")</f>
        <v> </v>
      </c>
      <c r="HY80" s="48" t="str">
        <f>IFERROR(__xludf.DUMMYFUNCTION("IFERROR(TEXTJOIN(""/"",1,FILTER($B$33:$IV$33,$B$32:$IV$32=HY$97)),"" "")")," ")</f>
        <v> </v>
      </c>
      <c r="HZ80" s="48" t="str">
        <f>IFERROR(__xludf.DUMMYFUNCTION("IFERROR(TEXTJOIN(""/"",1,FILTER($B$33:$IV$33,$B$32:$IV$32=HZ$97)),"" "")")," ")</f>
        <v> </v>
      </c>
      <c r="IA80" s="48" t="str">
        <f>IFERROR(__xludf.DUMMYFUNCTION("IFERROR(TEXTJOIN(""/"",1,FILTER($B$33:$IV$33,$B$32:$IV$32=IA$97)),"" "")")," ")</f>
        <v> </v>
      </c>
      <c r="IB80" s="48" t="str">
        <f>IFERROR(__xludf.DUMMYFUNCTION("IFERROR(TEXTJOIN(""/"",1,FILTER($B$33:$IV$33,$B$32:$IV$32=IB$97)),"" "")")," ")</f>
        <v> </v>
      </c>
      <c r="IC80" s="48" t="str">
        <f>IFERROR(__xludf.DUMMYFUNCTION("IFERROR(TEXTJOIN(""/"",1,FILTER($B$33:$IV$33,$B$32:$IV$32=IC$97)),"" "")")," ")</f>
        <v> </v>
      </c>
      <c r="ID80" s="48" t="str">
        <f>IFERROR(__xludf.DUMMYFUNCTION("IFERROR(TEXTJOIN(""/"",1,FILTER($B$33:$IV$33,$B$32:$IV$32=ID$97)),"" "")")," ")</f>
        <v> </v>
      </c>
      <c r="IE80" s="48" t="str">
        <f>IFERROR(__xludf.DUMMYFUNCTION("IFERROR(TEXTJOIN(""/"",1,FILTER($B$33:$IV$33,$B$32:$IV$32=IE$97)),"" "")")," ")</f>
        <v> </v>
      </c>
      <c r="IF80" s="48" t="str">
        <f>IFERROR(__xludf.DUMMYFUNCTION("IFERROR(TEXTJOIN(""/"",1,FILTER($B$33:$IV$33,$B$32:$IV$32=IF$97)),"" "")")," ")</f>
        <v> </v>
      </c>
      <c r="IG80" s="48" t="str">
        <f>IFERROR(__xludf.DUMMYFUNCTION("IFERROR(TEXTJOIN(""/"",1,FILTER($B$33:$IV$33,$B$32:$IV$32=IG$97)),"" "")")," ")</f>
        <v> </v>
      </c>
      <c r="IH80" s="48" t="str">
        <f>IFERROR(__xludf.DUMMYFUNCTION("IFERROR(TEXTJOIN(""/"",1,FILTER($B$33:$IV$33,$B$32:$IV$32=IH$97)),"" "")")," ")</f>
        <v> </v>
      </c>
      <c r="II80" s="48" t="str">
        <f>IFERROR(__xludf.DUMMYFUNCTION("IFERROR(TEXTJOIN(""/"",1,FILTER($B$33:$IV$33,$B$32:$IV$32=II$97)),"" "")")," ")</f>
        <v> </v>
      </c>
      <c r="IJ80" s="48" t="str">
        <f>IFERROR(__xludf.DUMMYFUNCTION("IFERROR(TEXTJOIN(""/"",1,FILTER($B$33:$IV$33,$B$32:$IV$32=IJ$97)),"" "")")," ")</f>
        <v> </v>
      </c>
      <c r="IK80" s="48" t="str">
        <f>IFERROR(__xludf.DUMMYFUNCTION("IFERROR(TEXTJOIN(""/"",1,FILTER($B$33:$IV$33,$B$32:$IV$32=IK$97)),"" "")")," ")</f>
        <v> </v>
      </c>
      <c r="IL80" s="48" t="str">
        <f>IFERROR(__xludf.DUMMYFUNCTION("IFERROR(TEXTJOIN(""/"",1,FILTER($B$33:$IV$33,$B$32:$IV$32=IL$97)),"" "")")," ")</f>
        <v> </v>
      </c>
      <c r="IM80" s="48" t="str">
        <f>IFERROR(__xludf.DUMMYFUNCTION("IFERROR(TEXTJOIN(""/"",1,FILTER($B$33:$IV$33,$B$32:$IV$32=IM$97)),"" "")")," ")</f>
        <v> </v>
      </c>
      <c r="IN80" s="48" t="str">
        <f>IFERROR(__xludf.DUMMYFUNCTION("IFERROR(TEXTJOIN(""/"",1,FILTER($B$33:$IV$33,$B$32:$IV$32=IN$97)),"" "")")," ")</f>
        <v> </v>
      </c>
      <c r="IO80" s="48" t="str">
        <f>IFERROR(__xludf.DUMMYFUNCTION("IFERROR(TEXTJOIN(""/"",1,FILTER($B$33:$IV$33,$B$32:$IV$32=IO$97)),"" "")")," ")</f>
        <v> </v>
      </c>
      <c r="IP80" s="48" t="str">
        <f>IFERROR(__xludf.DUMMYFUNCTION("IFERROR(TEXTJOIN(""/"",1,FILTER($B$33:$IV$33,$B$32:$IV$32=IP$97)),"" "")")," ")</f>
        <v> </v>
      </c>
      <c r="IQ80" s="48" t="str">
        <f>IFERROR(__xludf.DUMMYFUNCTION("IFERROR(TEXTJOIN(""/"",1,FILTER($B$33:$IV$33,$B$32:$IV$32=IQ$97)),"" "")")," ")</f>
        <v> </v>
      </c>
      <c r="IR80" s="48" t="str">
        <f>IFERROR(__xludf.DUMMYFUNCTION("IFERROR(TEXTJOIN(""/"",1,FILTER($B$33:$IV$33,$B$32:$IV$32=IR$97)),"" "")")," ")</f>
        <v> </v>
      </c>
      <c r="IS80" s="48" t="str">
        <f>IFERROR(__xludf.DUMMYFUNCTION("IFERROR(TEXTJOIN(""/"",1,FILTER($B$33:$IV$33,$B$32:$IV$32=IS$97)),"" "")")," ")</f>
        <v> </v>
      </c>
      <c r="IT80" s="48" t="str">
        <f>IFERROR(__xludf.DUMMYFUNCTION("IFERROR(TEXTJOIN(""/"",1,FILTER($B$33:$IV$33,$B$32:$IV$32=IT$97)),"" "")")," ")</f>
        <v> </v>
      </c>
      <c r="IU80" s="48" t="str">
        <f>IFERROR(__xludf.DUMMYFUNCTION("IFERROR(TEXTJOIN(""/"",1,FILTER($B$33:$IV$33,$B$32:$IV$32=IU$97)),"" "")")," ")</f>
        <v> </v>
      </c>
      <c r="IV80" s="48" t="str">
        <f>IFERROR(__xludf.DUMMYFUNCTION("IFERROR(TEXTJOIN(""/"",1,FILTER($B$33:$IV$33,$B$32:$IV$32=IV$97)),"" "")")," ")</f>
        <v> </v>
      </c>
      <c r="IW80" s="48" t="str">
        <f>IFERROR(__xludf.DUMMYFUNCTION("IFERROR(TEXTJOIN(""/"",1,FILTER($B$33:$IV$33,$B$32:$IV$32=IW$97)),"" "")")," ")</f>
        <v> </v>
      </c>
      <c r="IX80" s="48" t="str">
        <f>IFERROR(__xludf.DUMMYFUNCTION("IFERROR(TEXTJOIN(""/"",1,FILTER($B$33:$IV$33,$B$32:$IV$32=IX$97)),"" "")")," ")</f>
        <v> </v>
      </c>
      <c r="IY80" s="48" t="str">
        <f>IFERROR(__xludf.DUMMYFUNCTION("IFERROR(TEXTJOIN(""/"",1,FILTER($B$33:$IV$33,$B$32:$IV$32=IY$97)),"" "")")," ")</f>
        <v> </v>
      </c>
      <c r="IZ80" s="48" t="str">
        <f>IFERROR(__xludf.DUMMYFUNCTION("IFERROR(TEXTJOIN(""/"",1,FILTER($B$33:$IV$33,$B$32:$IV$32=IZ$97)),"" "")")," ")</f>
        <v> </v>
      </c>
      <c r="JA80" s="48" t="str">
        <f>IFERROR(__xludf.DUMMYFUNCTION("IFERROR(TEXTJOIN(""/"",1,FILTER($B$33:$IV$33,$B$32:$IV$32=JA$97)),"" "")")," ")</f>
        <v> </v>
      </c>
      <c r="JB80" s="48" t="str">
        <f>IFERROR(__xludf.DUMMYFUNCTION("IFERROR(TEXTJOIN(""/"",1,FILTER($B$33:$IV$33,$B$32:$IV$32=JB$97)),"" "")")," ")</f>
        <v> </v>
      </c>
      <c r="JC80" s="48" t="str">
        <f>IFERROR(__xludf.DUMMYFUNCTION("IFERROR(TEXTJOIN(""/"",1,FILTER($B$33:$IV$33,$B$32:$IV$32=JC$97)),"" "")")," ")</f>
        <v> </v>
      </c>
      <c r="JD80" s="48" t="str">
        <f>IFERROR(__xludf.DUMMYFUNCTION("IFERROR(TEXTJOIN(""/"",1,FILTER($B$33:$IV$33,$B$32:$IV$32=JD$97)),"" "")")," ")</f>
        <v> </v>
      </c>
      <c r="JE80" s="48" t="str">
        <f>IFERROR(__xludf.DUMMYFUNCTION("IFERROR(TEXTJOIN(""/"",1,FILTER($B$33:$IV$33,$B$32:$IV$32=JE$97)),"" "")")," ")</f>
        <v> </v>
      </c>
    </row>
    <row r="81">
      <c r="A81" s="47" t="str">
        <f>IFERROR(__xludf.DUMMYFUNCTION("""COMPUTED_VALUE"""),"Технология")</f>
        <v>Технология</v>
      </c>
      <c r="B81" s="48" t="str">
        <f>IFERROR(__xludf.DUMMYFUNCTION("IFERROR(TEXTJOIN(""/"",1,FILTER($B$36:$IV$36,$B$35:$IV$35=B$97)),"" "")")," ")</f>
        <v> </v>
      </c>
      <c r="C81" s="48" t="str">
        <f>IFERROR(__xludf.DUMMYFUNCTION("IFERROR(TEXTJOIN(""/"",1,FILTER($B$36:$IV$36,$B$35:$IV$35=C$97)),"" "")")," ")</f>
        <v> </v>
      </c>
      <c r="D81" s="48" t="str">
        <f>IFERROR(__xludf.DUMMYFUNCTION("IFERROR(TEXTJOIN(""/"",1,FILTER($B$36:$IV$36,$B$35:$IV$35=D$97)),"" "")")," ")</f>
        <v> </v>
      </c>
      <c r="E81" s="48" t="str">
        <f>IFERROR(__xludf.DUMMYFUNCTION("IFERROR(TEXTJOIN(""/"",1,FILTER($B$36:$IV$36,$B$35:$IV$35=E$97)),"" "")"),"")</f>
        <v/>
      </c>
      <c r="F81" s="48" t="str">
        <f>IFERROR(__xludf.DUMMYFUNCTION("IFERROR(TEXTJOIN(""/"",1,FILTER($B$36:$IV$36,$B$35:$IV$35=F$97)),"" "")")," ")</f>
        <v> </v>
      </c>
      <c r="G81" s="48" t="str">
        <f>IFERROR(__xludf.DUMMYFUNCTION("IFERROR(TEXTJOIN(""/"",1,FILTER($B$36:$IV$36,$B$35:$IV$35=G$97)),"" "")")," ")</f>
        <v> </v>
      </c>
      <c r="H81" s="48" t="str">
        <f>IFERROR(__xludf.DUMMYFUNCTION("IFERROR(TEXTJOIN(""/"",1,FILTER($B$36:$IV$36,$B$35:$IV$35=H$97)),"" "")")," ")</f>
        <v> </v>
      </c>
      <c r="I81" s="48" t="str">
        <f>IFERROR(__xludf.DUMMYFUNCTION("IFERROR(TEXTJOIN(""/"",1,FILTER($B$36:$IV$36,$B$35:$IV$35=I$97)),"" "")")," ")</f>
        <v> </v>
      </c>
      <c r="J81" s="48" t="str">
        <f>IFERROR(__xludf.DUMMYFUNCTION("IFERROR(TEXTJOIN(""/"",1,FILTER($B$36:$IV$36,$B$35:$IV$35=J$97)),"" "")")," ")</f>
        <v> </v>
      </c>
      <c r="K81" s="48" t="str">
        <f>IFERROR(__xludf.DUMMYFUNCTION("IFERROR(TEXTJOIN(""/"",1,FILTER($B$36:$IV$36,$B$35:$IV$35=K$97)),"" "")")," ")</f>
        <v> </v>
      </c>
      <c r="L81" s="48" t="str">
        <f>IFERROR(__xludf.DUMMYFUNCTION("IFERROR(TEXTJOIN(""/"",1,FILTER($B$36:$IV$36,$B$35:$IV$35=L$97)),"" "")"),"5")</f>
        <v>5</v>
      </c>
      <c r="M81" s="48" t="str">
        <f>IFERROR(__xludf.DUMMYFUNCTION("IFERROR(TEXTJOIN(""/"",1,FILTER($B$36:$IV$36,$B$35:$IV$35=M$97)),"" "")")," ")</f>
        <v> </v>
      </c>
      <c r="N81" s="48" t="str">
        <f>IFERROR(__xludf.DUMMYFUNCTION("IFERROR(TEXTJOIN(""/"",1,FILTER($B$36:$IV$36,$B$35:$IV$35=N$97)),"" "")")," ")</f>
        <v> </v>
      </c>
      <c r="O81" s="48" t="str">
        <f>IFERROR(__xludf.DUMMYFUNCTION("IFERROR(TEXTJOIN(""/"",1,FILTER($B$36:$IV$36,$B$35:$IV$35=O$97)),"" "")")," ")</f>
        <v> </v>
      </c>
      <c r="P81" s="48" t="str">
        <f>IFERROR(__xludf.DUMMYFUNCTION("IFERROR(TEXTJOIN(""/"",1,FILTER($B$36:$IV$36,$B$35:$IV$35=P$97)),"" "")")," ")</f>
        <v> </v>
      </c>
      <c r="Q81" s="48" t="str">
        <f>IFERROR(__xludf.DUMMYFUNCTION("IFERROR(TEXTJOIN(""/"",1,FILTER($B$36:$IV$36,$B$35:$IV$35=Q$97)),"" "")")," ")</f>
        <v> </v>
      </c>
      <c r="R81" s="48" t="str">
        <f>IFERROR(__xludf.DUMMYFUNCTION("IFERROR(TEXTJOIN(""/"",1,FILTER($B$36:$IV$36,$B$35:$IV$35=R$97)),"" "")")," ")</f>
        <v> </v>
      </c>
      <c r="S81" s="48" t="str">
        <f>IFERROR(__xludf.DUMMYFUNCTION("IFERROR(TEXTJOIN(""/"",1,FILTER($B$36:$IV$36,$B$35:$IV$35=S$97)),"" "")"),"2")</f>
        <v>2</v>
      </c>
      <c r="T81" s="48" t="str">
        <f>IFERROR(__xludf.DUMMYFUNCTION("IFERROR(TEXTJOIN(""/"",1,FILTER($B$36:$IV$36,$B$35:$IV$35=T$97)),"" "")")," ")</f>
        <v> </v>
      </c>
      <c r="U81" s="48" t="str">
        <f>IFERROR(__xludf.DUMMYFUNCTION("IFERROR(TEXTJOIN(""/"",1,FILTER($B$36:$IV$36,$B$35:$IV$35=U$97)),"" "")")," ")</f>
        <v> </v>
      </c>
      <c r="V81" s="48" t="str">
        <f>IFERROR(__xludf.DUMMYFUNCTION("IFERROR(TEXTJOIN(""/"",1,FILTER($B$36:$IV$36,$B$35:$IV$35=V$97)),"" "")")," ")</f>
        <v> </v>
      </c>
      <c r="W81" s="48" t="str">
        <f>IFERROR(__xludf.DUMMYFUNCTION("IFERROR(TEXTJOIN(""/"",1,FILTER($B$36:$IV$36,$B$35:$IV$35=W$97)),"" "")")," ")</f>
        <v> </v>
      </c>
      <c r="X81" s="48" t="str">
        <f>IFERROR(__xludf.DUMMYFUNCTION("IFERROR(TEXTJOIN(""/"",1,FILTER($B$36:$IV$36,$B$35:$IV$35=X$97)),"" "")")," ")</f>
        <v> </v>
      </c>
      <c r="Y81" s="48" t="str">
        <f>IFERROR(__xludf.DUMMYFUNCTION("IFERROR(TEXTJOIN(""/"",1,FILTER($B$36:$IV$36,$B$35:$IV$35=Y$97)),"" "")")," ")</f>
        <v> </v>
      </c>
      <c r="Z81" s="48" t="str">
        <f>IFERROR(__xludf.DUMMYFUNCTION("IFERROR(TEXTJOIN(""/"",1,FILTER($B$36:$IV$36,$B$35:$IV$35=Z$97)),"" "")"),"5")</f>
        <v>5</v>
      </c>
      <c r="AA81" s="48" t="str">
        <f>IFERROR(__xludf.DUMMYFUNCTION("IFERROR(TEXTJOIN(""/"",1,FILTER($B$36:$IV$36,$B$35:$IV$35=AA$97)),"" "")")," ")</f>
        <v> </v>
      </c>
      <c r="AB81" s="48" t="str">
        <f>IFERROR(__xludf.DUMMYFUNCTION("IFERROR(TEXTJOIN(""/"",1,FILTER($B$36:$IV$36,$B$35:$IV$35=AB$97)),"" "")")," ")</f>
        <v> </v>
      </c>
      <c r="AC81" s="48" t="str">
        <f>IFERROR(__xludf.DUMMYFUNCTION("IFERROR(TEXTJOIN(""/"",1,FILTER($B$36:$IV$36,$B$35:$IV$35=AC$97)),"" "")")," ")</f>
        <v> </v>
      </c>
      <c r="AD81" s="48" t="str">
        <f>IFERROR(__xludf.DUMMYFUNCTION("IFERROR(TEXTJOIN(""/"",1,FILTER($B$36:$IV$36,$B$35:$IV$35=AD$97)),"" "")")," ")</f>
        <v> </v>
      </c>
      <c r="AE81" s="48" t="str">
        <f>IFERROR(__xludf.DUMMYFUNCTION("IFERROR(TEXTJOIN(""/"",1,FILTER($B$36:$IV$36,$B$35:$IV$35=AE$97)),"" "")")," ")</f>
        <v> </v>
      </c>
      <c r="AF81" s="48" t="str">
        <f>IFERROR(__xludf.DUMMYFUNCTION("IFERROR(TEXTJOIN(""/"",1,FILTER($B$36:$IV$36,$B$35:$IV$35=AF$97)),"" "")")," ")</f>
        <v> </v>
      </c>
      <c r="AG81" s="48" t="str">
        <f>IFERROR(__xludf.DUMMYFUNCTION("IFERROR(TEXTJOIN(""/"",1,FILTER($B$36:$IV$36,$B$35:$IV$35=AG$97)),"" "")"),"")</f>
        <v/>
      </c>
      <c r="AH81" s="48" t="str">
        <f>IFERROR(__xludf.DUMMYFUNCTION("IFERROR(TEXTJOIN(""/"",1,FILTER($B$36:$IV$36,$B$35:$IV$35=AH$97)),"" "")")," ")</f>
        <v> </v>
      </c>
      <c r="AI81" s="48" t="str">
        <f>IFERROR(__xludf.DUMMYFUNCTION("IFERROR(TEXTJOIN(""/"",1,FILTER($B$36:$IV$36,$B$35:$IV$35=AI$97)),"" "")")," ")</f>
        <v> </v>
      </c>
      <c r="AJ81" s="48" t="str">
        <f>IFERROR(__xludf.DUMMYFUNCTION("IFERROR(TEXTJOIN(""/"",1,FILTER($B$36:$IV$36,$B$35:$IV$35=AJ$97)),"" "")")," ")</f>
        <v> </v>
      </c>
      <c r="AK81" s="48" t="str">
        <f>IFERROR(__xludf.DUMMYFUNCTION("IFERROR(TEXTJOIN(""/"",1,FILTER($B$36:$IV$36,$B$35:$IV$35=AK$97)),"" "")")," ")</f>
        <v> </v>
      </c>
      <c r="AL81" s="48" t="str">
        <f>IFERROR(__xludf.DUMMYFUNCTION("IFERROR(TEXTJOIN(""/"",1,FILTER($B$36:$IV$36,$B$35:$IV$35=AL$97)),"" "")")," ")</f>
        <v> </v>
      </c>
      <c r="AM81" s="48" t="str">
        <f>IFERROR(__xludf.DUMMYFUNCTION("IFERROR(TEXTJOIN(""/"",1,FILTER($B$36:$IV$36,$B$35:$IV$35=AM$97)),"" "")")," ")</f>
        <v> </v>
      </c>
      <c r="AN81" s="48" t="str">
        <f>IFERROR(__xludf.DUMMYFUNCTION("IFERROR(TEXTJOIN(""/"",1,FILTER($B$36:$IV$36,$B$35:$IV$35=AN$97)),"" "")"),"5")</f>
        <v>5</v>
      </c>
      <c r="AO81" s="48" t="str">
        <f>IFERROR(__xludf.DUMMYFUNCTION("IFERROR(TEXTJOIN(""/"",1,FILTER($B$36:$IV$36,$B$35:$IV$35=AO$97)),"" "")")," ")</f>
        <v> </v>
      </c>
      <c r="AP81" s="48" t="str">
        <f>IFERROR(__xludf.DUMMYFUNCTION("IFERROR(TEXTJOIN(""/"",1,FILTER($B$36:$IV$36,$B$35:$IV$35=AP$97)),"" "")")," ")</f>
        <v> </v>
      </c>
      <c r="AQ81" s="48" t="str">
        <f>IFERROR(__xludf.DUMMYFUNCTION("IFERROR(TEXTJOIN(""/"",1,FILTER($B$36:$IV$36,$B$35:$IV$35=AQ$97)),"" "")")," ")</f>
        <v> </v>
      </c>
      <c r="AR81" s="48" t="str">
        <f>IFERROR(__xludf.DUMMYFUNCTION("IFERROR(TEXTJOIN(""/"",1,FILTER($B$36:$IV$36,$B$35:$IV$35=AR$97)),"" "")")," ")</f>
        <v> </v>
      </c>
      <c r="AS81" s="48" t="str">
        <f>IFERROR(__xludf.DUMMYFUNCTION("IFERROR(TEXTJOIN(""/"",1,FILTER($B$36:$IV$36,$B$35:$IV$35=AS$97)),"" "")")," ")</f>
        <v> </v>
      </c>
      <c r="AT81" s="48" t="str">
        <f>IFERROR(__xludf.DUMMYFUNCTION("IFERROR(TEXTJOIN(""/"",1,FILTER($B$36:$IV$36,$B$35:$IV$35=AT$97)),"" "")")," ")</f>
        <v> </v>
      </c>
      <c r="AU81" s="48" t="str">
        <f>IFERROR(__xludf.DUMMYFUNCTION("IFERROR(TEXTJOIN(""/"",1,FILTER($B$36:$IV$36,$B$35:$IV$35=AU$97)),"" "")"),"")</f>
        <v/>
      </c>
      <c r="AV81" s="48" t="str">
        <f>IFERROR(__xludf.DUMMYFUNCTION("IFERROR(TEXTJOIN(""/"",1,FILTER($B$36:$IV$36,$B$35:$IV$35=AV$97)),"" "")")," ")</f>
        <v> </v>
      </c>
      <c r="AW81" s="48" t="str">
        <f>IFERROR(__xludf.DUMMYFUNCTION("IFERROR(TEXTJOIN(""/"",1,FILTER($B$36:$IV$36,$B$35:$IV$35=AW$97)),"" "")")," ")</f>
        <v> </v>
      </c>
      <c r="AX81" s="48" t="str">
        <f>IFERROR(__xludf.DUMMYFUNCTION("IFERROR(TEXTJOIN(""/"",1,FILTER($B$36:$IV$36,$B$35:$IV$35=AX$97)),"" "")")," ")</f>
        <v> </v>
      </c>
      <c r="AY81" s="48" t="str">
        <f>IFERROR(__xludf.DUMMYFUNCTION("IFERROR(TEXTJOIN(""/"",1,FILTER($B$36:$IV$36,$B$35:$IV$35=AY$97)),"" "")")," ")</f>
        <v> </v>
      </c>
      <c r="AZ81" s="48" t="str">
        <f>IFERROR(__xludf.DUMMYFUNCTION("IFERROR(TEXTJOIN(""/"",1,FILTER($B$36:$IV$36,$B$35:$IV$35=AZ$97)),"" "")")," ")</f>
        <v> </v>
      </c>
      <c r="BA81" s="48" t="str">
        <f>IFERROR(__xludf.DUMMYFUNCTION("IFERROR(TEXTJOIN(""/"",1,FILTER($B$36:$IV$36,$B$35:$IV$35=BA$97)),"" "")")," ")</f>
        <v> </v>
      </c>
      <c r="BB81" s="48" t="str">
        <f>IFERROR(__xludf.DUMMYFUNCTION("IFERROR(TEXTJOIN(""/"",1,FILTER($B$36:$IV$36,$B$35:$IV$35=BB$97)),"" "")"),"")</f>
        <v/>
      </c>
      <c r="BC81" s="48" t="str">
        <f>IFERROR(__xludf.DUMMYFUNCTION("IFERROR(TEXTJOIN(""/"",1,FILTER($B$36:$IV$36,$B$35:$IV$35=BC$97)),"" "")")," ")</f>
        <v> </v>
      </c>
      <c r="BD81" s="48" t="str">
        <f>IFERROR(__xludf.DUMMYFUNCTION("IFERROR(TEXTJOIN(""/"",1,FILTER($B$36:$IV$36,$B$35:$IV$35=BD$97)),"" "")")," ")</f>
        <v> </v>
      </c>
      <c r="BE81" s="48" t="str">
        <f>IFERROR(__xludf.DUMMYFUNCTION("IFERROR(TEXTJOIN(""/"",1,FILTER($B$36:$IV$36,$B$35:$IV$35=BE$97)),"" "")")," ")</f>
        <v> </v>
      </c>
      <c r="BF81" s="48" t="str">
        <f>IFERROR(__xludf.DUMMYFUNCTION("IFERROR(TEXTJOIN(""/"",1,FILTER($B$36:$IV$36,$B$35:$IV$35=BF$97)),"" "")")," ")</f>
        <v> </v>
      </c>
      <c r="BG81" s="48" t="str">
        <f>IFERROR(__xludf.DUMMYFUNCTION("IFERROR(TEXTJOIN(""/"",1,FILTER($B$36:$IV$36,$B$35:$IV$35=BG$97)),"" "")")," ")</f>
        <v> </v>
      </c>
      <c r="BH81" s="48" t="str">
        <f>IFERROR(__xludf.DUMMYFUNCTION("IFERROR(TEXTJOIN(""/"",1,FILTER($B$36:$IV$36,$B$35:$IV$35=BH$97)),"" "")")," ")</f>
        <v> </v>
      </c>
      <c r="BI81" s="48" t="str">
        <f>IFERROR(__xludf.DUMMYFUNCTION("IFERROR(TEXTJOIN(""/"",1,FILTER($B$36:$IV$36,$B$35:$IV$35=BI$97)),"" "")"),"н")</f>
        <v>н</v>
      </c>
      <c r="BJ81" s="48" t="str">
        <f>IFERROR(__xludf.DUMMYFUNCTION("IFERROR(TEXTJOIN(""/"",1,FILTER($B$36:$IV$36,$B$35:$IV$35=BJ$97)),"" "")")," ")</f>
        <v> </v>
      </c>
      <c r="BK81" s="48" t="str">
        <f>IFERROR(__xludf.DUMMYFUNCTION("IFERROR(TEXTJOIN(""/"",1,FILTER($B$36:$IV$36,$B$35:$IV$35=BK$97)),"" "")")," ")</f>
        <v> </v>
      </c>
      <c r="BL81" s="48" t="str">
        <f>IFERROR(__xludf.DUMMYFUNCTION("IFERROR(TEXTJOIN(""/"",1,FILTER($B$36:$IV$36,$B$35:$IV$35=BL$97)),"" "")")," ")</f>
        <v> </v>
      </c>
      <c r="BM81" s="48" t="str">
        <f>IFERROR(__xludf.DUMMYFUNCTION("IFERROR(TEXTJOIN(""/"",1,FILTER($B$36:$IV$36,$B$35:$IV$35=BM$97)),"" "")")," ")</f>
        <v> </v>
      </c>
      <c r="BN81" s="48" t="str">
        <f>IFERROR(__xludf.DUMMYFUNCTION("IFERROR(TEXTJOIN(""/"",1,FILTER($B$36:$IV$36,$B$35:$IV$35=BN$97)),"" "")")," ")</f>
        <v> </v>
      </c>
      <c r="BO81" s="48" t="str">
        <f>IFERROR(__xludf.DUMMYFUNCTION("IFERROR(TEXTJOIN(""/"",1,FILTER($B$36:$IV$36,$B$35:$IV$35=BO$97)),"" "")")," ")</f>
        <v> </v>
      </c>
      <c r="BP81" s="48" t="str">
        <f>IFERROR(__xludf.DUMMYFUNCTION("IFERROR(TEXTJOIN(""/"",1,FILTER($B$36:$IV$36,$B$35:$IV$35=BP$97)),"" "")")," ")</f>
        <v> </v>
      </c>
      <c r="BQ81" s="48" t="str">
        <f>IFERROR(__xludf.DUMMYFUNCTION("IFERROR(TEXTJOIN(""/"",1,FILTER($B$36:$IV$36,$B$35:$IV$35=BQ$97)),"" "")")," ")</f>
        <v> </v>
      </c>
      <c r="BR81" s="48" t="str">
        <f>IFERROR(__xludf.DUMMYFUNCTION("IFERROR(TEXTJOIN(""/"",1,FILTER($B$36:$IV$36,$B$35:$IV$35=BR$97)),"" "")")," ")</f>
        <v> </v>
      </c>
      <c r="BS81" s="48" t="str">
        <f>IFERROR(__xludf.DUMMYFUNCTION("IFERROR(TEXTJOIN(""/"",1,FILTER($B$36:$IV$36,$B$35:$IV$35=BS$97)),"" "")")," ")</f>
        <v> </v>
      </c>
      <c r="BT81" s="48" t="str">
        <f>IFERROR(__xludf.DUMMYFUNCTION("IFERROR(TEXTJOIN(""/"",1,FILTER($B$36:$IV$36,$B$35:$IV$35=BT$97)),"" "")")," ")</f>
        <v> </v>
      </c>
      <c r="BU81" s="48" t="str">
        <f>IFERROR(__xludf.DUMMYFUNCTION("IFERROR(TEXTJOIN(""/"",1,FILTER($B$36:$IV$36,$B$35:$IV$35=BU$97)),"" "")")," ")</f>
        <v> </v>
      </c>
      <c r="BV81" s="48" t="str">
        <f>IFERROR(__xludf.DUMMYFUNCTION("IFERROR(TEXTJOIN(""/"",1,FILTER($B$36:$IV$36,$B$35:$IV$35=BV$97)),"" "")")," ")</f>
        <v> </v>
      </c>
      <c r="BW81" s="48" t="str">
        <f>IFERROR(__xludf.DUMMYFUNCTION("IFERROR(TEXTJOIN(""/"",1,FILTER($B$36:$IV$36,$B$35:$IV$35=BW$97)),"" "")"),"")</f>
        <v/>
      </c>
      <c r="BX81" s="48" t="str">
        <f>IFERROR(__xludf.DUMMYFUNCTION("IFERROR(TEXTJOIN(""/"",1,FILTER($B$36:$IV$36,$B$35:$IV$35=BX$97)),"" "")")," ")</f>
        <v> </v>
      </c>
      <c r="BY81" s="48" t="str">
        <f>IFERROR(__xludf.DUMMYFUNCTION("IFERROR(TEXTJOIN(""/"",1,FILTER($B$36:$IV$36,$B$35:$IV$35=BY$97)),"" "")")," ")</f>
        <v> </v>
      </c>
      <c r="BZ81" s="48" t="str">
        <f>IFERROR(__xludf.DUMMYFUNCTION("IFERROR(TEXTJOIN(""/"",1,FILTER($B$36:$IV$36,$B$35:$IV$35=BZ$97)),"" "")")," ")</f>
        <v> </v>
      </c>
      <c r="CA81" s="48" t="str">
        <f>IFERROR(__xludf.DUMMYFUNCTION("IFERROR(TEXTJOIN(""/"",1,FILTER($B$36:$IV$36,$B$35:$IV$35=CA$97)),"" "")")," ")</f>
        <v> </v>
      </c>
      <c r="CB81" s="48" t="str">
        <f>IFERROR(__xludf.DUMMYFUNCTION("IFERROR(TEXTJOIN(""/"",1,FILTER($B$36:$IV$36,$B$35:$IV$35=CB$97)),"" "")")," ")</f>
        <v> </v>
      </c>
      <c r="CC81" s="48" t="str">
        <f>IFERROR(__xludf.DUMMYFUNCTION("IFERROR(TEXTJOIN(""/"",1,FILTER($B$36:$IV$36,$B$35:$IV$35=CC$97)),"" "")")," ")</f>
        <v> </v>
      </c>
      <c r="CD81" s="48" t="str">
        <f>IFERROR(__xludf.DUMMYFUNCTION("IFERROR(TEXTJOIN(""/"",1,FILTER($B$36:$IV$36,$B$35:$IV$35=CD$97)),"" "")"),"")</f>
        <v/>
      </c>
      <c r="CE81" s="48" t="str">
        <f>IFERROR(__xludf.DUMMYFUNCTION("IFERROR(TEXTJOIN(""/"",1,FILTER($B$36:$IV$36,$B$35:$IV$35=CE$97)),"" "")")," ")</f>
        <v> </v>
      </c>
      <c r="CF81" s="48" t="str">
        <f>IFERROR(__xludf.DUMMYFUNCTION("IFERROR(TEXTJOIN(""/"",1,FILTER($B$36:$IV$36,$B$35:$IV$35=CF$97)),"" "")")," ")</f>
        <v> </v>
      </c>
      <c r="CG81" s="48" t="str">
        <f>IFERROR(__xludf.DUMMYFUNCTION("IFERROR(TEXTJOIN(""/"",1,FILTER($B$36:$IV$36,$B$35:$IV$35=CG$97)),"" "")")," ")</f>
        <v> </v>
      </c>
      <c r="CH81" s="48" t="str">
        <f>IFERROR(__xludf.DUMMYFUNCTION("IFERROR(TEXTJOIN(""/"",1,FILTER($B$36:$IV$36,$B$35:$IV$35=CH$97)),"" "")")," ")</f>
        <v> </v>
      </c>
      <c r="CI81" s="48" t="str">
        <f>IFERROR(__xludf.DUMMYFUNCTION("IFERROR(TEXTJOIN(""/"",1,FILTER($B$36:$IV$36,$B$35:$IV$35=CI$97)),"" "")")," ")</f>
        <v> </v>
      </c>
      <c r="CJ81" s="48" t="str">
        <f>IFERROR(__xludf.DUMMYFUNCTION("IFERROR(TEXTJOIN(""/"",1,FILTER($B$36:$IV$36,$B$35:$IV$35=CJ$97)),"" "")")," ")</f>
        <v> </v>
      </c>
      <c r="CK81" s="48" t="str">
        <f>IFERROR(__xludf.DUMMYFUNCTION("IFERROR(TEXTJOIN(""/"",1,FILTER($B$36:$IV$36,$B$35:$IV$35=CK$97)),"" "")"),"")</f>
        <v/>
      </c>
      <c r="CL81" s="48" t="str">
        <f>IFERROR(__xludf.DUMMYFUNCTION("IFERROR(TEXTJOIN(""/"",1,FILTER($B$36:$IV$36,$B$35:$IV$35=CL$97)),"" "")")," ")</f>
        <v> </v>
      </c>
      <c r="CM81" s="48" t="str">
        <f>IFERROR(__xludf.DUMMYFUNCTION("IFERROR(TEXTJOIN(""/"",1,FILTER($B$36:$IV$36,$B$35:$IV$35=CM$97)),"" "")")," ")</f>
        <v> </v>
      </c>
      <c r="CN81" s="48" t="str">
        <f>IFERROR(__xludf.DUMMYFUNCTION("IFERROR(TEXTJOIN(""/"",1,FILTER($B$36:$IV$36,$B$35:$IV$35=CN$97)),"" "")")," ")</f>
        <v> </v>
      </c>
      <c r="CO81" s="48" t="str">
        <f>IFERROR(__xludf.DUMMYFUNCTION("IFERROR(TEXTJOIN(""/"",1,FILTER($B$36:$IV$36,$B$35:$IV$35=CO$97)),"" "")")," ")</f>
        <v> </v>
      </c>
      <c r="CP81" s="48" t="str">
        <f>IFERROR(__xludf.DUMMYFUNCTION("IFERROR(TEXTJOIN(""/"",1,FILTER($B$36:$IV$36,$B$35:$IV$35=CP$97)),"" "")")," ")</f>
        <v> </v>
      </c>
      <c r="CQ81" s="48" t="str">
        <f>IFERROR(__xludf.DUMMYFUNCTION("IFERROR(TEXTJOIN(""/"",1,FILTER($B$36:$IV$36,$B$35:$IV$35=CQ$97)),"" "")")," ")</f>
        <v> </v>
      </c>
      <c r="CR81" s="48" t="str">
        <f>IFERROR(__xludf.DUMMYFUNCTION("IFERROR(TEXTJOIN(""/"",1,FILTER($B$36:$IV$36,$B$35:$IV$35=CR$97)),"" "")"),"")</f>
        <v/>
      </c>
      <c r="CS81" s="48" t="str">
        <f>IFERROR(__xludf.DUMMYFUNCTION("IFERROR(TEXTJOIN(""/"",1,FILTER($B$36:$IV$36,$B$35:$IV$35=CS$97)),"" "")")," ")</f>
        <v> </v>
      </c>
      <c r="CT81" s="48" t="str">
        <f>IFERROR(__xludf.DUMMYFUNCTION("IFERROR(TEXTJOIN(""/"",1,FILTER($B$36:$IV$36,$B$35:$IV$35=CT$97)),"" "")")," ")</f>
        <v> </v>
      </c>
      <c r="CU81" s="48" t="str">
        <f>IFERROR(__xludf.DUMMYFUNCTION("IFERROR(TEXTJOIN(""/"",1,FILTER($B$36:$IV$36,$B$35:$IV$35=CU$97)),"" "")")," ")</f>
        <v> </v>
      </c>
      <c r="CV81" s="48" t="str">
        <f>IFERROR(__xludf.DUMMYFUNCTION("IFERROR(TEXTJOIN(""/"",1,FILTER($B$36:$IV$36,$B$35:$IV$35=CV$97)),"" "")")," ")</f>
        <v> </v>
      </c>
      <c r="CW81" s="48" t="str">
        <f>IFERROR(__xludf.DUMMYFUNCTION("IFERROR(TEXTJOIN(""/"",1,FILTER($B$36:$IV$36,$B$35:$IV$35=CW$97)),"" "")")," ")</f>
        <v> </v>
      </c>
      <c r="CX81" s="48" t="str">
        <f>IFERROR(__xludf.DUMMYFUNCTION("IFERROR(TEXTJOIN(""/"",1,FILTER($B$36:$IV$36,$B$35:$IV$35=CX$97)),"" "")")," ")</f>
        <v> </v>
      </c>
      <c r="CY81" s="48" t="str">
        <f>IFERROR(__xludf.DUMMYFUNCTION("IFERROR(TEXTJOIN(""/"",1,FILTER($B$36:$IV$36,$B$35:$IV$35=CY$97)),"" "")"),"5")</f>
        <v>5</v>
      </c>
      <c r="CZ81" s="48" t="str">
        <f>IFERROR(__xludf.DUMMYFUNCTION("IFERROR(TEXTJOIN(""/"",1,FILTER($B$36:$IV$36,$B$35:$IV$35=CZ$97)),"" "")")," ")</f>
        <v> </v>
      </c>
      <c r="DA81" s="48" t="str">
        <f>IFERROR(__xludf.DUMMYFUNCTION("IFERROR(TEXTJOIN(""/"",1,FILTER($B$36:$IV$36,$B$35:$IV$35=DA$97)),"" "")")," ")</f>
        <v> </v>
      </c>
      <c r="DB81" s="48" t="str">
        <f>IFERROR(__xludf.DUMMYFUNCTION("IFERROR(TEXTJOIN(""/"",1,FILTER($B$36:$IV$36,$B$35:$IV$35=DB$97)),"" "")")," ")</f>
        <v> </v>
      </c>
      <c r="DC81" s="48" t="str">
        <f>IFERROR(__xludf.DUMMYFUNCTION("IFERROR(TEXTJOIN(""/"",1,FILTER($B$36:$IV$36,$B$35:$IV$35=DC$97)),"" "")")," ")</f>
        <v> </v>
      </c>
      <c r="DD81" s="48" t="str">
        <f>IFERROR(__xludf.DUMMYFUNCTION("IFERROR(TEXTJOIN(""/"",1,FILTER($B$36:$IV$36,$B$35:$IV$35=DD$97)),"" "")")," ")</f>
        <v> </v>
      </c>
      <c r="DE81" s="48" t="str">
        <f>IFERROR(__xludf.DUMMYFUNCTION("IFERROR(TEXTJOIN(""/"",1,FILTER($B$36:$IV$36,$B$35:$IV$35=DE$97)),"" "")")," ")</f>
        <v> </v>
      </c>
      <c r="DF81" s="48" t="str">
        <f>IFERROR(__xludf.DUMMYFUNCTION("IFERROR(TEXTJOIN(""/"",1,FILTER($B$36:$IV$36,$B$35:$IV$35=DF$97)),"" "")"),"")</f>
        <v/>
      </c>
      <c r="DG81" s="48" t="str">
        <f>IFERROR(__xludf.DUMMYFUNCTION("IFERROR(TEXTJOIN(""/"",1,FILTER($B$36:$IV$36,$B$35:$IV$35=DG$97)),"" "")")," ")</f>
        <v> </v>
      </c>
      <c r="DH81" s="48" t="str">
        <f>IFERROR(__xludf.DUMMYFUNCTION("IFERROR(TEXTJOIN(""/"",1,FILTER($B$36:$IV$36,$B$35:$IV$35=DH$97)),"" "")")," ")</f>
        <v> </v>
      </c>
      <c r="DI81" s="48" t="str">
        <f>IFERROR(__xludf.DUMMYFUNCTION("IFERROR(TEXTJOIN(""/"",1,FILTER($B$36:$IV$36,$B$35:$IV$35=DI$97)),"" "")")," ")</f>
        <v> </v>
      </c>
      <c r="DJ81" s="48" t="str">
        <f>IFERROR(__xludf.DUMMYFUNCTION("IFERROR(TEXTJOIN(""/"",1,FILTER($B$36:$IV$36,$B$35:$IV$35=DJ$97)),"" "")")," ")</f>
        <v> </v>
      </c>
      <c r="DK81" s="48" t="str">
        <f>IFERROR(__xludf.DUMMYFUNCTION("IFERROR(TEXTJOIN(""/"",1,FILTER($B$36:$IV$36,$B$35:$IV$35=DK$97)),"" "")")," ")</f>
        <v> </v>
      </c>
      <c r="DL81" s="48" t="str">
        <f>IFERROR(__xludf.DUMMYFUNCTION("IFERROR(TEXTJOIN(""/"",1,FILTER($B$36:$IV$36,$B$35:$IV$35=DL$97)),"" "")")," ")</f>
        <v> </v>
      </c>
      <c r="DM81" s="48" t="str">
        <f>IFERROR(__xludf.DUMMYFUNCTION("IFERROR(TEXTJOIN(""/"",1,FILTER($B$36:$IV$36,$B$35:$IV$35=DM$97)),"" "")"),"5")</f>
        <v>5</v>
      </c>
      <c r="DN81" s="48" t="str">
        <f>IFERROR(__xludf.DUMMYFUNCTION("IFERROR(TEXTJOIN(""/"",1,FILTER($B$36:$IV$36,$B$35:$IV$35=DN$97)),"" "")")," ")</f>
        <v> </v>
      </c>
      <c r="DO81" s="48" t="str">
        <f>IFERROR(__xludf.DUMMYFUNCTION("IFERROR(TEXTJOIN(""/"",1,FILTER($B$36:$IV$36,$B$35:$IV$35=DO$97)),"" "")")," ")</f>
        <v> </v>
      </c>
      <c r="DP81" s="48" t="str">
        <f>IFERROR(__xludf.DUMMYFUNCTION("IFERROR(TEXTJOIN(""/"",1,FILTER($B$36:$IV$36,$B$35:$IV$35=DP$97)),"" "")")," ")</f>
        <v> </v>
      </c>
      <c r="DQ81" s="48" t="str">
        <f>IFERROR(__xludf.DUMMYFUNCTION("IFERROR(TEXTJOIN(""/"",1,FILTER($B$36:$IV$36,$B$35:$IV$35=DQ$97)),"" "")")," ")</f>
        <v> </v>
      </c>
      <c r="DR81" s="48" t="str">
        <f>IFERROR(__xludf.DUMMYFUNCTION("IFERROR(TEXTJOIN(""/"",1,FILTER($B$36:$IV$36,$B$35:$IV$35=DR$97)),"" "")")," ")</f>
        <v> </v>
      </c>
      <c r="DS81" s="48" t="str">
        <f>IFERROR(__xludf.DUMMYFUNCTION("IFERROR(TEXTJOIN(""/"",1,FILTER($B$36:$IV$36,$B$35:$IV$35=DS$97)),"" "")")," ")</f>
        <v> </v>
      </c>
      <c r="DT81" s="48" t="str">
        <f>IFERROR(__xludf.DUMMYFUNCTION("IFERROR(TEXTJOIN(""/"",1,FILTER($B$36:$IV$36,$B$35:$IV$35=DT$97)),"" "")")," ")</f>
        <v> </v>
      </c>
      <c r="DU81" s="48" t="str">
        <f>IFERROR(__xludf.DUMMYFUNCTION("IFERROR(TEXTJOIN(""/"",1,FILTER($B$36:$IV$36,$B$35:$IV$35=DU$97)),"" "")")," ")</f>
        <v> </v>
      </c>
      <c r="DV81" s="48" t="str">
        <f>IFERROR(__xludf.DUMMYFUNCTION("IFERROR(TEXTJOIN(""/"",1,FILTER($B$36:$IV$36,$B$35:$IV$35=DV$97)),"" "")")," ")</f>
        <v> </v>
      </c>
      <c r="DW81" s="48" t="str">
        <f>IFERROR(__xludf.DUMMYFUNCTION("IFERROR(TEXTJOIN(""/"",1,FILTER($B$36:$IV$36,$B$35:$IV$35=DW$97)),"" "")")," ")</f>
        <v> </v>
      </c>
      <c r="DX81" s="48" t="str">
        <f>IFERROR(__xludf.DUMMYFUNCTION("IFERROR(TEXTJOIN(""/"",1,FILTER($B$36:$IV$36,$B$35:$IV$35=DX$97)),"" "")")," ")</f>
        <v> </v>
      </c>
      <c r="DY81" s="48" t="str">
        <f>IFERROR(__xludf.DUMMYFUNCTION("IFERROR(TEXTJOIN(""/"",1,FILTER($B$36:$IV$36,$B$35:$IV$35=DY$97)),"" "")")," ")</f>
        <v> </v>
      </c>
      <c r="DZ81" s="48" t="str">
        <f>IFERROR(__xludf.DUMMYFUNCTION("IFERROR(TEXTJOIN(""/"",1,FILTER($B$36:$IV$36,$B$35:$IV$35=DZ$97)),"" "")")," ")</f>
        <v> </v>
      </c>
      <c r="EA81" s="48" t="str">
        <f>IFERROR(__xludf.DUMMYFUNCTION("IFERROR(TEXTJOIN(""/"",1,FILTER($B$36:$IV$36,$B$35:$IV$35=EA$97)),"" "")")," ")</f>
        <v> </v>
      </c>
      <c r="EB81" s="48" t="str">
        <f>IFERROR(__xludf.DUMMYFUNCTION("IFERROR(TEXTJOIN(""/"",1,FILTER($B$36:$IV$36,$B$35:$IV$35=EB$97)),"" "")")," ")</f>
        <v> </v>
      </c>
      <c r="EC81" s="48" t="str">
        <f>IFERROR(__xludf.DUMMYFUNCTION("IFERROR(TEXTJOIN(""/"",1,FILTER($B$36:$IV$36,$B$35:$IV$35=EC$97)),"" "")")," ")</f>
        <v> </v>
      </c>
      <c r="ED81" s="48" t="str">
        <f>IFERROR(__xludf.DUMMYFUNCTION("IFERROR(TEXTJOIN(""/"",1,FILTER($B$36:$IV$36,$B$35:$IV$35=ED$97)),"" "")"),"")</f>
        <v/>
      </c>
      <c r="EE81" s="48" t="str">
        <f>IFERROR(__xludf.DUMMYFUNCTION("IFERROR(TEXTJOIN(""/"",1,FILTER($B$36:$IV$36,$B$35:$IV$35=EE$97)),"" "")")," ")</f>
        <v> </v>
      </c>
      <c r="EF81" s="48" t="str">
        <f>IFERROR(__xludf.DUMMYFUNCTION("IFERROR(TEXTJOIN(""/"",1,FILTER($B$36:$IV$36,$B$35:$IV$35=EF$97)),"" "")")," ")</f>
        <v> </v>
      </c>
      <c r="EG81" s="48" t="str">
        <f>IFERROR(__xludf.DUMMYFUNCTION("IFERROR(TEXTJOIN(""/"",1,FILTER($B$36:$IV$36,$B$35:$IV$35=EG$97)),"" "")")," ")</f>
        <v> </v>
      </c>
      <c r="EH81" s="48" t="str">
        <f>IFERROR(__xludf.DUMMYFUNCTION("IFERROR(TEXTJOIN(""/"",1,FILTER($B$36:$IV$36,$B$35:$IV$35=EH$97)),"" "")")," ")</f>
        <v> </v>
      </c>
      <c r="EI81" s="48" t="str">
        <f>IFERROR(__xludf.DUMMYFUNCTION("IFERROR(TEXTJOIN(""/"",1,FILTER($B$36:$IV$36,$B$35:$IV$35=EI$97)),"" "")")," ")</f>
        <v> </v>
      </c>
      <c r="EJ81" s="48" t="str">
        <f>IFERROR(__xludf.DUMMYFUNCTION("IFERROR(TEXTJOIN(""/"",1,FILTER($B$36:$IV$36,$B$35:$IV$35=EJ$97)),"" "")")," ")</f>
        <v> </v>
      </c>
      <c r="EK81" s="48" t="str">
        <f>IFERROR(__xludf.DUMMYFUNCTION("IFERROR(TEXTJOIN(""/"",1,FILTER($B$36:$IV$36,$B$35:$IV$35=EK$97)),"" "")")," ")</f>
        <v> </v>
      </c>
      <c r="EL81" s="48" t="str">
        <f>IFERROR(__xludf.DUMMYFUNCTION("IFERROR(TEXTJOIN(""/"",1,FILTER($B$36:$IV$36,$B$35:$IV$35=EL$97)),"" "")")," ")</f>
        <v> </v>
      </c>
      <c r="EM81" s="48" t="str">
        <f>IFERROR(__xludf.DUMMYFUNCTION("IFERROR(TEXTJOIN(""/"",1,FILTER($B$36:$IV$36,$B$35:$IV$35=EM$97)),"" "")")," ")</f>
        <v> </v>
      </c>
      <c r="EN81" s="48" t="str">
        <f>IFERROR(__xludf.DUMMYFUNCTION("IFERROR(TEXTJOIN(""/"",1,FILTER($B$36:$IV$36,$B$35:$IV$35=EN$97)),"" "")")," ")</f>
        <v> </v>
      </c>
      <c r="EO81" s="48" t="str">
        <f>IFERROR(__xludf.DUMMYFUNCTION("IFERROR(TEXTJOIN(""/"",1,FILTER($B$36:$IV$36,$B$35:$IV$35=EO$97)),"" "")")," ")</f>
        <v> </v>
      </c>
      <c r="EP81" s="48" t="str">
        <f>IFERROR(__xludf.DUMMYFUNCTION("IFERROR(TEXTJOIN(""/"",1,FILTER($B$36:$IV$36,$B$35:$IV$35=EP$97)),"" "")")," ")</f>
        <v> </v>
      </c>
      <c r="EQ81" s="48" t="str">
        <f>IFERROR(__xludf.DUMMYFUNCTION("IFERROR(TEXTJOIN(""/"",1,FILTER($B$36:$IV$36,$B$35:$IV$35=EQ$97)),"" "")")," ")</f>
        <v> </v>
      </c>
      <c r="ER81" s="48" t="str">
        <f>IFERROR(__xludf.DUMMYFUNCTION("IFERROR(TEXTJOIN(""/"",1,FILTER($B$36:$IV$36,$B$35:$IV$35=ER$97)),"" "")")," ")</f>
        <v> </v>
      </c>
      <c r="ES81" s="48" t="str">
        <f>IFERROR(__xludf.DUMMYFUNCTION("IFERROR(TEXTJOIN(""/"",1,FILTER($B$36:$IV$36,$B$35:$IV$35=ES$97)),"" "")")," ")</f>
        <v> </v>
      </c>
      <c r="ET81" s="48" t="str">
        <f>IFERROR(__xludf.DUMMYFUNCTION("IFERROR(TEXTJOIN(""/"",1,FILTER($B$36:$IV$36,$B$35:$IV$35=ET$97)),"" "")")," ")</f>
        <v> </v>
      </c>
      <c r="EU81" s="48" t="str">
        <f>IFERROR(__xludf.DUMMYFUNCTION("IFERROR(TEXTJOIN(""/"",1,FILTER($B$36:$IV$36,$B$35:$IV$35=EU$97)),"" "")")," ")</f>
        <v> </v>
      </c>
      <c r="EV81" s="48" t="str">
        <f>IFERROR(__xludf.DUMMYFUNCTION("IFERROR(TEXTJOIN(""/"",1,FILTER($B$36:$IV$36,$B$35:$IV$35=EV$97)),"" "")")," ")</f>
        <v> </v>
      </c>
      <c r="EW81" s="48" t="str">
        <f>IFERROR(__xludf.DUMMYFUNCTION("IFERROR(TEXTJOIN(""/"",1,FILTER($B$36:$IV$36,$B$35:$IV$35=EW$97)),"" "")")," ")</f>
        <v> </v>
      </c>
      <c r="EX81" s="48" t="str">
        <f>IFERROR(__xludf.DUMMYFUNCTION("IFERROR(TEXTJOIN(""/"",1,FILTER($B$36:$IV$36,$B$35:$IV$35=EX$97)),"" "")")," ")</f>
        <v> </v>
      </c>
      <c r="EY81" s="48" t="str">
        <f>IFERROR(__xludf.DUMMYFUNCTION("IFERROR(TEXTJOIN(""/"",1,FILTER($B$36:$IV$36,$B$35:$IV$35=EY$97)),"" "")")," ")</f>
        <v> </v>
      </c>
      <c r="EZ81" s="48" t="str">
        <f>IFERROR(__xludf.DUMMYFUNCTION("IFERROR(TEXTJOIN(""/"",1,FILTER($B$36:$IV$36,$B$35:$IV$35=EZ$97)),"" "")")," ")</f>
        <v> </v>
      </c>
      <c r="FA81" s="48" t="str">
        <f>IFERROR(__xludf.DUMMYFUNCTION("IFERROR(TEXTJOIN(""/"",1,FILTER($B$36:$IV$36,$B$35:$IV$35=FA$97)),"" "")")," ")</f>
        <v> </v>
      </c>
      <c r="FB81" s="48" t="str">
        <f>IFERROR(__xludf.DUMMYFUNCTION("IFERROR(TEXTJOIN(""/"",1,FILTER($B$36:$IV$36,$B$35:$IV$35=FB$97)),"" "")")," ")</f>
        <v> </v>
      </c>
      <c r="FC81" s="48" t="str">
        <f>IFERROR(__xludf.DUMMYFUNCTION("IFERROR(TEXTJOIN(""/"",1,FILTER($B$36:$IV$36,$B$35:$IV$35=FC$97)),"" "")")," ")</f>
        <v> </v>
      </c>
      <c r="FD81" s="48" t="str">
        <f>IFERROR(__xludf.DUMMYFUNCTION("IFERROR(TEXTJOIN(""/"",1,FILTER($B$36:$IV$36,$B$35:$IV$35=FD$97)),"" "")")," ")</f>
        <v> </v>
      </c>
      <c r="FE81" s="48" t="str">
        <f>IFERROR(__xludf.DUMMYFUNCTION("IFERROR(TEXTJOIN(""/"",1,FILTER($B$36:$IV$36,$B$35:$IV$35=FE$97)),"" "")")," ")</f>
        <v> </v>
      </c>
      <c r="FF81" s="48" t="str">
        <f>IFERROR(__xludf.DUMMYFUNCTION("IFERROR(TEXTJOIN(""/"",1,FILTER($B$36:$IV$36,$B$35:$IV$35=FF$97)),"" "")")," ")</f>
        <v> </v>
      </c>
      <c r="FG81" s="48" t="str">
        <f>IFERROR(__xludf.DUMMYFUNCTION("IFERROR(TEXTJOIN(""/"",1,FILTER($B$36:$IV$36,$B$35:$IV$35=FG$97)),"" "")")," ")</f>
        <v> </v>
      </c>
      <c r="FH81" s="48" t="str">
        <f>IFERROR(__xludf.DUMMYFUNCTION("IFERROR(TEXTJOIN(""/"",1,FILTER($B$36:$IV$36,$B$35:$IV$35=FH$97)),"" "")")," ")</f>
        <v> </v>
      </c>
      <c r="FI81" s="48" t="str">
        <f>IFERROR(__xludf.DUMMYFUNCTION("IFERROR(TEXTJOIN(""/"",1,FILTER($B$36:$IV$36,$B$35:$IV$35=FI$97)),"" "")")," ")</f>
        <v> </v>
      </c>
      <c r="FJ81" s="48" t="str">
        <f>IFERROR(__xludf.DUMMYFUNCTION("IFERROR(TEXTJOIN(""/"",1,FILTER($B$36:$IV$36,$B$35:$IV$35=FJ$97)),"" "")")," ")</f>
        <v> </v>
      </c>
      <c r="FK81" s="48" t="str">
        <f>IFERROR(__xludf.DUMMYFUNCTION("IFERROR(TEXTJOIN(""/"",1,FILTER($B$36:$IV$36,$B$35:$IV$35=FK$97)),"" "")")," ")</f>
        <v> </v>
      </c>
      <c r="FL81" s="48" t="str">
        <f>IFERROR(__xludf.DUMMYFUNCTION("IFERROR(TEXTJOIN(""/"",1,FILTER($B$36:$IV$36,$B$35:$IV$35=FL$97)),"" "")")," ")</f>
        <v> </v>
      </c>
      <c r="FM81" s="48" t="str">
        <f>IFERROR(__xludf.DUMMYFUNCTION("IFERROR(TEXTJOIN(""/"",1,FILTER($B$36:$IV$36,$B$35:$IV$35=FM$97)),"" "")")," ")</f>
        <v> </v>
      </c>
      <c r="FN81" s="48" t="str">
        <f>IFERROR(__xludf.DUMMYFUNCTION("IFERROR(TEXTJOIN(""/"",1,FILTER($B$36:$IV$36,$B$35:$IV$35=FN$97)),"" "")")," ")</f>
        <v> </v>
      </c>
      <c r="FO81" s="48" t="str">
        <f>IFERROR(__xludf.DUMMYFUNCTION("IFERROR(TEXTJOIN(""/"",1,FILTER($B$36:$IV$36,$B$35:$IV$35=FO$97)),"" "")")," ")</f>
        <v> </v>
      </c>
      <c r="FP81" s="48" t="str">
        <f>IFERROR(__xludf.DUMMYFUNCTION("IFERROR(TEXTJOIN(""/"",1,FILTER($B$36:$IV$36,$B$35:$IV$35=FP$97)),"" "")")," ")</f>
        <v> </v>
      </c>
      <c r="FQ81" s="48" t="str">
        <f>IFERROR(__xludf.DUMMYFUNCTION("IFERROR(TEXTJOIN(""/"",1,FILTER($B$36:$IV$36,$B$35:$IV$35=FQ$97)),"" "")")," ")</f>
        <v> </v>
      </c>
      <c r="FR81" s="48" t="str">
        <f>IFERROR(__xludf.DUMMYFUNCTION("IFERROR(TEXTJOIN(""/"",1,FILTER($B$36:$IV$36,$B$35:$IV$35=FR$97)),"" "")")," ")</f>
        <v> </v>
      </c>
      <c r="FS81" s="48" t="str">
        <f>IFERROR(__xludf.DUMMYFUNCTION("IFERROR(TEXTJOIN(""/"",1,FILTER($B$36:$IV$36,$B$35:$IV$35=FS$97)),"" "")")," ")</f>
        <v> </v>
      </c>
      <c r="FT81" s="48" t="str">
        <f>IFERROR(__xludf.DUMMYFUNCTION("IFERROR(TEXTJOIN(""/"",1,FILTER($B$36:$IV$36,$B$35:$IV$35=FT$97)),"" "")")," ")</f>
        <v> </v>
      </c>
      <c r="FU81" s="48" t="str">
        <f>IFERROR(__xludf.DUMMYFUNCTION("IFERROR(TEXTJOIN(""/"",1,FILTER($B$36:$IV$36,$B$35:$IV$35=FU$97)),"" "")")," ")</f>
        <v> </v>
      </c>
      <c r="FV81" s="48" t="str">
        <f>IFERROR(__xludf.DUMMYFUNCTION("IFERROR(TEXTJOIN(""/"",1,FILTER($B$36:$IV$36,$B$35:$IV$35=FV$97)),"" "")")," ")</f>
        <v> </v>
      </c>
      <c r="FW81" s="48" t="str">
        <f>IFERROR(__xludf.DUMMYFUNCTION("IFERROR(TEXTJOIN(""/"",1,FILTER($B$36:$IV$36,$B$35:$IV$35=FW$97)),"" "")")," ")</f>
        <v> </v>
      </c>
      <c r="FX81" s="48" t="str">
        <f>IFERROR(__xludf.DUMMYFUNCTION("IFERROR(TEXTJOIN(""/"",1,FILTER($B$36:$IV$36,$B$35:$IV$35=FX$97)),"" "")")," ")</f>
        <v> </v>
      </c>
      <c r="FY81" s="48" t="str">
        <f>IFERROR(__xludf.DUMMYFUNCTION("IFERROR(TEXTJOIN(""/"",1,FILTER($B$36:$IV$36,$B$35:$IV$35=FY$97)),"" "")")," ")</f>
        <v> </v>
      </c>
      <c r="FZ81" s="48" t="str">
        <f>IFERROR(__xludf.DUMMYFUNCTION("IFERROR(TEXTJOIN(""/"",1,FILTER($B$36:$IV$36,$B$35:$IV$35=FZ$97)),"" "")")," ")</f>
        <v> </v>
      </c>
      <c r="GA81" s="48" t="str">
        <f>IFERROR(__xludf.DUMMYFUNCTION("IFERROR(TEXTJOIN(""/"",1,FILTER($B$36:$IV$36,$B$35:$IV$35=GA$97)),"" "")")," ")</f>
        <v> </v>
      </c>
      <c r="GB81" s="48" t="str">
        <f>IFERROR(__xludf.DUMMYFUNCTION("IFERROR(TEXTJOIN(""/"",1,FILTER($B$36:$IV$36,$B$35:$IV$35=GB$97)),"" "")")," ")</f>
        <v> </v>
      </c>
      <c r="GC81" s="48" t="str">
        <f>IFERROR(__xludf.DUMMYFUNCTION("IFERROR(TEXTJOIN(""/"",1,FILTER($B$36:$IV$36,$B$35:$IV$35=GC$97)),"" "")")," ")</f>
        <v> </v>
      </c>
      <c r="GD81" s="48" t="str">
        <f>IFERROR(__xludf.DUMMYFUNCTION("IFERROR(TEXTJOIN(""/"",1,FILTER($B$36:$IV$36,$B$35:$IV$35=GD$97)),"" "")")," ")</f>
        <v> </v>
      </c>
      <c r="GE81" s="48" t="str">
        <f>IFERROR(__xludf.DUMMYFUNCTION("IFERROR(TEXTJOIN(""/"",1,FILTER($B$36:$IV$36,$B$35:$IV$35=GE$97)),"" "")")," ")</f>
        <v> </v>
      </c>
      <c r="GF81" s="48" t="str">
        <f>IFERROR(__xludf.DUMMYFUNCTION("IFERROR(TEXTJOIN(""/"",1,FILTER($B$36:$IV$36,$B$35:$IV$35=GF$97)),"" "")")," ")</f>
        <v> </v>
      </c>
      <c r="GG81" s="48" t="str">
        <f>IFERROR(__xludf.DUMMYFUNCTION("IFERROR(TEXTJOIN(""/"",1,FILTER($B$36:$IV$36,$B$35:$IV$35=GG$97)),"" "")")," ")</f>
        <v> </v>
      </c>
      <c r="GH81" s="48" t="str">
        <f>IFERROR(__xludf.DUMMYFUNCTION("IFERROR(TEXTJOIN(""/"",1,FILTER($B$36:$IV$36,$B$35:$IV$35=GH$97)),"" "")")," ")</f>
        <v> </v>
      </c>
      <c r="GI81" s="48" t="str">
        <f>IFERROR(__xludf.DUMMYFUNCTION("IFERROR(TEXTJOIN(""/"",1,FILTER($B$36:$IV$36,$B$35:$IV$35=GI$97)),"" "")")," ")</f>
        <v> </v>
      </c>
      <c r="GJ81" s="48" t="str">
        <f>IFERROR(__xludf.DUMMYFUNCTION("IFERROR(TEXTJOIN(""/"",1,FILTER($B$36:$IV$36,$B$35:$IV$35=GJ$97)),"" "")")," ")</f>
        <v> </v>
      </c>
      <c r="GK81" s="48" t="str">
        <f>IFERROR(__xludf.DUMMYFUNCTION("IFERROR(TEXTJOIN(""/"",1,FILTER($B$36:$IV$36,$B$35:$IV$35=GK$97)),"" "")")," ")</f>
        <v> </v>
      </c>
      <c r="GL81" s="48" t="str">
        <f>IFERROR(__xludf.DUMMYFUNCTION("IFERROR(TEXTJOIN(""/"",1,FILTER($B$36:$IV$36,$B$35:$IV$35=GL$97)),"" "")")," ")</f>
        <v> </v>
      </c>
      <c r="GM81" s="48" t="str">
        <f>IFERROR(__xludf.DUMMYFUNCTION("IFERROR(TEXTJOIN(""/"",1,FILTER($B$36:$IV$36,$B$35:$IV$35=GM$97)),"" "")")," ")</f>
        <v> </v>
      </c>
      <c r="GN81" s="48" t="str">
        <f>IFERROR(__xludf.DUMMYFUNCTION("IFERROR(TEXTJOIN(""/"",1,FILTER($B$36:$IV$36,$B$35:$IV$35=GN$97)),"" "")")," ")</f>
        <v> </v>
      </c>
      <c r="GO81" s="48" t="str">
        <f>IFERROR(__xludf.DUMMYFUNCTION("IFERROR(TEXTJOIN(""/"",1,FILTER($B$36:$IV$36,$B$35:$IV$35=GO$97)),"" "")")," ")</f>
        <v> </v>
      </c>
      <c r="GP81" s="48" t="str">
        <f>IFERROR(__xludf.DUMMYFUNCTION("IFERROR(TEXTJOIN(""/"",1,FILTER($B$36:$IV$36,$B$35:$IV$35=GP$97)),"" "")")," ")</f>
        <v> </v>
      </c>
      <c r="GQ81" s="48" t="str">
        <f>IFERROR(__xludf.DUMMYFUNCTION("IFERROR(TEXTJOIN(""/"",1,FILTER($B$36:$IV$36,$B$35:$IV$35=GQ$97)),"" "")")," ")</f>
        <v> </v>
      </c>
      <c r="GR81" s="48" t="str">
        <f>IFERROR(__xludf.DUMMYFUNCTION("IFERROR(TEXTJOIN(""/"",1,FILTER($B$36:$IV$36,$B$35:$IV$35=GR$97)),"" "")")," ")</f>
        <v> </v>
      </c>
      <c r="GS81" s="48" t="str">
        <f>IFERROR(__xludf.DUMMYFUNCTION("IFERROR(TEXTJOIN(""/"",1,FILTER($B$36:$IV$36,$B$35:$IV$35=GS$97)),"" "")")," ")</f>
        <v> </v>
      </c>
      <c r="GT81" s="48" t="str">
        <f>IFERROR(__xludf.DUMMYFUNCTION("IFERROR(TEXTJOIN(""/"",1,FILTER($B$36:$IV$36,$B$35:$IV$35=GT$97)),"" "")")," ")</f>
        <v> </v>
      </c>
      <c r="GU81" s="48" t="str">
        <f>IFERROR(__xludf.DUMMYFUNCTION("IFERROR(TEXTJOIN(""/"",1,FILTER($B$36:$IV$36,$B$35:$IV$35=GU$97)),"" "")")," ")</f>
        <v> </v>
      </c>
      <c r="GV81" s="48" t="str">
        <f>IFERROR(__xludf.DUMMYFUNCTION("IFERROR(TEXTJOIN(""/"",1,FILTER($B$36:$IV$36,$B$35:$IV$35=GV$97)),"" "")")," ")</f>
        <v> </v>
      </c>
      <c r="GW81" s="48" t="str">
        <f>IFERROR(__xludf.DUMMYFUNCTION("IFERROR(TEXTJOIN(""/"",1,FILTER($B$36:$IV$36,$B$35:$IV$35=GW$97)),"" "")")," ")</f>
        <v> </v>
      </c>
      <c r="GX81" s="48" t="str">
        <f>IFERROR(__xludf.DUMMYFUNCTION("IFERROR(TEXTJOIN(""/"",1,FILTER($B$36:$IV$36,$B$35:$IV$35=GX$97)),"" "")")," ")</f>
        <v> </v>
      </c>
      <c r="GY81" s="48" t="str">
        <f>IFERROR(__xludf.DUMMYFUNCTION("IFERROR(TEXTJOIN(""/"",1,FILTER($B$36:$IV$36,$B$35:$IV$35=GY$97)),"" "")")," ")</f>
        <v> </v>
      </c>
      <c r="GZ81" s="48" t="str">
        <f>IFERROR(__xludf.DUMMYFUNCTION("IFERROR(TEXTJOIN(""/"",1,FILTER($B$36:$IV$36,$B$35:$IV$35=GZ$97)),"" "")")," ")</f>
        <v> </v>
      </c>
      <c r="HA81" s="48" t="str">
        <f>IFERROR(__xludf.DUMMYFUNCTION("IFERROR(TEXTJOIN(""/"",1,FILTER($B$36:$IV$36,$B$35:$IV$35=HA$97)),"" "")")," ")</f>
        <v> </v>
      </c>
      <c r="HB81" s="48" t="str">
        <f>IFERROR(__xludf.DUMMYFUNCTION("IFERROR(TEXTJOIN(""/"",1,FILTER($B$36:$IV$36,$B$35:$IV$35=HB$97)),"" "")")," ")</f>
        <v> </v>
      </c>
      <c r="HC81" s="48" t="str">
        <f>IFERROR(__xludf.DUMMYFUNCTION("IFERROR(TEXTJOIN(""/"",1,FILTER($B$36:$IV$36,$B$35:$IV$35=HC$97)),"" "")")," ")</f>
        <v> </v>
      </c>
      <c r="HD81" s="48" t="str">
        <f>IFERROR(__xludf.DUMMYFUNCTION("IFERROR(TEXTJOIN(""/"",1,FILTER($B$36:$IV$36,$B$35:$IV$35=HD$97)),"" "")")," ")</f>
        <v> </v>
      </c>
      <c r="HE81" s="48" t="str">
        <f>IFERROR(__xludf.DUMMYFUNCTION("IFERROR(TEXTJOIN(""/"",1,FILTER($B$36:$IV$36,$B$35:$IV$35=HE$97)),"" "")")," ")</f>
        <v> </v>
      </c>
      <c r="HF81" s="48" t="str">
        <f>IFERROR(__xludf.DUMMYFUNCTION("IFERROR(TEXTJOIN(""/"",1,FILTER($B$36:$IV$36,$B$35:$IV$35=HF$97)),"" "")")," ")</f>
        <v> </v>
      </c>
      <c r="HG81" s="48" t="str">
        <f>IFERROR(__xludf.DUMMYFUNCTION("IFERROR(TEXTJOIN(""/"",1,FILTER($B$36:$IV$36,$B$35:$IV$35=HG$97)),"" "")")," ")</f>
        <v> </v>
      </c>
      <c r="HH81" s="48" t="str">
        <f>IFERROR(__xludf.DUMMYFUNCTION("IFERROR(TEXTJOIN(""/"",1,FILTER($B$36:$IV$36,$B$35:$IV$35=HH$97)),"" "")")," ")</f>
        <v> </v>
      </c>
      <c r="HI81" s="48" t="str">
        <f>IFERROR(__xludf.DUMMYFUNCTION("IFERROR(TEXTJOIN(""/"",1,FILTER($B$36:$IV$36,$B$35:$IV$35=HI$97)),"" "")")," ")</f>
        <v> </v>
      </c>
      <c r="HJ81" s="48" t="str">
        <f>IFERROR(__xludf.DUMMYFUNCTION("IFERROR(TEXTJOIN(""/"",1,FILTER($B$36:$IV$36,$B$35:$IV$35=HJ$97)),"" "")")," ")</f>
        <v> </v>
      </c>
      <c r="HK81" s="48" t="str">
        <f>IFERROR(__xludf.DUMMYFUNCTION("IFERROR(TEXTJOIN(""/"",1,FILTER($B$36:$IV$36,$B$35:$IV$35=HK$97)),"" "")")," ")</f>
        <v> </v>
      </c>
      <c r="HL81" s="48" t="str">
        <f>IFERROR(__xludf.DUMMYFUNCTION("IFERROR(TEXTJOIN(""/"",1,FILTER($B$36:$IV$36,$B$35:$IV$35=HL$97)),"" "")")," ")</f>
        <v> </v>
      </c>
      <c r="HM81" s="48" t="str">
        <f>IFERROR(__xludf.DUMMYFUNCTION("IFERROR(TEXTJOIN(""/"",1,FILTER($B$36:$IV$36,$B$35:$IV$35=HM$97)),"" "")")," ")</f>
        <v> </v>
      </c>
      <c r="HN81" s="48" t="str">
        <f>IFERROR(__xludf.DUMMYFUNCTION("IFERROR(TEXTJOIN(""/"",1,FILTER($B$36:$IV$36,$B$35:$IV$35=HN$97)),"" "")")," ")</f>
        <v> </v>
      </c>
      <c r="HO81" s="48" t="str">
        <f>IFERROR(__xludf.DUMMYFUNCTION("IFERROR(TEXTJOIN(""/"",1,FILTER($B$36:$IV$36,$B$35:$IV$35=HO$97)),"" "")")," ")</f>
        <v> </v>
      </c>
      <c r="HP81" s="48" t="str">
        <f>IFERROR(__xludf.DUMMYFUNCTION("IFERROR(TEXTJOIN(""/"",1,FILTER($B$36:$IV$36,$B$35:$IV$35=HP$97)),"" "")")," ")</f>
        <v> </v>
      </c>
      <c r="HQ81" s="48" t="str">
        <f>IFERROR(__xludf.DUMMYFUNCTION("IFERROR(TEXTJOIN(""/"",1,FILTER($B$36:$IV$36,$B$35:$IV$35=HQ$97)),"" "")")," ")</f>
        <v> </v>
      </c>
      <c r="HR81" s="48" t="str">
        <f>IFERROR(__xludf.DUMMYFUNCTION("IFERROR(TEXTJOIN(""/"",1,FILTER($B$36:$IV$36,$B$35:$IV$35=HR$97)),"" "")")," ")</f>
        <v> </v>
      </c>
      <c r="HS81" s="48" t="str">
        <f>IFERROR(__xludf.DUMMYFUNCTION("IFERROR(TEXTJOIN(""/"",1,FILTER($B$36:$IV$36,$B$35:$IV$35=HS$97)),"" "")")," ")</f>
        <v> </v>
      </c>
      <c r="HT81" s="48" t="str">
        <f>IFERROR(__xludf.DUMMYFUNCTION("IFERROR(TEXTJOIN(""/"",1,FILTER($B$36:$IV$36,$B$35:$IV$35=HT$97)),"" "")")," ")</f>
        <v> </v>
      </c>
      <c r="HU81" s="48" t="str">
        <f>IFERROR(__xludf.DUMMYFUNCTION("IFERROR(TEXTJOIN(""/"",1,FILTER($B$36:$IV$36,$B$35:$IV$35=HU$97)),"" "")")," ")</f>
        <v> </v>
      </c>
      <c r="HV81" s="48" t="str">
        <f>IFERROR(__xludf.DUMMYFUNCTION("IFERROR(TEXTJOIN(""/"",1,FILTER($B$36:$IV$36,$B$35:$IV$35=HV$97)),"" "")")," ")</f>
        <v> </v>
      </c>
      <c r="HW81" s="48" t="str">
        <f>IFERROR(__xludf.DUMMYFUNCTION("IFERROR(TEXTJOIN(""/"",1,FILTER($B$36:$IV$36,$B$35:$IV$35=HW$97)),"" "")")," ")</f>
        <v> </v>
      </c>
      <c r="HX81" s="48" t="str">
        <f>IFERROR(__xludf.DUMMYFUNCTION("IFERROR(TEXTJOIN(""/"",1,FILTER($B$36:$IV$36,$B$35:$IV$35=HX$97)),"" "")")," ")</f>
        <v> </v>
      </c>
      <c r="HY81" s="48" t="str">
        <f>IFERROR(__xludf.DUMMYFUNCTION("IFERROR(TEXTJOIN(""/"",1,FILTER($B$36:$IV$36,$B$35:$IV$35=HY$97)),"" "")")," ")</f>
        <v> </v>
      </c>
      <c r="HZ81" s="48" t="str">
        <f>IFERROR(__xludf.DUMMYFUNCTION("IFERROR(TEXTJOIN(""/"",1,FILTER($B$36:$IV$36,$B$35:$IV$35=HZ$97)),"" "")")," ")</f>
        <v> </v>
      </c>
      <c r="IA81" s="48" t="str">
        <f>IFERROR(__xludf.DUMMYFUNCTION("IFERROR(TEXTJOIN(""/"",1,FILTER($B$36:$IV$36,$B$35:$IV$35=IA$97)),"" "")")," ")</f>
        <v> </v>
      </c>
      <c r="IB81" s="48" t="str">
        <f>IFERROR(__xludf.DUMMYFUNCTION("IFERROR(TEXTJOIN(""/"",1,FILTER($B$36:$IV$36,$B$35:$IV$35=IB$97)),"" "")")," ")</f>
        <v> </v>
      </c>
      <c r="IC81" s="48" t="str">
        <f>IFERROR(__xludf.DUMMYFUNCTION("IFERROR(TEXTJOIN(""/"",1,FILTER($B$36:$IV$36,$B$35:$IV$35=IC$97)),"" "")")," ")</f>
        <v> </v>
      </c>
      <c r="ID81" s="48" t="str">
        <f>IFERROR(__xludf.DUMMYFUNCTION("IFERROR(TEXTJOIN(""/"",1,FILTER($B$36:$IV$36,$B$35:$IV$35=ID$97)),"" "")")," ")</f>
        <v> </v>
      </c>
      <c r="IE81" s="48" t="str">
        <f>IFERROR(__xludf.DUMMYFUNCTION("IFERROR(TEXTJOIN(""/"",1,FILTER($B$36:$IV$36,$B$35:$IV$35=IE$97)),"" "")")," ")</f>
        <v> </v>
      </c>
      <c r="IF81" s="48" t="str">
        <f>IFERROR(__xludf.DUMMYFUNCTION("IFERROR(TEXTJOIN(""/"",1,FILTER($B$36:$IV$36,$B$35:$IV$35=IF$97)),"" "")")," ")</f>
        <v> </v>
      </c>
      <c r="IG81" s="48" t="str">
        <f>IFERROR(__xludf.DUMMYFUNCTION("IFERROR(TEXTJOIN(""/"",1,FILTER($B$36:$IV$36,$B$35:$IV$35=IG$97)),"" "")")," ")</f>
        <v> </v>
      </c>
      <c r="IH81" s="48" t="str">
        <f>IFERROR(__xludf.DUMMYFUNCTION("IFERROR(TEXTJOIN(""/"",1,FILTER($B$36:$IV$36,$B$35:$IV$35=IH$97)),"" "")")," ")</f>
        <v> </v>
      </c>
      <c r="II81" s="48" t="str">
        <f>IFERROR(__xludf.DUMMYFUNCTION("IFERROR(TEXTJOIN(""/"",1,FILTER($B$36:$IV$36,$B$35:$IV$35=II$97)),"" "")")," ")</f>
        <v> </v>
      </c>
      <c r="IJ81" s="48" t="str">
        <f>IFERROR(__xludf.DUMMYFUNCTION("IFERROR(TEXTJOIN(""/"",1,FILTER($B$36:$IV$36,$B$35:$IV$35=IJ$97)),"" "")")," ")</f>
        <v> </v>
      </c>
      <c r="IK81" s="48" t="str">
        <f>IFERROR(__xludf.DUMMYFUNCTION("IFERROR(TEXTJOIN(""/"",1,FILTER($B$36:$IV$36,$B$35:$IV$35=IK$97)),"" "")")," ")</f>
        <v> </v>
      </c>
      <c r="IL81" s="48" t="str">
        <f>IFERROR(__xludf.DUMMYFUNCTION("IFERROR(TEXTJOIN(""/"",1,FILTER($B$36:$IV$36,$B$35:$IV$35=IL$97)),"" "")")," ")</f>
        <v> </v>
      </c>
      <c r="IM81" s="48" t="str">
        <f>IFERROR(__xludf.DUMMYFUNCTION("IFERROR(TEXTJOIN(""/"",1,FILTER($B$36:$IV$36,$B$35:$IV$35=IM$97)),"" "")")," ")</f>
        <v> </v>
      </c>
      <c r="IN81" s="48" t="str">
        <f>IFERROR(__xludf.DUMMYFUNCTION("IFERROR(TEXTJOIN(""/"",1,FILTER($B$36:$IV$36,$B$35:$IV$35=IN$97)),"" "")")," ")</f>
        <v> </v>
      </c>
      <c r="IO81" s="48" t="str">
        <f>IFERROR(__xludf.DUMMYFUNCTION("IFERROR(TEXTJOIN(""/"",1,FILTER($B$36:$IV$36,$B$35:$IV$35=IO$97)),"" "")")," ")</f>
        <v> </v>
      </c>
      <c r="IP81" s="48" t="str">
        <f>IFERROR(__xludf.DUMMYFUNCTION("IFERROR(TEXTJOIN(""/"",1,FILTER($B$36:$IV$36,$B$35:$IV$35=IP$97)),"" "")")," ")</f>
        <v> </v>
      </c>
      <c r="IQ81" s="48" t="str">
        <f>IFERROR(__xludf.DUMMYFUNCTION("IFERROR(TEXTJOIN(""/"",1,FILTER($B$36:$IV$36,$B$35:$IV$35=IQ$97)),"" "")")," ")</f>
        <v> </v>
      </c>
      <c r="IR81" s="48" t="str">
        <f>IFERROR(__xludf.DUMMYFUNCTION("IFERROR(TEXTJOIN(""/"",1,FILTER($B$36:$IV$36,$B$35:$IV$35=IR$97)),"" "")")," ")</f>
        <v> </v>
      </c>
      <c r="IS81" s="48" t="str">
        <f>IFERROR(__xludf.DUMMYFUNCTION("IFERROR(TEXTJOIN(""/"",1,FILTER($B$36:$IV$36,$B$35:$IV$35=IS$97)),"" "")")," ")</f>
        <v> </v>
      </c>
      <c r="IT81" s="48" t="str">
        <f>IFERROR(__xludf.DUMMYFUNCTION("IFERROR(TEXTJOIN(""/"",1,FILTER($B$36:$IV$36,$B$35:$IV$35=IT$97)),"" "")")," ")</f>
        <v> </v>
      </c>
      <c r="IU81" s="48" t="str">
        <f>IFERROR(__xludf.DUMMYFUNCTION("IFERROR(TEXTJOIN(""/"",1,FILTER($B$36:$IV$36,$B$35:$IV$35=IU$97)),"" "")")," ")</f>
        <v> </v>
      </c>
      <c r="IV81" s="48" t="str">
        <f>IFERROR(__xludf.DUMMYFUNCTION("IFERROR(TEXTJOIN(""/"",1,FILTER($B$36:$IV$36,$B$35:$IV$35=IV$97)),"" "")")," ")</f>
        <v> </v>
      </c>
      <c r="IW81" s="48" t="str">
        <f>IFERROR(__xludf.DUMMYFUNCTION("IFERROR(TEXTJOIN(""/"",1,FILTER($B$36:$IV$36,$B$35:$IV$35=IW$97)),"" "")")," ")</f>
        <v> </v>
      </c>
      <c r="IX81" s="48" t="str">
        <f>IFERROR(__xludf.DUMMYFUNCTION("IFERROR(TEXTJOIN(""/"",1,FILTER($B$36:$IV$36,$B$35:$IV$35=IX$97)),"" "")")," ")</f>
        <v> </v>
      </c>
      <c r="IY81" s="48" t="str">
        <f>IFERROR(__xludf.DUMMYFUNCTION("IFERROR(TEXTJOIN(""/"",1,FILTER($B$36:$IV$36,$B$35:$IV$35=IY$97)),"" "")")," ")</f>
        <v> </v>
      </c>
      <c r="IZ81" s="48" t="str">
        <f>IFERROR(__xludf.DUMMYFUNCTION("IFERROR(TEXTJOIN(""/"",1,FILTER($B$36:$IV$36,$B$35:$IV$35=IZ$97)),"" "")")," ")</f>
        <v> </v>
      </c>
      <c r="JA81" s="48" t="str">
        <f>IFERROR(__xludf.DUMMYFUNCTION("IFERROR(TEXTJOIN(""/"",1,FILTER($B$36:$IV$36,$B$35:$IV$35=JA$97)),"" "")")," ")</f>
        <v> </v>
      </c>
      <c r="JB81" s="48" t="str">
        <f>IFERROR(__xludf.DUMMYFUNCTION("IFERROR(TEXTJOIN(""/"",1,FILTER($B$36:$IV$36,$B$35:$IV$35=JB$97)),"" "")")," ")</f>
        <v> </v>
      </c>
      <c r="JC81" s="48" t="str">
        <f>IFERROR(__xludf.DUMMYFUNCTION("IFERROR(TEXTJOIN(""/"",1,FILTER($B$36:$IV$36,$B$35:$IV$35=JC$97)),"" "")")," ")</f>
        <v> </v>
      </c>
      <c r="JD81" s="48" t="str">
        <f>IFERROR(__xludf.DUMMYFUNCTION("IFERROR(TEXTJOIN(""/"",1,FILTER($B$36:$IV$36,$B$35:$IV$35=JD$97)),"" "")")," ")</f>
        <v> </v>
      </c>
      <c r="JE81" s="48" t="str">
        <f>IFERROR(__xludf.DUMMYFUNCTION("IFERROR(TEXTJOIN(""/"",1,FILTER($B$36:$IV$36,$B$35:$IV$35=JE$97)),"" "")")," ")</f>
        <v> </v>
      </c>
    </row>
    <row r="82">
      <c r="A82" s="50" t="str">
        <f>IFERROR(__xludf.DUMMYFUNCTION("""COMPUTED_VALUE"""),"Информатика")</f>
        <v>Информатика</v>
      </c>
      <c r="B82" s="48" t="str">
        <f>IFERROR(__xludf.DUMMYFUNCTION("IFERROR(TEXTJOIN(""/"",1,FILTER($B$39:$IV$39,$B$38:$IV$38=B$97)),"" "")")," ")</f>
        <v> </v>
      </c>
      <c r="C82" s="48" t="str">
        <f>IFERROR(__xludf.DUMMYFUNCTION("IFERROR(TEXTJOIN(""/"",1,FILTER($B$39:$IV$39,$B$38:$IV$38=C$97)),"" "")")," ")</f>
        <v> </v>
      </c>
      <c r="D82" s="48" t="str">
        <f>IFERROR(__xludf.DUMMYFUNCTION("IFERROR(TEXTJOIN(""/"",1,FILTER($B$39:$IV$39,$B$38:$IV$38=D$97)),"" "")")," ")</f>
        <v> </v>
      </c>
      <c r="E82" s="48" t="str">
        <f>IFERROR(__xludf.DUMMYFUNCTION("IFERROR(TEXTJOIN(""/"",1,FILTER($B$39:$IV$39,$B$38:$IV$38=E$97)),"" "")")," ")</f>
        <v> </v>
      </c>
      <c r="F82" s="48" t="str">
        <f>IFERROR(__xludf.DUMMYFUNCTION("IFERROR(TEXTJOIN(""/"",1,FILTER($B$39:$IV$39,$B$38:$IV$38=F$97)),"" "")"),"5")</f>
        <v>5</v>
      </c>
      <c r="G82" s="48" t="str">
        <f>IFERROR(__xludf.DUMMYFUNCTION("IFERROR(TEXTJOIN(""/"",1,FILTER($B$39:$IV$39,$B$38:$IV$38=G$97)),"" "")")," ")</f>
        <v> </v>
      </c>
      <c r="H82" s="48" t="str">
        <f>IFERROR(__xludf.DUMMYFUNCTION("IFERROR(TEXTJOIN(""/"",1,FILTER($B$39:$IV$39,$B$38:$IV$38=H$97)),"" "")"),"5")</f>
        <v>5</v>
      </c>
      <c r="I82" s="48" t="str">
        <f>IFERROR(__xludf.DUMMYFUNCTION("IFERROR(TEXTJOIN(""/"",1,FILTER($B$39:$IV$39,$B$38:$IV$38=I$97)),"" "")")," ")</f>
        <v> </v>
      </c>
      <c r="J82" s="48" t="str">
        <f>IFERROR(__xludf.DUMMYFUNCTION("IFERROR(TEXTJOIN(""/"",1,FILTER($B$39:$IV$39,$B$38:$IV$38=J$97)),"" "")"),"")</f>
        <v/>
      </c>
      <c r="K82" s="48" t="str">
        <f>IFERROR(__xludf.DUMMYFUNCTION("IFERROR(TEXTJOIN(""/"",1,FILTER($B$39:$IV$39,$B$38:$IV$38=K$97)),"" "")")," ")</f>
        <v> </v>
      </c>
      <c r="L82" s="48" t="str">
        <f>IFERROR(__xludf.DUMMYFUNCTION("IFERROR(TEXTJOIN(""/"",1,FILTER($B$39:$IV$39,$B$38:$IV$38=L$97)),"" "")")," ")</f>
        <v> </v>
      </c>
      <c r="M82" s="48" t="str">
        <f>IFERROR(__xludf.DUMMYFUNCTION("IFERROR(TEXTJOIN(""/"",1,FILTER($B$39:$IV$39,$B$38:$IV$38=M$97)),"" "")")," ")</f>
        <v> </v>
      </c>
      <c r="N82" s="48" t="str">
        <f>IFERROR(__xludf.DUMMYFUNCTION("IFERROR(TEXTJOIN(""/"",1,FILTER($B$39:$IV$39,$B$38:$IV$38=N$97)),"" "")")," ")</f>
        <v> </v>
      </c>
      <c r="O82" s="48" t="str">
        <f>IFERROR(__xludf.DUMMYFUNCTION("IFERROR(TEXTJOIN(""/"",1,FILTER($B$39:$IV$39,$B$38:$IV$38=O$97)),"" "")")," ")</f>
        <v> </v>
      </c>
      <c r="P82" s="48" t="str">
        <f>IFERROR(__xludf.DUMMYFUNCTION("IFERROR(TEXTJOIN(""/"",1,FILTER($B$39:$IV$39,$B$38:$IV$38=P$97)),"" "")")," ")</f>
        <v> </v>
      </c>
      <c r="Q82" s="48" t="str">
        <f>IFERROR(__xludf.DUMMYFUNCTION("IFERROR(TEXTJOIN(""/"",1,FILTER($B$39:$IV$39,$B$38:$IV$38=Q$97)),"" "")"),"5")</f>
        <v>5</v>
      </c>
      <c r="R82" s="48" t="str">
        <f>IFERROR(__xludf.DUMMYFUNCTION("IFERROR(TEXTJOIN(""/"",1,FILTER($B$39:$IV$39,$B$38:$IV$38=R$97)),"" "")")," ")</f>
        <v> </v>
      </c>
      <c r="S82" s="48" t="str">
        <f>IFERROR(__xludf.DUMMYFUNCTION("IFERROR(TEXTJOIN(""/"",1,FILTER($B$39:$IV$39,$B$38:$IV$38=S$97)),"" "")")," ")</f>
        <v> </v>
      </c>
      <c r="T82" s="48" t="str">
        <f>IFERROR(__xludf.DUMMYFUNCTION("IFERROR(TEXTJOIN(""/"",1,FILTER($B$39:$IV$39,$B$38:$IV$38=T$97)),"" "")")," ")</f>
        <v> </v>
      </c>
      <c r="U82" s="48" t="str">
        <f>IFERROR(__xludf.DUMMYFUNCTION("IFERROR(TEXTJOIN(""/"",1,FILTER($B$39:$IV$39,$B$38:$IV$38=U$97)),"" "")")," ")</f>
        <v> </v>
      </c>
      <c r="V82" s="48" t="str">
        <f>IFERROR(__xludf.DUMMYFUNCTION("IFERROR(TEXTJOIN(""/"",1,FILTER($B$39:$IV$39,$B$38:$IV$38=V$97)),"" "")")," ")</f>
        <v> </v>
      </c>
      <c r="W82" s="48" t="str">
        <f>IFERROR(__xludf.DUMMYFUNCTION("IFERROR(TEXTJOIN(""/"",1,FILTER($B$39:$IV$39,$B$38:$IV$38=W$97)),"" "")")," ")</f>
        <v> </v>
      </c>
      <c r="X82" s="48" t="str">
        <f>IFERROR(__xludf.DUMMYFUNCTION("IFERROR(TEXTJOIN(""/"",1,FILTER($B$39:$IV$39,$B$38:$IV$38=X$97)),"" "")"),"2")</f>
        <v>2</v>
      </c>
      <c r="Y82" s="48" t="str">
        <f>IFERROR(__xludf.DUMMYFUNCTION("IFERROR(TEXTJOIN(""/"",1,FILTER($B$39:$IV$39,$B$38:$IV$38=Y$97)),"" "")")," ")</f>
        <v> </v>
      </c>
      <c r="Z82" s="48" t="str">
        <f>IFERROR(__xludf.DUMMYFUNCTION("IFERROR(TEXTJOIN(""/"",1,FILTER($B$39:$IV$39,$B$38:$IV$38=Z$97)),"" "")")," ")</f>
        <v> </v>
      </c>
      <c r="AA82" s="48" t="str">
        <f>IFERROR(__xludf.DUMMYFUNCTION("IFERROR(TEXTJOIN(""/"",1,FILTER($B$39:$IV$39,$B$38:$IV$38=AA$97)),"" "")")," ")</f>
        <v> </v>
      </c>
      <c r="AB82" s="48" t="str">
        <f>IFERROR(__xludf.DUMMYFUNCTION("IFERROR(TEXTJOIN(""/"",1,FILTER($B$39:$IV$39,$B$38:$IV$38=AB$97)),"" "")")," ")</f>
        <v> </v>
      </c>
      <c r="AC82" s="48" t="str">
        <f>IFERROR(__xludf.DUMMYFUNCTION("IFERROR(TEXTJOIN(""/"",1,FILTER($B$39:$IV$39,$B$38:$IV$38=AC$97)),"" "")")," ")</f>
        <v> </v>
      </c>
      <c r="AD82" s="48" t="str">
        <f>IFERROR(__xludf.DUMMYFUNCTION("IFERROR(TEXTJOIN(""/"",1,FILTER($B$39:$IV$39,$B$38:$IV$38=AD$97)),"" "")")," ")</f>
        <v> </v>
      </c>
      <c r="AE82" s="48" t="str">
        <f>IFERROR(__xludf.DUMMYFUNCTION("IFERROR(TEXTJOIN(""/"",1,FILTER($B$39:$IV$39,$B$38:$IV$38=AE$97)),"" "")"),"")</f>
        <v/>
      </c>
      <c r="AF82" s="48" t="str">
        <f>IFERROR(__xludf.DUMMYFUNCTION("IFERROR(TEXTJOIN(""/"",1,FILTER($B$39:$IV$39,$B$38:$IV$38=AF$97)),"" "")")," ")</f>
        <v> </v>
      </c>
      <c r="AG82" s="48" t="str">
        <f>IFERROR(__xludf.DUMMYFUNCTION("IFERROR(TEXTJOIN(""/"",1,FILTER($B$39:$IV$39,$B$38:$IV$38=AG$97)),"" "")")," ")</f>
        <v> </v>
      </c>
      <c r="AH82" s="48" t="str">
        <f>IFERROR(__xludf.DUMMYFUNCTION("IFERROR(TEXTJOIN(""/"",1,FILTER($B$39:$IV$39,$B$38:$IV$38=AH$97)),"" "")")," ")</f>
        <v> </v>
      </c>
      <c r="AI82" s="48" t="str">
        <f>IFERROR(__xludf.DUMMYFUNCTION("IFERROR(TEXTJOIN(""/"",1,FILTER($B$39:$IV$39,$B$38:$IV$38=AI$97)),"" "")")," ")</f>
        <v> </v>
      </c>
      <c r="AJ82" s="48" t="str">
        <f>IFERROR(__xludf.DUMMYFUNCTION("IFERROR(TEXTJOIN(""/"",1,FILTER($B$39:$IV$39,$B$38:$IV$38=AJ$97)),"" "")")," ")</f>
        <v> </v>
      </c>
      <c r="AK82" s="48" t="str">
        <f>IFERROR(__xludf.DUMMYFUNCTION("IFERROR(TEXTJOIN(""/"",1,FILTER($B$39:$IV$39,$B$38:$IV$38=AK$97)),"" "")")," ")</f>
        <v> </v>
      </c>
      <c r="AL82" s="48" t="str">
        <f>IFERROR(__xludf.DUMMYFUNCTION("IFERROR(TEXTJOIN(""/"",1,FILTER($B$39:$IV$39,$B$38:$IV$38=AL$97)),"" "")"),"5")</f>
        <v>5</v>
      </c>
      <c r="AM82" s="48" t="str">
        <f>IFERROR(__xludf.DUMMYFUNCTION("IFERROR(TEXTJOIN(""/"",1,FILTER($B$39:$IV$39,$B$38:$IV$38=AM$97)),"" "")")," ")</f>
        <v> </v>
      </c>
      <c r="AN82" s="48" t="str">
        <f>IFERROR(__xludf.DUMMYFUNCTION("IFERROR(TEXTJOIN(""/"",1,FILTER($B$39:$IV$39,$B$38:$IV$38=AN$97)),"" "")")," ")</f>
        <v> </v>
      </c>
      <c r="AO82" s="48" t="str">
        <f>IFERROR(__xludf.DUMMYFUNCTION("IFERROR(TEXTJOIN(""/"",1,FILTER($B$39:$IV$39,$B$38:$IV$38=AO$97)),"" "")")," ")</f>
        <v> </v>
      </c>
      <c r="AP82" s="48" t="str">
        <f>IFERROR(__xludf.DUMMYFUNCTION("IFERROR(TEXTJOIN(""/"",1,FILTER($B$39:$IV$39,$B$38:$IV$38=AP$97)),"" "")")," ")</f>
        <v> </v>
      </c>
      <c r="AQ82" s="48" t="str">
        <f>IFERROR(__xludf.DUMMYFUNCTION("IFERROR(TEXTJOIN(""/"",1,FILTER($B$39:$IV$39,$B$38:$IV$38=AQ$97)),"" "")")," ")</f>
        <v> </v>
      </c>
      <c r="AR82" s="48" t="str">
        <f>IFERROR(__xludf.DUMMYFUNCTION("IFERROR(TEXTJOIN(""/"",1,FILTER($B$39:$IV$39,$B$38:$IV$38=AR$97)),"" "")")," ")</f>
        <v> </v>
      </c>
      <c r="AS82" s="48" t="str">
        <f>IFERROR(__xludf.DUMMYFUNCTION("IFERROR(TEXTJOIN(""/"",1,FILTER($B$39:$IV$39,$B$38:$IV$38=AS$97)),"" "")"),"")</f>
        <v/>
      </c>
      <c r="AT82" s="48" t="str">
        <f>IFERROR(__xludf.DUMMYFUNCTION("IFERROR(TEXTJOIN(""/"",1,FILTER($B$39:$IV$39,$B$38:$IV$38=AT$97)),"" "")")," ")</f>
        <v> </v>
      </c>
      <c r="AU82" s="48" t="str">
        <f>IFERROR(__xludf.DUMMYFUNCTION("IFERROR(TEXTJOIN(""/"",1,FILTER($B$39:$IV$39,$B$38:$IV$38=AU$97)),"" "")")," ")</f>
        <v> </v>
      </c>
      <c r="AV82" s="48" t="str">
        <f>IFERROR(__xludf.DUMMYFUNCTION("IFERROR(TEXTJOIN(""/"",1,FILTER($B$39:$IV$39,$B$38:$IV$38=AV$97)),"" "")")," ")</f>
        <v> </v>
      </c>
      <c r="AW82" s="48" t="str">
        <f>IFERROR(__xludf.DUMMYFUNCTION("IFERROR(TEXTJOIN(""/"",1,FILTER($B$39:$IV$39,$B$38:$IV$38=AW$97)),"" "")")," ")</f>
        <v> </v>
      </c>
      <c r="AX82" s="48" t="str">
        <f>IFERROR(__xludf.DUMMYFUNCTION("IFERROR(TEXTJOIN(""/"",1,FILTER($B$39:$IV$39,$B$38:$IV$38=AX$97)),"" "")")," ")</f>
        <v> </v>
      </c>
      <c r="AY82" s="48" t="str">
        <f>IFERROR(__xludf.DUMMYFUNCTION("IFERROR(TEXTJOIN(""/"",1,FILTER($B$39:$IV$39,$B$38:$IV$38=AY$97)),"" "")")," ")</f>
        <v> </v>
      </c>
      <c r="AZ82" s="48" t="str">
        <f>IFERROR(__xludf.DUMMYFUNCTION("IFERROR(TEXTJOIN(""/"",1,FILTER($B$39:$IV$39,$B$38:$IV$38=AZ$97)),"" "")"),"")</f>
        <v/>
      </c>
      <c r="BA82" s="48" t="str">
        <f>IFERROR(__xludf.DUMMYFUNCTION("IFERROR(TEXTJOIN(""/"",1,FILTER($B$39:$IV$39,$B$38:$IV$38=BA$97)),"" "")")," ")</f>
        <v> </v>
      </c>
      <c r="BB82" s="48" t="str">
        <f>IFERROR(__xludf.DUMMYFUNCTION("IFERROR(TEXTJOIN(""/"",1,FILTER($B$39:$IV$39,$B$38:$IV$38=BB$97)),"" "")")," ")</f>
        <v> </v>
      </c>
      <c r="BC82" s="48" t="str">
        <f>IFERROR(__xludf.DUMMYFUNCTION("IFERROR(TEXTJOIN(""/"",1,FILTER($B$39:$IV$39,$B$38:$IV$38=BC$97)),"" "")")," ")</f>
        <v> </v>
      </c>
      <c r="BD82" s="48" t="str">
        <f>IFERROR(__xludf.DUMMYFUNCTION("IFERROR(TEXTJOIN(""/"",1,FILTER($B$39:$IV$39,$B$38:$IV$38=BD$97)),"" "")")," ")</f>
        <v> </v>
      </c>
      <c r="BE82" s="48" t="str">
        <f>IFERROR(__xludf.DUMMYFUNCTION("IFERROR(TEXTJOIN(""/"",1,FILTER($B$39:$IV$39,$B$38:$IV$38=BE$97)),"" "")")," ")</f>
        <v> </v>
      </c>
      <c r="BF82" s="48" t="str">
        <f>IFERROR(__xludf.DUMMYFUNCTION("IFERROR(TEXTJOIN(""/"",1,FILTER($B$39:$IV$39,$B$38:$IV$38=BF$97)),"" "")")," ")</f>
        <v> </v>
      </c>
      <c r="BG82" s="48" t="str">
        <f>IFERROR(__xludf.DUMMYFUNCTION("IFERROR(TEXTJOIN(""/"",1,FILTER($B$39:$IV$39,$B$38:$IV$38=BG$97)),"" "")"),"")</f>
        <v/>
      </c>
      <c r="BH82" s="48" t="str">
        <f>IFERROR(__xludf.DUMMYFUNCTION("IFERROR(TEXTJOIN(""/"",1,FILTER($B$39:$IV$39,$B$38:$IV$38=BH$97)),"" "")")," ")</f>
        <v> </v>
      </c>
      <c r="BI82" s="48" t="str">
        <f>IFERROR(__xludf.DUMMYFUNCTION("IFERROR(TEXTJOIN(""/"",1,FILTER($B$39:$IV$39,$B$38:$IV$38=BI$97)),"" "")")," ")</f>
        <v> </v>
      </c>
      <c r="BJ82" s="48" t="str">
        <f>IFERROR(__xludf.DUMMYFUNCTION("IFERROR(TEXTJOIN(""/"",1,FILTER($B$39:$IV$39,$B$38:$IV$38=BJ$97)),"" "")")," ")</f>
        <v> </v>
      </c>
      <c r="BK82" s="48" t="str">
        <f>IFERROR(__xludf.DUMMYFUNCTION("IFERROR(TEXTJOIN(""/"",1,FILTER($B$39:$IV$39,$B$38:$IV$38=BK$97)),"" "")")," ")</f>
        <v> </v>
      </c>
      <c r="BL82" s="48" t="str">
        <f>IFERROR(__xludf.DUMMYFUNCTION("IFERROR(TEXTJOIN(""/"",1,FILTER($B$39:$IV$39,$B$38:$IV$38=BL$97)),"" "")")," ")</f>
        <v> </v>
      </c>
      <c r="BM82" s="48" t="str">
        <f>IFERROR(__xludf.DUMMYFUNCTION("IFERROR(TEXTJOIN(""/"",1,FILTER($B$39:$IV$39,$B$38:$IV$38=BM$97)),"" "")")," ")</f>
        <v> </v>
      </c>
      <c r="BN82" s="48" t="str">
        <f>IFERROR(__xludf.DUMMYFUNCTION("IFERROR(TEXTJOIN(""/"",1,FILTER($B$39:$IV$39,$B$38:$IV$38=BN$97)),"" "")")," ")</f>
        <v> </v>
      </c>
      <c r="BO82" s="48" t="str">
        <f>IFERROR(__xludf.DUMMYFUNCTION("IFERROR(TEXTJOIN(""/"",1,FILTER($B$39:$IV$39,$B$38:$IV$38=BO$97)),"" "")")," ")</f>
        <v> </v>
      </c>
      <c r="BP82" s="48" t="str">
        <f>IFERROR(__xludf.DUMMYFUNCTION("IFERROR(TEXTJOIN(""/"",1,FILTER($B$39:$IV$39,$B$38:$IV$38=BP$97)),"" "")")," ")</f>
        <v> </v>
      </c>
      <c r="BQ82" s="48" t="str">
        <f>IFERROR(__xludf.DUMMYFUNCTION("IFERROR(TEXTJOIN(""/"",1,FILTER($B$39:$IV$39,$B$38:$IV$38=BQ$97)),"" "")")," ")</f>
        <v> </v>
      </c>
      <c r="BR82" s="48" t="str">
        <f>IFERROR(__xludf.DUMMYFUNCTION("IFERROR(TEXTJOIN(""/"",1,FILTER($B$39:$IV$39,$B$38:$IV$38=BR$97)),"" "")")," ")</f>
        <v> </v>
      </c>
      <c r="BS82" s="48" t="str">
        <f>IFERROR(__xludf.DUMMYFUNCTION("IFERROR(TEXTJOIN(""/"",1,FILTER($B$39:$IV$39,$B$38:$IV$38=BS$97)),"" "")")," ")</f>
        <v> </v>
      </c>
      <c r="BT82" s="48" t="str">
        <f>IFERROR(__xludf.DUMMYFUNCTION("IFERROR(TEXTJOIN(""/"",1,FILTER($B$39:$IV$39,$B$38:$IV$38=BT$97)),"" "")")," ")</f>
        <v> </v>
      </c>
      <c r="BU82" s="48" t="str">
        <f>IFERROR(__xludf.DUMMYFUNCTION("IFERROR(TEXTJOIN(""/"",1,FILTER($B$39:$IV$39,$B$38:$IV$38=BU$97)),"" "")"),"")</f>
        <v/>
      </c>
      <c r="BV82" s="48" t="str">
        <f>IFERROR(__xludf.DUMMYFUNCTION("IFERROR(TEXTJOIN(""/"",1,FILTER($B$39:$IV$39,$B$38:$IV$38=BV$97)),"" "")")," ")</f>
        <v> </v>
      </c>
      <c r="BW82" s="48" t="str">
        <f>IFERROR(__xludf.DUMMYFUNCTION("IFERROR(TEXTJOIN(""/"",1,FILTER($B$39:$IV$39,$B$38:$IV$38=BW$97)),"" "")")," ")</f>
        <v> </v>
      </c>
      <c r="BX82" s="48" t="str">
        <f>IFERROR(__xludf.DUMMYFUNCTION("IFERROR(TEXTJOIN(""/"",1,FILTER($B$39:$IV$39,$B$38:$IV$38=BX$97)),"" "")")," ")</f>
        <v> </v>
      </c>
      <c r="BY82" s="48" t="str">
        <f>IFERROR(__xludf.DUMMYFUNCTION("IFERROR(TEXTJOIN(""/"",1,FILTER($B$39:$IV$39,$B$38:$IV$38=BY$97)),"" "")")," ")</f>
        <v> </v>
      </c>
      <c r="BZ82" s="48" t="str">
        <f>IFERROR(__xludf.DUMMYFUNCTION("IFERROR(TEXTJOIN(""/"",1,FILTER($B$39:$IV$39,$B$38:$IV$38=BZ$97)),"" "")")," ")</f>
        <v> </v>
      </c>
      <c r="CA82" s="48" t="str">
        <f>IFERROR(__xludf.DUMMYFUNCTION("IFERROR(TEXTJOIN(""/"",1,FILTER($B$39:$IV$39,$B$38:$IV$38=CA$97)),"" "")")," ")</f>
        <v> </v>
      </c>
      <c r="CB82" s="48" t="str">
        <f>IFERROR(__xludf.DUMMYFUNCTION("IFERROR(TEXTJOIN(""/"",1,FILTER($B$39:$IV$39,$B$38:$IV$38=CB$97)),"" "")"),"")</f>
        <v/>
      </c>
      <c r="CC82" s="48" t="str">
        <f>IFERROR(__xludf.DUMMYFUNCTION("IFERROR(TEXTJOIN(""/"",1,FILTER($B$39:$IV$39,$B$38:$IV$38=CC$97)),"" "")")," ")</f>
        <v> </v>
      </c>
      <c r="CD82" s="48" t="str">
        <f>IFERROR(__xludf.DUMMYFUNCTION("IFERROR(TEXTJOIN(""/"",1,FILTER($B$39:$IV$39,$B$38:$IV$38=CD$97)),"" "")")," ")</f>
        <v> </v>
      </c>
      <c r="CE82" s="48" t="str">
        <f>IFERROR(__xludf.DUMMYFUNCTION("IFERROR(TEXTJOIN(""/"",1,FILTER($B$39:$IV$39,$B$38:$IV$38=CE$97)),"" "")")," ")</f>
        <v> </v>
      </c>
      <c r="CF82" s="48" t="str">
        <f>IFERROR(__xludf.DUMMYFUNCTION("IFERROR(TEXTJOIN(""/"",1,FILTER($B$39:$IV$39,$B$38:$IV$38=CF$97)),"" "")")," ")</f>
        <v> </v>
      </c>
      <c r="CG82" s="48" t="str">
        <f>IFERROR(__xludf.DUMMYFUNCTION("IFERROR(TEXTJOIN(""/"",1,FILTER($B$39:$IV$39,$B$38:$IV$38=CG$97)),"" "")")," ")</f>
        <v> </v>
      </c>
      <c r="CH82" s="48" t="str">
        <f>IFERROR(__xludf.DUMMYFUNCTION("IFERROR(TEXTJOIN(""/"",1,FILTER($B$39:$IV$39,$B$38:$IV$38=CH$97)),"" "")")," ")</f>
        <v> </v>
      </c>
      <c r="CI82" s="48" t="str">
        <f>IFERROR(__xludf.DUMMYFUNCTION("IFERROR(TEXTJOIN(""/"",1,FILTER($B$39:$IV$39,$B$38:$IV$38=CI$97)),"" "")"),"5")</f>
        <v>5</v>
      </c>
      <c r="CJ82" s="48" t="str">
        <f>IFERROR(__xludf.DUMMYFUNCTION("IFERROR(TEXTJOIN(""/"",1,FILTER($B$39:$IV$39,$B$38:$IV$38=CJ$97)),"" "")")," ")</f>
        <v> </v>
      </c>
      <c r="CK82" s="48" t="str">
        <f>IFERROR(__xludf.DUMMYFUNCTION("IFERROR(TEXTJOIN(""/"",1,FILTER($B$39:$IV$39,$B$38:$IV$38=CK$97)),"" "")")," ")</f>
        <v> </v>
      </c>
      <c r="CL82" s="48" t="str">
        <f>IFERROR(__xludf.DUMMYFUNCTION("IFERROR(TEXTJOIN(""/"",1,FILTER($B$39:$IV$39,$B$38:$IV$38=CL$97)),"" "")")," ")</f>
        <v> </v>
      </c>
      <c r="CM82" s="48" t="str">
        <f>IFERROR(__xludf.DUMMYFUNCTION("IFERROR(TEXTJOIN(""/"",1,FILTER($B$39:$IV$39,$B$38:$IV$38=CM$97)),"" "")")," ")</f>
        <v> </v>
      </c>
      <c r="CN82" s="48" t="str">
        <f>IFERROR(__xludf.DUMMYFUNCTION("IFERROR(TEXTJOIN(""/"",1,FILTER($B$39:$IV$39,$B$38:$IV$38=CN$97)),"" "")")," ")</f>
        <v> </v>
      </c>
      <c r="CO82" s="48" t="str">
        <f>IFERROR(__xludf.DUMMYFUNCTION("IFERROR(TEXTJOIN(""/"",1,FILTER($B$39:$IV$39,$B$38:$IV$38=CO$97)),"" "")")," ")</f>
        <v> </v>
      </c>
      <c r="CP82" s="48" t="str">
        <f>IFERROR(__xludf.DUMMYFUNCTION("IFERROR(TEXTJOIN(""/"",1,FILTER($B$39:$IV$39,$B$38:$IV$38=CP$97)),"" "")"),"5")</f>
        <v>5</v>
      </c>
      <c r="CQ82" s="48" t="str">
        <f>IFERROR(__xludf.DUMMYFUNCTION("IFERROR(TEXTJOIN(""/"",1,FILTER($B$39:$IV$39,$B$38:$IV$38=CQ$97)),"" "")")," ")</f>
        <v> </v>
      </c>
      <c r="CR82" s="48" t="str">
        <f>IFERROR(__xludf.DUMMYFUNCTION("IFERROR(TEXTJOIN(""/"",1,FILTER($B$39:$IV$39,$B$38:$IV$38=CR$97)),"" "")")," ")</f>
        <v> </v>
      </c>
      <c r="CS82" s="48" t="str">
        <f>IFERROR(__xludf.DUMMYFUNCTION("IFERROR(TEXTJOIN(""/"",1,FILTER($B$39:$IV$39,$B$38:$IV$38=CS$97)),"" "")"),"")</f>
        <v/>
      </c>
      <c r="CT82" s="48" t="str">
        <f>IFERROR(__xludf.DUMMYFUNCTION("IFERROR(TEXTJOIN(""/"",1,FILTER($B$39:$IV$39,$B$38:$IV$38=CT$97)),"" "")")," ")</f>
        <v> </v>
      </c>
      <c r="CU82" s="48" t="str">
        <f>IFERROR(__xludf.DUMMYFUNCTION("IFERROR(TEXTJOIN(""/"",1,FILTER($B$39:$IV$39,$B$38:$IV$38=CU$97)),"" "")")," ")</f>
        <v> </v>
      </c>
      <c r="CV82" s="48" t="str">
        <f>IFERROR(__xludf.DUMMYFUNCTION("IFERROR(TEXTJOIN(""/"",1,FILTER($B$39:$IV$39,$B$38:$IV$38=CV$97)),"" "")")," ")</f>
        <v> </v>
      </c>
      <c r="CW82" s="48" t="str">
        <f>IFERROR(__xludf.DUMMYFUNCTION("IFERROR(TEXTJOIN(""/"",1,FILTER($B$39:$IV$39,$B$38:$IV$38=CW$97)),"" "")")," ")</f>
        <v> </v>
      </c>
      <c r="CX82" s="48" t="str">
        <f>IFERROR(__xludf.DUMMYFUNCTION("IFERROR(TEXTJOIN(""/"",1,FILTER($B$39:$IV$39,$B$38:$IV$38=CX$97)),"" "")")," ")</f>
        <v> </v>
      </c>
      <c r="CY82" s="48" t="str">
        <f>IFERROR(__xludf.DUMMYFUNCTION("IFERROR(TEXTJOIN(""/"",1,FILTER($B$39:$IV$39,$B$38:$IV$38=CY$97)),"" "")")," ")</f>
        <v> </v>
      </c>
      <c r="CZ82" s="48" t="str">
        <f>IFERROR(__xludf.DUMMYFUNCTION("IFERROR(TEXTJOIN(""/"",1,FILTER($B$39:$IV$39,$B$38:$IV$38=CZ$97)),"" "")"),"н")</f>
        <v>н</v>
      </c>
      <c r="DA82" s="48" t="str">
        <f>IFERROR(__xludf.DUMMYFUNCTION("IFERROR(TEXTJOIN(""/"",1,FILTER($B$39:$IV$39,$B$38:$IV$38=DA$97)),"" "")")," ")</f>
        <v> </v>
      </c>
      <c r="DB82" s="48" t="str">
        <f>IFERROR(__xludf.DUMMYFUNCTION("IFERROR(TEXTJOIN(""/"",1,FILTER($B$39:$IV$39,$B$38:$IV$38=DB$97)),"" "")")," ")</f>
        <v> </v>
      </c>
      <c r="DC82" s="48" t="str">
        <f>IFERROR(__xludf.DUMMYFUNCTION("IFERROR(TEXTJOIN(""/"",1,FILTER($B$39:$IV$39,$B$38:$IV$38=DC$97)),"" "")")," ")</f>
        <v> </v>
      </c>
      <c r="DD82" s="48" t="str">
        <f>IFERROR(__xludf.DUMMYFUNCTION("IFERROR(TEXTJOIN(""/"",1,FILTER($B$39:$IV$39,$B$38:$IV$38=DD$97)),"" "")"),"")</f>
        <v/>
      </c>
      <c r="DE82" s="48" t="str">
        <f>IFERROR(__xludf.DUMMYFUNCTION("IFERROR(TEXTJOIN(""/"",1,FILTER($B$39:$IV$39,$B$38:$IV$38=DE$97)),"" "")")," ")</f>
        <v> </v>
      </c>
      <c r="DF82" s="48" t="str">
        <f>IFERROR(__xludf.DUMMYFUNCTION("IFERROR(TEXTJOIN(""/"",1,FILTER($B$39:$IV$39,$B$38:$IV$38=DF$97)),"" "")")," ")</f>
        <v> </v>
      </c>
      <c r="DG82" s="48" t="str">
        <f>IFERROR(__xludf.DUMMYFUNCTION("IFERROR(TEXTJOIN(""/"",1,FILTER($B$39:$IV$39,$B$38:$IV$38=DG$97)),"" "")"),"")</f>
        <v/>
      </c>
      <c r="DH82" s="48" t="str">
        <f>IFERROR(__xludf.DUMMYFUNCTION("IFERROR(TEXTJOIN(""/"",1,FILTER($B$39:$IV$39,$B$38:$IV$38=DH$97)),"" "")")," ")</f>
        <v> </v>
      </c>
      <c r="DI82" s="48" t="str">
        <f>IFERROR(__xludf.DUMMYFUNCTION("IFERROR(TEXTJOIN(""/"",1,FILTER($B$39:$IV$39,$B$38:$IV$38=DI$97)),"" "")")," ")</f>
        <v> </v>
      </c>
      <c r="DJ82" s="48" t="str">
        <f>IFERROR(__xludf.DUMMYFUNCTION("IFERROR(TEXTJOIN(""/"",1,FILTER($B$39:$IV$39,$B$38:$IV$38=DJ$97)),"" "")")," ")</f>
        <v> </v>
      </c>
      <c r="DK82" s="48" t="str">
        <f>IFERROR(__xludf.DUMMYFUNCTION("IFERROR(TEXTJOIN(""/"",1,FILTER($B$39:$IV$39,$B$38:$IV$38=DK$97)),"" "")")," ")</f>
        <v> </v>
      </c>
      <c r="DL82" s="48" t="str">
        <f>IFERROR(__xludf.DUMMYFUNCTION("IFERROR(TEXTJOIN(""/"",1,FILTER($B$39:$IV$39,$B$38:$IV$38=DL$97)),"" "")")," ")</f>
        <v> </v>
      </c>
      <c r="DM82" s="48" t="str">
        <f>IFERROR(__xludf.DUMMYFUNCTION("IFERROR(TEXTJOIN(""/"",1,FILTER($B$39:$IV$39,$B$38:$IV$38=DM$97)),"" "")")," ")</f>
        <v> </v>
      </c>
      <c r="DN82" s="48" t="str">
        <f>IFERROR(__xludf.DUMMYFUNCTION("IFERROR(TEXTJOIN(""/"",1,FILTER($B$39:$IV$39,$B$38:$IV$38=DN$97)),"" "")"),"5")</f>
        <v>5</v>
      </c>
      <c r="DO82" s="48" t="str">
        <f>IFERROR(__xludf.DUMMYFUNCTION("IFERROR(TEXTJOIN(""/"",1,FILTER($B$39:$IV$39,$B$38:$IV$38=DO$97)),"" "")")," ")</f>
        <v> </v>
      </c>
      <c r="DP82" s="48" t="str">
        <f>IFERROR(__xludf.DUMMYFUNCTION("IFERROR(TEXTJOIN(""/"",1,FILTER($B$39:$IV$39,$B$38:$IV$38=DP$97)),"" "")")," ")</f>
        <v> </v>
      </c>
      <c r="DQ82" s="48" t="str">
        <f>IFERROR(__xludf.DUMMYFUNCTION("IFERROR(TEXTJOIN(""/"",1,FILTER($B$39:$IV$39,$B$38:$IV$38=DQ$97)),"" "")")," ")</f>
        <v> </v>
      </c>
      <c r="DR82" s="48" t="str">
        <f>IFERROR(__xludf.DUMMYFUNCTION("IFERROR(TEXTJOIN(""/"",1,FILTER($B$39:$IV$39,$B$38:$IV$38=DR$97)),"" "")")," ")</f>
        <v> </v>
      </c>
      <c r="DS82" s="48" t="str">
        <f>IFERROR(__xludf.DUMMYFUNCTION("IFERROR(TEXTJOIN(""/"",1,FILTER($B$39:$IV$39,$B$38:$IV$38=DS$97)),"" "")")," ")</f>
        <v> </v>
      </c>
      <c r="DT82" s="48" t="str">
        <f>IFERROR(__xludf.DUMMYFUNCTION("IFERROR(TEXTJOIN(""/"",1,FILTER($B$39:$IV$39,$B$38:$IV$38=DT$97)),"" "")")," ")</f>
        <v> </v>
      </c>
      <c r="DU82" s="48" t="str">
        <f>IFERROR(__xludf.DUMMYFUNCTION("IFERROR(TEXTJOIN(""/"",1,FILTER($B$39:$IV$39,$B$38:$IV$38=DU$97)),"" "")")," ")</f>
        <v> </v>
      </c>
      <c r="DV82" s="48" t="str">
        <f>IFERROR(__xludf.DUMMYFUNCTION("IFERROR(TEXTJOIN(""/"",1,FILTER($B$39:$IV$39,$B$38:$IV$38=DV$97)),"" "")")," ")</f>
        <v> </v>
      </c>
      <c r="DW82" s="48" t="str">
        <f>IFERROR(__xludf.DUMMYFUNCTION("IFERROR(TEXTJOIN(""/"",1,FILTER($B$39:$IV$39,$B$38:$IV$38=DW$97)),"" "")")," ")</f>
        <v> </v>
      </c>
      <c r="DX82" s="48" t="str">
        <f>IFERROR(__xludf.DUMMYFUNCTION("IFERROR(TEXTJOIN(""/"",1,FILTER($B$39:$IV$39,$B$38:$IV$38=DX$97)),"" "")")," ")</f>
        <v> </v>
      </c>
      <c r="DY82" s="48" t="str">
        <f>IFERROR(__xludf.DUMMYFUNCTION("IFERROR(TEXTJOIN(""/"",1,FILTER($B$39:$IV$39,$B$38:$IV$38=DY$97)),"" "")")," ")</f>
        <v> </v>
      </c>
      <c r="DZ82" s="48" t="str">
        <f>IFERROR(__xludf.DUMMYFUNCTION("IFERROR(TEXTJOIN(""/"",1,FILTER($B$39:$IV$39,$B$38:$IV$38=DZ$97)),"" "")")," ")</f>
        <v> </v>
      </c>
      <c r="EA82" s="48" t="str">
        <f>IFERROR(__xludf.DUMMYFUNCTION("IFERROR(TEXTJOIN(""/"",1,FILTER($B$39:$IV$39,$B$38:$IV$38=EA$97)),"" "")")," ")</f>
        <v> </v>
      </c>
      <c r="EB82" s="48" t="str">
        <f>IFERROR(__xludf.DUMMYFUNCTION("IFERROR(TEXTJOIN(""/"",1,FILTER($B$39:$IV$39,$B$38:$IV$38=EB$97)),"" "")")," ")</f>
        <v> </v>
      </c>
      <c r="EC82" s="48" t="str">
        <f>IFERROR(__xludf.DUMMYFUNCTION("IFERROR(TEXTJOIN(""/"",1,FILTER($B$39:$IV$39,$B$38:$IV$38=EC$97)),"" "")")," ")</f>
        <v> </v>
      </c>
      <c r="ED82" s="48" t="str">
        <f>IFERROR(__xludf.DUMMYFUNCTION("IFERROR(TEXTJOIN(""/"",1,FILTER($B$39:$IV$39,$B$38:$IV$38=ED$97)),"" "")")," ")</f>
        <v> </v>
      </c>
      <c r="EE82" s="48" t="str">
        <f>IFERROR(__xludf.DUMMYFUNCTION("IFERROR(TEXTJOIN(""/"",1,FILTER($B$39:$IV$39,$B$38:$IV$38=EE$97)),"" "")")," ")</f>
        <v> </v>
      </c>
      <c r="EF82" s="48" t="str">
        <f>IFERROR(__xludf.DUMMYFUNCTION("IFERROR(TEXTJOIN(""/"",1,FILTER($B$39:$IV$39,$B$38:$IV$38=EF$97)),"" "")"),"")</f>
        <v/>
      </c>
      <c r="EG82" s="48" t="str">
        <f>IFERROR(__xludf.DUMMYFUNCTION("IFERROR(TEXTJOIN(""/"",1,FILTER($B$39:$IV$39,$B$38:$IV$38=EG$97)),"" "")")," ")</f>
        <v> </v>
      </c>
      <c r="EH82" s="48" t="str">
        <f>IFERROR(__xludf.DUMMYFUNCTION("IFERROR(TEXTJOIN(""/"",1,FILTER($B$39:$IV$39,$B$38:$IV$38=EH$97)),"" "")")," ")</f>
        <v> </v>
      </c>
      <c r="EI82" s="48" t="str">
        <f>IFERROR(__xludf.DUMMYFUNCTION("IFERROR(TEXTJOIN(""/"",1,FILTER($B$39:$IV$39,$B$38:$IV$38=EI$97)),"" "")")," ")</f>
        <v> </v>
      </c>
      <c r="EJ82" s="48" t="str">
        <f>IFERROR(__xludf.DUMMYFUNCTION("IFERROR(TEXTJOIN(""/"",1,FILTER($B$39:$IV$39,$B$38:$IV$38=EJ$97)),"" "")")," ")</f>
        <v> </v>
      </c>
      <c r="EK82" s="48" t="str">
        <f>IFERROR(__xludf.DUMMYFUNCTION("IFERROR(TEXTJOIN(""/"",1,FILTER($B$39:$IV$39,$B$38:$IV$38=EK$97)),"" "")")," ")</f>
        <v> </v>
      </c>
      <c r="EL82" s="48" t="str">
        <f>IFERROR(__xludf.DUMMYFUNCTION("IFERROR(TEXTJOIN(""/"",1,FILTER($B$39:$IV$39,$B$38:$IV$38=EL$97)),"" "")")," ")</f>
        <v> </v>
      </c>
      <c r="EM82" s="48" t="str">
        <f>IFERROR(__xludf.DUMMYFUNCTION("IFERROR(TEXTJOIN(""/"",1,FILTER($B$39:$IV$39,$B$38:$IV$38=EM$97)),"" "")"),"5")</f>
        <v>5</v>
      </c>
      <c r="EN82" s="48" t="str">
        <f>IFERROR(__xludf.DUMMYFUNCTION("IFERROR(TEXTJOIN(""/"",1,FILTER($B$39:$IV$39,$B$38:$IV$38=EN$97)),"" "")")," ")</f>
        <v> </v>
      </c>
      <c r="EO82" s="48" t="str">
        <f>IFERROR(__xludf.DUMMYFUNCTION("IFERROR(TEXTJOIN(""/"",1,FILTER($B$39:$IV$39,$B$38:$IV$38=EO$97)),"" "")")," ")</f>
        <v> </v>
      </c>
      <c r="EP82" s="48" t="str">
        <f>IFERROR(__xludf.DUMMYFUNCTION("IFERROR(TEXTJOIN(""/"",1,FILTER($B$39:$IV$39,$B$38:$IV$38=EP$97)),"" "")")," ")</f>
        <v> </v>
      </c>
      <c r="EQ82" s="48" t="str">
        <f>IFERROR(__xludf.DUMMYFUNCTION("IFERROR(TEXTJOIN(""/"",1,FILTER($B$39:$IV$39,$B$38:$IV$38=EQ$97)),"" "")")," ")</f>
        <v> </v>
      </c>
      <c r="ER82" s="48" t="str">
        <f>IFERROR(__xludf.DUMMYFUNCTION("IFERROR(TEXTJOIN(""/"",1,FILTER($B$39:$IV$39,$B$38:$IV$38=ER$97)),"" "")")," ")</f>
        <v> </v>
      </c>
      <c r="ES82" s="48" t="str">
        <f>IFERROR(__xludf.DUMMYFUNCTION("IFERROR(TEXTJOIN(""/"",1,FILTER($B$39:$IV$39,$B$38:$IV$38=ES$97)),"" "")")," ")</f>
        <v> </v>
      </c>
      <c r="ET82" s="48" t="str">
        <f>IFERROR(__xludf.DUMMYFUNCTION("IFERROR(TEXTJOIN(""/"",1,FILTER($B$39:$IV$39,$B$38:$IV$38=ET$97)),"" "")"),"")</f>
        <v/>
      </c>
      <c r="EU82" s="48" t="str">
        <f>IFERROR(__xludf.DUMMYFUNCTION("IFERROR(TEXTJOIN(""/"",1,FILTER($B$39:$IV$39,$B$38:$IV$38=EU$97)),"" "")")," ")</f>
        <v> </v>
      </c>
      <c r="EV82" s="48" t="str">
        <f>IFERROR(__xludf.DUMMYFUNCTION("IFERROR(TEXTJOIN(""/"",1,FILTER($B$39:$IV$39,$B$38:$IV$38=EV$97)),"" "")")," ")</f>
        <v> </v>
      </c>
      <c r="EW82" s="48" t="str">
        <f>IFERROR(__xludf.DUMMYFUNCTION("IFERROR(TEXTJOIN(""/"",1,FILTER($B$39:$IV$39,$B$38:$IV$38=EW$97)),"" "")"),"н")</f>
        <v>н</v>
      </c>
      <c r="EX82" s="48" t="str">
        <f>IFERROR(__xludf.DUMMYFUNCTION("IFERROR(TEXTJOIN(""/"",1,FILTER($B$39:$IV$39,$B$38:$IV$38=EX$97)),"" "")")," ")</f>
        <v> </v>
      </c>
      <c r="EY82" s="48" t="str">
        <f>IFERROR(__xludf.DUMMYFUNCTION("IFERROR(TEXTJOIN(""/"",1,FILTER($B$39:$IV$39,$B$38:$IV$38=EY$97)),"" "")")," ")</f>
        <v> </v>
      </c>
      <c r="EZ82" s="48" t="str">
        <f>IFERROR(__xludf.DUMMYFUNCTION("IFERROR(TEXTJOIN(""/"",1,FILTER($B$39:$IV$39,$B$38:$IV$38=EZ$97)),"" "")")," ")</f>
        <v> </v>
      </c>
      <c r="FA82" s="48" t="str">
        <f>IFERROR(__xludf.DUMMYFUNCTION("IFERROR(TEXTJOIN(""/"",1,FILTER($B$39:$IV$39,$B$38:$IV$38=FA$97)),"" "")"),"")</f>
        <v/>
      </c>
      <c r="FB82" s="48" t="str">
        <f>IFERROR(__xludf.DUMMYFUNCTION("IFERROR(TEXTJOIN(""/"",1,FILTER($B$39:$IV$39,$B$38:$IV$38=FB$97)),"" "")")," ")</f>
        <v> </v>
      </c>
      <c r="FC82" s="48" t="str">
        <f>IFERROR(__xludf.DUMMYFUNCTION("IFERROR(TEXTJOIN(""/"",1,FILTER($B$39:$IV$39,$B$38:$IV$38=FC$97)),"" "")")," ")</f>
        <v> </v>
      </c>
      <c r="FD82" s="48" t="str">
        <f>IFERROR(__xludf.DUMMYFUNCTION("IFERROR(TEXTJOIN(""/"",1,FILTER($B$39:$IV$39,$B$38:$IV$38=FD$97)),"" "")"),"4")</f>
        <v>4</v>
      </c>
      <c r="FE82" s="48" t="str">
        <f>IFERROR(__xludf.DUMMYFUNCTION("IFERROR(TEXTJOIN(""/"",1,FILTER($B$39:$IV$39,$B$38:$IV$38=FE$97)),"" "")")," ")</f>
        <v> </v>
      </c>
      <c r="FF82" s="48" t="str">
        <f>IFERROR(__xludf.DUMMYFUNCTION("IFERROR(TEXTJOIN(""/"",1,FILTER($B$39:$IV$39,$B$38:$IV$38=FF$97)),"" "")")," ")</f>
        <v> </v>
      </c>
      <c r="FG82" s="48" t="str">
        <f>IFERROR(__xludf.DUMMYFUNCTION("IFERROR(TEXTJOIN(""/"",1,FILTER($B$39:$IV$39,$B$38:$IV$38=FG$97)),"" "")")," ")</f>
        <v> </v>
      </c>
      <c r="FH82" s="48" t="str">
        <f>IFERROR(__xludf.DUMMYFUNCTION("IFERROR(TEXTJOIN(""/"",1,FILTER($B$39:$IV$39,$B$38:$IV$38=FH$97)),"" "")"),"")</f>
        <v/>
      </c>
      <c r="FI82" s="48" t="str">
        <f>IFERROR(__xludf.DUMMYFUNCTION("IFERROR(TEXTJOIN(""/"",1,FILTER($B$39:$IV$39,$B$38:$IV$38=FI$97)),"" "")")," ")</f>
        <v> </v>
      </c>
      <c r="FJ82" s="48" t="str">
        <f>IFERROR(__xludf.DUMMYFUNCTION("IFERROR(TEXTJOIN(""/"",1,FILTER($B$39:$IV$39,$B$38:$IV$38=FJ$97)),"" "")")," ")</f>
        <v> </v>
      </c>
      <c r="FK82" s="48" t="str">
        <f>IFERROR(__xludf.DUMMYFUNCTION("IFERROR(TEXTJOIN(""/"",1,FILTER($B$39:$IV$39,$B$38:$IV$38=FK$97)),"" "")"),"")</f>
        <v/>
      </c>
      <c r="FL82" s="48" t="str">
        <f>IFERROR(__xludf.DUMMYFUNCTION("IFERROR(TEXTJOIN(""/"",1,FILTER($B$39:$IV$39,$B$38:$IV$38=FL$97)),"" "")")," ")</f>
        <v> </v>
      </c>
      <c r="FM82" s="48" t="str">
        <f>IFERROR(__xludf.DUMMYFUNCTION("IFERROR(TEXTJOIN(""/"",1,FILTER($B$39:$IV$39,$B$38:$IV$38=FM$97)),"" "")")," ")</f>
        <v> </v>
      </c>
      <c r="FN82" s="48" t="str">
        <f>IFERROR(__xludf.DUMMYFUNCTION("IFERROR(TEXTJOIN(""/"",1,FILTER($B$39:$IV$39,$B$38:$IV$38=FN$97)),"" "")")," ")</f>
        <v> </v>
      </c>
      <c r="FO82" s="48" t="str">
        <f>IFERROR(__xludf.DUMMYFUNCTION("IFERROR(TEXTJOIN(""/"",1,FILTER($B$39:$IV$39,$B$38:$IV$38=FO$97)),"" "")"),"")</f>
        <v/>
      </c>
      <c r="FP82" s="48" t="str">
        <f>IFERROR(__xludf.DUMMYFUNCTION("IFERROR(TEXTJOIN(""/"",1,FILTER($B$39:$IV$39,$B$38:$IV$38=FP$97)),"" "")")," ")</f>
        <v> </v>
      </c>
      <c r="FQ82" s="48" t="str">
        <f>IFERROR(__xludf.DUMMYFUNCTION("IFERROR(TEXTJOIN(""/"",1,FILTER($B$39:$IV$39,$B$38:$IV$38=FQ$97)),"" "")")," ")</f>
        <v> </v>
      </c>
      <c r="FR82" s="48" t="str">
        <f>IFERROR(__xludf.DUMMYFUNCTION("IFERROR(TEXTJOIN(""/"",1,FILTER($B$39:$IV$39,$B$38:$IV$38=FR$97)),"" "")"),"")</f>
        <v/>
      </c>
      <c r="FS82" s="48" t="str">
        <f>IFERROR(__xludf.DUMMYFUNCTION("IFERROR(TEXTJOIN(""/"",1,FILTER($B$39:$IV$39,$B$38:$IV$38=FS$97)),"" "")")," ")</f>
        <v> </v>
      </c>
      <c r="FT82" s="48" t="str">
        <f>IFERROR(__xludf.DUMMYFUNCTION("IFERROR(TEXTJOIN(""/"",1,FILTER($B$39:$IV$39,$B$38:$IV$38=FT$97)),"" "")")," ")</f>
        <v> </v>
      </c>
      <c r="FU82" s="48" t="str">
        <f>IFERROR(__xludf.DUMMYFUNCTION("IFERROR(TEXTJOIN(""/"",1,FILTER($B$39:$IV$39,$B$38:$IV$38=FU$97)),"" "")")," ")</f>
        <v> </v>
      </c>
      <c r="FV82" s="48" t="str">
        <f>IFERROR(__xludf.DUMMYFUNCTION("IFERROR(TEXTJOIN(""/"",1,FILTER($B$39:$IV$39,$B$38:$IV$38=FV$97)),"" "")"),"")</f>
        <v/>
      </c>
      <c r="FW82" s="48" t="str">
        <f>IFERROR(__xludf.DUMMYFUNCTION("IFERROR(TEXTJOIN(""/"",1,FILTER($B$39:$IV$39,$B$38:$IV$38=FW$97)),"" "")")," ")</f>
        <v> </v>
      </c>
      <c r="FX82" s="48" t="str">
        <f>IFERROR(__xludf.DUMMYFUNCTION("IFERROR(TEXTJOIN(""/"",1,FILTER($B$39:$IV$39,$B$38:$IV$38=FX$97)),"" "")")," ")</f>
        <v> </v>
      </c>
      <c r="FY82" s="48" t="str">
        <f>IFERROR(__xludf.DUMMYFUNCTION("IFERROR(TEXTJOIN(""/"",1,FILTER($B$39:$IV$39,$B$38:$IV$38=FY$97)),"" "")"),"")</f>
        <v/>
      </c>
      <c r="FZ82" s="48" t="str">
        <f>IFERROR(__xludf.DUMMYFUNCTION("IFERROR(TEXTJOIN(""/"",1,FILTER($B$39:$IV$39,$B$38:$IV$38=FZ$97)),"" "")")," ")</f>
        <v> </v>
      </c>
      <c r="GA82" s="48" t="str">
        <f>IFERROR(__xludf.DUMMYFUNCTION("IFERROR(TEXTJOIN(""/"",1,FILTER($B$39:$IV$39,$B$38:$IV$38=GA$97)),"" "")")," ")</f>
        <v> </v>
      </c>
      <c r="GB82" s="48" t="str">
        <f>IFERROR(__xludf.DUMMYFUNCTION("IFERROR(TEXTJOIN(""/"",1,FILTER($B$39:$IV$39,$B$38:$IV$38=GB$97)),"" "")")," ")</f>
        <v> </v>
      </c>
      <c r="GC82" s="48" t="str">
        <f>IFERROR(__xludf.DUMMYFUNCTION("IFERROR(TEXTJOIN(""/"",1,FILTER($B$39:$IV$39,$B$38:$IV$38=GC$97)),"" "")"),"4")</f>
        <v>4</v>
      </c>
      <c r="GD82" s="48" t="str">
        <f>IFERROR(__xludf.DUMMYFUNCTION("IFERROR(TEXTJOIN(""/"",1,FILTER($B$39:$IV$39,$B$38:$IV$38=GD$97)),"" "")")," ")</f>
        <v> </v>
      </c>
      <c r="GE82" s="48" t="str">
        <f>IFERROR(__xludf.DUMMYFUNCTION("IFERROR(TEXTJOIN(""/"",1,FILTER($B$39:$IV$39,$B$38:$IV$38=GE$97)),"" "")")," ")</f>
        <v> </v>
      </c>
      <c r="GF82" s="48" t="str">
        <f>IFERROR(__xludf.DUMMYFUNCTION("IFERROR(TEXTJOIN(""/"",1,FILTER($B$39:$IV$39,$B$38:$IV$38=GF$97)),"" "")"),"")</f>
        <v/>
      </c>
      <c r="GG82" s="48" t="str">
        <f>IFERROR(__xludf.DUMMYFUNCTION("IFERROR(TEXTJOIN(""/"",1,FILTER($B$39:$IV$39,$B$38:$IV$38=GG$97)),"" "")")," ")</f>
        <v> </v>
      </c>
      <c r="GH82" s="48" t="str">
        <f>IFERROR(__xludf.DUMMYFUNCTION("IFERROR(TEXTJOIN(""/"",1,FILTER($B$39:$IV$39,$B$38:$IV$38=GH$97)),"" "")")," ")</f>
        <v> </v>
      </c>
      <c r="GI82" s="48" t="str">
        <f>IFERROR(__xludf.DUMMYFUNCTION("IFERROR(TEXTJOIN(""/"",1,FILTER($B$39:$IV$39,$B$38:$IV$38=GI$97)),"" "")")," ")</f>
        <v> </v>
      </c>
      <c r="GJ82" s="48" t="str">
        <f>IFERROR(__xludf.DUMMYFUNCTION("IFERROR(TEXTJOIN(""/"",1,FILTER($B$39:$IV$39,$B$38:$IV$38=GJ$97)),"" "")"),"")</f>
        <v/>
      </c>
      <c r="GK82" s="48" t="str">
        <f>IFERROR(__xludf.DUMMYFUNCTION("IFERROR(TEXTJOIN(""/"",1,FILTER($B$39:$IV$39,$B$38:$IV$38=GK$97)),"" "")")," ")</f>
        <v> </v>
      </c>
      <c r="GL82" s="48" t="str">
        <f>IFERROR(__xludf.DUMMYFUNCTION("IFERROR(TEXTJOIN(""/"",1,FILTER($B$39:$IV$39,$B$38:$IV$38=GL$97)),"" "")")," ")</f>
        <v> </v>
      </c>
      <c r="GM82" s="48" t="str">
        <f>IFERROR(__xludf.DUMMYFUNCTION("IFERROR(TEXTJOIN(""/"",1,FILTER($B$39:$IV$39,$B$38:$IV$38=GM$97)),"" "")"),"")</f>
        <v/>
      </c>
      <c r="GN82" s="48" t="str">
        <f>IFERROR(__xludf.DUMMYFUNCTION("IFERROR(TEXTJOIN(""/"",1,FILTER($B$39:$IV$39,$B$38:$IV$38=GN$97)),"" "")")," ")</f>
        <v> </v>
      </c>
      <c r="GO82" s="48" t="str">
        <f>IFERROR(__xludf.DUMMYFUNCTION("IFERROR(TEXTJOIN(""/"",1,FILTER($B$39:$IV$39,$B$38:$IV$38=GO$97)),"" "")")," ")</f>
        <v> </v>
      </c>
      <c r="GP82" s="48" t="str">
        <f>IFERROR(__xludf.DUMMYFUNCTION("IFERROR(TEXTJOIN(""/"",1,FILTER($B$39:$IV$39,$B$38:$IV$38=GP$97)),"" "")")," ")</f>
        <v> </v>
      </c>
      <c r="GQ82" s="48" t="str">
        <f>IFERROR(__xludf.DUMMYFUNCTION("IFERROR(TEXTJOIN(""/"",1,FILTER($B$39:$IV$39,$B$38:$IV$38=GQ$97)),"" "")"),"")</f>
        <v/>
      </c>
      <c r="GR82" s="48" t="str">
        <f>IFERROR(__xludf.DUMMYFUNCTION("IFERROR(TEXTJOIN(""/"",1,FILTER($B$39:$IV$39,$B$38:$IV$38=GR$97)),"" "")")," ")</f>
        <v> </v>
      </c>
      <c r="GS82" s="48" t="str">
        <f>IFERROR(__xludf.DUMMYFUNCTION("IFERROR(TEXTJOIN(""/"",1,FILTER($B$39:$IV$39,$B$38:$IV$38=GS$97)),"" "")")," ")</f>
        <v> </v>
      </c>
      <c r="GT82" s="48" t="str">
        <f>IFERROR(__xludf.DUMMYFUNCTION("IFERROR(TEXTJOIN(""/"",1,FILTER($B$39:$IV$39,$B$38:$IV$38=GT$97)),"" "")")," ")</f>
        <v> </v>
      </c>
      <c r="GU82" s="48" t="str">
        <f>IFERROR(__xludf.DUMMYFUNCTION("IFERROR(TEXTJOIN(""/"",1,FILTER($B$39:$IV$39,$B$38:$IV$38=GU$97)),"" "")")," ")</f>
        <v> </v>
      </c>
      <c r="GV82" s="48" t="str">
        <f>IFERROR(__xludf.DUMMYFUNCTION("IFERROR(TEXTJOIN(""/"",1,FILTER($B$39:$IV$39,$B$38:$IV$38=GV$97)),"" "")")," ")</f>
        <v> </v>
      </c>
      <c r="GW82" s="48" t="str">
        <f>IFERROR(__xludf.DUMMYFUNCTION("IFERROR(TEXTJOIN(""/"",1,FILTER($B$39:$IV$39,$B$38:$IV$38=GW$97)),"" "")")," ")</f>
        <v> </v>
      </c>
      <c r="GX82" s="48" t="str">
        <f>IFERROR(__xludf.DUMMYFUNCTION("IFERROR(TEXTJOIN(""/"",1,FILTER($B$39:$IV$39,$B$38:$IV$38=GX$97)),"" "")")," ")</f>
        <v> </v>
      </c>
      <c r="GY82" s="48" t="str">
        <f>IFERROR(__xludf.DUMMYFUNCTION("IFERROR(TEXTJOIN(""/"",1,FILTER($B$39:$IV$39,$B$38:$IV$38=GY$97)),"" "")")," ")</f>
        <v> </v>
      </c>
      <c r="GZ82" s="48" t="str">
        <f>IFERROR(__xludf.DUMMYFUNCTION("IFERROR(TEXTJOIN(""/"",1,FILTER($B$39:$IV$39,$B$38:$IV$38=GZ$97)),"" "")")," ")</f>
        <v> </v>
      </c>
      <c r="HA82" s="48" t="str">
        <f>IFERROR(__xludf.DUMMYFUNCTION("IFERROR(TEXTJOIN(""/"",1,FILTER($B$39:$IV$39,$B$38:$IV$38=HA$97)),"" "")")," ")</f>
        <v> </v>
      </c>
      <c r="HB82" s="48" t="str">
        <f>IFERROR(__xludf.DUMMYFUNCTION("IFERROR(TEXTJOIN(""/"",1,FILTER($B$39:$IV$39,$B$38:$IV$38=HB$97)),"" "")")," ")</f>
        <v> </v>
      </c>
      <c r="HC82" s="48" t="str">
        <f>IFERROR(__xludf.DUMMYFUNCTION("IFERROR(TEXTJOIN(""/"",1,FILTER($B$39:$IV$39,$B$38:$IV$38=HC$97)),"" "")")," ")</f>
        <v> </v>
      </c>
      <c r="HD82" s="48" t="str">
        <f>IFERROR(__xludf.DUMMYFUNCTION("IFERROR(TEXTJOIN(""/"",1,FILTER($B$39:$IV$39,$B$38:$IV$38=HD$97)),"" "")")," ")</f>
        <v> </v>
      </c>
      <c r="HE82" s="48" t="str">
        <f>IFERROR(__xludf.DUMMYFUNCTION("IFERROR(TEXTJOIN(""/"",1,FILTER($B$39:$IV$39,$B$38:$IV$38=HE$97)),"" "")")," ")</f>
        <v> </v>
      </c>
      <c r="HF82" s="48" t="str">
        <f>IFERROR(__xludf.DUMMYFUNCTION("IFERROR(TEXTJOIN(""/"",1,FILTER($B$39:$IV$39,$B$38:$IV$38=HF$97)),"" "")")," ")</f>
        <v> </v>
      </c>
      <c r="HG82" s="48" t="str">
        <f>IFERROR(__xludf.DUMMYFUNCTION("IFERROR(TEXTJOIN(""/"",1,FILTER($B$39:$IV$39,$B$38:$IV$38=HG$97)),"" "")")," ")</f>
        <v> </v>
      </c>
      <c r="HH82" s="48" t="str">
        <f>IFERROR(__xludf.DUMMYFUNCTION("IFERROR(TEXTJOIN(""/"",1,FILTER($B$39:$IV$39,$B$38:$IV$38=HH$97)),"" "")")," ")</f>
        <v> </v>
      </c>
      <c r="HI82" s="48" t="str">
        <f>IFERROR(__xludf.DUMMYFUNCTION("IFERROR(TEXTJOIN(""/"",1,FILTER($B$39:$IV$39,$B$38:$IV$38=HI$97)),"" "")")," ")</f>
        <v> </v>
      </c>
      <c r="HJ82" s="48" t="str">
        <f>IFERROR(__xludf.DUMMYFUNCTION("IFERROR(TEXTJOIN(""/"",1,FILTER($B$39:$IV$39,$B$38:$IV$38=HJ$97)),"" "")")," ")</f>
        <v> </v>
      </c>
      <c r="HK82" s="48" t="str">
        <f>IFERROR(__xludf.DUMMYFUNCTION("IFERROR(TEXTJOIN(""/"",1,FILTER($B$39:$IV$39,$B$38:$IV$38=HK$97)),"" "")")," ")</f>
        <v> </v>
      </c>
      <c r="HL82" s="48" t="str">
        <f>IFERROR(__xludf.DUMMYFUNCTION("IFERROR(TEXTJOIN(""/"",1,FILTER($B$39:$IV$39,$B$38:$IV$38=HL$97)),"" "")")," ")</f>
        <v> </v>
      </c>
      <c r="HM82" s="48" t="str">
        <f>IFERROR(__xludf.DUMMYFUNCTION("IFERROR(TEXTJOIN(""/"",1,FILTER($B$39:$IV$39,$B$38:$IV$38=HM$97)),"" "")")," ")</f>
        <v> </v>
      </c>
      <c r="HN82" s="48" t="str">
        <f>IFERROR(__xludf.DUMMYFUNCTION("IFERROR(TEXTJOIN(""/"",1,FILTER($B$39:$IV$39,$B$38:$IV$38=HN$97)),"" "")")," ")</f>
        <v> </v>
      </c>
      <c r="HO82" s="48" t="str">
        <f>IFERROR(__xludf.DUMMYFUNCTION("IFERROR(TEXTJOIN(""/"",1,FILTER($B$39:$IV$39,$B$38:$IV$38=HO$97)),"" "")")," ")</f>
        <v> </v>
      </c>
      <c r="HP82" s="48" t="str">
        <f>IFERROR(__xludf.DUMMYFUNCTION("IFERROR(TEXTJOIN(""/"",1,FILTER($B$39:$IV$39,$B$38:$IV$38=HP$97)),"" "")")," ")</f>
        <v> </v>
      </c>
      <c r="HQ82" s="48" t="str">
        <f>IFERROR(__xludf.DUMMYFUNCTION("IFERROR(TEXTJOIN(""/"",1,FILTER($B$39:$IV$39,$B$38:$IV$38=HQ$97)),"" "")")," ")</f>
        <v> </v>
      </c>
      <c r="HR82" s="48" t="str">
        <f>IFERROR(__xludf.DUMMYFUNCTION("IFERROR(TEXTJOIN(""/"",1,FILTER($B$39:$IV$39,$B$38:$IV$38=HR$97)),"" "")")," ")</f>
        <v> </v>
      </c>
      <c r="HS82" s="48" t="str">
        <f>IFERROR(__xludf.DUMMYFUNCTION("IFERROR(TEXTJOIN(""/"",1,FILTER($B$39:$IV$39,$B$38:$IV$38=HS$97)),"" "")")," ")</f>
        <v> </v>
      </c>
      <c r="HT82" s="48" t="str">
        <f>IFERROR(__xludf.DUMMYFUNCTION("IFERROR(TEXTJOIN(""/"",1,FILTER($B$39:$IV$39,$B$38:$IV$38=HT$97)),"" "")")," ")</f>
        <v> </v>
      </c>
      <c r="HU82" s="48" t="str">
        <f>IFERROR(__xludf.DUMMYFUNCTION("IFERROR(TEXTJOIN(""/"",1,FILTER($B$39:$IV$39,$B$38:$IV$38=HU$97)),"" "")")," ")</f>
        <v> </v>
      </c>
      <c r="HV82" s="48" t="str">
        <f>IFERROR(__xludf.DUMMYFUNCTION("IFERROR(TEXTJOIN(""/"",1,FILTER($B$39:$IV$39,$B$38:$IV$38=HV$97)),"" "")")," ")</f>
        <v> </v>
      </c>
      <c r="HW82" s="48" t="str">
        <f>IFERROR(__xludf.DUMMYFUNCTION("IFERROR(TEXTJOIN(""/"",1,FILTER($B$39:$IV$39,$B$38:$IV$38=HW$97)),"" "")")," ")</f>
        <v> </v>
      </c>
      <c r="HX82" s="48" t="str">
        <f>IFERROR(__xludf.DUMMYFUNCTION("IFERROR(TEXTJOIN(""/"",1,FILTER($B$39:$IV$39,$B$38:$IV$38=HX$97)),"" "")")," ")</f>
        <v> </v>
      </c>
      <c r="HY82" s="48" t="str">
        <f>IFERROR(__xludf.DUMMYFUNCTION("IFERROR(TEXTJOIN(""/"",1,FILTER($B$39:$IV$39,$B$38:$IV$38=HY$97)),"" "")")," ")</f>
        <v> </v>
      </c>
      <c r="HZ82" s="48" t="str">
        <f>IFERROR(__xludf.DUMMYFUNCTION("IFERROR(TEXTJOIN(""/"",1,FILTER($B$39:$IV$39,$B$38:$IV$38=HZ$97)),"" "")")," ")</f>
        <v> </v>
      </c>
      <c r="IA82" s="48" t="str">
        <f>IFERROR(__xludf.DUMMYFUNCTION("IFERROR(TEXTJOIN(""/"",1,FILTER($B$39:$IV$39,$B$38:$IV$38=IA$97)),"" "")")," ")</f>
        <v> </v>
      </c>
      <c r="IB82" s="48" t="str">
        <f>IFERROR(__xludf.DUMMYFUNCTION("IFERROR(TEXTJOIN(""/"",1,FILTER($B$39:$IV$39,$B$38:$IV$38=IB$97)),"" "")")," ")</f>
        <v> </v>
      </c>
      <c r="IC82" s="48" t="str">
        <f>IFERROR(__xludf.DUMMYFUNCTION("IFERROR(TEXTJOIN(""/"",1,FILTER($B$39:$IV$39,$B$38:$IV$38=IC$97)),"" "")")," ")</f>
        <v> </v>
      </c>
      <c r="ID82" s="48" t="str">
        <f>IFERROR(__xludf.DUMMYFUNCTION("IFERROR(TEXTJOIN(""/"",1,FILTER($B$39:$IV$39,$B$38:$IV$38=ID$97)),"" "")")," ")</f>
        <v> </v>
      </c>
      <c r="IE82" s="48" t="str">
        <f>IFERROR(__xludf.DUMMYFUNCTION("IFERROR(TEXTJOIN(""/"",1,FILTER($B$39:$IV$39,$B$38:$IV$38=IE$97)),"" "")")," ")</f>
        <v> </v>
      </c>
      <c r="IF82" s="48" t="str">
        <f>IFERROR(__xludf.DUMMYFUNCTION("IFERROR(TEXTJOIN(""/"",1,FILTER($B$39:$IV$39,$B$38:$IV$38=IF$97)),"" "")")," ")</f>
        <v> </v>
      </c>
      <c r="IG82" s="48" t="str">
        <f>IFERROR(__xludf.DUMMYFUNCTION("IFERROR(TEXTJOIN(""/"",1,FILTER($B$39:$IV$39,$B$38:$IV$38=IG$97)),"" "")")," ")</f>
        <v> </v>
      </c>
      <c r="IH82" s="48" t="str">
        <f>IFERROR(__xludf.DUMMYFUNCTION("IFERROR(TEXTJOIN(""/"",1,FILTER($B$39:$IV$39,$B$38:$IV$38=IH$97)),"" "")")," ")</f>
        <v> </v>
      </c>
      <c r="II82" s="48" t="str">
        <f>IFERROR(__xludf.DUMMYFUNCTION("IFERROR(TEXTJOIN(""/"",1,FILTER($B$39:$IV$39,$B$38:$IV$38=II$97)),"" "")")," ")</f>
        <v> </v>
      </c>
      <c r="IJ82" s="48" t="str">
        <f>IFERROR(__xludf.DUMMYFUNCTION("IFERROR(TEXTJOIN(""/"",1,FILTER($B$39:$IV$39,$B$38:$IV$38=IJ$97)),"" "")")," ")</f>
        <v> </v>
      </c>
      <c r="IK82" s="48" t="str">
        <f>IFERROR(__xludf.DUMMYFUNCTION("IFERROR(TEXTJOIN(""/"",1,FILTER($B$39:$IV$39,$B$38:$IV$38=IK$97)),"" "")")," ")</f>
        <v> </v>
      </c>
      <c r="IL82" s="48" t="str">
        <f>IFERROR(__xludf.DUMMYFUNCTION("IFERROR(TEXTJOIN(""/"",1,FILTER($B$39:$IV$39,$B$38:$IV$38=IL$97)),"" "")")," ")</f>
        <v> </v>
      </c>
      <c r="IM82" s="48" t="str">
        <f>IFERROR(__xludf.DUMMYFUNCTION("IFERROR(TEXTJOIN(""/"",1,FILTER($B$39:$IV$39,$B$38:$IV$38=IM$97)),"" "")")," ")</f>
        <v> </v>
      </c>
      <c r="IN82" s="48" t="str">
        <f>IFERROR(__xludf.DUMMYFUNCTION("IFERROR(TEXTJOIN(""/"",1,FILTER($B$39:$IV$39,$B$38:$IV$38=IN$97)),"" "")")," ")</f>
        <v> </v>
      </c>
      <c r="IO82" s="48" t="str">
        <f>IFERROR(__xludf.DUMMYFUNCTION("IFERROR(TEXTJOIN(""/"",1,FILTER($B$39:$IV$39,$B$38:$IV$38=IO$97)),"" "")")," ")</f>
        <v> </v>
      </c>
      <c r="IP82" s="48" t="str">
        <f>IFERROR(__xludf.DUMMYFUNCTION("IFERROR(TEXTJOIN(""/"",1,FILTER($B$39:$IV$39,$B$38:$IV$38=IP$97)),"" "")")," ")</f>
        <v> </v>
      </c>
      <c r="IQ82" s="48" t="str">
        <f>IFERROR(__xludf.DUMMYFUNCTION("IFERROR(TEXTJOIN(""/"",1,FILTER($B$39:$IV$39,$B$38:$IV$38=IQ$97)),"" "")")," ")</f>
        <v> </v>
      </c>
      <c r="IR82" s="48" t="str">
        <f>IFERROR(__xludf.DUMMYFUNCTION("IFERROR(TEXTJOIN(""/"",1,FILTER($B$39:$IV$39,$B$38:$IV$38=IR$97)),"" "")")," ")</f>
        <v> </v>
      </c>
      <c r="IS82" s="48" t="str">
        <f>IFERROR(__xludf.DUMMYFUNCTION("IFERROR(TEXTJOIN(""/"",1,FILTER($B$39:$IV$39,$B$38:$IV$38=IS$97)),"" "")")," ")</f>
        <v> </v>
      </c>
      <c r="IT82" s="48" t="str">
        <f>IFERROR(__xludf.DUMMYFUNCTION("IFERROR(TEXTJOIN(""/"",1,FILTER($B$39:$IV$39,$B$38:$IV$38=IT$97)),"" "")")," ")</f>
        <v> </v>
      </c>
      <c r="IU82" s="48" t="str">
        <f>IFERROR(__xludf.DUMMYFUNCTION("IFERROR(TEXTJOIN(""/"",1,FILTER($B$39:$IV$39,$B$38:$IV$38=IU$97)),"" "")")," ")</f>
        <v> </v>
      </c>
      <c r="IV82" s="48" t="str">
        <f>IFERROR(__xludf.DUMMYFUNCTION("IFERROR(TEXTJOIN(""/"",1,FILTER($B$39:$IV$39,$B$38:$IV$38=IV$97)),"" "")")," ")</f>
        <v> </v>
      </c>
      <c r="IW82" s="48" t="str">
        <f>IFERROR(__xludf.DUMMYFUNCTION("IFERROR(TEXTJOIN(""/"",1,FILTER($B$39:$IV$39,$B$38:$IV$38=IW$97)),"" "")")," ")</f>
        <v> </v>
      </c>
      <c r="IX82" s="48" t="str">
        <f>IFERROR(__xludf.DUMMYFUNCTION("IFERROR(TEXTJOIN(""/"",1,FILTER($B$39:$IV$39,$B$38:$IV$38=IX$97)),"" "")")," ")</f>
        <v> </v>
      </c>
      <c r="IY82" s="48" t="str">
        <f>IFERROR(__xludf.DUMMYFUNCTION("IFERROR(TEXTJOIN(""/"",1,FILTER($B$39:$IV$39,$B$38:$IV$38=IY$97)),"" "")")," ")</f>
        <v> </v>
      </c>
      <c r="IZ82" s="48" t="str">
        <f>IFERROR(__xludf.DUMMYFUNCTION("IFERROR(TEXTJOIN(""/"",1,FILTER($B$39:$IV$39,$B$38:$IV$38=IZ$97)),"" "")")," ")</f>
        <v> </v>
      </c>
      <c r="JA82" s="48" t="str">
        <f>IFERROR(__xludf.DUMMYFUNCTION("IFERROR(TEXTJOIN(""/"",1,FILTER($B$39:$IV$39,$B$38:$IV$38=JA$97)),"" "")")," ")</f>
        <v> </v>
      </c>
      <c r="JB82" s="48" t="str">
        <f>IFERROR(__xludf.DUMMYFUNCTION("IFERROR(TEXTJOIN(""/"",1,FILTER($B$39:$IV$39,$B$38:$IV$38=JB$97)),"" "")")," ")</f>
        <v> </v>
      </c>
      <c r="JC82" s="48" t="str">
        <f>IFERROR(__xludf.DUMMYFUNCTION("IFERROR(TEXTJOIN(""/"",1,FILTER($B$39:$IV$39,$B$38:$IV$38=JC$97)),"" "")")," ")</f>
        <v> </v>
      </c>
      <c r="JD82" s="48" t="str">
        <f>IFERROR(__xludf.DUMMYFUNCTION("IFERROR(TEXTJOIN(""/"",1,FILTER($B$39:$IV$39,$B$38:$IV$38=JD$97)),"" "")")," ")</f>
        <v> </v>
      </c>
      <c r="JE82" s="48" t="str">
        <f>IFERROR(__xludf.DUMMYFUNCTION("IFERROR(TEXTJOIN(""/"",1,FILTER($B$39:$IV$39,$B$38:$IV$38=JE$97)),"" "")")," ")</f>
        <v> </v>
      </c>
    </row>
    <row r="83">
      <c r="A83" s="47" t="str">
        <f>IFERROR(__xludf.DUMMYFUNCTION("""COMPUTED_VALUE"""),"Музыка")</f>
        <v>Музыка</v>
      </c>
      <c r="B83" s="48" t="str">
        <f>IFERROR(__xludf.DUMMYFUNCTION("IFERROR(TEXTJOIN(""/"",1,FILTER($B$42:$IV$42,$B$41:$IV$41=B$97)),"" "")"),"")</f>
        <v/>
      </c>
      <c r="C83" s="48" t="str">
        <f>IFERROR(__xludf.DUMMYFUNCTION("IFERROR(TEXTJOIN(""/"",1,FILTER($B$42:$IV$42,$B$41:$IV$41=C$97)),"" "")")," ")</f>
        <v> </v>
      </c>
      <c r="D83" s="48" t="str">
        <f>IFERROR(__xludf.DUMMYFUNCTION("IFERROR(TEXTJOIN(""/"",1,FILTER($B$42:$IV$42,$B$41:$IV$41=D$97)),"" "")")," ")</f>
        <v> </v>
      </c>
      <c r="E83" s="48" t="str">
        <f>IFERROR(__xludf.DUMMYFUNCTION("IFERROR(TEXTJOIN(""/"",1,FILTER($B$42:$IV$42,$B$41:$IV$41=E$97)),"" "")")," ")</f>
        <v> </v>
      </c>
      <c r="F83" s="48" t="str">
        <f>IFERROR(__xludf.DUMMYFUNCTION("IFERROR(TEXTJOIN(""/"",1,FILTER($B$42:$IV$42,$B$41:$IV$41=F$97)),"" "")")," ")</f>
        <v> </v>
      </c>
      <c r="G83" s="48" t="str">
        <f>IFERROR(__xludf.DUMMYFUNCTION("IFERROR(TEXTJOIN(""/"",1,FILTER($B$42:$IV$42,$B$41:$IV$41=G$97)),"" "")")," ")</f>
        <v> </v>
      </c>
      <c r="H83" s="48" t="str">
        <f>IFERROR(__xludf.DUMMYFUNCTION("IFERROR(TEXTJOIN(""/"",1,FILTER($B$42:$IV$42,$B$41:$IV$41=H$97)),"" "")"),"5")</f>
        <v>5</v>
      </c>
      <c r="I83" s="48" t="str">
        <f>IFERROR(__xludf.DUMMYFUNCTION("IFERROR(TEXTJOIN(""/"",1,FILTER($B$42:$IV$42,$B$41:$IV$41=I$97)),"" "")")," ")</f>
        <v> </v>
      </c>
      <c r="J83" s="48" t="str">
        <f>IFERROR(__xludf.DUMMYFUNCTION("IFERROR(TEXTJOIN(""/"",1,FILTER($B$42:$IV$42,$B$41:$IV$41=J$97)),"" "")")," ")</f>
        <v> </v>
      </c>
      <c r="K83" s="48" t="str">
        <f>IFERROR(__xludf.DUMMYFUNCTION("IFERROR(TEXTJOIN(""/"",1,FILTER($B$42:$IV$42,$B$41:$IV$41=K$97)),"" "")")," ")</f>
        <v> </v>
      </c>
      <c r="L83" s="48" t="str">
        <f>IFERROR(__xludf.DUMMYFUNCTION("IFERROR(TEXTJOIN(""/"",1,FILTER($B$42:$IV$42,$B$41:$IV$41=L$97)),"" "")")," ")</f>
        <v> </v>
      </c>
      <c r="M83" s="48" t="str">
        <f>IFERROR(__xludf.DUMMYFUNCTION("IFERROR(TEXTJOIN(""/"",1,FILTER($B$42:$IV$42,$B$41:$IV$41=M$97)),"" "")")," ")</f>
        <v> </v>
      </c>
      <c r="N83" s="48" t="str">
        <f>IFERROR(__xludf.DUMMYFUNCTION("IFERROR(TEXTJOIN(""/"",1,FILTER($B$42:$IV$42,$B$41:$IV$41=N$97)),"" "")")," ")</f>
        <v> </v>
      </c>
      <c r="O83" s="48" t="str">
        <f>IFERROR(__xludf.DUMMYFUNCTION("IFERROR(TEXTJOIN(""/"",1,FILTER($B$42:$IV$42,$B$41:$IV$41=O$97)),"" "")"),"")</f>
        <v/>
      </c>
      <c r="P83" s="48" t="str">
        <f>IFERROR(__xludf.DUMMYFUNCTION("IFERROR(TEXTJOIN(""/"",1,FILTER($B$42:$IV$42,$B$41:$IV$41=P$97)),"" "")")," ")</f>
        <v> </v>
      </c>
      <c r="Q83" s="48" t="str">
        <f>IFERROR(__xludf.DUMMYFUNCTION("IFERROR(TEXTJOIN(""/"",1,FILTER($B$42:$IV$42,$B$41:$IV$41=Q$97)),"" "")")," ")</f>
        <v> </v>
      </c>
      <c r="R83" s="48" t="str">
        <f>IFERROR(__xludf.DUMMYFUNCTION("IFERROR(TEXTJOIN(""/"",1,FILTER($B$42:$IV$42,$B$41:$IV$41=R$97)),"" "")")," ")</f>
        <v> </v>
      </c>
      <c r="S83" s="48" t="str">
        <f>IFERROR(__xludf.DUMMYFUNCTION("IFERROR(TEXTJOIN(""/"",1,FILTER($B$42:$IV$42,$B$41:$IV$41=S$97)),"" "")")," ")</f>
        <v> </v>
      </c>
      <c r="T83" s="48" t="str">
        <f>IFERROR(__xludf.DUMMYFUNCTION("IFERROR(TEXTJOIN(""/"",1,FILTER($B$42:$IV$42,$B$41:$IV$41=T$97)),"" "")")," ")</f>
        <v> </v>
      </c>
      <c r="U83" s="48" t="str">
        <f>IFERROR(__xludf.DUMMYFUNCTION("IFERROR(TEXTJOIN(""/"",1,FILTER($B$42:$IV$42,$B$41:$IV$41=U$97)),"" "")")," ")</f>
        <v> </v>
      </c>
      <c r="V83" s="48" t="str">
        <f>IFERROR(__xludf.DUMMYFUNCTION("IFERROR(TEXTJOIN(""/"",1,FILTER($B$42:$IV$42,$B$41:$IV$41=V$97)),"" "")"),"")</f>
        <v/>
      </c>
      <c r="W83" s="48" t="str">
        <f>IFERROR(__xludf.DUMMYFUNCTION("IFERROR(TEXTJOIN(""/"",1,FILTER($B$42:$IV$42,$B$41:$IV$41=W$97)),"" "")")," ")</f>
        <v> </v>
      </c>
      <c r="X83" s="48" t="str">
        <f>IFERROR(__xludf.DUMMYFUNCTION("IFERROR(TEXTJOIN(""/"",1,FILTER($B$42:$IV$42,$B$41:$IV$41=X$97)),"" "")")," ")</f>
        <v> </v>
      </c>
      <c r="Y83" s="48" t="str">
        <f>IFERROR(__xludf.DUMMYFUNCTION("IFERROR(TEXTJOIN(""/"",1,FILTER($B$42:$IV$42,$B$41:$IV$41=Y$97)),"" "")")," ")</f>
        <v> </v>
      </c>
      <c r="Z83" s="48" t="str">
        <f>IFERROR(__xludf.DUMMYFUNCTION("IFERROR(TEXTJOIN(""/"",1,FILTER($B$42:$IV$42,$B$41:$IV$41=Z$97)),"" "")")," ")</f>
        <v> </v>
      </c>
      <c r="AA83" s="48" t="str">
        <f>IFERROR(__xludf.DUMMYFUNCTION("IFERROR(TEXTJOIN(""/"",1,FILTER($B$42:$IV$42,$B$41:$IV$41=AA$97)),"" "")")," ")</f>
        <v> </v>
      </c>
      <c r="AB83" s="48" t="str">
        <f>IFERROR(__xludf.DUMMYFUNCTION("IFERROR(TEXTJOIN(""/"",1,FILTER($B$42:$IV$42,$B$41:$IV$41=AB$97)),"" "")")," ")</f>
        <v> </v>
      </c>
      <c r="AC83" s="48" t="str">
        <f>IFERROR(__xludf.DUMMYFUNCTION("IFERROR(TEXTJOIN(""/"",1,FILTER($B$42:$IV$42,$B$41:$IV$41=AC$97)),"" "")"),"")</f>
        <v/>
      </c>
      <c r="AD83" s="48" t="str">
        <f>IFERROR(__xludf.DUMMYFUNCTION("IFERROR(TEXTJOIN(""/"",1,FILTER($B$42:$IV$42,$B$41:$IV$41=AD$97)),"" "")")," ")</f>
        <v> </v>
      </c>
      <c r="AE83" s="48" t="str">
        <f>IFERROR(__xludf.DUMMYFUNCTION("IFERROR(TEXTJOIN(""/"",1,FILTER($B$42:$IV$42,$B$41:$IV$41=AE$97)),"" "")")," ")</f>
        <v> </v>
      </c>
      <c r="AF83" s="48" t="str">
        <f>IFERROR(__xludf.DUMMYFUNCTION("IFERROR(TEXTJOIN(""/"",1,FILTER($B$42:$IV$42,$B$41:$IV$41=AF$97)),"" "")")," ")</f>
        <v> </v>
      </c>
      <c r="AG83" s="48" t="str">
        <f>IFERROR(__xludf.DUMMYFUNCTION("IFERROR(TEXTJOIN(""/"",1,FILTER($B$42:$IV$42,$B$41:$IV$41=AG$97)),"" "")")," ")</f>
        <v> </v>
      </c>
      <c r="AH83" s="48" t="str">
        <f>IFERROR(__xludf.DUMMYFUNCTION("IFERROR(TEXTJOIN(""/"",1,FILTER($B$42:$IV$42,$B$41:$IV$41=AH$97)),"" "")")," ")</f>
        <v> </v>
      </c>
      <c r="AI83" s="48" t="str">
        <f>IFERROR(__xludf.DUMMYFUNCTION("IFERROR(TEXTJOIN(""/"",1,FILTER($B$42:$IV$42,$B$41:$IV$41=AI$97)),"" "")")," ")</f>
        <v> </v>
      </c>
      <c r="AJ83" s="48" t="str">
        <f>IFERROR(__xludf.DUMMYFUNCTION("IFERROR(TEXTJOIN(""/"",1,FILTER($B$42:$IV$42,$B$41:$IV$41=AJ$97)),"" "")"),"")</f>
        <v/>
      </c>
      <c r="AK83" s="48" t="str">
        <f>IFERROR(__xludf.DUMMYFUNCTION("IFERROR(TEXTJOIN(""/"",1,FILTER($B$42:$IV$42,$B$41:$IV$41=AK$97)),"" "")")," ")</f>
        <v> </v>
      </c>
      <c r="AL83" s="48" t="str">
        <f>IFERROR(__xludf.DUMMYFUNCTION("IFERROR(TEXTJOIN(""/"",1,FILTER($B$42:$IV$42,$B$41:$IV$41=AL$97)),"" "")")," ")</f>
        <v> </v>
      </c>
      <c r="AM83" s="48" t="str">
        <f>IFERROR(__xludf.DUMMYFUNCTION("IFERROR(TEXTJOIN(""/"",1,FILTER($B$42:$IV$42,$B$41:$IV$41=AM$97)),"" "")")," ")</f>
        <v> </v>
      </c>
      <c r="AN83" s="48" t="str">
        <f>IFERROR(__xludf.DUMMYFUNCTION("IFERROR(TEXTJOIN(""/"",1,FILTER($B$42:$IV$42,$B$41:$IV$41=AN$97)),"" "")")," ")</f>
        <v> </v>
      </c>
      <c r="AO83" s="48" t="str">
        <f>IFERROR(__xludf.DUMMYFUNCTION("IFERROR(TEXTJOIN(""/"",1,FILTER($B$42:$IV$42,$B$41:$IV$41=AO$97)),"" "")")," ")</f>
        <v> </v>
      </c>
      <c r="AP83" s="48" t="str">
        <f>IFERROR(__xludf.DUMMYFUNCTION("IFERROR(TEXTJOIN(""/"",1,FILTER($B$42:$IV$42,$B$41:$IV$41=AP$97)),"" "")")," ")</f>
        <v> </v>
      </c>
      <c r="AQ83" s="48" t="str">
        <f>IFERROR(__xludf.DUMMYFUNCTION("IFERROR(TEXTJOIN(""/"",1,FILTER($B$42:$IV$42,$B$41:$IV$41=AQ$97)),"" "")"),"")</f>
        <v/>
      </c>
      <c r="AR83" s="48" t="str">
        <f>IFERROR(__xludf.DUMMYFUNCTION("IFERROR(TEXTJOIN(""/"",1,FILTER($B$42:$IV$42,$B$41:$IV$41=AR$97)),"" "")")," ")</f>
        <v> </v>
      </c>
      <c r="AS83" s="48" t="str">
        <f>IFERROR(__xludf.DUMMYFUNCTION("IFERROR(TEXTJOIN(""/"",1,FILTER($B$42:$IV$42,$B$41:$IV$41=AS$97)),"" "")")," ")</f>
        <v> </v>
      </c>
      <c r="AT83" s="48" t="str">
        <f>IFERROR(__xludf.DUMMYFUNCTION("IFERROR(TEXTJOIN(""/"",1,FILTER($B$42:$IV$42,$B$41:$IV$41=AT$97)),"" "")")," ")</f>
        <v> </v>
      </c>
      <c r="AU83" s="48" t="str">
        <f>IFERROR(__xludf.DUMMYFUNCTION("IFERROR(TEXTJOIN(""/"",1,FILTER($B$42:$IV$42,$B$41:$IV$41=AU$97)),"" "")")," ")</f>
        <v> </v>
      </c>
      <c r="AV83" s="48" t="str">
        <f>IFERROR(__xludf.DUMMYFUNCTION("IFERROR(TEXTJOIN(""/"",1,FILTER($B$42:$IV$42,$B$41:$IV$41=AV$97)),"" "")")," ")</f>
        <v> </v>
      </c>
      <c r="AW83" s="48" t="str">
        <f>IFERROR(__xludf.DUMMYFUNCTION("IFERROR(TEXTJOIN(""/"",1,FILTER($B$42:$IV$42,$B$41:$IV$41=AW$97)),"" "")")," ")</f>
        <v> </v>
      </c>
      <c r="AX83" s="48" t="str">
        <f>IFERROR(__xludf.DUMMYFUNCTION("IFERROR(TEXTJOIN(""/"",1,FILTER($B$42:$IV$42,$B$41:$IV$41=AX$97)),"" "")"),"")</f>
        <v/>
      </c>
      <c r="AY83" s="48" t="str">
        <f>IFERROR(__xludf.DUMMYFUNCTION("IFERROR(TEXTJOIN(""/"",1,FILTER($B$42:$IV$42,$B$41:$IV$41=AY$97)),"" "")")," ")</f>
        <v> </v>
      </c>
      <c r="AZ83" s="48" t="str">
        <f>IFERROR(__xludf.DUMMYFUNCTION("IFERROR(TEXTJOIN(""/"",1,FILTER($B$42:$IV$42,$B$41:$IV$41=AZ$97)),"" "")")," ")</f>
        <v> </v>
      </c>
      <c r="BA83" s="48" t="str">
        <f>IFERROR(__xludf.DUMMYFUNCTION("IFERROR(TEXTJOIN(""/"",1,FILTER($B$42:$IV$42,$B$41:$IV$41=BA$97)),"" "")")," ")</f>
        <v> </v>
      </c>
      <c r="BB83" s="48" t="str">
        <f>IFERROR(__xludf.DUMMYFUNCTION("IFERROR(TEXTJOIN(""/"",1,FILTER($B$42:$IV$42,$B$41:$IV$41=BB$97)),"" "")")," ")</f>
        <v> </v>
      </c>
      <c r="BC83" s="48" t="str">
        <f>IFERROR(__xludf.DUMMYFUNCTION("IFERROR(TEXTJOIN(""/"",1,FILTER($B$42:$IV$42,$B$41:$IV$41=BC$97)),"" "")")," ")</f>
        <v> </v>
      </c>
      <c r="BD83" s="48" t="str">
        <f>IFERROR(__xludf.DUMMYFUNCTION("IFERROR(TEXTJOIN(""/"",1,FILTER($B$42:$IV$42,$B$41:$IV$41=BD$97)),"" "")")," ")</f>
        <v> </v>
      </c>
      <c r="BE83" s="48" t="str">
        <f>IFERROR(__xludf.DUMMYFUNCTION("IFERROR(TEXTJOIN(""/"",1,FILTER($B$42:$IV$42,$B$41:$IV$41=BE$97)),"" "")"),"")</f>
        <v/>
      </c>
      <c r="BF83" s="48" t="str">
        <f>IFERROR(__xludf.DUMMYFUNCTION("IFERROR(TEXTJOIN(""/"",1,FILTER($B$42:$IV$42,$B$41:$IV$41=BF$97)),"" "")")," ")</f>
        <v> </v>
      </c>
      <c r="BG83" s="48" t="str">
        <f>IFERROR(__xludf.DUMMYFUNCTION("IFERROR(TEXTJOIN(""/"",1,FILTER($B$42:$IV$42,$B$41:$IV$41=BG$97)),"" "")")," ")</f>
        <v> </v>
      </c>
      <c r="BH83" s="48" t="str">
        <f>IFERROR(__xludf.DUMMYFUNCTION("IFERROR(TEXTJOIN(""/"",1,FILTER($B$42:$IV$42,$B$41:$IV$41=BH$97)),"" "")")," ")</f>
        <v> </v>
      </c>
      <c r="BI83" s="48" t="str">
        <f>IFERROR(__xludf.DUMMYFUNCTION("IFERROR(TEXTJOIN(""/"",1,FILTER($B$42:$IV$42,$B$41:$IV$41=BI$97)),"" "")")," ")</f>
        <v> </v>
      </c>
      <c r="BJ83" s="48" t="str">
        <f>IFERROR(__xludf.DUMMYFUNCTION("IFERROR(TEXTJOIN(""/"",1,FILTER($B$42:$IV$42,$B$41:$IV$41=BJ$97)),"" "")")," ")</f>
        <v> </v>
      </c>
      <c r="BK83" s="48" t="str">
        <f>IFERROR(__xludf.DUMMYFUNCTION("IFERROR(TEXTJOIN(""/"",1,FILTER($B$42:$IV$42,$B$41:$IV$41=BK$97)),"" "")")," ")</f>
        <v> </v>
      </c>
      <c r="BL83" s="48" t="str">
        <f>IFERROR(__xludf.DUMMYFUNCTION("IFERROR(TEXTJOIN(""/"",1,FILTER($B$42:$IV$42,$B$41:$IV$41=BL$97)),"" "")")," ")</f>
        <v> </v>
      </c>
      <c r="BM83" s="48" t="str">
        <f>IFERROR(__xludf.DUMMYFUNCTION("IFERROR(TEXTJOIN(""/"",1,FILTER($B$42:$IV$42,$B$41:$IV$41=BM$97)),"" "")")," ")</f>
        <v> </v>
      </c>
      <c r="BN83" s="48" t="str">
        <f>IFERROR(__xludf.DUMMYFUNCTION("IFERROR(TEXTJOIN(""/"",1,FILTER($B$42:$IV$42,$B$41:$IV$41=BN$97)),"" "")")," ")</f>
        <v> </v>
      </c>
      <c r="BO83" s="48" t="str">
        <f>IFERROR(__xludf.DUMMYFUNCTION("IFERROR(TEXTJOIN(""/"",1,FILTER($B$42:$IV$42,$B$41:$IV$41=BO$97)),"" "")")," ")</f>
        <v> </v>
      </c>
      <c r="BP83" s="48" t="str">
        <f>IFERROR(__xludf.DUMMYFUNCTION("IFERROR(TEXTJOIN(""/"",1,FILTER($B$42:$IV$42,$B$41:$IV$41=BP$97)),"" "")")," ")</f>
        <v> </v>
      </c>
      <c r="BQ83" s="48" t="str">
        <f>IFERROR(__xludf.DUMMYFUNCTION("IFERROR(TEXTJOIN(""/"",1,FILTER($B$42:$IV$42,$B$41:$IV$41=BQ$97)),"" "")")," ")</f>
        <v> </v>
      </c>
      <c r="BR83" s="48" t="str">
        <f>IFERROR(__xludf.DUMMYFUNCTION("IFERROR(TEXTJOIN(""/"",1,FILTER($B$42:$IV$42,$B$41:$IV$41=BR$97)),"" "")")," ")</f>
        <v> </v>
      </c>
      <c r="BS83" s="48" t="str">
        <f>IFERROR(__xludf.DUMMYFUNCTION("IFERROR(TEXTJOIN(""/"",1,FILTER($B$42:$IV$42,$B$41:$IV$41=BS$97)),"" "")"),"5")</f>
        <v>5</v>
      </c>
      <c r="BT83" s="48" t="str">
        <f>IFERROR(__xludf.DUMMYFUNCTION("IFERROR(TEXTJOIN(""/"",1,FILTER($B$42:$IV$42,$B$41:$IV$41=BT$97)),"" "")")," ")</f>
        <v> </v>
      </c>
      <c r="BU83" s="48" t="str">
        <f>IFERROR(__xludf.DUMMYFUNCTION("IFERROR(TEXTJOIN(""/"",1,FILTER($B$42:$IV$42,$B$41:$IV$41=BU$97)),"" "")")," ")</f>
        <v> </v>
      </c>
      <c r="BV83" s="48" t="str">
        <f>IFERROR(__xludf.DUMMYFUNCTION("IFERROR(TEXTJOIN(""/"",1,FILTER($B$42:$IV$42,$B$41:$IV$41=BV$97)),"" "")")," ")</f>
        <v> </v>
      </c>
      <c r="BW83" s="48" t="str">
        <f>IFERROR(__xludf.DUMMYFUNCTION("IFERROR(TEXTJOIN(""/"",1,FILTER($B$42:$IV$42,$B$41:$IV$41=BW$97)),"" "")")," ")</f>
        <v> </v>
      </c>
      <c r="BX83" s="48" t="str">
        <f>IFERROR(__xludf.DUMMYFUNCTION("IFERROR(TEXTJOIN(""/"",1,FILTER($B$42:$IV$42,$B$41:$IV$41=BX$97)),"" "")")," ")</f>
        <v> </v>
      </c>
      <c r="BY83" s="48" t="str">
        <f>IFERROR(__xludf.DUMMYFUNCTION("IFERROR(TEXTJOIN(""/"",1,FILTER($B$42:$IV$42,$B$41:$IV$41=BY$97)),"" "")")," ")</f>
        <v> </v>
      </c>
      <c r="BZ83" s="48" t="str">
        <f>IFERROR(__xludf.DUMMYFUNCTION("IFERROR(TEXTJOIN(""/"",1,FILTER($B$42:$IV$42,$B$41:$IV$41=BZ$97)),"" "")"),"")</f>
        <v/>
      </c>
      <c r="CA83" s="48" t="str">
        <f>IFERROR(__xludf.DUMMYFUNCTION("IFERROR(TEXTJOIN(""/"",1,FILTER($B$42:$IV$42,$B$41:$IV$41=CA$97)),"" "")")," ")</f>
        <v> </v>
      </c>
      <c r="CB83" s="48" t="str">
        <f>IFERROR(__xludf.DUMMYFUNCTION("IFERROR(TEXTJOIN(""/"",1,FILTER($B$42:$IV$42,$B$41:$IV$41=CB$97)),"" "")")," ")</f>
        <v> </v>
      </c>
      <c r="CC83" s="48" t="str">
        <f>IFERROR(__xludf.DUMMYFUNCTION("IFERROR(TEXTJOIN(""/"",1,FILTER($B$42:$IV$42,$B$41:$IV$41=CC$97)),"" "")")," ")</f>
        <v> </v>
      </c>
      <c r="CD83" s="48" t="str">
        <f>IFERROR(__xludf.DUMMYFUNCTION("IFERROR(TEXTJOIN(""/"",1,FILTER($B$42:$IV$42,$B$41:$IV$41=CD$97)),"" "")")," ")</f>
        <v> </v>
      </c>
      <c r="CE83" s="48" t="str">
        <f>IFERROR(__xludf.DUMMYFUNCTION("IFERROR(TEXTJOIN(""/"",1,FILTER($B$42:$IV$42,$B$41:$IV$41=CE$97)),"" "")")," ")</f>
        <v> </v>
      </c>
      <c r="CF83" s="48" t="str">
        <f>IFERROR(__xludf.DUMMYFUNCTION("IFERROR(TEXTJOIN(""/"",1,FILTER($B$42:$IV$42,$B$41:$IV$41=CF$97)),"" "")")," ")</f>
        <v> </v>
      </c>
      <c r="CG83" s="48" t="str">
        <f>IFERROR(__xludf.DUMMYFUNCTION("IFERROR(TEXTJOIN(""/"",1,FILTER($B$42:$IV$42,$B$41:$IV$41=CG$97)),"" "")"),"")</f>
        <v/>
      </c>
      <c r="CH83" s="48" t="str">
        <f>IFERROR(__xludf.DUMMYFUNCTION("IFERROR(TEXTJOIN(""/"",1,FILTER($B$42:$IV$42,$B$41:$IV$41=CH$97)),"" "")")," ")</f>
        <v> </v>
      </c>
      <c r="CI83" s="48" t="str">
        <f>IFERROR(__xludf.DUMMYFUNCTION("IFERROR(TEXTJOIN(""/"",1,FILTER($B$42:$IV$42,$B$41:$IV$41=CI$97)),"" "")")," ")</f>
        <v> </v>
      </c>
      <c r="CJ83" s="48" t="str">
        <f>IFERROR(__xludf.DUMMYFUNCTION("IFERROR(TEXTJOIN(""/"",1,FILTER($B$42:$IV$42,$B$41:$IV$41=CJ$97)),"" "")")," ")</f>
        <v> </v>
      </c>
      <c r="CK83" s="48" t="str">
        <f>IFERROR(__xludf.DUMMYFUNCTION("IFERROR(TEXTJOIN(""/"",1,FILTER($B$42:$IV$42,$B$41:$IV$41=CK$97)),"" "")")," ")</f>
        <v> </v>
      </c>
      <c r="CL83" s="48" t="str">
        <f>IFERROR(__xludf.DUMMYFUNCTION("IFERROR(TEXTJOIN(""/"",1,FILTER($B$42:$IV$42,$B$41:$IV$41=CL$97)),"" "")")," ")</f>
        <v> </v>
      </c>
      <c r="CM83" s="48" t="str">
        <f>IFERROR(__xludf.DUMMYFUNCTION("IFERROR(TEXTJOIN(""/"",1,FILTER($B$42:$IV$42,$B$41:$IV$41=CM$97)),"" "")")," ")</f>
        <v> </v>
      </c>
      <c r="CN83" s="48" t="str">
        <f>IFERROR(__xludf.DUMMYFUNCTION("IFERROR(TEXTJOIN(""/"",1,FILTER($B$42:$IV$42,$B$41:$IV$41=CN$97)),"" "")"),"")</f>
        <v/>
      </c>
      <c r="CO83" s="48" t="str">
        <f>IFERROR(__xludf.DUMMYFUNCTION("IFERROR(TEXTJOIN(""/"",1,FILTER($B$42:$IV$42,$B$41:$IV$41=CO$97)),"" "")")," ")</f>
        <v> </v>
      </c>
      <c r="CP83" s="48" t="str">
        <f>IFERROR(__xludf.DUMMYFUNCTION("IFERROR(TEXTJOIN(""/"",1,FILTER($B$42:$IV$42,$B$41:$IV$41=CP$97)),"" "")")," ")</f>
        <v> </v>
      </c>
      <c r="CQ83" s="48" t="str">
        <f>IFERROR(__xludf.DUMMYFUNCTION("IFERROR(TEXTJOIN(""/"",1,FILTER($B$42:$IV$42,$B$41:$IV$41=CQ$97)),"" "")")," ")</f>
        <v> </v>
      </c>
      <c r="CR83" s="48" t="str">
        <f>IFERROR(__xludf.DUMMYFUNCTION("IFERROR(TEXTJOIN(""/"",1,FILTER($B$42:$IV$42,$B$41:$IV$41=CR$97)),"" "")")," ")</f>
        <v> </v>
      </c>
      <c r="CS83" s="48" t="str">
        <f>IFERROR(__xludf.DUMMYFUNCTION("IFERROR(TEXTJOIN(""/"",1,FILTER($B$42:$IV$42,$B$41:$IV$41=CS$97)),"" "")")," ")</f>
        <v> </v>
      </c>
      <c r="CT83" s="48" t="str">
        <f>IFERROR(__xludf.DUMMYFUNCTION("IFERROR(TEXTJOIN(""/"",1,FILTER($B$42:$IV$42,$B$41:$IV$41=CT$97)),"" "")")," ")</f>
        <v> </v>
      </c>
      <c r="CU83" s="48" t="str">
        <f>IFERROR(__xludf.DUMMYFUNCTION("IFERROR(TEXTJOIN(""/"",1,FILTER($B$42:$IV$42,$B$41:$IV$41=CU$97)),"" "")")," ")</f>
        <v> </v>
      </c>
      <c r="CV83" s="48" t="str">
        <f>IFERROR(__xludf.DUMMYFUNCTION("IFERROR(TEXTJOIN(""/"",1,FILTER($B$42:$IV$42,$B$41:$IV$41=CV$97)),"" "")"),"")</f>
        <v/>
      </c>
      <c r="CW83" s="48" t="str">
        <f>IFERROR(__xludf.DUMMYFUNCTION("IFERROR(TEXTJOIN(""/"",1,FILTER($B$42:$IV$42,$B$41:$IV$41=CW$97)),"" "")")," ")</f>
        <v> </v>
      </c>
      <c r="CX83" s="48" t="str">
        <f>IFERROR(__xludf.DUMMYFUNCTION("IFERROR(TEXTJOIN(""/"",1,FILTER($B$42:$IV$42,$B$41:$IV$41=CX$97)),"" "")")," ")</f>
        <v> </v>
      </c>
      <c r="CY83" s="48" t="str">
        <f>IFERROR(__xludf.DUMMYFUNCTION("IFERROR(TEXTJOIN(""/"",1,FILTER($B$42:$IV$42,$B$41:$IV$41=CY$97)),"" "")")," ")</f>
        <v> </v>
      </c>
      <c r="CZ83" s="48" t="str">
        <f>IFERROR(__xludf.DUMMYFUNCTION("IFERROR(TEXTJOIN(""/"",1,FILTER($B$42:$IV$42,$B$41:$IV$41=CZ$97)),"" "")")," ")</f>
        <v> </v>
      </c>
      <c r="DA83" s="48" t="str">
        <f>IFERROR(__xludf.DUMMYFUNCTION("IFERROR(TEXTJOIN(""/"",1,FILTER($B$42:$IV$42,$B$41:$IV$41=DA$97)),"" "")")," ")</f>
        <v> </v>
      </c>
      <c r="DB83" s="48" t="str">
        <f>IFERROR(__xludf.DUMMYFUNCTION("IFERROR(TEXTJOIN(""/"",1,FILTER($B$42:$IV$42,$B$41:$IV$41=DB$97)),"" "")"),"")</f>
        <v/>
      </c>
      <c r="DC83" s="48" t="str">
        <f>IFERROR(__xludf.DUMMYFUNCTION("IFERROR(TEXTJOIN(""/"",1,FILTER($B$42:$IV$42,$B$41:$IV$41=DC$97)),"" "")")," ")</f>
        <v> </v>
      </c>
      <c r="DD83" s="48" t="str">
        <f>IFERROR(__xludf.DUMMYFUNCTION("IFERROR(TEXTJOIN(""/"",1,FILTER($B$42:$IV$42,$B$41:$IV$41=DD$97)),"" "")")," ")</f>
        <v> </v>
      </c>
      <c r="DE83" s="48" t="str">
        <f>IFERROR(__xludf.DUMMYFUNCTION("IFERROR(TEXTJOIN(""/"",1,FILTER($B$42:$IV$42,$B$41:$IV$41=DE$97)),"" "")")," ")</f>
        <v> </v>
      </c>
      <c r="DF83" s="48" t="str">
        <f>IFERROR(__xludf.DUMMYFUNCTION("IFERROR(TEXTJOIN(""/"",1,FILTER($B$42:$IV$42,$B$41:$IV$41=DF$97)),"" "")")," ")</f>
        <v> </v>
      </c>
      <c r="DG83" s="48" t="str">
        <f>IFERROR(__xludf.DUMMYFUNCTION("IFERROR(TEXTJOIN(""/"",1,FILTER($B$42:$IV$42,$B$41:$IV$41=DG$97)),"" "")")," ")</f>
        <v> </v>
      </c>
      <c r="DH83" s="48" t="str">
        <f>IFERROR(__xludf.DUMMYFUNCTION("IFERROR(TEXTJOIN(""/"",1,FILTER($B$42:$IV$42,$B$41:$IV$41=DH$97)),"" "")")," ")</f>
        <v> </v>
      </c>
      <c r="DI83" s="48" t="str">
        <f>IFERROR(__xludf.DUMMYFUNCTION("IFERROR(TEXTJOIN(""/"",1,FILTER($B$42:$IV$42,$B$41:$IV$41=DI$97)),"" "")"),"")</f>
        <v/>
      </c>
      <c r="DJ83" s="48" t="str">
        <f>IFERROR(__xludf.DUMMYFUNCTION("IFERROR(TEXTJOIN(""/"",1,FILTER($B$42:$IV$42,$B$41:$IV$41=DJ$97)),"" "")")," ")</f>
        <v> </v>
      </c>
      <c r="DK83" s="48" t="str">
        <f>IFERROR(__xludf.DUMMYFUNCTION("IFERROR(TEXTJOIN(""/"",1,FILTER($B$42:$IV$42,$B$41:$IV$41=DK$97)),"" "")")," ")</f>
        <v> </v>
      </c>
      <c r="DL83" s="48" t="str">
        <f>IFERROR(__xludf.DUMMYFUNCTION("IFERROR(TEXTJOIN(""/"",1,FILTER($B$42:$IV$42,$B$41:$IV$41=DL$97)),"" "")")," ")</f>
        <v> </v>
      </c>
      <c r="DM83" s="48" t="str">
        <f>IFERROR(__xludf.DUMMYFUNCTION("IFERROR(TEXTJOIN(""/"",1,FILTER($B$42:$IV$42,$B$41:$IV$41=DM$97)),"" "")")," ")</f>
        <v> </v>
      </c>
      <c r="DN83" s="48" t="str">
        <f>IFERROR(__xludf.DUMMYFUNCTION("IFERROR(TEXTJOIN(""/"",1,FILTER($B$42:$IV$42,$B$41:$IV$41=DN$97)),"" "")")," ")</f>
        <v> </v>
      </c>
      <c r="DO83" s="48" t="str">
        <f>IFERROR(__xludf.DUMMYFUNCTION("IFERROR(TEXTJOIN(""/"",1,FILTER($B$42:$IV$42,$B$41:$IV$41=DO$97)),"" "")")," ")</f>
        <v> </v>
      </c>
      <c r="DP83" s="48" t="str">
        <f>IFERROR(__xludf.DUMMYFUNCTION("IFERROR(TEXTJOIN(""/"",1,FILTER($B$42:$IV$42,$B$41:$IV$41=DP$97)),"" "")")," ")</f>
        <v> </v>
      </c>
      <c r="DQ83" s="48" t="str">
        <f>IFERROR(__xludf.DUMMYFUNCTION("IFERROR(TEXTJOIN(""/"",1,FILTER($B$42:$IV$42,$B$41:$IV$41=DQ$97)),"" "")")," ")</f>
        <v> </v>
      </c>
      <c r="DR83" s="48" t="str">
        <f>IFERROR(__xludf.DUMMYFUNCTION("IFERROR(TEXTJOIN(""/"",1,FILTER($B$42:$IV$42,$B$41:$IV$41=DR$97)),"" "")")," ")</f>
        <v> </v>
      </c>
      <c r="DS83" s="48" t="str">
        <f>IFERROR(__xludf.DUMMYFUNCTION("IFERROR(TEXTJOIN(""/"",1,FILTER($B$42:$IV$42,$B$41:$IV$41=DS$97)),"" "")")," ")</f>
        <v> </v>
      </c>
      <c r="DT83" s="48" t="str">
        <f>IFERROR(__xludf.DUMMYFUNCTION("IFERROR(TEXTJOIN(""/"",1,FILTER($B$42:$IV$42,$B$41:$IV$41=DT$97)),"" "")")," ")</f>
        <v> </v>
      </c>
      <c r="DU83" s="48" t="str">
        <f>IFERROR(__xludf.DUMMYFUNCTION("IFERROR(TEXTJOIN(""/"",1,FILTER($B$42:$IV$42,$B$41:$IV$41=DU$97)),"" "")")," ")</f>
        <v> </v>
      </c>
      <c r="DV83" s="48" t="str">
        <f>IFERROR(__xludf.DUMMYFUNCTION("IFERROR(TEXTJOIN(""/"",1,FILTER($B$42:$IV$42,$B$41:$IV$41=DV$97)),"" "")")," ")</f>
        <v> </v>
      </c>
      <c r="DW83" s="48" t="str">
        <f>IFERROR(__xludf.DUMMYFUNCTION("IFERROR(TEXTJOIN(""/"",1,FILTER($B$42:$IV$42,$B$41:$IV$41=DW$97)),"" "")")," ")</f>
        <v> </v>
      </c>
      <c r="DX83" s="48" t="str">
        <f>IFERROR(__xludf.DUMMYFUNCTION("IFERROR(TEXTJOIN(""/"",1,FILTER($B$42:$IV$42,$B$41:$IV$41=DX$97)),"" "")")," ")</f>
        <v> </v>
      </c>
      <c r="DY83" s="48" t="str">
        <f>IFERROR(__xludf.DUMMYFUNCTION("IFERROR(TEXTJOIN(""/"",1,FILTER($B$42:$IV$42,$B$41:$IV$41=DY$97)),"" "")")," ")</f>
        <v> </v>
      </c>
      <c r="DZ83" s="48" t="str">
        <f>IFERROR(__xludf.DUMMYFUNCTION("IFERROR(TEXTJOIN(""/"",1,FILTER($B$42:$IV$42,$B$41:$IV$41=DZ$97)),"" "")")," ")</f>
        <v> </v>
      </c>
      <c r="EA83" s="48" t="str">
        <f>IFERROR(__xludf.DUMMYFUNCTION("IFERROR(TEXTJOIN(""/"",1,FILTER($B$42:$IV$42,$B$41:$IV$41=EA$97)),"" "")")," ")</f>
        <v> </v>
      </c>
      <c r="EB83" s="48" t="str">
        <f>IFERROR(__xludf.DUMMYFUNCTION("IFERROR(TEXTJOIN(""/"",1,FILTER($B$42:$IV$42,$B$41:$IV$41=EB$97)),"" "")")," ")</f>
        <v> </v>
      </c>
      <c r="EC83" s="48" t="str">
        <f>IFERROR(__xludf.DUMMYFUNCTION("IFERROR(TEXTJOIN(""/"",1,FILTER($B$42:$IV$42,$B$41:$IV$41=EC$97)),"" "")")," ")</f>
        <v> </v>
      </c>
      <c r="ED83" s="48" t="str">
        <f>IFERROR(__xludf.DUMMYFUNCTION("IFERROR(TEXTJOIN(""/"",1,FILTER($B$42:$IV$42,$B$41:$IV$41=ED$97)),"" "")"),"")</f>
        <v/>
      </c>
      <c r="EE83" s="48" t="str">
        <f>IFERROR(__xludf.DUMMYFUNCTION("IFERROR(TEXTJOIN(""/"",1,FILTER($B$42:$IV$42,$B$41:$IV$41=EE$97)),"" "")")," ")</f>
        <v> </v>
      </c>
      <c r="EF83" s="48" t="str">
        <f>IFERROR(__xludf.DUMMYFUNCTION("IFERROR(TEXTJOIN(""/"",1,FILTER($B$42:$IV$42,$B$41:$IV$41=EF$97)),"" "")")," ")</f>
        <v> </v>
      </c>
      <c r="EG83" s="48" t="str">
        <f>IFERROR(__xludf.DUMMYFUNCTION("IFERROR(TEXTJOIN(""/"",1,FILTER($B$42:$IV$42,$B$41:$IV$41=EG$97)),"" "")")," ")</f>
        <v> </v>
      </c>
      <c r="EH83" s="48" t="str">
        <f>IFERROR(__xludf.DUMMYFUNCTION("IFERROR(TEXTJOIN(""/"",1,FILTER($B$42:$IV$42,$B$41:$IV$41=EH$97)),"" "")")," ")</f>
        <v> </v>
      </c>
      <c r="EI83" s="48" t="str">
        <f>IFERROR(__xludf.DUMMYFUNCTION("IFERROR(TEXTJOIN(""/"",1,FILTER($B$42:$IV$42,$B$41:$IV$41=EI$97)),"" "")")," ")</f>
        <v> </v>
      </c>
      <c r="EJ83" s="48" t="str">
        <f>IFERROR(__xludf.DUMMYFUNCTION("IFERROR(TEXTJOIN(""/"",1,FILTER($B$42:$IV$42,$B$41:$IV$41=EJ$97)),"" "")")," ")</f>
        <v> </v>
      </c>
      <c r="EK83" s="48" t="str">
        <f>IFERROR(__xludf.DUMMYFUNCTION("IFERROR(TEXTJOIN(""/"",1,FILTER($B$42:$IV$42,$B$41:$IV$41=EK$97)),"" "")"),"")</f>
        <v/>
      </c>
      <c r="EL83" s="48" t="str">
        <f>IFERROR(__xludf.DUMMYFUNCTION("IFERROR(TEXTJOIN(""/"",1,FILTER($B$42:$IV$42,$B$41:$IV$41=EL$97)),"" "")")," ")</f>
        <v> </v>
      </c>
      <c r="EM83" s="48" t="str">
        <f>IFERROR(__xludf.DUMMYFUNCTION("IFERROR(TEXTJOIN(""/"",1,FILTER($B$42:$IV$42,$B$41:$IV$41=EM$97)),"" "")")," ")</f>
        <v> </v>
      </c>
      <c r="EN83" s="48" t="str">
        <f>IFERROR(__xludf.DUMMYFUNCTION("IFERROR(TEXTJOIN(""/"",1,FILTER($B$42:$IV$42,$B$41:$IV$41=EN$97)),"" "")")," ")</f>
        <v> </v>
      </c>
      <c r="EO83" s="48" t="str">
        <f>IFERROR(__xludf.DUMMYFUNCTION("IFERROR(TEXTJOIN(""/"",1,FILTER($B$42:$IV$42,$B$41:$IV$41=EO$97)),"" "")")," ")</f>
        <v> </v>
      </c>
      <c r="EP83" s="48" t="str">
        <f>IFERROR(__xludf.DUMMYFUNCTION("IFERROR(TEXTJOIN(""/"",1,FILTER($B$42:$IV$42,$B$41:$IV$41=EP$97)),"" "")")," ")</f>
        <v> </v>
      </c>
      <c r="EQ83" s="48" t="str">
        <f>IFERROR(__xludf.DUMMYFUNCTION("IFERROR(TEXTJOIN(""/"",1,FILTER($B$42:$IV$42,$B$41:$IV$41=EQ$97)),"" "")")," ")</f>
        <v> </v>
      </c>
      <c r="ER83" s="48" t="str">
        <f>IFERROR(__xludf.DUMMYFUNCTION("IFERROR(TEXTJOIN(""/"",1,FILTER($B$42:$IV$42,$B$41:$IV$41=ER$97)),"" "")"),"")</f>
        <v/>
      </c>
      <c r="ES83" s="48" t="str">
        <f>IFERROR(__xludf.DUMMYFUNCTION("IFERROR(TEXTJOIN(""/"",1,FILTER($B$42:$IV$42,$B$41:$IV$41=ES$97)),"" "")")," ")</f>
        <v> </v>
      </c>
      <c r="ET83" s="48" t="str">
        <f>IFERROR(__xludf.DUMMYFUNCTION("IFERROR(TEXTJOIN(""/"",1,FILTER($B$42:$IV$42,$B$41:$IV$41=ET$97)),"" "")")," ")</f>
        <v> </v>
      </c>
      <c r="EU83" s="48" t="str">
        <f>IFERROR(__xludf.DUMMYFUNCTION("IFERROR(TEXTJOIN(""/"",1,FILTER($B$42:$IV$42,$B$41:$IV$41=EU$97)),"" "")")," ")</f>
        <v> </v>
      </c>
      <c r="EV83" s="48" t="str">
        <f>IFERROR(__xludf.DUMMYFUNCTION("IFERROR(TEXTJOIN(""/"",1,FILTER($B$42:$IV$42,$B$41:$IV$41=EV$97)),"" "")")," ")</f>
        <v> </v>
      </c>
      <c r="EW83" s="48" t="str">
        <f>IFERROR(__xludf.DUMMYFUNCTION("IFERROR(TEXTJOIN(""/"",1,FILTER($B$42:$IV$42,$B$41:$IV$41=EW$97)),"" "")")," ")</f>
        <v> </v>
      </c>
      <c r="EX83" s="48" t="str">
        <f>IFERROR(__xludf.DUMMYFUNCTION("IFERROR(TEXTJOIN(""/"",1,FILTER($B$42:$IV$42,$B$41:$IV$41=EX$97)),"" "")")," ")</f>
        <v> </v>
      </c>
      <c r="EY83" s="48" t="str">
        <f>IFERROR(__xludf.DUMMYFUNCTION("IFERROR(TEXTJOIN(""/"",1,FILTER($B$42:$IV$42,$B$41:$IV$41=EY$97)),"" "")"),"5")</f>
        <v>5</v>
      </c>
      <c r="EZ83" s="48" t="str">
        <f>IFERROR(__xludf.DUMMYFUNCTION("IFERROR(TEXTJOIN(""/"",1,FILTER($B$42:$IV$42,$B$41:$IV$41=EZ$97)),"" "")")," ")</f>
        <v> </v>
      </c>
      <c r="FA83" s="48" t="str">
        <f>IFERROR(__xludf.DUMMYFUNCTION("IFERROR(TEXTJOIN(""/"",1,FILTER($B$42:$IV$42,$B$41:$IV$41=FA$97)),"" "")")," ")</f>
        <v> </v>
      </c>
      <c r="FB83" s="48" t="str">
        <f>IFERROR(__xludf.DUMMYFUNCTION("IFERROR(TEXTJOIN(""/"",1,FILTER($B$42:$IV$42,$B$41:$IV$41=FB$97)),"" "")")," ")</f>
        <v> </v>
      </c>
      <c r="FC83" s="48" t="str">
        <f>IFERROR(__xludf.DUMMYFUNCTION("IFERROR(TEXTJOIN(""/"",1,FILTER($B$42:$IV$42,$B$41:$IV$41=FC$97)),"" "")")," ")</f>
        <v> </v>
      </c>
      <c r="FD83" s="48" t="str">
        <f>IFERROR(__xludf.DUMMYFUNCTION("IFERROR(TEXTJOIN(""/"",1,FILTER($B$42:$IV$42,$B$41:$IV$41=FD$97)),"" "")")," ")</f>
        <v> </v>
      </c>
      <c r="FE83" s="48" t="str">
        <f>IFERROR(__xludf.DUMMYFUNCTION("IFERROR(TEXTJOIN(""/"",1,FILTER($B$42:$IV$42,$B$41:$IV$41=FE$97)),"" "")")," ")</f>
        <v> </v>
      </c>
      <c r="FF83" s="48" t="str">
        <f>IFERROR(__xludf.DUMMYFUNCTION("IFERROR(TEXTJOIN(""/"",1,FILTER($B$42:$IV$42,$B$41:$IV$41=FF$97)),"" "")"),"")</f>
        <v/>
      </c>
      <c r="FG83" s="48" t="str">
        <f>IFERROR(__xludf.DUMMYFUNCTION("IFERROR(TEXTJOIN(""/"",1,FILTER($B$42:$IV$42,$B$41:$IV$41=FG$97)),"" "")")," ")</f>
        <v> </v>
      </c>
      <c r="FH83" s="48" t="str">
        <f>IFERROR(__xludf.DUMMYFUNCTION("IFERROR(TEXTJOIN(""/"",1,FILTER($B$42:$IV$42,$B$41:$IV$41=FH$97)),"" "")")," ")</f>
        <v> </v>
      </c>
      <c r="FI83" s="48" t="str">
        <f>IFERROR(__xludf.DUMMYFUNCTION("IFERROR(TEXTJOIN(""/"",1,FILTER($B$42:$IV$42,$B$41:$IV$41=FI$97)),"" "")")," ")</f>
        <v> </v>
      </c>
      <c r="FJ83" s="48" t="str">
        <f>IFERROR(__xludf.DUMMYFUNCTION("IFERROR(TEXTJOIN(""/"",1,FILTER($B$42:$IV$42,$B$41:$IV$41=FJ$97)),"" "")")," ")</f>
        <v> </v>
      </c>
      <c r="FK83" s="48" t="str">
        <f>IFERROR(__xludf.DUMMYFUNCTION("IFERROR(TEXTJOIN(""/"",1,FILTER($B$42:$IV$42,$B$41:$IV$41=FK$97)),"" "")")," ")</f>
        <v> </v>
      </c>
      <c r="FL83" s="48" t="str">
        <f>IFERROR(__xludf.DUMMYFUNCTION("IFERROR(TEXTJOIN(""/"",1,FILTER($B$42:$IV$42,$B$41:$IV$41=FL$97)),"" "")")," ")</f>
        <v> </v>
      </c>
      <c r="FM83" s="48" t="str">
        <f>IFERROR(__xludf.DUMMYFUNCTION("IFERROR(TEXTJOIN(""/"",1,FILTER($B$42:$IV$42,$B$41:$IV$41=FM$97)),"" "")"),"")</f>
        <v/>
      </c>
      <c r="FN83" s="48" t="str">
        <f>IFERROR(__xludf.DUMMYFUNCTION("IFERROR(TEXTJOIN(""/"",1,FILTER($B$42:$IV$42,$B$41:$IV$41=FN$97)),"" "")")," ")</f>
        <v> </v>
      </c>
      <c r="FO83" s="48" t="str">
        <f>IFERROR(__xludf.DUMMYFUNCTION("IFERROR(TEXTJOIN(""/"",1,FILTER($B$42:$IV$42,$B$41:$IV$41=FO$97)),"" "")")," ")</f>
        <v> </v>
      </c>
      <c r="FP83" s="48" t="str">
        <f>IFERROR(__xludf.DUMMYFUNCTION("IFERROR(TEXTJOIN(""/"",1,FILTER($B$42:$IV$42,$B$41:$IV$41=FP$97)),"" "")")," ")</f>
        <v> </v>
      </c>
      <c r="FQ83" s="48" t="str">
        <f>IFERROR(__xludf.DUMMYFUNCTION("IFERROR(TEXTJOIN(""/"",1,FILTER($B$42:$IV$42,$B$41:$IV$41=FQ$97)),"" "")")," ")</f>
        <v> </v>
      </c>
      <c r="FR83" s="48" t="str">
        <f>IFERROR(__xludf.DUMMYFUNCTION("IFERROR(TEXTJOIN(""/"",1,FILTER($B$42:$IV$42,$B$41:$IV$41=FR$97)),"" "")")," ")</f>
        <v> </v>
      </c>
      <c r="FS83" s="48" t="str">
        <f>IFERROR(__xludf.DUMMYFUNCTION("IFERROR(TEXTJOIN(""/"",1,FILTER($B$42:$IV$42,$B$41:$IV$41=FS$97)),"" "")")," ")</f>
        <v> </v>
      </c>
      <c r="FT83" s="48" t="str">
        <f>IFERROR(__xludf.DUMMYFUNCTION("IFERROR(TEXTJOIN(""/"",1,FILTER($B$42:$IV$42,$B$41:$IV$41=FT$97)),"" "")"),"")</f>
        <v/>
      </c>
      <c r="FU83" s="48" t="str">
        <f>IFERROR(__xludf.DUMMYFUNCTION("IFERROR(TEXTJOIN(""/"",1,FILTER($B$42:$IV$42,$B$41:$IV$41=FU$97)),"" "")")," ")</f>
        <v> </v>
      </c>
      <c r="FV83" s="48" t="str">
        <f>IFERROR(__xludf.DUMMYFUNCTION("IFERROR(TEXTJOIN(""/"",1,FILTER($B$42:$IV$42,$B$41:$IV$41=FV$97)),"" "")")," ")</f>
        <v> </v>
      </c>
      <c r="FW83" s="48" t="str">
        <f>IFERROR(__xludf.DUMMYFUNCTION("IFERROR(TEXTJOIN(""/"",1,FILTER($B$42:$IV$42,$B$41:$IV$41=FW$97)),"" "")")," ")</f>
        <v> </v>
      </c>
      <c r="FX83" s="48" t="str">
        <f>IFERROR(__xludf.DUMMYFUNCTION("IFERROR(TEXTJOIN(""/"",1,FILTER($B$42:$IV$42,$B$41:$IV$41=FX$97)),"" "")")," ")</f>
        <v> </v>
      </c>
      <c r="FY83" s="48" t="str">
        <f>IFERROR(__xludf.DUMMYFUNCTION("IFERROR(TEXTJOIN(""/"",1,FILTER($B$42:$IV$42,$B$41:$IV$41=FY$97)),"" "")")," ")</f>
        <v> </v>
      </c>
      <c r="FZ83" s="48" t="str">
        <f>IFERROR(__xludf.DUMMYFUNCTION("IFERROR(TEXTJOIN(""/"",1,FILTER($B$42:$IV$42,$B$41:$IV$41=FZ$97)),"" "")")," ")</f>
        <v> </v>
      </c>
      <c r="GA83" s="48" t="str">
        <f>IFERROR(__xludf.DUMMYFUNCTION("IFERROR(TEXTJOIN(""/"",1,FILTER($B$42:$IV$42,$B$41:$IV$41=GA$97)),"" "")"),"")</f>
        <v/>
      </c>
      <c r="GB83" s="48" t="str">
        <f>IFERROR(__xludf.DUMMYFUNCTION("IFERROR(TEXTJOIN(""/"",1,FILTER($B$42:$IV$42,$B$41:$IV$41=GB$97)),"" "")")," ")</f>
        <v> </v>
      </c>
      <c r="GC83" s="48" t="str">
        <f>IFERROR(__xludf.DUMMYFUNCTION("IFERROR(TEXTJOIN(""/"",1,FILTER($B$42:$IV$42,$B$41:$IV$41=GC$97)),"" "")")," ")</f>
        <v> </v>
      </c>
      <c r="GD83" s="48" t="str">
        <f>IFERROR(__xludf.DUMMYFUNCTION("IFERROR(TEXTJOIN(""/"",1,FILTER($B$42:$IV$42,$B$41:$IV$41=GD$97)),"" "")")," ")</f>
        <v> </v>
      </c>
      <c r="GE83" s="48" t="str">
        <f>IFERROR(__xludf.DUMMYFUNCTION("IFERROR(TEXTJOIN(""/"",1,FILTER($B$42:$IV$42,$B$41:$IV$41=GE$97)),"" "")")," ")</f>
        <v> </v>
      </c>
      <c r="GF83" s="48" t="str">
        <f>IFERROR(__xludf.DUMMYFUNCTION("IFERROR(TEXTJOIN(""/"",1,FILTER($B$42:$IV$42,$B$41:$IV$41=GF$97)),"" "")")," ")</f>
        <v> </v>
      </c>
      <c r="GG83" s="48" t="str">
        <f>IFERROR(__xludf.DUMMYFUNCTION("IFERROR(TEXTJOIN(""/"",1,FILTER($B$42:$IV$42,$B$41:$IV$41=GG$97)),"" "")")," ")</f>
        <v> </v>
      </c>
      <c r="GH83" s="48" t="str">
        <f>IFERROR(__xludf.DUMMYFUNCTION("IFERROR(TEXTJOIN(""/"",1,FILTER($B$42:$IV$42,$B$41:$IV$41=GH$97)),"" "")"),"")</f>
        <v/>
      </c>
      <c r="GI83" s="48" t="str">
        <f>IFERROR(__xludf.DUMMYFUNCTION("IFERROR(TEXTJOIN(""/"",1,FILTER($B$42:$IV$42,$B$41:$IV$41=GI$97)),"" "")")," ")</f>
        <v> </v>
      </c>
      <c r="GJ83" s="48" t="str">
        <f>IFERROR(__xludf.DUMMYFUNCTION("IFERROR(TEXTJOIN(""/"",1,FILTER($B$42:$IV$42,$B$41:$IV$41=GJ$97)),"" "")")," ")</f>
        <v> </v>
      </c>
      <c r="GK83" s="48" t="str">
        <f>IFERROR(__xludf.DUMMYFUNCTION("IFERROR(TEXTJOIN(""/"",1,FILTER($B$42:$IV$42,$B$41:$IV$41=GK$97)),"" "")")," ")</f>
        <v> </v>
      </c>
      <c r="GL83" s="48" t="str">
        <f>IFERROR(__xludf.DUMMYFUNCTION("IFERROR(TEXTJOIN(""/"",1,FILTER($B$42:$IV$42,$B$41:$IV$41=GL$97)),"" "")")," ")</f>
        <v> </v>
      </c>
      <c r="GM83" s="48" t="str">
        <f>IFERROR(__xludf.DUMMYFUNCTION("IFERROR(TEXTJOIN(""/"",1,FILTER($B$42:$IV$42,$B$41:$IV$41=GM$97)),"" "")")," ")</f>
        <v> </v>
      </c>
      <c r="GN83" s="48" t="str">
        <f>IFERROR(__xludf.DUMMYFUNCTION("IFERROR(TEXTJOIN(""/"",1,FILTER($B$42:$IV$42,$B$41:$IV$41=GN$97)),"" "")")," ")</f>
        <v> </v>
      </c>
      <c r="GO83" s="48" t="str">
        <f>IFERROR(__xludf.DUMMYFUNCTION("IFERROR(TEXTJOIN(""/"",1,FILTER($B$42:$IV$42,$B$41:$IV$41=GO$97)),"" "")"),"")</f>
        <v/>
      </c>
      <c r="GP83" s="48" t="str">
        <f>IFERROR(__xludf.DUMMYFUNCTION("IFERROR(TEXTJOIN(""/"",1,FILTER($B$42:$IV$42,$B$41:$IV$41=GP$97)),"" "")")," ")</f>
        <v> </v>
      </c>
      <c r="GQ83" s="48" t="str">
        <f>IFERROR(__xludf.DUMMYFUNCTION("IFERROR(TEXTJOIN(""/"",1,FILTER($B$42:$IV$42,$B$41:$IV$41=GQ$97)),"" "")")," ")</f>
        <v> </v>
      </c>
      <c r="GR83" s="48" t="str">
        <f>IFERROR(__xludf.DUMMYFUNCTION("IFERROR(TEXTJOIN(""/"",1,FILTER($B$42:$IV$42,$B$41:$IV$41=GR$97)),"" "")")," ")</f>
        <v> </v>
      </c>
      <c r="GS83" s="48" t="str">
        <f>IFERROR(__xludf.DUMMYFUNCTION("IFERROR(TEXTJOIN(""/"",1,FILTER($B$42:$IV$42,$B$41:$IV$41=GS$97)),"" "")")," ")</f>
        <v> </v>
      </c>
      <c r="GT83" s="48" t="str">
        <f>IFERROR(__xludf.DUMMYFUNCTION("IFERROR(TEXTJOIN(""/"",1,FILTER($B$42:$IV$42,$B$41:$IV$41=GT$97)),"" "")")," ")</f>
        <v> </v>
      </c>
      <c r="GU83" s="48" t="str">
        <f>IFERROR(__xludf.DUMMYFUNCTION("IFERROR(TEXTJOIN(""/"",1,FILTER($B$42:$IV$42,$B$41:$IV$41=GU$97)),"" "")")," ")</f>
        <v> </v>
      </c>
      <c r="GV83" s="48" t="str">
        <f>IFERROR(__xludf.DUMMYFUNCTION("IFERROR(TEXTJOIN(""/"",1,FILTER($B$42:$IV$42,$B$41:$IV$41=GV$97)),"" "")")," ")</f>
        <v> </v>
      </c>
      <c r="GW83" s="48" t="str">
        <f>IFERROR(__xludf.DUMMYFUNCTION("IFERROR(TEXTJOIN(""/"",1,FILTER($B$42:$IV$42,$B$41:$IV$41=GW$97)),"" "")")," ")</f>
        <v> </v>
      </c>
      <c r="GX83" s="48" t="str">
        <f>IFERROR(__xludf.DUMMYFUNCTION("IFERROR(TEXTJOIN(""/"",1,FILTER($B$42:$IV$42,$B$41:$IV$41=GX$97)),"" "")")," ")</f>
        <v> </v>
      </c>
      <c r="GY83" s="48" t="str">
        <f>IFERROR(__xludf.DUMMYFUNCTION("IFERROR(TEXTJOIN(""/"",1,FILTER($B$42:$IV$42,$B$41:$IV$41=GY$97)),"" "")")," ")</f>
        <v> </v>
      </c>
      <c r="GZ83" s="48" t="str">
        <f>IFERROR(__xludf.DUMMYFUNCTION("IFERROR(TEXTJOIN(""/"",1,FILTER($B$42:$IV$42,$B$41:$IV$41=GZ$97)),"" "")")," ")</f>
        <v> </v>
      </c>
      <c r="HA83" s="48" t="str">
        <f>IFERROR(__xludf.DUMMYFUNCTION("IFERROR(TEXTJOIN(""/"",1,FILTER($B$42:$IV$42,$B$41:$IV$41=HA$97)),"" "")")," ")</f>
        <v> </v>
      </c>
      <c r="HB83" s="48" t="str">
        <f>IFERROR(__xludf.DUMMYFUNCTION("IFERROR(TEXTJOIN(""/"",1,FILTER($B$42:$IV$42,$B$41:$IV$41=HB$97)),"" "")")," ")</f>
        <v> </v>
      </c>
      <c r="HC83" s="48" t="str">
        <f>IFERROR(__xludf.DUMMYFUNCTION("IFERROR(TEXTJOIN(""/"",1,FILTER($B$42:$IV$42,$B$41:$IV$41=HC$97)),"" "")"),"5")</f>
        <v>5</v>
      </c>
      <c r="HD83" s="48" t="str">
        <f>IFERROR(__xludf.DUMMYFUNCTION("IFERROR(TEXTJOIN(""/"",1,FILTER($B$42:$IV$42,$B$41:$IV$41=HD$97)),"" "")")," ")</f>
        <v> </v>
      </c>
      <c r="HE83" s="48" t="str">
        <f>IFERROR(__xludf.DUMMYFUNCTION("IFERROR(TEXTJOIN(""/"",1,FILTER($B$42:$IV$42,$B$41:$IV$41=HE$97)),"" "")")," ")</f>
        <v> </v>
      </c>
      <c r="HF83" s="48" t="str">
        <f>IFERROR(__xludf.DUMMYFUNCTION("IFERROR(TEXTJOIN(""/"",1,FILTER($B$42:$IV$42,$B$41:$IV$41=HF$97)),"" "")")," ")</f>
        <v> </v>
      </c>
      <c r="HG83" s="48" t="str">
        <f>IFERROR(__xludf.DUMMYFUNCTION("IFERROR(TEXTJOIN(""/"",1,FILTER($B$42:$IV$42,$B$41:$IV$41=HG$97)),"" "")")," ")</f>
        <v> </v>
      </c>
      <c r="HH83" s="48" t="str">
        <f>IFERROR(__xludf.DUMMYFUNCTION("IFERROR(TEXTJOIN(""/"",1,FILTER($B$42:$IV$42,$B$41:$IV$41=HH$97)),"" "")")," ")</f>
        <v> </v>
      </c>
      <c r="HI83" s="48" t="str">
        <f>IFERROR(__xludf.DUMMYFUNCTION("IFERROR(TEXTJOIN(""/"",1,FILTER($B$42:$IV$42,$B$41:$IV$41=HI$97)),"" "")")," ")</f>
        <v> </v>
      </c>
      <c r="HJ83" s="48" t="str">
        <f>IFERROR(__xludf.DUMMYFUNCTION("IFERROR(TEXTJOIN(""/"",1,FILTER($B$42:$IV$42,$B$41:$IV$41=HJ$97)),"" "")"),"")</f>
        <v/>
      </c>
      <c r="HK83" s="48" t="str">
        <f>IFERROR(__xludf.DUMMYFUNCTION("IFERROR(TEXTJOIN(""/"",1,FILTER($B$42:$IV$42,$B$41:$IV$41=HK$97)),"" "")")," ")</f>
        <v> </v>
      </c>
      <c r="HL83" s="48" t="str">
        <f>IFERROR(__xludf.DUMMYFUNCTION("IFERROR(TEXTJOIN(""/"",1,FILTER($B$42:$IV$42,$B$41:$IV$41=HL$97)),"" "")")," ")</f>
        <v> </v>
      </c>
      <c r="HM83" s="48" t="str">
        <f>IFERROR(__xludf.DUMMYFUNCTION("IFERROR(TEXTJOIN(""/"",1,FILTER($B$42:$IV$42,$B$41:$IV$41=HM$97)),"" "")")," ")</f>
        <v> </v>
      </c>
      <c r="HN83" s="48" t="str">
        <f>IFERROR(__xludf.DUMMYFUNCTION("IFERROR(TEXTJOIN(""/"",1,FILTER($B$42:$IV$42,$B$41:$IV$41=HN$97)),"" "")")," ")</f>
        <v> </v>
      </c>
      <c r="HO83" s="48" t="str">
        <f>IFERROR(__xludf.DUMMYFUNCTION("IFERROR(TEXTJOIN(""/"",1,FILTER($B$42:$IV$42,$B$41:$IV$41=HO$97)),"" "")")," ")</f>
        <v> </v>
      </c>
      <c r="HP83" s="48" t="str">
        <f>IFERROR(__xludf.DUMMYFUNCTION("IFERROR(TEXTJOIN(""/"",1,FILTER($B$42:$IV$42,$B$41:$IV$41=HP$97)),"" "")")," ")</f>
        <v> </v>
      </c>
      <c r="HQ83" s="48" t="str">
        <f>IFERROR(__xludf.DUMMYFUNCTION("IFERROR(TEXTJOIN(""/"",1,FILTER($B$42:$IV$42,$B$41:$IV$41=HQ$97)),"" "")"),"")</f>
        <v/>
      </c>
      <c r="HR83" s="48" t="str">
        <f>IFERROR(__xludf.DUMMYFUNCTION("IFERROR(TEXTJOIN(""/"",1,FILTER($B$42:$IV$42,$B$41:$IV$41=HR$97)),"" "")")," ")</f>
        <v> </v>
      </c>
      <c r="HS83" s="48" t="str">
        <f>IFERROR(__xludf.DUMMYFUNCTION("IFERROR(TEXTJOIN(""/"",1,FILTER($B$42:$IV$42,$B$41:$IV$41=HS$97)),"" "")")," ")</f>
        <v> </v>
      </c>
      <c r="HT83" s="48" t="str">
        <f>IFERROR(__xludf.DUMMYFUNCTION("IFERROR(TEXTJOIN(""/"",1,FILTER($B$42:$IV$42,$B$41:$IV$41=HT$97)),"" "")")," ")</f>
        <v> </v>
      </c>
      <c r="HU83" s="48" t="str">
        <f>IFERROR(__xludf.DUMMYFUNCTION("IFERROR(TEXTJOIN(""/"",1,FILTER($B$42:$IV$42,$B$41:$IV$41=HU$97)),"" "")")," ")</f>
        <v> </v>
      </c>
      <c r="HV83" s="48" t="str">
        <f>IFERROR(__xludf.DUMMYFUNCTION("IFERROR(TEXTJOIN(""/"",1,FILTER($B$42:$IV$42,$B$41:$IV$41=HV$97)),"" "")")," ")</f>
        <v> </v>
      </c>
      <c r="HW83" s="48" t="str">
        <f>IFERROR(__xludf.DUMMYFUNCTION("IFERROR(TEXTJOIN(""/"",1,FILTER($B$42:$IV$42,$B$41:$IV$41=HW$97)),"" "")")," ")</f>
        <v> </v>
      </c>
      <c r="HX83" s="48" t="str">
        <f>IFERROR(__xludf.DUMMYFUNCTION("IFERROR(TEXTJOIN(""/"",1,FILTER($B$42:$IV$42,$B$41:$IV$41=HX$97)),"" "")"),"")</f>
        <v/>
      </c>
      <c r="HY83" s="48" t="str">
        <f>IFERROR(__xludf.DUMMYFUNCTION("IFERROR(TEXTJOIN(""/"",1,FILTER($B$42:$IV$42,$B$41:$IV$41=HY$97)),"" "")")," ")</f>
        <v> </v>
      </c>
      <c r="HZ83" s="48" t="str">
        <f>IFERROR(__xludf.DUMMYFUNCTION("IFERROR(TEXTJOIN(""/"",1,FILTER($B$42:$IV$42,$B$41:$IV$41=HZ$97)),"" "")")," ")</f>
        <v> </v>
      </c>
      <c r="IA83" s="48" t="str">
        <f>IFERROR(__xludf.DUMMYFUNCTION("IFERROR(TEXTJOIN(""/"",1,FILTER($B$42:$IV$42,$B$41:$IV$41=IA$97)),"" "")")," ")</f>
        <v> </v>
      </c>
      <c r="IB83" s="48" t="str">
        <f>IFERROR(__xludf.DUMMYFUNCTION("IFERROR(TEXTJOIN(""/"",1,FILTER($B$42:$IV$42,$B$41:$IV$41=IB$97)),"" "")")," ")</f>
        <v> </v>
      </c>
      <c r="IC83" s="48" t="str">
        <f>IFERROR(__xludf.DUMMYFUNCTION("IFERROR(TEXTJOIN(""/"",1,FILTER($B$42:$IV$42,$B$41:$IV$41=IC$97)),"" "")")," ")</f>
        <v> </v>
      </c>
      <c r="ID83" s="48" t="str">
        <f>IFERROR(__xludf.DUMMYFUNCTION("IFERROR(TEXTJOIN(""/"",1,FILTER($B$42:$IV$42,$B$41:$IV$41=ID$97)),"" "")")," ")</f>
        <v> </v>
      </c>
      <c r="IE83" s="48" t="str">
        <f>IFERROR(__xludf.DUMMYFUNCTION("IFERROR(TEXTJOIN(""/"",1,FILTER($B$42:$IV$42,$B$41:$IV$41=IE$97)),"" "")"),"")</f>
        <v/>
      </c>
      <c r="IF83" s="48" t="str">
        <f>IFERROR(__xludf.DUMMYFUNCTION("IFERROR(TEXTJOIN(""/"",1,FILTER($B$42:$IV$42,$B$41:$IV$41=IF$97)),"" "")")," ")</f>
        <v> </v>
      </c>
      <c r="IG83" s="48" t="str">
        <f>IFERROR(__xludf.DUMMYFUNCTION("IFERROR(TEXTJOIN(""/"",1,FILTER($B$42:$IV$42,$B$41:$IV$41=IG$97)),"" "")")," ")</f>
        <v> </v>
      </c>
      <c r="IH83" s="48" t="str">
        <f>IFERROR(__xludf.DUMMYFUNCTION("IFERROR(TEXTJOIN(""/"",1,FILTER($B$42:$IV$42,$B$41:$IV$41=IH$97)),"" "")")," ")</f>
        <v> </v>
      </c>
      <c r="II83" s="48" t="str">
        <f>IFERROR(__xludf.DUMMYFUNCTION("IFERROR(TEXTJOIN(""/"",1,FILTER($B$42:$IV$42,$B$41:$IV$41=II$97)),"" "")")," ")</f>
        <v> </v>
      </c>
      <c r="IJ83" s="48" t="str">
        <f>IFERROR(__xludf.DUMMYFUNCTION("IFERROR(TEXTJOIN(""/"",1,FILTER($B$42:$IV$42,$B$41:$IV$41=IJ$97)),"" "")")," ")</f>
        <v> </v>
      </c>
      <c r="IK83" s="48" t="str">
        <f>IFERROR(__xludf.DUMMYFUNCTION("IFERROR(TEXTJOIN(""/"",1,FILTER($B$42:$IV$42,$B$41:$IV$41=IK$97)),"" "")")," ")</f>
        <v> </v>
      </c>
      <c r="IL83" s="48" t="str">
        <f>IFERROR(__xludf.DUMMYFUNCTION("IFERROR(TEXTJOIN(""/"",1,FILTER($B$42:$IV$42,$B$41:$IV$41=IL$97)),"" "")"),"")</f>
        <v/>
      </c>
      <c r="IM83" s="48" t="str">
        <f>IFERROR(__xludf.DUMMYFUNCTION("IFERROR(TEXTJOIN(""/"",1,FILTER($B$42:$IV$42,$B$41:$IV$41=IM$97)),"" "")")," ")</f>
        <v> </v>
      </c>
      <c r="IN83" s="48" t="str">
        <f>IFERROR(__xludf.DUMMYFUNCTION("IFERROR(TEXTJOIN(""/"",1,FILTER($B$42:$IV$42,$B$41:$IV$41=IN$97)),"" "")")," ")</f>
        <v> </v>
      </c>
      <c r="IO83" s="48" t="str">
        <f>IFERROR(__xludf.DUMMYFUNCTION("IFERROR(TEXTJOIN(""/"",1,FILTER($B$42:$IV$42,$B$41:$IV$41=IO$97)),"" "")")," ")</f>
        <v> </v>
      </c>
      <c r="IP83" s="48" t="str">
        <f>IFERROR(__xludf.DUMMYFUNCTION("IFERROR(TEXTJOIN(""/"",1,FILTER($B$42:$IV$42,$B$41:$IV$41=IP$97)),"" "")")," ")</f>
        <v> </v>
      </c>
      <c r="IQ83" s="48" t="str">
        <f>IFERROR(__xludf.DUMMYFUNCTION("IFERROR(TEXTJOIN(""/"",1,FILTER($B$42:$IV$42,$B$41:$IV$41=IQ$97)),"" "")")," ")</f>
        <v> </v>
      </c>
      <c r="IR83" s="48" t="str">
        <f>IFERROR(__xludf.DUMMYFUNCTION("IFERROR(TEXTJOIN(""/"",1,FILTER($B$42:$IV$42,$B$41:$IV$41=IR$97)),"" "")")," ")</f>
        <v> </v>
      </c>
      <c r="IS83" s="48" t="str">
        <f>IFERROR(__xludf.DUMMYFUNCTION("IFERROR(TEXTJOIN(""/"",1,FILTER($B$42:$IV$42,$B$41:$IV$41=IS$97)),"" "")"),"")</f>
        <v/>
      </c>
      <c r="IT83" s="48" t="str">
        <f>IFERROR(__xludf.DUMMYFUNCTION("IFERROR(TEXTJOIN(""/"",1,FILTER($B$42:$IV$42,$B$41:$IV$41=IT$97)),"" "")")," ")</f>
        <v> </v>
      </c>
      <c r="IU83" s="48" t="str">
        <f>IFERROR(__xludf.DUMMYFUNCTION("IFERROR(TEXTJOIN(""/"",1,FILTER($B$42:$IV$42,$B$41:$IV$41=IU$97)),"" "")")," ")</f>
        <v> </v>
      </c>
      <c r="IV83" s="48" t="str">
        <f>IFERROR(__xludf.DUMMYFUNCTION("IFERROR(TEXTJOIN(""/"",1,FILTER($B$42:$IV$42,$B$41:$IV$41=IV$97)),"" "")")," ")</f>
        <v> </v>
      </c>
      <c r="IW83" s="48" t="str">
        <f>IFERROR(__xludf.DUMMYFUNCTION("IFERROR(TEXTJOIN(""/"",1,FILTER($B$42:$IV$42,$B$41:$IV$41=IW$97)),"" "")")," ")</f>
        <v> </v>
      </c>
      <c r="IX83" s="48" t="str">
        <f>IFERROR(__xludf.DUMMYFUNCTION("IFERROR(TEXTJOIN(""/"",1,FILTER($B$42:$IV$42,$B$41:$IV$41=IX$97)),"" "")")," ")</f>
        <v> </v>
      </c>
      <c r="IY83" s="48" t="str">
        <f>IFERROR(__xludf.DUMMYFUNCTION("IFERROR(TEXTJOIN(""/"",1,FILTER($B$42:$IV$42,$B$41:$IV$41=IY$97)),"" "")")," ")</f>
        <v> </v>
      </c>
      <c r="IZ83" s="48" t="str">
        <f>IFERROR(__xludf.DUMMYFUNCTION("IFERROR(TEXTJOIN(""/"",1,FILTER($B$42:$IV$42,$B$41:$IV$41=IZ$97)),"" "")"),"")</f>
        <v/>
      </c>
      <c r="JA83" s="48" t="str">
        <f>IFERROR(__xludf.DUMMYFUNCTION("IFERROR(TEXTJOIN(""/"",1,FILTER($B$42:$IV$42,$B$41:$IV$41=JA$97)),"" "")")," ")</f>
        <v> </v>
      </c>
      <c r="JB83" s="48" t="str">
        <f>IFERROR(__xludf.DUMMYFUNCTION("IFERROR(TEXTJOIN(""/"",1,FILTER($B$42:$IV$42,$B$41:$IV$41=JB$97)),"" "")")," ")</f>
        <v> </v>
      </c>
      <c r="JC83" s="48" t="str">
        <f>IFERROR(__xludf.DUMMYFUNCTION("IFERROR(TEXTJOIN(""/"",1,FILTER($B$42:$IV$42,$B$41:$IV$41=JC$97)),"" "")")," ")</f>
        <v> </v>
      </c>
      <c r="JD83" s="48" t="str">
        <f>IFERROR(__xludf.DUMMYFUNCTION("IFERROR(TEXTJOIN(""/"",1,FILTER($B$42:$IV$42,$B$41:$IV$41=JD$97)),"" "")")," ")</f>
        <v> </v>
      </c>
      <c r="JE83" s="48" t="str">
        <f>IFERROR(__xludf.DUMMYFUNCTION("IFERROR(TEXTJOIN(""/"",1,FILTER($B$42:$IV$42,$B$41:$IV$41=JE$97)),"" "")")," ")</f>
        <v> </v>
      </c>
    </row>
    <row r="84">
      <c r="A84" s="47" t="str">
        <f>IFERROR(__xludf.DUMMYFUNCTION("""COMPUTED_VALUE"""),"Физика")</f>
        <v>Физика</v>
      </c>
      <c r="B84" s="48" t="str">
        <f>IFERROR(__xludf.DUMMYFUNCTION("IFERROR(TEXTJOIN(""/"",1,FILTER($B$45:$IV$45,$B$44:$IV$44=B$97)),"" "")")," ")</f>
        <v> </v>
      </c>
      <c r="C84" s="48" t="str">
        <f>IFERROR(__xludf.DUMMYFUNCTION("IFERROR(TEXTJOIN(""/"",1,FILTER($B$45:$IV$45,$B$44:$IV$44=C$97)),"" "")")," ")</f>
        <v> </v>
      </c>
      <c r="D84" s="48" t="str">
        <f>IFERROR(__xludf.DUMMYFUNCTION("IFERROR(TEXTJOIN(""/"",1,FILTER($B$45:$IV$45,$B$44:$IV$44=D$97)),"" "")")," ")</f>
        <v> </v>
      </c>
      <c r="E84" s="48" t="str">
        <f>IFERROR(__xludf.DUMMYFUNCTION("IFERROR(TEXTJOIN(""/"",1,FILTER($B$45:$IV$45,$B$44:$IV$44=E$97)),"" "")"),"")</f>
        <v/>
      </c>
      <c r="F84" s="48" t="str">
        <f>IFERROR(__xludf.DUMMYFUNCTION("IFERROR(TEXTJOIN(""/"",1,FILTER($B$45:$IV$45,$B$44:$IV$44=F$97)),"" "")"),"")</f>
        <v/>
      </c>
      <c r="G84" s="48" t="str">
        <f>IFERROR(__xludf.DUMMYFUNCTION("IFERROR(TEXTJOIN(""/"",1,FILTER($B$45:$IV$45,$B$44:$IV$44=G$97)),"" "")")," ")</f>
        <v> </v>
      </c>
      <c r="H84" s="48" t="str">
        <f>IFERROR(__xludf.DUMMYFUNCTION("IFERROR(TEXTJOIN(""/"",1,FILTER($B$45:$IV$45,$B$44:$IV$44=H$97)),"" "")")," ")</f>
        <v> </v>
      </c>
      <c r="I84" s="48" t="str">
        <f>IFERROR(__xludf.DUMMYFUNCTION("IFERROR(TEXTJOIN(""/"",1,FILTER($B$45:$IV$45,$B$44:$IV$44=I$97)),"" "")")," ")</f>
        <v> </v>
      </c>
      <c r="J84" s="48" t="str">
        <f>IFERROR(__xludf.DUMMYFUNCTION("IFERROR(TEXTJOIN(""/"",1,FILTER($B$45:$IV$45,$B$44:$IV$44=J$97)),"" "")")," ")</f>
        <v> </v>
      </c>
      <c r="K84" s="48" t="str">
        <f>IFERROR(__xludf.DUMMYFUNCTION("IFERROR(TEXTJOIN(""/"",1,FILTER($B$45:$IV$45,$B$44:$IV$44=K$97)),"" "")")," ")</f>
        <v> </v>
      </c>
      <c r="L84" s="48" t="str">
        <f>IFERROR(__xludf.DUMMYFUNCTION("IFERROR(TEXTJOIN(""/"",1,FILTER($B$45:$IV$45,$B$44:$IV$44=L$97)),"" "")"),"")</f>
        <v/>
      </c>
      <c r="M84" s="48" t="str">
        <f>IFERROR(__xludf.DUMMYFUNCTION("IFERROR(TEXTJOIN(""/"",1,FILTER($B$45:$IV$45,$B$44:$IV$44=M$97)),"" "")"),"5")</f>
        <v>5</v>
      </c>
      <c r="N84" s="48" t="str">
        <f>IFERROR(__xludf.DUMMYFUNCTION("IFERROR(TEXTJOIN(""/"",1,FILTER($B$45:$IV$45,$B$44:$IV$44=N$97)),"" "")")," ")</f>
        <v> </v>
      </c>
      <c r="O84" s="48" t="str">
        <f>IFERROR(__xludf.DUMMYFUNCTION("IFERROR(TEXTJOIN(""/"",1,FILTER($B$45:$IV$45,$B$44:$IV$44=O$97)),"" "")")," ")</f>
        <v> </v>
      </c>
      <c r="P84" s="48" t="str">
        <f>IFERROR(__xludf.DUMMYFUNCTION("IFERROR(TEXTJOIN(""/"",1,FILTER($B$45:$IV$45,$B$44:$IV$44=P$97)),"" "")")," ")</f>
        <v> </v>
      </c>
      <c r="Q84" s="48" t="str">
        <f>IFERROR(__xludf.DUMMYFUNCTION("IFERROR(TEXTJOIN(""/"",1,FILTER($B$45:$IV$45,$B$44:$IV$44=Q$97)),"" "")"),"")</f>
        <v/>
      </c>
      <c r="R84" s="48" t="str">
        <f>IFERROR(__xludf.DUMMYFUNCTION("IFERROR(TEXTJOIN(""/"",1,FILTER($B$45:$IV$45,$B$44:$IV$44=R$97)),"" "")")," ")</f>
        <v> </v>
      </c>
      <c r="S84" s="48" t="str">
        <f>IFERROR(__xludf.DUMMYFUNCTION("IFERROR(TEXTJOIN(""/"",1,FILTER($B$45:$IV$45,$B$44:$IV$44=S$97)),"" "")")," ")</f>
        <v> </v>
      </c>
      <c r="T84" s="48" t="str">
        <f>IFERROR(__xludf.DUMMYFUNCTION("IFERROR(TEXTJOIN(""/"",1,FILTER($B$45:$IV$45,$B$44:$IV$44=T$97)),"" "")"),"")</f>
        <v/>
      </c>
      <c r="U84" s="48" t="str">
        <f>IFERROR(__xludf.DUMMYFUNCTION("IFERROR(TEXTJOIN(""/"",1,FILTER($B$45:$IV$45,$B$44:$IV$44=U$97)),"" "")")," ")</f>
        <v> </v>
      </c>
      <c r="V84" s="48" t="str">
        <f>IFERROR(__xludf.DUMMYFUNCTION("IFERROR(TEXTJOIN(""/"",1,FILTER($B$45:$IV$45,$B$44:$IV$44=V$97)),"" "")")," ")</f>
        <v> </v>
      </c>
      <c r="W84" s="48" t="str">
        <f>IFERROR(__xludf.DUMMYFUNCTION("IFERROR(TEXTJOIN(""/"",1,FILTER($B$45:$IV$45,$B$44:$IV$44=W$97)),"" "")")," ")</f>
        <v> </v>
      </c>
      <c r="X84" s="48" t="str">
        <f>IFERROR(__xludf.DUMMYFUNCTION("IFERROR(TEXTJOIN(""/"",1,FILTER($B$45:$IV$45,$B$44:$IV$44=X$97)),"" "")"),"4")</f>
        <v>4</v>
      </c>
      <c r="Y84" s="48" t="str">
        <f>IFERROR(__xludf.DUMMYFUNCTION("IFERROR(TEXTJOIN(""/"",1,FILTER($B$45:$IV$45,$B$44:$IV$44=Y$97)),"" "")")," ")</f>
        <v> </v>
      </c>
      <c r="Z84" s="48" t="str">
        <f>IFERROR(__xludf.DUMMYFUNCTION("IFERROR(TEXTJOIN(""/"",1,FILTER($B$45:$IV$45,$B$44:$IV$44=Z$97)),"" "")")," ")</f>
        <v> </v>
      </c>
      <c r="AA84" s="48" t="str">
        <f>IFERROR(__xludf.DUMMYFUNCTION("IFERROR(TEXTJOIN(""/"",1,FILTER($B$45:$IV$45,$B$44:$IV$44=AA$97)),"" "")"),"3")</f>
        <v>3</v>
      </c>
      <c r="AB84" s="48" t="str">
        <f>IFERROR(__xludf.DUMMYFUNCTION("IFERROR(TEXTJOIN(""/"",1,FILTER($B$45:$IV$45,$B$44:$IV$44=AB$97)),"" "")")," ")</f>
        <v> </v>
      </c>
      <c r="AC84" s="48" t="str">
        <f>IFERROR(__xludf.DUMMYFUNCTION("IFERROR(TEXTJOIN(""/"",1,FILTER($B$45:$IV$45,$B$44:$IV$44=AC$97)),"" "")")," ")</f>
        <v> </v>
      </c>
      <c r="AD84" s="48" t="str">
        <f>IFERROR(__xludf.DUMMYFUNCTION("IFERROR(TEXTJOIN(""/"",1,FILTER($B$45:$IV$45,$B$44:$IV$44=AD$97)),"" "")")," ")</f>
        <v> </v>
      </c>
      <c r="AE84" s="48" t="str">
        <f>IFERROR(__xludf.DUMMYFUNCTION("IFERROR(TEXTJOIN(""/"",1,FILTER($B$45:$IV$45,$B$44:$IV$44=AE$97)),"" "")")," ")</f>
        <v> </v>
      </c>
      <c r="AF84" s="48" t="str">
        <f>IFERROR(__xludf.DUMMYFUNCTION("IFERROR(TEXTJOIN(""/"",1,FILTER($B$45:$IV$45,$B$44:$IV$44=AF$97)),"" "")")," ")</f>
        <v> </v>
      </c>
      <c r="AG84" s="48" t="str">
        <f>IFERROR(__xludf.DUMMYFUNCTION("IFERROR(TEXTJOIN(""/"",1,FILTER($B$45:$IV$45,$B$44:$IV$44=AG$97)),"" "")")," ")</f>
        <v> </v>
      </c>
      <c r="AH84" s="48" t="str">
        <f>IFERROR(__xludf.DUMMYFUNCTION("IFERROR(TEXTJOIN(""/"",1,FILTER($B$45:$IV$45,$B$44:$IV$44=AH$97)),"" "")"),"н")</f>
        <v>н</v>
      </c>
      <c r="AI84" s="48" t="str">
        <f>IFERROR(__xludf.DUMMYFUNCTION("IFERROR(TEXTJOIN(""/"",1,FILTER($B$45:$IV$45,$B$44:$IV$44=AI$97)),"" "")")," ")</f>
        <v> </v>
      </c>
      <c r="AJ84" s="48" t="str">
        <f>IFERROR(__xludf.DUMMYFUNCTION("IFERROR(TEXTJOIN(""/"",1,FILTER($B$45:$IV$45,$B$44:$IV$44=AJ$97)),"" "")")," ")</f>
        <v> </v>
      </c>
      <c r="AK84" s="48" t="str">
        <f>IFERROR(__xludf.DUMMYFUNCTION("IFERROR(TEXTJOIN(""/"",1,FILTER($B$45:$IV$45,$B$44:$IV$44=AK$97)),"" "")")," ")</f>
        <v> </v>
      </c>
      <c r="AL84" s="48" t="str">
        <f>IFERROR(__xludf.DUMMYFUNCTION("IFERROR(TEXTJOIN(""/"",1,FILTER($B$45:$IV$45,$B$44:$IV$44=AL$97)),"" "")"),"")</f>
        <v/>
      </c>
      <c r="AM84" s="48" t="str">
        <f>IFERROR(__xludf.DUMMYFUNCTION("IFERROR(TEXTJOIN(""/"",1,FILTER($B$45:$IV$45,$B$44:$IV$44=AM$97)),"" "")")," ")</f>
        <v> </v>
      </c>
      <c r="AN84" s="48" t="str">
        <f>IFERROR(__xludf.DUMMYFUNCTION("IFERROR(TEXTJOIN(""/"",1,FILTER($B$45:$IV$45,$B$44:$IV$44=AN$97)),"" "")")," ")</f>
        <v> </v>
      </c>
      <c r="AO84" s="48" t="str">
        <f>IFERROR(__xludf.DUMMYFUNCTION("IFERROR(TEXTJOIN(""/"",1,FILTER($B$45:$IV$45,$B$44:$IV$44=AO$97)),"" "")"),"3")</f>
        <v>3</v>
      </c>
      <c r="AP84" s="48" t="str">
        <f>IFERROR(__xludf.DUMMYFUNCTION("IFERROR(TEXTJOIN(""/"",1,FILTER($B$45:$IV$45,$B$44:$IV$44=AP$97)),"" "")")," ")</f>
        <v> </v>
      </c>
      <c r="AQ84" s="48" t="str">
        <f>IFERROR(__xludf.DUMMYFUNCTION("IFERROR(TEXTJOIN(""/"",1,FILTER($B$45:$IV$45,$B$44:$IV$44=AQ$97)),"" "")")," ")</f>
        <v> </v>
      </c>
      <c r="AR84" s="48" t="str">
        <f>IFERROR(__xludf.DUMMYFUNCTION("IFERROR(TEXTJOIN(""/"",1,FILTER($B$45:$IV$45,$B$44:$IV$44=AR$97)),"" "")")," ")</f>
        <v> </v>
      </c>
      <c r="AS84" s="48" t="str">
        <f>IFERROR(__xludf.DUMMYFUNCTION("IFERROR(TEXTJOIN(""/"",1,FILTER($B$45:$IV$45,$B$44:$IV$44=AS$97)),"" "")"),"")</f>
        <v/>
      </c>
      <c r="AT84" s="48" t="str">
        <f>IFERROR(__xludf.DUMMYFUNCTION("IFERROR(TEXTJOIN(""/"",1,FILTER($B$45:$IV$45,$B$44:$IV$44=AT$97)),"" "")")," ")</f>
        <v> </v>
      </c>
      <c r="AU84" s="48" t="str">
        <f>IFERROR(__xludf.DUMMYFUNCTION("IFERROR(TEXTJOIN(""/"",1,FILTER($B$45:$IV$45,$B$44:$IV$44=AU$97)),"" "")"),"4")</f>
        <v>4</v>
      </c>
      <c r="AV84" s="48" t="str">
        <f>IFERROR(__xludf.DUMMYFUNCTION("IFERROR(TEXTJOIN(""/"",1,FILTER($B$45:$IV$45,$B$44:$IV$44=AV$97)),"" "")"),"")</f>
        <v/>
      </c>
      <c r="AW84" s="48" t="str">
        <f>IFERROR(__xludf.DUMMYFUNCTION("IFERROR(TEXTJOIN(""/"",1,FILTER($B$45:$IV$45,$B$44:$IV$44=AW$97)),"" "")")," ")</f>
        <v> </v>
      </c>
      <c r="AX84" s="48" t="str">
        <f>IFERROR(__xludf.DUMMYFUNCTION("IFERROR(TEXTJOIN(""/"",1,FILTER($B$45:$IV$45,$B$44:$IV$44=AX$97)),"" "")")," ")</f>
        <v> </v>
      </c>
      <c r="AY84" s="48" t="str">
        <f>IFERROR(__xludf.DUMMYFUNCTION("IFERROR(TEXTJOIN(""/"",1,FILTER($B$45:$IV$45,$B$44:$IV$44=AY$97)),"" "")")," ")</f>
        <v> </v>
      </c>
      <c r="AZ84" s="48" t="str">
        <f>IFERROR(__xludf.DUMMYFUNCTION("IFERROR(TEXTJOIN(""/"",1,FILTER($B$45:$IV$45,$B$44:$IV$44=AZ$97)),"" "")"),"")</f>
        <v/>
      </c>
      <c r="BA84" s="48" t="str">
        <f>IFERROR(__xludf.DUMMYFUNCTION("IFERROR(TEXTJOIN(""/"",1,FILTER($B$45:$IV$45,$B$44:$IV$44=BA$97)),"" "")")," ")</f>
        <v> </v>
      </c>
      <c r="BB84" s="48" t="str">
        <f>IFERROR(__xludf.DUMMYFUNCTION("IFERROR(TEXTJOIN(""/"",1,FILTER($B$45:$IV$45,$B$44:$IV$44=BB$97)),"" "")")," ")</f>
        <v> </v>
      </c>
      <c r="BC84" s="48" t="str">
        <f>IFERROR(__xludf.DUMMYFUNCTION("IFERROR(TEXTJOIN(""/"",1,FILTER($B$45:$IV$45,$B$44:$IV$44=BC$97)),"" "")")," ")</f>
        <v> </v>
      </c>
      <c r="BD84" s="48" t="str">
        <f>IFERROR(__xludf.DUMMYFUNCTION("IFERROR(TEXTJOIN(""/"",1,FILTER($B$45:$IV$45,$B$44:$IV$44=BD$97)),"" "")")," ")</f>
        <v> </v>
      </c>
      <c r="BE84" s="48" t="str">
        <f>IFERROR(__xludf.DUMMYFUNCTION("IFERROR(TEXTJOIN(""/"",1,FILTER($B$45:$IV$45,$B$44:$IV$44=BE$97)),"" "")")," ")</f>
        <v> </v>
      </c>
      <c r="BF84" s="48" t="str">
        <f>IFERROR(__xludf.DUMMYFUNCTION("IFERROR(TEXTJOIN(""/"",1,FILTER($B$45:$IV$45,$B$44:$IV$44=BF$97)),"" "")")," ")</f>
        <v> </v>
      </c>
      <c r="BG84" s="48" t="str">
        <f>IFERROR(__xludf.DUMMYFUNCTION("IFERROR(TEXTJOIN(""/"",1,FILTER($B$45:$IV$45,$B$44:$IV$44=BG$97)),"" "")"),"5")</f>
        <v>5</v>
      </c>
      <c r="BH84" s="48" t="str">
        <f>IFERROR(__xludf.DUMMYFUNCTION("IFERROR(TEXTJOIN(""/"",1,FILTER($B$45:$IV$45,$B$44:$IV$44=BH$97)),"" "")")," ")</f>
        <v> </v>
      </c>
      <c r="BI84" s="48" t="str">
        <f>IFERROR(__xludf.DUMMYFUNCTION("IFERROR(TEXTJOIN(""/"",1,FILTER($B$45:$IV$45,$B$44:$IV$44=BI$97)),"" "")")," ")</f>
        <v> </v>
      </c>
      <c r="BJ84" s="48" t="str">
        <f>IFERROR(__xludf.DUMMYFUNCTION("IFERROR(TEXTJOIN(""/"",1,FILTER($B$45:$IV$45,$B$44:$IV$44=BJ$97)),"" "")"),"")</f>
        <v/>
      </c>
      <c r="BK84" s="48" t="str">
        <f>IFERROR(__xludf.DUMMYFUNCTION("IFERROR(TEXTJOIN(""/"",1,FILTER($B$45:$IV$45,$B$44:$IV$44=BK$97)),"" "")")," ")</f>
        <v> </v>
      </c>
      <c r="BL84" s="48" t="str">
        <f>IFERROR(__xludf.DUMMYFUNCTION("IFERROR(TEXTJOIN(""/"",1,FILTER($B$45:$IV$45,$B$44:$IV$44=BL$97)),"" "")")," ")</f>
        <v> </v>
      </c>
      <c r="BM84" s="48" t="str">
        <f>IFERROR(__xludf.DUMMYFUNCTION("IFERROR(TEXTJOIN(""/"",1,FILTER($B$45:$IV$45,$B$44:$IV$44=BM$97)),"" "")")," ")</f>
        <v> </v>
      </c>
      <c r="BN84" s="48" t="str">
        <f>IFERROR(__xludf.DUMMYFUNCTION("IFERROR(TEXTJOIN(""/"",1,FILTER($B$45:$IV$45,$B$44:$IV$44=BN$97)),"" "")")," ")</f>
        <v> </v>
      </c>
      <c r="BO84" s="48" t="str">
        <f>IFERROR(__xludf.DUMMYFUNCTION("IFERROR(TEXTJOIN(""/"",1,FILTER($B$45:$IV$45,$B$44:$IV$44=BO$97)),"" "")")," ")</f>
        <v> </v>
      </c>
      <c r="BP84" s="48" t="str">
        <f>IFERROR(__xludf.DUMMYFUNCTION("IFERROR(TEXTJOIN(""/"",1,FILTER($B$45:$IV$45,$B$44:$IV$44=BP$97)),"" "")")," ")</f>
        <v> </v>
      </c>
      <c r="BQ84" s="48" t="str">
        <f>IFERROR(__xludf.DUMMYFUNCTION("IFERROR(TEXTJOIN(""/"",1,FILTER($B$45:$IV$45,$B$44:$IV$44=BQ$97)),"" "")")," ")</f>
        <v> </v>
      </c>
      <c r="BR84" s="48" t="str">
        <f>IFERROR(__xludf.DUMMYFUNCTION("IFERROR(TEXTJOIN(""/"",1,FILTER($B$45:$IV$45,$B$44:$IV$44=BR$97)),"" "")")," ")</f>
        <v> </v>
      </c>
      <c r="BS84" s="48" t="str">
        <f>IFERROR(__xludf.DUMMYFUNCTION("IFERROR(TEXTJOIN(""/"",1,FILTER($B$45:$IV$45,$B$44:$IV$44=BS$97)),"" "")")," ")</f>
        <v> </v>
      </c>
      <c r="BT84" s="48" t="str">
        <f>IFERROR(__xludf.DUMMYFUNCTION("IFERROR(TEXTJOIN(""/"",1,FILTER($B$45:$IV$45,$B$44:$IV$44=BT$97)),"" "")")," ")</f>
        <v> </v>
      </c>
      <c r="BU84" s="48" t="str">
        <f>IFERROR(__xludf.DUMMYFUNCTION("IFERROR(TEXTJOIN(""/"",1,FILTER($B$45:$IV$45,$B$44:$IV$44=BU$97)),"" "")"),"")</f>
        <v/>
      </c>
      <c r="BV84" s="48" t="str">
        <f>IFERROR(__xludf.DUMMYFUNCTION("IFERROR(TEXTJOIN(""/"",1,FILTER($B$45:$IV$45,$B$44:$IV$44=BV$97)),"" "")")," ")</f>
        <v> </v>
      </c>
      <c r="BW84" s="48" t="str">
        <f>IFERROR(__xludf.DUMMYFUNCTION("IFERROR(TEXTJOIN(""/"",1,FILTER($B$45:$IV$45,$B$44:$IV$44=BW$97)),"" "")")," ")</f>
        <v> </v>
      </c>
      <c r="BX84" s="48" t="str">
        <f>IFERROR(__xludf.DUMMYFUNCTION("IFERROR(TEXTJOIN(""/"",1,FILTER($B$45:$IV$45,$B$44:$IV$44=BX$97)),"" "")"),"")</f>
        <v/>
      </c>
      <c r="BY84" s="48" t="str">
        <f>IFERROR(__xludf.DUMMYFUNCTION("IFERROR(TEXTJOIN(""/"",1,FILTER($B$45:$IV$45,$B$44:$IV$44=BY$97)),"" "")")," ")</f>
        <v> </v>
      </c>
      <c r="BZ84" s="48" t="str">
        <f>IFERROR(__xludf.DUMMYFUNCTION("IFERROR(TEXTJOIN(""/"",1,FILTER($B$45:$IV$45,$B$44:$IV$44=BZ$97)),"" "")")," ")</f>
        <v> </v>
      </c>
      <c r="CA84" s="48" t="str">
        <f>IFERROR(__xludf.DUMMYFUNCTION("IFERROR(TEXTJOIN(""/"",1,FILTER($B$45:$IV$45,$B$44:$IV$44=CA$97)),"" "")")," ")</f>
        <v> </v>
      </c>
      <c r="CB84" s="48" t="str">
        <f>IFERROR(__xludf.DUMMYFUNCTION("IFERROR(TEXTJOIN(""/"",1,FILTER($B$45:$IV$45,$B$44:$IV$44=CB$97)),"" "")"),"н")</f>
        <v>н</v>
      </c>
      <c r="CC84" s="48" t="str">
        <f>IFERROR(__xludf.DUMMYFUNCTION("IFERROR(TEXTJOIN(""/"",1,FILTER($B$45:$IV$45,$B$44:$IV$44=CC$97)),"" "")")," ")</f>
        <v> </v>
      </c>
      <c r="CD84" s="48" t="str">
        <f>IFERROR(__xludf.DUMMYFUNCTION("IFERROR(TEXTJOIN(""/"",1,FILTER($B$45:$IV$45,$B$44:$IV$44=CD$97)),"" "")")," ")</f>
        <v> </v>
      </c>
      <c r="CE84" s="48" t="str">
        <f>IFERROR(__xludf.DUMMYFUNCTION("IFERROR(TEXTJOIN(""/"",1,FILTER($B$45:$IV$45,$B$44:$IV$44=CE$97)),"" "")"),"5")</f>
        <v>5</v>
      </c>
      <c r="CF84" s="48" t="str">
        <f>IFERROR(__xludf.DUMMYFUNCTION("IFERROR(TEXTJOIN(""/"",1,FILTER($B$45:$IV$45,$B$44:$IV$44=CF$97)),"" "")")," ")</f>
        <v> </v>
      </c>
      <c r="CG84" s="48" t="str">
        <f>IFERROR(__xludf.DUMMYFUNCTION("IFERROR(TEXTJOIN(""/"",1,FILTER($B$45:$IV$45,$B$44:$IV$44=CG$97)),"" "")")," ")</f>
        <v> </v>
      </c>
      <c r="CH84" s="48" t="str">
        <f>IFERROR(__xludf.DUMMYFUNCTION("IFERROR(TEXTJOIN(""/"",1,FILTER($B$45:$IV$45,$B$44:$IV$44=CH$97)),"" "")")," ")</f>
        <v> </v>
      </c>
      <c r="CI84" s="48" t="str">
        <f>IFERROR(__xludf.DUMMYFUNCTION("IFERROR(TEXTJOIN(""/"",1,FILTER($B$45:$IV$45,$B$44:$IV$44=CI$97)),"" "")"),"3")</f>
        <v>3</v>
      </c>
      <c r="CJ84" s="48" t="str">
        <f>IFERROR(__xludf.DUMMYFUNCTION("IFERROR(TEXTJOIN(""/"",1,FILTER($B$45:$IV$45,$B$44:$IV$44=CJ$97)),"" "")")," ")</f>
        <v> </v>
      </c>
      <c r="CK84" s="48" t="str">
        <f>IFERROR(__xludf.DUMMYFUNCTION("IFERROR(TEXTJOIN(""/"",1,FILTER($B$45:$IV$45,$B$44:$IV$44=CK$97)),"" "")"),"")</f>
        <v/>
      </c>
      <c r="CL84" s="48" t="str">
        <f>IFERROR(__xludf.DUMMYFUNCTION("IFERROR(TEXTJOIN(""/"",1,FILTER($B$45:$IV$45,$B$44:$IV$44=CL$97)),"" "")"),"")</f>
        <v/>
      </c>
      <c r="CM84" s="48" t="str">
        <f>IFERROR(__xludf.DUMMYFUNCTION("IFERROR(TEXTJOIN(""/"",1,FILTER($B$45:$IV$45,$B$44:$IV$44=CM$97)),"" "")")," ")</f>
        <v> </v>
      </c>
      <c r="CN84" s="48" t="str">
        <f>IFERROR(__xludf.DUMMYFUNCTION("IFERROR(TEXTJOIN(""/"",1,FILTER($B$45:$IV$45,$B$44:$IV$44=CN$97)),"" "")")," ")</f>
        <v> </v>
      </c>
      <c r="CO84" s="48" t="str">
        <f>IFERROR(__xludf.DUMMYFUNCTION("IFERROR(TEXTJOIN(""/"",1,FILTER($B$45:$IV$45,$B$44:$IV$44=CO$97)),"" "")")," ")</f>
        <v> </v>
      </c>
      <c r="CP84" s="48" t="str">
        <f>IFERROR(__xludf.DUMMYFUNCTION("IFERROR(TEXTJOIN(""/"",1,FILTER($B$45:$IV$45,$B$44:$IV$44=CP$97)),"" "")"),"")</f>
        <v/>
      </c>
      <c r="CQ84" s="48" t="str">
        <f>IFERROR(__xludf.DUMMYFUNCTION("IFERROR(TEXTJOIN(""/"",1,FILTER($B$45:$IV$45,$B$44:$IV$44=CQ$97)),"" "")")," ")</f>
        <v> </v>
      </c>
      <c r="CR84" s="48" t="str">
        <f>IFERROR(__xludf.DUMMYFUNCTION("IFERROR(TEXTJOIN(""/"",1,FILTER($B$45:$IV$45,$B$44:$IV$44=CR$97)),"" "")")," ")</f>
        <v> </v>
      </c>
      <c r="CS84" s="48" t="str">
        <f>IFERROR(__xludf.DUMMYFUNCTION("IFERROR(TEXTJOIN(""/"",1,FILTER($B$45:$IV$45,$B$44:$IV$44=CS$97)),"" "")"),"5")</f>
        <v>5</v>
      </c>
      <c r="CT84" s="48" t="str">
        <f>IFERROR(__xludf.DUMMYFUNCTION("IFERROR(TEXTJOIN(""/"",1,FILTER($B$45:$IV$45,$B$44:$IV$44=CT$97)),"" "")")," ")</f>
        <v> </v>
      </c>
      <c r="CU84" s="48" t="str">
        <f>IFERROR(__xludf.DUMMYFUNCTION("IFERROR(TEXTJOIN(""/"",1,FILTER($B$45:$IV$45,$B$44:$IV$44=CU$97)),"" "")")," ")</f>
        <v> </v>
      </c>
      <c r="CV84" s="48" t="str">
        <f>IFERROR(__xludf.DUMMYFUNCTION("IFERROR(TEXTJOIN(""/"",1,FILTER($B$45:$IV$45,$B$44:$IV$44=CV$97)),"" "")")," ")</f>
        <v> </v>
      </c>
      <c r="CW84" s="48" t="str">
        <f>IFERROR(__xludf.DUMMYFUNCTION("IFERROR(TEXTJOIN(""/"",1,FILTER($B$45:$IV$45,$B$44:$IV$44=CW$97)),"" "")"),"")</f>
        <v/>
      </c>
      <c r="CX84" s="48" t="str">
        <f>IFERROR(__xludf.DUMMYFUNCTION("IFERROR(TEXTJOIN(""/"",1,FILTER($B$45:$IV$45,$B$44:$IV$44=CX$97)),"" "")")," ")</f>
        <v> </v>
      </c>
      <c r="CY84" s="48" t="str">
        <f>IFERROR(__xludf.DUMMYFUNCTION("IFERROR(TEXTJOIN(""/"",1,FILTER($B$45:$IV$45,$B$44:$IV$44=CY$97)),"" "")")," ")</f>
        <v> </v>
      </c>
      <c r="CZ84" s="48" t="str">
        <f>IFERROR(__xludf.DUMMYFUNCTION("IFERROR(TEXTJOIN(""/"",1,FILTER($B$45:$IV$45,$B$44:$IV$44=CZ$97)),"" "")"),"")</f>
        <v/>
      </c>
      <c r="DA84" s="48" t="str">
        <f>IFERROR(__xludf.DUMMYFUNCTION("IFERROR(TEXTJOIN(""/"",1,FILTER($B$45:$IV$45,$B$44:$IV$44=DA$97)),"" "")")," ")</f>
        <v> </v>
      </c>
      <c r="DB84" s="48" t="str">
        <f>IFERROR(__xludf.DUMMYFUNCTION("IFERROR(TEXTJOIN(""/"",1,FILTER($B$45:$IV$45,$B$44:$IV$44=DB$97)),"" "")")," ")</f>
        <v> </v>
      </c>
      <c r="DC84" s="48" t="str">
        <f>IFERROR(__xludf.DUMMYFUNCTION("IFERROR(TEXTJOIN(""/"",1,FILTER($B$45:$IV$45,$B$44:$IV$44=DC$97)),"" "")"),"")</f>
        <v/>
      </c>
      <c r="DD84" s="48" t="str">
        <f>IFERROR(__xludf.DUMMYFUNCTION("IFERROR(TEXTJOIN(""/"",1,FILTER($B$45:$IV$45,$B$44:$IV$44=DD$97)),"" "")")," ")</f>
        <v> </v>
      </c>
      <c r="DE84" s="48" t="str">
        <f>IFERROR(__xludf.DUMMYFUNCTION("IFERROR(TEXTJOIN(""/"",1,FILTER($B$45:$IV$45,$B$44:$IV$44=DE$97)),"" "")")," ")</f>
        <v> </v>
      </c>
      <c r="DF84" s="48" t="str">
        <f>IFERROR(__xludf.DUMMYFUNCTION("IFERROR(TEXTJOIN(""/"",1,FILTER($B$45:$IV$45,$B$44:$IV$44=DF$97)),"" "")")," ")</f>
        <v> </v>
      </c>
      <c r="DG84" s="48" t="str">
        <f>IFERROR(__xludf.DUMMYFUNCTION("IFERROR(TEXTJOIN(""/"",1,FILTER($B$45:$IV$45,$B$44:$IV$44=DG$97)),"" "")"),"4")</f>
        <v>4</v>
      </c>
      <c r="DH84" s="48" t="str">
        <f>IFERROR(__xludf.DUMMYFUNCTION("IFERROR(TEXTJOIN(""/"",1,FILTER($B$45:$IV$45,$B$44:$IV$44=DH$97)),"" "")")," ")</f>
        <v> </v>
      </c>
      <c r="DI84" s="48" t="str">
        <f>IFERROR(__xludf.DUMMYFUNCTION("IFERROR(TEXTJOIN(""/"",1,FILTER($B$45:$IV$45,$B$44:$IV$44=DI$97)),"" "")")," ")</f>
        <v> </v>
      </c>
      <c r="DJ84" s="48" t="str">
        <f>IFERROR(__xludf.DUMMYFUNCTION("IFERROR(TEXTJOIN(""/"",1,FILTER($B$45:$IV$45,$B$44:$IV$44=DJ$97)),"" "")")," ")</f>
        <v> </v>
      </c>
      <c r="DK84" s="48" t="str">
        <f>IFERROR(__xludf.DUMMYFUNCTION("IFERROR(TEXTJOIN(""/"",1,FILTER($B$45:$IV$45,$B$44:$IV$44=DK$97)),"" "")"),"")</f>
        <v/>
      </c>
      <c r="DL84" s="48" t="str">
        <f>IFERROR(__xludf.DUMMYFUNCTION("IFERROR(TEXTJOIN(""/"",1,FILTER($B$45:$IV$45,$B$44:$IV$44=DL$97)),"" "")")," ")</f>
        <v> </v>
      </c>
      <c r="DM84" s="48" t="str">
        <f>IFERROR(__xludf.DUMMYFUNCTION("IFERROR(TEXTJOIN(""/"",1,FILTER($B$45:$IV$45,$B$44:$IV$44=DM$97)),"" "")")," ")</f>
        <v> </v>
      </c>
      <c r="DN84" s="48" t="str">
        <f>IFERROR(__xludf.DUMMYFUNCTION("IFERROR(TEXTJOIN(""/"",1,FILTER($B$45:$IV$45,$B$44:$IV$44=DN$97)),"" "")")," ")</f>
        <v> </v>
      </c>
      <c r="DO84" s="48" t="str">
        <f>IFERROR(__xludf.DUMMYFUNCTION("IFERROR(TEXTJOIN(""/"",1,FILTER($B$45:$IV$45,$B$44:$IV$44=DO$97)),"" "")")," ")</f>
        <v> </v>
      </c>
      <c r="DP84" s="48" t="str">
        <f>IFERROR(__xludf.DUMMYFUNCTION("IFERROR(TEXTJOIN(""/"",1,FILTER($B$45:$IV$45,$B$44:$IV$44=DP$97)),"" "")")," ")</f>
        <v> </v>
      </c>
      <c r="DQ84" s="48" t="str">
        <f>IFERROR(__xludf.DUMMYFUNCTION("IFERROR(TEXTJOIN(""/"",1,FILTER($B$45:$IV$45,$B$44:$IV$44=DQ$97)),"" "")")," ")</f>
        <v> </v>
      </c>
      <c r="DR84" s="48" t="str">
        <f>IFERROR(__xludf.DUMMYFUNCTION("IFERROR(TEXTJOIN(""/"",1,FILTER($B$45:$IV$45,$B$44:$IV$44=DR$97)),"" "")")," ")</f>
        <v> </v>
      </c>
      <c r="DS84" s="48" t="str">
        <f>IFERROR(__xludf.DUMMYFUNCTION("IFERROR(TEXTJOIN(""/"",1,FILTER($B$45:$IV$45,$B$44:$IV$44=DS$97)),"" "")")," ")</f>
        <v> </v>
      </c>
      <c r="DT84" s="48" t="str">
        <f>IFERROR(__xludf.DUMMYFUNCTION("IFERROR(TEXTJOIN(""/"",1,FILTER($B$45:$IV$45,$B$44:$IV$44=DT$97)),"" "")")," ")</f>
        <v> </v>
      </c>
      <c r="DU84" s="48" t="str">
        <f>IFERROR(__xludf.DUMMYFUNCTION("IFERROR(TEXTJOIN(""/"",1,FILTER($B$45:$IV$45,$B$44:$IV$44=DU$97)),"" "")")," ")</f>
        <v> </v>
      </c>
      <c r="DV84" s="48" t="str">
        <f>IFERROR(__xludf.DUMMYFUNCTION("IFERROR(TEXTJOIN(""/"",1,FILTER($B$45:$IV$45,$B$44:$IV$44=DV$97)),"" "")")," ")</f>
        <v> </v>
      </c>
      <c r="DW84" s="48" t="str">
        <f>IFERROR(__xludf.DUMMYFUNCTION("IFERROR(TEXTJOIN(""/"",1,FILTER($B$45:$IV$45,$B$44:$IV$44=DW$97)),"" "")")," ")</f>
        <v> </v>
      </c>
      <c r="DX84" s="48" t="str">
        <f>IFERROR(__xludf.DUMMYFUNCTION("IFERROR(TEXTJOIN(""/"",1,FILTER($B$45:$IV$45,$B$44:$IV$44=DX$97)),"" "")")," ")</f>
        <v> </v>
      </c>
      <c r="DY84" s="48" t="str">
        <f>IFERROR(__xludf.DUMMYFUNCTION("IFERROR(TEXTJOIN(""/"",1,FILTER($B$45:$IV$45,$B$44:$IV$44=DY$97)),"" "")")," ")</f>
        <v> </v>
      </c>
      <c r="DZ84" s="48" t="str">
        <f>IFERROR(__xludf.DUMMYFUNCTION("IFERROR(TEXTJOIN(""/"",1,FILTER($B$45:$IV$45,$B$44:$IV$44=DZ$97)),"" "")")," ")</f>
        <v> </v>
      </c>
      <c r="EA84" s="48" t="str">
        <f>IFERROR(__xludf.DUMMYFUNCTION("IFERROR(TEXTJOIN(""/"",1,FILTER($B$45:$IV$45,$B$44:$IV$44=EA$97)),"" "")")," ")</f>
        <v> </v>
      </c>
      <c r="EB84" s="48" t="str">
        <f>IFERROR(__xludf.DUMMYFUNCTION("IFERROR(TEXTJOIN(""/"",1,FILTER($B$45:$IV$45,$B$44:$IV$44=EB$97)),"" "")")," ")</f>
        <v> </v>
      </c>
      <c r="EC84" s="48" t="str">
        <f>IFERROR(__xludf.DUMMYFUNCTION("IFERROR(TEXTJOIN(""/"",1,FILTER($B$45:$IV$45,$B$44:$IV$44=EC$97)),"" "")")," ")</f>
        <v> </v>
      </c>
      <c r="ED84" s="48" t="str">
        <f>IFERROR(__xludf.DUMMYFUNCTION("IFERROR(TEXTJOIN(""/"",1,FILTER($B$45:$IV$45,$B$44:$IV$44=ED$97)),"" "")")," ")</f>
        <v> </v>
      </c>
      <c r="EE84" s="48" t="str">
        <f>IFERROR(__xludf.DUMMYFUNCTION("IFERROR(TEXTJOIN(""/"",1,FILTER($B$45:$IV$45,$B$44:$IV$44=EE$97)),"" "")")," ")</f>
        <v> </v>
      </c>
      <c r="EF84" s="48" t="str">
        <f>IFERROR(__xludf.DUMMYFUNCTION("IFERROR(TEXTJOIN(""/"",1,FILTER($B$45:$IV$45,$B$44:$IV$44=EF$97)),"" "")"),"")</f>
        <v/>
      </c>
      <c r="EG84" s="48" t="str">
        <f>IFERROR(__xludf.DUMMYFUNCTION("IFERROR(TEXTJOIN(""/"",1,FILTER($B$45:$IV$45,$B$44:$IV$44=EG$97)),"" "")")," ")</f>
        <v> </v>
      </c>
      <c r="EH84" s="48" t="str">
        <f>IFERROR(__xludf.DUMMYFUNCTION("IFERROR(TEXTJOIN(""/"",1,FILTER($B$45:$IV$45,$B$44:$IV$44=EH$97)),"" "")"),"5")</f>
        <v>5</v>
      </c>
      <c r="EI84" s="48" t="str">
        <f>IFERROR(__xludf.DUMMYFUNCTION("IFERROR(TEXTJOIN(""/"",1,FILTER($B$45:$IV$45,$B$44:$IV$44=EI$97)),"" "")")," ")</f>
        <v> </v>
      </c>
      <c r="EJ84" s="48" t="str">
        <f>IFERROR(__xludf.DUMMYFUNCTION("IFERROR(TEXTJOIN(""/"",1,FILTER($B$45:$IV$45,$B$44:$IV$44=EJ$97)),"" "")")," ")</f>
        <v> </v>
      </c>
      <c r="EK84" s="48" t="str">
        <f>IFERROR(__xludf.DUMMYFUNCTION("IFERROR(TEXTJOIN(""/"",1,FILTER($B$45:$IV$45,$B$44:$IV$44=EK$97)),"" "")")," ")</f>
        <v> </v>
      </c>
      <c r="EL84" s="48" t="str">
        <f>IFERROR(__xludf.DUMMYFUNCTION("IFERROR(TEXTJOIN(""/"",1,FILTER($B$45:$IV$45,$B$44:$IV$44=EL$97)),"" "")")," ")</f>
        <v> </v>
      </c>
      <c r="EM84" s="48" t="str">
        <f>IFERROR(__xludf.DUMMYFUNCTION("IFERROR(TEXTJOIN(""/"",1,FILTER($B$45:$IV$45,$B$44:$IV$44=EM$97)),"" "")"),"")</f>
        <v/>
      </c>
      <c r="EN84" s="48" t="str">
        <f>IFERROR(__xludf.DUMMYFUNCTION("IFERROR(TEXTJOIN(""/"",1,FILTER($B$45:$IV$45,$B$44:$IV$44=EN$97)),"" "")")," ")</f>
        <v> </v>
      </c>
      <c r="EO84" s="48" t="str">
        <f>IFERROR(__xludf.DUMMYFUNCTION("IFERROR(TEXTJOIN(""/"",1,FILTER($B$45:$IV$45,$B$44:$IV$44=EO$97)),"" "")"),"")</f>
        <v/>
      </c>
      <c r="EP84" s="48" t="str">
        <f>IFERROR(__xludf.DUMMYFUNCTION("IFERROR(TEXTJOIN(""/"",1,FILTER($B$45:$IV$45,$B$44:$IV$44=EP$97)),"" "")")," ")</f>
        <v> </v>
      </c>
      <c r="EQ84" s="48" t="str">
        <f>IFERROR(__xludf.DUMMYFUNCTION("IFERROR(TEXTJOIN(""/"",1,FILTER($B$45:$IV$45,$B$44:$IV$44=EQ$97)),"" "")")," ")</f>
        <v> </v>
      </c>
      <c r="ER84" s="48" t="str">
        <f>IFERROR(__xludf.DUMMYFUNCTION("IFERROR(TEXTJOIN(""/"",1,FILTER($B$45:$IV$45,$B$44:$IV$44=ER$97)),"" "")")," ")</f>
        <v> </v>
      </c>
      <c r="ES84" s="48" t="str">
        <f>IFERROR(__xludf.DUMMYFUNCTION("IFERROR(TEXTJOIN(""/"",1,FILTER($B$45:$IV$45,$B$44:$IV$44=ES$97)),"" "")")," ")</f>
        <v> </v>
      </c>
      <c r="ET84" s="48" t="str">
        <f>IFERROR(__xludf.DUMMYFUNCTION("IFERROR(TEXTJOIN(""/"",1,FILTER($B$45:$IV$45,$B$44:$IV$44=ET$97)),"" "")"),"5")</f>
        <v>5</v>
      </c>
      <c r="EU84" s="48" t="str">
        <f>IFERROR(__xludf.DUMMYFUNCTION("IFERROR(TEXTJOIN(""/"",1,FILTER($B$45:$IV$45,$B$44:$IV$44=EU$97)),"" "")")," ")</f>
        <v> </v>
      </c>
      <c r="EV84" s="48" t="str">
        <f>IFERROR(__xludf.DUMMYFUNCTION("IFERROR(TEXTJOIN(""/"",1,FILTER($B$45:$IV$45,$B$44:$IV$44=EV$97)),"" "")"),"5")</f>
        <v>5</v>
      </c>
      <c r="EW84" s="48" t="str">
        <f>IFERROR(__xludf.DUMMYFUNCTION("IFERROR(TEXTJOIN(""/"",1,FILTER($B$45:$IV$45,$B$44:$IV$44=EW$97)),"" "")")," ")</f>
        <v> </v>
      </c>
      <c r="EX84" s="48" t="str">
        <f>IFERROR(__xludf.DUMMYFUNCTION("IFERROR(TEXTJOIN(""/"",1,FILTER($B$45:$IV$45,$B$44:$IV$44=EX$97)),"" "")")," ")</f>
        <v> </v>
      </c>
      <c r="EY84" s="48" t="str">
        <f>IFERROR(__xludf.DUMMYFUNCTION("IFERROR(TEXTJOIN(""/"",1,FILTER($B$45:$IV$45,$B$44:$IV$44=EY$97)),"" "")")," ")</f>
        <v> </v>
      </c>
      <c r="EZ84" s="48" t="str">
        <f>IFERROR(__xludf.DUMMYFUNCTION("IFERROR(TEXTJOIN(""/"",1,FILTER($B$45:$IV$45,$B$44:$IV$44=EZ$97)),"" "")")," ")</f>
        <v> </v>
      </c>
      <c r="FA84" s="48" t="str">
        <f>IFERROR(__xludf.DUMMYFUNCTION("IFERROR(TEXTJOIN(""/"",1,FILTER($B$45:$IV$45,$B$44:$IV$44=FA$97)),"" "")"),"")</f>
        <v/>
      </c>
      <c r="FB84" s="48" t="str">
        <f>IFERROR(__xludf.DUMMYFUNCTION("IFERROR(TEXTJOIN(""/"",1,FILTER($B$45:$IV$45,$B$44:$IV$44=FB$97)),"" "")")," ")</f>
        <v> </v>
      </c>
      <c r="FC84" s="48" t="str">
        <f>IFERROR(__xludf.DUMMYFUNCTION("IFERROR(TEXTJOIN(""/"",1,FILTER($B$45:$IV$45,$B$44:$IV$44=FC$97)),"" "")"),"")</f>
        <v/>
      </c>
      <c r="FD84" s="48" t="str">
        <f>IFERROR(__xludf.DUMMYFUNCTION("IFERROR(TEXTJOIN(""/"",1,FILTER($B$45:$IV$45,$B$44:$IV$44=FD$97)),"" "")")," ")</f>
        <v> </v>
      </c>
      <c r="FE84" s="48" t="str">
        <f>IFERROR(__xludf.DUMMYFUNCTION("IFERROR(TEXTJOIN(""/"",1,FILTER($B$45:$IV$45,$B$44:$IV$44=FE$97)),"" "")")," ")</f>
        <v> </v>
      </c>
      <c r="FF84" s="48" t="str">
        <f>IFERROR(__xludf.DUMMYFUNCTION("IFERROR(TEXTJOIN(""/"",1,FILTER($B$45:$IV$45,$B$44:$IV$44=FF$97)),"" "")")," ")</f>
        <v> </v>
      </c>
      <c r="FG84" s="48" t="str">
        <f>IFERROR(__xludf.DUMMYFUNCTION("IFERROR(TEXTJOIN(""/"",1,FILTER($B$45:$IV$45,$B$44:$IV$44=FG$97)),"" "")")," ")</f>
        <v> </v>
      </c>
      <c r="FH84" s="48" t="str">
        <f>IFERROR(__xludf.DUMMYFUNCTION("IFERROR(TEXTJOIN(""/"",1,FILTER($B$45:$IV$45,$B$44:$IV$44=FH$97)),"" "")"),"4")</f>
        <v>4</v>
      </c>
      <c r="FI84" s="48" t="str">
        <f>IFERROR(__xludf.DUMMYFUNCTION("IFERROR(TEXTJOIN(""/"",1,FILTER($B$45:$IV$45,$B$44:$IV$44=FI$97)),"" "")")," ")</f>
        <v> </v>
      </c>
      <c r="FJ84" s="48" t="str">
        <f>IFERROR(__xludf.DUMMYFUNCTION("IFERROR(TEXTJOIN(""/"",1,FILTER($B$45:$IV$45,$B$44:$IV$44=FJ$97)),"" "")"),"")</f>
        <v/>
      </c>
      <c r="FK84" s="48" t="str">
        <f>IFERROR(__xludf.DUMMYFUNCTION("IFERROR(TEXTJOIN(""/"",1,FILTER($B$45:$IV$45,$B$44:$IV$44=FK$97)),"" "")")," ")</f>
        <v> </v>
      </c>
      <c r="FL84" s="48" t="str">
        <f>IFERROR(__xludf.DUMMYFUNCTION("IFERROR(TEXTJOIN(""/"",1,FILTER($B$45:$IV$45,$B$44:$IV$44=FL$97)),"" "")")," ")</f>
        <v> </v>
      </c>
      <c r="FM84" s="48" t="str">
        <f>IFERROR(__xludf.DUMMYFUNCTION("IFERROR(TEXTJOIN(""/"",1,FILTER($B$45:$IV$45,$B$44:$IV$44=FM$97)),"" "")")," ")</f>
        <v> </v>
      </c>
      <c r="FN84" s="48" t="str">
        <f>IFERROR(__xludf.DUMMYFUNCTION("IFERROR(TEXTJOIN(""/"",1,FILTER($B$45:$IV$45,$B$44:$IV$44=FN$97)),"" "")")," ")</f>
        <v> </v>
      </c>
      <c r="FO84" s="48" t="str">
        <f>IFERROR(__xludf.DUMMYFUNCTION("IFERROR(TEXTJOIN(""/"",1,FILTER($B$45:$IV$45,$B$44:$IV$44=FO$97)),"" "")"),"")</f>
        <v/>
      </c>
      <c r="FP84" s="48" t="str">
        <f>IFERROR(__xludf.DUMMYFUNCTION("IFERROR(TEXTJOIN(""/"",1,FILTER($B$45:$IV$45,$B$44:$IV$44=FP$97)),"" "")")," ")</f>
        <v> </v>
      </c>
      <c r="FQ84" s="48" t="str">
        <f>IFERROR(__xludf.DUMMYFUNCTION("IFERROR(TEXTJOIN(""/"",1,FILTER($B$45:$IV$45,$B$44:$IV$44=FQ$97)),"" "")"),"")</f>
        <v/>
      </c>
      <c r="FR84" s="48" t="str">
        <f>IFERROR(__xludf.DUMMYFUNCTION("IFERROR(TEXTJOIN(""/"",1,FILTER($B$45:$IV$45,$B$44:$IV$44=FR$97)),"" "")")," ")</f>
        <v> </v>
      </c>
      <c r="FS84" s="48" t="str">
        <f>IFERROR(__xludf.DUMMYFUNCTION("IFERROR(TEXTJOIN(""/"",1,FILTER($B$45:$IV$45,$B$44:$IV$44=FS$97)),"" "")")," ")</f>
        <v> </v>
      </c>
      <c r="FT84" s="48" t="str">
        <f>IFERROR(__xludf.DUMMYFUNCTION("IFERROR(TEXTJOIN(""/"",1,FILTER($B$45:$IV$45,$B$44:$IV$44=FT$97)),"" "")")," ")</f>
        <v> </v>
      </c>
      <c r="FU84" s="48" t="str">
        <f>IFERROR(__xludf.DUMMYFUNCTION("IFERROR(TEXTJOIN(""/"",1,FILTER($B$45:$IV$45,$B$44:$IV$44=FU$97)),"" "")")," ")</f>
        <v> </v>
      </c>
      <c r="FV84" s="48" t="str">
        <f>IFERROR(__xludf.DUMMYFUNCTION("IFERROR(TEXTJOIN(""/"",1,FILTER($B$45:$IV$45,$B$44:$IV$44=FV$97)),"" "")"),"н")</f>
        <v>н</v>
      </c>
      <c r="FW84" s="48" t="str">
        <f>IFERROR(__xludf.DUMMYFUNCTION("IFERROR(TEXTJOIN(""/"",1,FILTER($B$45:$IV$45,$B$44:$IV$44=FW$97)),"" "")")," ")</f>
        <v> </v>
      </c>
      <c r="FX84" s="48" t="str">
        <f>IFERROR(__xludf.DUMMYFUNCTION("IFERROR(TEXTJOIN(""/"",1,FILTER($B$45:$IV$45,$B$44:$IV$44=FX$97)),"" "")"),"4")</f>
        <v>4</v>
      </c>
      <c r="FY84" s="48" t="str">
        <f>IFERROR(__xludf.DUMMYFUNCTION("IFERROR(TEXTJOIN(""/"",1,FILTER($B$45:$IV$45,$B$44:$IV$44=FY$97)),"" "")")," ")</f>
        <v> </v>
      </c>
      <c r="FZ84" s="48" t="str">
        <f>IFERROR(__xludf.DUMMYFUNCTION("IFERROR(TEXTJOIN(""/"",1,FILTER($B$45:$IV$45,$B$44:$IV$44=FZ$97)),"" "")")," ")</f>
        <v> </v>
      </c>
      <c r="GA84" s="48" t="str">
        <f>IFERROR(__xludf.DUMMYFUNCTION("IFERROR(TEXTJOIN(""/"",1,FILTER($B$45:$IV$45,$B$44:$IV$44=GA$97)),"" "")")," ")</f>
        <v> </v>
      </c>
      <c r="GB84" s="48" t="str">
        <f>IFERROR(__xludf.DUMMYFUNCTION("IFERROR(TEXTJOIN(""/"",1,FILTER($B$45:$IV$45,$B$44:$IV$44=GB$97)),"" "")")," ")</f>
        <v> </v>
      </c>
      <c r="GC84" s="48" t="str">
        <f>IFERROR(__xludf.DUMMYFUNCTION("IFERROR(TEXTJOIN(""/"",1,FILTER($B$45:$IV$45,$B$44:$IV$44=GC$97)),"" "")"),"5")</f>
        <v>5</v>
      </c>
      <c r="GD84" s="48" t="str">
        <f>IFERROR(__xludf.DUMMYFUNCTION("IFERROR(TEXTJOIN(""/"",1,FILTER($B$45:$IV$45,$B$44:$IV$44=GD$97)),"" "")")," ")</f>
        <v> </v>
      </c>
      <c r="GE84" s="48" t="str">
        <f>IFERROR(__xludf.DUMMYFUNCTION("IFERROR(TEXTJOIN(""/"",1,FILTER($B$45:$IV$45,$B$44:$IV$44=GE$97)),"" "")"),"")</f>
        <v/>
      </c>
      <c r="GF84" s="48" t="str">
        <f>IFERROR(__xludf.DUMMYFUNCTION("IFERROR(TEXTJOIN(""/"",1,FILTER($B$45:$IV$45,$B$44:$IV$44=GF$97)),"" "")")," ")</f>
        <v> </v>
      </c>
      <c r="GG84" s="48" t="str">
        <f>IFERROR(__xludf.DUMMYFUNCTION("IFERROR(TEXTJOIN(""/"",1,FILTER($B$45:$IV$45,$B$44:$IV$44=GG$97)),"" "")")," ")</f>
        <v> </v>
      </c>
      <c r="GH84" s="48" t="str">
        <f>IFERROR(__xludf.DUMMYFUNCTION("IFERROR(TEXTJOIN(""/"",1,FILTER($B$45:$IV$45,$B$44:$IV$44=GH$97)),"" "")"),"")</f>
        <v/>
      </c>
      <c r="GI84" s="48" t="str">
        <f>IFERROR(__xludf.DUMMYFUNCTION("IFERROR(TEXTJOIN(""/"",1,FILTER($B$45:$IV$45,$B$44:$IV$44=GI$97)),"" "")")," ")</f>
        <v> </v>
      </c>
      <c r="GJ84" s="48" t="str">
        <f>IFERROR(__xludf.DUMMYFUNCTION("IFERROR(TEXTJOIN(""/"",1,FILTER($B$45:$IV$45,$B$44:$IV$44=GJ$97)),"" "")"),"5")</f>
        <v>5</v>
      </c>
      <c r="GK84" s="48" t="str">
        <f>IFERROR(__xludf.DUMMYFUNCTION("IFERROR(TEXTJOIN(""/"",1,FILTER($B$45:$IV$45,$B$44:$IV$44=GK$97)),"" "")")," ")</f>
        <v> </v>
      </c>
      <c r="GL84" s="48" t="str">
        <f>IFERROR(__xludf.DUMMYFUNCTION("IFERROR(TEXTJOIN(""/"",1,FILTER($B$45:$IV$45,$B$44:$IV$44=GL$97)),"" "")"),"5")</f>
        <v>5</v>
      </c>
      <c r="GM84" s="48" t="str">
        <f>IFERROR(__xludf.DUMMYFUNCTION("IFERROR(TEXTJOIN(""/"",1,FILTER($B$45:$IV$45,$B$44:$IV$44=GM$97)),"" "")")," ")</f>
        <v> </v>
      </c>
      <c r="GN84" s="48" t="str">
        <f>IFERROR(__xludf.DUMMYFUNCTION("IFERROR(TEXTJOIN(""/"",1,FILTER($B$45:$IV$45,$B$44:$IV$44=GN$97)),"" "")")," ")</f>
        <v> </v>
      </c>
      <c r="GO84" s="48" t="str">
        <f>IFERROR(__xludf.DUMMYFUNCTION("IFERROR(TEXTJOIN(""/"",1,FILTER($B$45:$IV$45,$B$44:$IV$44=GO$97)),"" "")")," ")</f>
        <v> </v>
      </c>
      <c r="GP84" s="48" t="str">
        <f>IFERROR(__xludf.DUMMYFUNCTION("IFERROR(TEXTJOIN(""/"",1,FILTER($B$45:$IV$45,$B$44:$IV$44=GP$97)),"" "")")," ")</f>
        <v> </v>
      </c>
      <c r="GQ84" s="48" t="str">
        <f>IFERROR(__xludf.DUMMYFUNCTION("IFERROR(TEXTJOIN(""/"",1,FILTER($B$45:$IV$45,$B$44:$IV$44=GQ$97)),"" "")")," ")</f>
        <v> </v>
      </c>
      <c r="GR84" s="48" t="str">
        <f>IFERROR(__xludf.DUMMYFUNCTION("IFERROR(TEXTJOIN(""/"",1,FILTER($B$45:$IV$45,$B$44:$IV$44=GR$97)),"" "")")," ")</f>
        <v> </v>
      </c>
      <c r="GS84" s="48" t="str">
        <f>IFERROR(__xludf.DUMMYFUNCTION("IFERROR(TEXTJOIN(""/"",1,FILTER($B$45:$IV$45,$B$44:$IV$44=GS$97)),"" "")")," ")</f>
        <v> </v>
      </c>
      <c r="GT84" s="48" t="str">
        <f>IFERROR(__xludf.DUMMYFUNCTION("IFERROR(TEXTJOIN(""/"",1,FILTER($B$45:$IV$45,$B$44:$IV$44=GT$97)),"" "")")," ")</f>
        <v> </v>
      </c>
      <c r="GU84" s="48" t="str">
        <f>IFERROR(__xludf.DUMMYFUNCTION("IFERROR(TEXTJOIN(""/"",1,FILTER($B$45:$IV$45,$B$44:$IV$44=GU$97)),"" "")")," ")</f>
        <v> </v>
      </c>
      <c r="GV84" s="48" t="str">
        <f>IFERROR(__xludf.DUMMYFUNCTION("IFERROR(TEXTJOIN(""/"",1,FILTER($B$45:$IV$45,$B$44:$IV$44=GV$97)),"" "")")," ")</f>
        <v> </v>
      </c>
      <c r="GW84" s="48" t="str">
        <f>IFERROR(__xludf.DUMMYFUNCTION("IFERROR(TEXTJOIN(""/"",1,FILTER($B$45:$IV$45,$B$44:$IV$44=GW$97)),"" "")")," ")</f>
        <v> </v>
      </c>
      <c r="GX84" s="48" t="str">
        <f>IFERROR(__xludf.DUMMYFUNCTION("IFERROR(TEXTJOIN(""/"",1,FILTER($B$45:$IV$45,$B$44:$IV$44=GX$97)),"" "")")," ")</f>
        <v> </v>
      </c>
      <c r="GY84" s="48" t="str">
        <f>IFERROR(__xludf.DUMMYFUNCTION("IFERROR(TEXTJOIN(""/"",1,FILTER($B$45:$IV$45,$B$44:$IV$44=GY$97)),"" "")")," ")</f>
        <v> </v>
      </c>
      <c r="GZ84" s="48" t="str">
        <f>IFERROR(__xludf.DUMMYFUNCTION("IFERROR(TEXTJOIN(""/"",1,FILTER($B$45:$IV$45,$B$44:$IV$44=GZ$97)),"" "")")," ")</f>
        <v> </v>
      </c>
      <c r="HA84" s="48" t="str">
        <f>IFERROR(__xludf.DUMMYFUNCTION("IFERROR(TEXTJOIN(""/"",1,FILTER($B$45:$IV$45,$B$44:$IV$44=HA$97)),"" "")")," ")</f>
        <v> </v>
      </c>
      <c r="HB84" s="48" t="str">
        <f>IFERROR(__xludf.DUMMYFUNCTION("IFERROR(TEXTJOIN(""/"",1,FILTER($B$45:$IV$45,$B$44:$IV$44=HB$97)),"" "")")," ")</f>
        <v> </v>
      </c>
      <c r="HC84" s="48" t="str">
        <f>IFERROR(__xludf.DUMMYFUNCTION("IFERROR(TEXTJOIN(""/"",1,FILTER($B$45:$IV$45,$B$44:$IV$44=HC$97)),"" "")")," ")</f>
        <v> </v>
      </c>
      <c r="HD84" s="48" t="str">
        <f>IFERROR(__xludf.DUMMYFUNCTION("IFERROR(TEXTJOIN(""/"",1,FILTER($B$45:$IV$45,$B$44:$IV$44=HD$97)),"" "")")," ")</f>
        <v> </v>
      </c>
      <c r="HE84" s="48" t="str">
        <f>IFERROR(__xludf.DUMMYFUNCTION("IFERROR(TEXTJOIN(""/"",1,FILTER($B$45:$IV$45,$B$44:$IV$44=HE$97)),"" "")")," ")</f>
        <v> </v>
      </c>
      <c r="HF84" s="48" t="str">
        <f>IFERROR(__xludf.DUMMYFUNCTION("IFERROR(TEXTJOIN(""/"",1,FILTER($B$45:$IV$45,$B$44:$IV$44=HF$97)),"" "")")," ")</f>
        <v> </v>
      </c>
      <c r="HG84" s="48" t="str">
        <f>IFERROR(__xludf.DUMMYFUNCTION("IFERROR(TEXTJOIN(""/"",1,FILTER($B$45:$IV$45,$B$44:$IV$44=HG$97)),"" "")")," ")</f>
        <v> </v>
      </c>
      <c r="HH84" s="48" t="str">
        <f>IFERROR(__xludf.DUMMYFUNCTION("IFERROR(TEXTJOIN(""/"",1,FILTER($B$45:$IV$45,$B$44:$IV$44=HH$97)),"" "")")," ")</f>
        <v> </v>
      </c>
      <c r="HI84" s="48" t="str">
        <f>IFERROR(__xludf.DUMMYFUNCTION("IFERROR(TEXTJOIN(""/"",1,FILTER($B$45:$IV$45,$B$44:$IV$44=HI$97)),"" "")")," ")</f>
        <v> </v>
      </c>
      <c r="HJ84" s="48" t="str">
        <f>IFERROR(__xludf.DUMMYFUNCTION("IFERROR(TEXTJOIN(""/"",1,FILTER($B$45:$IV$45,$B$44:$IV$44=HJ$97)),"" "")")," ")</f>
        <v> </v>
      </c>
      <c r="HK84" s="48" t="str">
        <f>IFERROR(__xludf.DUMMYFUNCTION("IFERROR(TEXTJOIN(""/"",1,FILTER($B$45:$IV$45,$B$44:$IV$44=HK$97)),"" "")")," ")</f>
        <v> </v>
      </c>
      <c r="HL84" s="48" t="str">
        <f>IFERROR(__xludf.DUMMYFUNCTION("IFERROR(TEXTJOIN(""/"",1,FILTER($B$45:$IV$45,$B$44:$IV$44=HL$97)),"" "")")," ")</f>
        <v> </v>
      </c>
      <c r="HM84" s="48" t="str">
        <f>IFERROR(__xludf.DUMMYFUNCTION("IFERROR(TEXTJOIN(""/"",1,FILTER($B$45:$IV$45,$B$44:$IV$44=HM$97)),"" "")")," ")</f>
        <v> </v>
      </c>
      <c r="HN84" s="48" t="str">
        <f>IFERROR(__xludf.DUMMYFUNCTION("IFERROR(TEXTJOIN(""/"",1,FILTER($B$45:$IV$45,$B$44:$IV$44=HN$97)),"" "")")," ")</f>
        <v> </v>
      </c>
      <c r="HO84" s="48" t="str">
        <f>IFERROR(__xludf.DUMMYFUNCTION("IFERROR(TEXTJOIN(""/"",1,FILTER($B$45:$IV$45,$B$44:$IV$44=HO$97)),"" "")")," ")</f>
        <v> </v>
      </c>
      <c r="HP84" s="48" t="str">
        <f>IFERROR(__xludf.DUMMYFUNCTION("IFERROR(TEXTJOIN(""/"",1,FILTER($B$45:$IV$45,$B$44:$IV$44=HP$97)),"" "")")," ")</f>
        <v> </v>
      </c>
      <c r="HQ84" s="48" t="str">
        <f>IFERROR(__xludf.DUMMYFUNCTION("IFERROR(TEXTJOIN(""/"",1,FILTER($B$45:$IV$45,$B$44:$IV$44=HQ$97)),"" "")")," ")</f>
        <v> </v>
      </c>
      <c r="HR84" s="48" t="str">
        <f>IFERROR(__xludf.DUMMYFUNCTION("IFERROR(TEXTJOIN(""/"",1,FILTER($B$45:$IV$45,$B$44:$IV$44=HR$97)),"" "")")," ")</f>
        <v> </v>
      </c>
      <c r="HS84" s="48" t="str">
        <f>IFERROR(__xludf.DUMMYFUNCTION("IFERROR(TEXTJOIN(""/"",1,FILTER($B$45:$IV$45,$B$44:$IV$44=HS$97)),"" "")")," ")</f>
        <v> </v>
      </c>
      <c r="HT84" s="48" t="str">
        <f>IFERROR(__xludf.DUMMYFUNCTION("IFERROR(TEXTJOIN(""/"",1,FILTER($B$45:$IV$45,$B$44:$IV$44=HT$97)),"" "")")," ")</f>
        <v> </v>
      </c>
      <c r="HU84" s="48" t="str">
        <f>IFERROR(__xludf.DUMMYFUNCTION("IFERROR(TEXTJOIN(""/"",1,FILTER($B$45:$IV$45,$B$44:$IV$44=HU$97)),"" "")")," ")</f>
        <v> </v>
      </c>
      <c r="HV84" s="48" t="str">
        <f>IFERROR(__xludf.DUMMYFUNCTION("IFERROR(TEXTJOIN(""/"",1,FILTER($B$45:$IV$45,$B$44:$IV$44=HV$97)),"" "")")," ")</f>
        <v> </v>
      </c>
      <c r="HW84" s="48" t="str">
        <f>IFERROR(__xludf.DUMMYFUNCTION("IFERROR(TEXTJOIN(""/"",1,FILTER($B$45:$IV$45,$B$44:$IV$44=HW$97)),"" "")")," ")</f>
        <v> </v>
      </c>
      <c r="HX84" s="48" t="str">
        <f>IFERROR(__xludf.DUMMYFUNCTION("IFERROR(TEXTJOIN(""/"",1,FILTER($B$45:$IV$45,$B$44:$IV$44=HX$97)),"" "")")," ")</f>
        <v> </v>
      </c>
      <c r="HY84" s="48" t="str">
        <f>IFERROR(__xludf.DUMMYFUNCTION("IFERROR(TEXTJOIN(""/"",1,FILTER($B$45:$IV$45,$B$44:$IV$44=HY$97)),"" "")")," ")</f>
        <v> </v>
      </c>
      <c r="HZ84" s="48" t="str">
        <f>IFERROR(__xludf.DUMMYFUNCTION("IFERROR(TEXTJOIN(""/"",1,FILTER($B$45:$IV$45,$B$44:$IV$44=HZ$97)),"" "")")," ")</f>
        <v> </v>
      </c>
      <c r="IA84" s="48" t="str">
        <f>IFERROR(__xludf.DUMMYFUNCTION("IFERROR(TEXTJOIN(""/"",1,FILTER($B$45:$IV$45,$B$44:$IV$44=IA$97)),"" "")")," ")</f>
        <v> </v>
      </c>
      <c r="IB84" s="48" t="str">
        <f>IFERROR(__xludf.DUMMYFUNCTION("IFERROR(TEXTJOIN(""/"",1,FILTER($B$45:$IV$45,$B$44:$IV$44=IB$97)),"" "")")," ")</f>
        <v> </v>
      </c>
      <c r="IC84" s="48" t="str">
        <f>IFERROR(__xludf.DUMMYFUNCTION("IFERROR(TEXTJOIN(""/"",1,FILTER($B$45:$IV$45,$B$44:$IV$44=IC$97)),"" "")")," ")</f>
        <v> </v>
      </c>
      <c r="ID84" s="48" t="str">
        <f>IFERROR(__xludf.DUMMYFUNCTION("IFERROR(TEXTJOIN(""/"",1,FILTER($B$45:$IV$45,$B$44:$IV$44=ID$97)),"" "")")," ")</f>
        <v> </v>
      </c>
      <c r="IE84" s="48" t="str">
        <f>IFERROR(__xludf.DUMMYFUNCTION("IFERROR(TEXTJOIN(""/"",1,FILTER($B$45:$IV$45,$B$44:$IV$44=IE$97)),"" "")")," ")</f>
        <v> </v>
      </c>
      <c r="IF84" s="48" t="str">
        <f>IFERROR(__xludf.DUMMYFUNCTION("IFERROR(TEXTJOIN(""/"",1,FILTER($B$45:$IV$45,$B$44:$IV$44=IF$97)),"" "")")," ")</f>
        <v> </v>
      </c>
      <c r="IG84" s="48" t="str">
        <f>IFERROR(__xludf.DUMMYFUNCTION("IFERROR(TEXTJOIN(""/"",1,FILTER($B$45:$IV$45,$B$44:$IV$44=IG$97)),"" "")")," ")</f>
        <v> </v>
      </c>
      <c r="IH84" s="48" t="str">
        <f>IFERROR(__xludf.DUMMYFUNCTION("IFERROR(TEXTJOIN(""/"",1,FILTER($B$45:$IV$45,$B$44:$IV$44=IH$97)),"" "")")," ")</f>
        <v> </v>
      </c>
      <c r="II84" s="48" t="str">
        <f>IFERROR(__xludf.DUMMYFUNCTION("IFERROR(TEXTJOIN(""/"",1,FILTER($B$45:$IV$45,$B$44:$IV$44=II$97)),"" "")")," ")</f>
        <v> </v>
      </c>
      <c r="IJ84" s="48" t="str">
        <f>IFERROR(__xludf.DUMMYFUNCTION("IFERROR(TEXTJOIN(""/"",1,FILTER($B$45:$IV$45,$B$44:$IV$44=IJ$97)),"" "")")," ")</f>
        <v> </v>
      </c>
      <c r="IK84" s="48" t="str">
        <f>IFERROR(__xludf.DUMMYFUNCTION("IFERROR(TEXTJOIN(""/"",1,FILTER($B$45:$IV$45,$B$44:$IV$44=IK$97)),"" "")")," ")</f>
        <v> </v>
      </c>
      <c r="IL84" s="48" t="str">
        <f>IFERROR(__xludf.DUMMYFUNCTION("IFERROR(TEXTJOIN(""/"",1,FILTER($B$45:$IV$45,$B$44:$IV$44=IL$97)),"" "")")," ")</f>
        <v> </v>
      </c>
      <c r="IM84" s="48" t="str">
        <f>IFERROR(__xludf.DUMMYFUNCTION("IFERROR(TEXTJOIN(""/"",1,FILTER($B$45:$IV$45,$B$44:$IV$44=IM$97)),"" "")")," ")</f>
        <v> </v>
      </c>
      <c r="IN84" s="48" t="str">
        <f>IFERROR(__xludf.DUMMYFUNCTION("IFERROR(TEXTJOIN(""/"",1,FILTER($B$45:$IV$45,$B$44:$IV$44=IN$97)),"" "")")," ")</f>
        <v> </v>
      </c>
      <c r="IO84" s="48" t="str">
        <f>IFERROR(__xludf.DUMMYFUNCTION("IFERROR(TEXTJOIN(""/"",1,FILTER($B$45:$IV$45,$B$44:$IV$44=IO$97)),"" "")")," ")</f>
        <v> </v>
      </c>
      <c r="IP84" s="48" t="str">
        <f>IFERROR(__xludf.DUMMYFUNCTION("IFERROR(TEXTJOIN(""/"",1,FILTER($B$45:$IV$45,$B$44:$IV$44=IP$97)),"" "")")," ")</f>
        <v> </v>
      </c>
      <c r="IQ84" s="48" t="str">
        <f>IFERROR(__xludf.DUMMYFUNCTION("IFERROR(TEXTJOIN(""/"",1,FILTER($B$45:$IV$45,$B$44:$IV$44=IQ$97)),"" "")")," ")</f>
        <v> </v>
      </c>
      <c r="IR84" s="48" t="str">
        <f>IFERROR(__xludf.DUMMYFUNCTION("IFERROR(TEXTJOIN(""/"",1,FILTER($B$45:$IV$45,$B$44:$IV$44=IR$97)),"" "")")," ")</f>
        <v> </v>
      </c>
      <c r="IS84" s="48" t="str">
        <f>IFERROR(__xludf.DUMMYFUNCTION("IFERROR(TEXTJOIN(""/"",1,FILTER($B$45:$IV$45,$B$44:$IV$44=IS$97)),"" "")")," ")</f>
        <v> </v>
      </c>
      <c r="IT84" s="48" t="str">
        <f>IFERROR(__xludf.DUMMYFUNCTION("IFERROR(TEXTJOIN(""/"",1,FILTER($B$45:$IV$45,$B$44:$IV$44=IT$97)),"" "")")," ")</f>
        <v> </v>
      </c>
      <c r="IU84" s="48" t="str">
        <f>IFERROR(__xludf.DUMMYFUNCTION("IFERROR(TEXTJOIN(""/"",1,FILTER($B$45:$IV$45,$B$44:$IV$44=IU$97)),"" "")")," ")</f>
        <v> </v>
      </c>
      <c r="IV84" s="48" t="str">
        <f>IFERROR(__xludf.DUMMYFUNCTION("IFERROR(TEXTJOIN(""/"",1,FILTER($B$45:$IV$45,$B$44:$IV$44=IV$97)),"" "")")," ")</f>
        <v> </v>
      </c>
      <c r="IW84" s="48" t="str">
        <f>IFERROR(__xludf.DUMMYFUNCTION("IFERROR(TEXTJOIN(""/"",1,FILTER($B$45:$IV$45,$B$44:$IV$44=IW$97)),"" "")")," ")</f>
        <v> </v>
      </c>
      <c r="IX84" s="48" t="str">
        <f>IFERROR(__xludf.DUMMYFUNCTION("IFERROR(TEXTJOIN(""/"",1,FILTER($B$45:$IV$45,$B$44:$IV$44=IX$97)),"" "")")," ")</f>
        <v> </v>
      </c>
      <c r="IY84" s="48" t="str">
        <f>IFERROR(__xludf.DUMMYFUNCTION("IFERROR(TEXTJOIN(""/"",1,FILTER($B$45:$IV$45,$B$44:$IV$44=IY$97)),"" "")")," ")</f>
        <v> </v>
      </c>
      <c r="IZ84" s="48" t="str">
        <f>IFERROR(__xludf.DUMMYFUNCTION("IFERROR(TEXTJOIN(""/"",1,FILTER($B$45:$IV$45,$B$44:$IV$44=IZ$97)),"" "")")," ")</f>
        <v> </v>
      </c>
      <c r="JA84" s="48" t="str">
        <f>IFERROR(__xludf.DUMMYFUNCTION("IFERROR(TEXTJOIN(""/"",1,FILTER($B$45:$IV$45,$B$44:$IV$44=JA$97)),"" "")")," ")</f>
        <v> </v>
      </c>
      <c r="JB84" s="48" t="str">
        <f>IFERROR(__xludf.DUMMYFUNCTION("IFERROR(TEXTJOIN(""/"",1,FILTER($B$45:$IV$45,$B$44:$IV$44=JB$97)),"" "")")," ")</f>
        <v> </v>
      </c>
      <c r="JC84" s="48" t="str">
        <f>IFERROR(__xludf.DUMMYFUNCTION("IFERROR(TEXTJOIN(""/"",1,FILTER($B$45:$IV$45,$B$44:$IV$44=JC$97)),"" "")")," ")</f>
        <v> </v>
      </c>
      <c r="JD84" s="48" t="str">
        <f>IFERROR(__xludf.DUMMYFUNCTION("IFERROR(TEXTJOIN(""/"",1,FILTER($B$45:$IV$45,$B$44:$IV$44=JD$97)),"" "")")," ")</f>
        <v> </v>
      </c>
      <c r="JE84" s="48" t="str">
        <f>IFERROR(__xludf.DUMMYFUNCTION("IFERROR(TEXTJOIN(""/"",1,FILTER($B$45:$IV$45,$B$44:$IV$44=JE$97)),"" "")")," ")</f>
        <v> </v>
      </c>
    </row>
    <row r="85">
      <c r="A85" s="42" t="str">
        <f>IFERROR(__xludf.DUMMYFUNCTION("""COMPUTED_VALUE"""),"Посещаемость")</f>
        <v>Посещаемость</v>
      </c>
      <c r="B85" s="48" t="str">
        <f>IFERROR(__xludf.DUMMYFUNCTION("IFERROR(TEXTJOIN(""/"",1,FILTER($B$48:$IV$48,$B$47:$IV$47=B$97)),"" "")")," ")</f>
        <v> </v>
      </c>
      <c r="C85" s="48" t="str">
        <f>IFERROR(__xludf.DUMMYFUNCTION("IFERROR(TEXTJOIN(""/"",1,FILTER($B$48:$IV$48,$B$47:$IV$47=C$97)),"" "")")," ")</f>
        <v> </v>
      </c>
      <c r="D85" s="48" t="str">
        <f>IFERROR(__xludf.DUMMYFUNCTION("IFERROR(TEXTJOIN(""/"",1,FILTER($B$48:$IV$48,$B$47:$IV$47=D$97)),"" "")")," ")</f>
        <v> </v>
      </c>
      <c r="E85" s="48" t="str">
        <f>IFERROR(__xludf.DUMMYFUNCTION("IFERROR(TEXTJOIN(""/"",1,FILTER($B$48:$IV$48,$B$47:$IV$47=E$97)),"" "")")," ")</f>
        <v> </v>
      </c>
      <c r="F85" s="48" t="str">
        <f>IFERROR(__xludf.DUMMYFUNCTION("IFERROR(TEXTJOIN(""/"",1,FILTER($B$48:$IV$48,$B$47:$IV$47=F$97)),"" "")")," ")</f>
        <v> </v>
      </c>
      <c r="G85" s="48" t="str">
        <f>IFERROR(__xludf.DUMMYFUNCTION("IFERROR(TEXTJOIN(""/"",1,FILTER($B$48:$IV$48,$B$47:$IV$47=G$97)),"" "")")," ")</f>
        <v> </v>
      </c>
      <c r="H85" s="48" t="str">
        <f>IFERROR(__xludf.DUMMYFUNCTION("IFERROR(TEXTJOIN(""/"",1,FILTER($B$48:$IV$48,$B$47:$IV$47=H$97)),"" "")")," ")</f>
        <v> </v>
      </c>
      <c r="I85" s="48" t="str">
        <f>IFERROR(__xludf.DUMMYFUNCTION("IFERROR(TEXTJOIN(""/"",1,FILTER($B$48:$IV$48,$B$47:$IV$47=I$97)),"" "")")," ")</f>
        <v> </v>
      </c>
      <c r="J85" s="48" t="str">
        <f>IFERROR(__xludf.DUMMYFUNCTION("IFERROR(TEXTJOIN(""/"",1,FILTER($B$48:$IV$48,$B$47:$IV$47=J$97)),"" "")")," ")</f>
        <v> </v>
      </c>
      <c r="K85" s="48" t="str">
        <f>IFERROR(__xludf.DUMMYFUNCTION("IFERROR(TEXTJOIN(""/"",1,FILTER($B$48:$IV$48,$B$47:$IV$47=K$97)),"" "")")," ")</f>
        <v> </v>
      </c>
      <c r="L85" s="48" t="str">
        <f>IFERROR(__xludf.DUMMYFUNCTION("IFERROR(TEXTJOIN(""/"",1,FILTER($B$48:$IV$48,$B$47:$IV$47=L$97)),"" "")")," ")</f>
        <v> </v>
      </c>
      <c r="M85" s="48" t="str">
        <f>IFERROR(__xludf.DUMMYFUNCTION("IFERROR(TEXTJOIN(""/"",1,FILTER($B$48:$IV$48,$B$47:$IV$47=M$97)),"" "")")," ")</f>
        <v> </v>
      </c>
      <c r="N85" s="48" t="str">
        <f>IFERROR(__xludf.DUMMYFUNCTION("IFERROR(TEXTJOIN(""/"",1,FILTER($B$48:$IV$48,$B$47:$IV$47=N$97)),"" "")")," ")</f>
        <v> </v>
      </c>
      <c r="O85" s="48" t="str">
        <f>IFERROR(__xludf.DUMMYFUNCTION("IFERROR(TEXTJOIN(""/"",1,FILTER($B$48:$IV$48,$B$47:$IV$47=O$97)),"" "")")," ")</f>
        <v> </v>
      </c>
      <c r="P85" s="48" t="str">
        <f>IFERROR(__xludf.DUMMYFUNCTION("IFERROR(TEXTJOIN(""/"",1,FILTER($B$48:$IV$48,$B$47:$IV$47=P$97)),"" "")")," ")</f>
        <v> </v>
      </c>
      <c r="Q85" s="48" t="str">
        <f>IFERROR(__xludf.DUMMYFUNCTION("IFERROR(TEXTJOIN(""/"",1,FILTER($B$48:$IV$48,$B$47:$IV$47=Q$97)),"" "")")," ")</f>
        <v> </v>
      </c>
      <c r="R85" s="48" t="str">
        <f>IFERROR(__xludf.DUMMYFUNCTION("IFERROR(TEXTJOIN(""/"",1,FILTER($B$48:$IV$48,$B$47:$IV$47=R$97)),"" "")")," ")</f>
        <v> </v>
      </c>
      <c r="S85" s="48" t="str">
        <f>IFERROR(__xludf.DUMMYFUNCTION("IFERROR(TEXTJOIN(""/"",1,FILTER($B$48:$IV$48,$B$47:$IV$47=S$97)),"" "")")," ")</f>
        <v> </v>
      </c>
      <c r="T85" s="48" t="str">
        <f>IFERROR(__xludf.DUMMYFUNCTION("IFERROR(TEXTJOIN(""/"",1,FILTER($B$48:$IV$48,$B$47:$IV$47=T$97)),"" "")")," ")</f>
        <v> </v>
      </c>
      <c r="U85" s="48" t="str">
        <f>IFERROR(__xludf.DUMMYFUNCTION("IFERROR(TEXTJOIN(""/"",1,FILTER($B$48:$IV$48,$B$47:$IV$47=U$97)),"" "")")," ")</f>
        <v> </v>
      </c>
      <c r="V85" s="48" t="str">
        <f>IFERROR(__xludf.DUMMYFUNCTION("IFERROR(TEXTJOIN(""/"",1,FILTER($B$48:$IV$48,$B$47:$IV$47=V$97)),"" "")")," ")</f>
        <v> </v>
      </c>
      <c r="W85" s="48" t="str">
        <f>IFERROR(__xludf.DUMMYFUNCTION("IFERROR(TEXTJOIN(""/"",1,FILTER($B$48:$IV$48,$B$47:$IV$47=W$97)),"" "")")," ")</f>
        <v> </v>
      </c>
      <c r="X85" s="48" t="str">
        <f>IFERROR(__xludf.DUMMYFUNCTION("IFERROR(TEXTJOIN(""/"",1,FILTER($B$48:$IV$48,$B$47:$IV$47=X$97)),"" "")")," ")</f>
        <v> </v>
      </c>
      <c r="Y85" s="48" t="str">
        <f>IFERROR(__xludf.DUMMYFUNCTION("IFERROR(TEXTJOIN(""/"",1,FILTER($B$48:$IV$48,$B$47:$IV$47=Y$97)),"" "")")," ")</f>
        <v> </v>
      </c>
      <c r="Z85" s="48" t="str">
        <f>IFERROR(__xludf.DUMMYFUNCTION("IFERROR(TEXTJOIN(""/"",1,FILTER($B$48:$IV$48,$B$47:$IV$47=Z$97)),"" "")")," ")</f>
        <v> </v>
      </c>
      <c r="AA85" s="48" t="str">
        <f>IFERROR(__xludf.DUMMYFUNCTION("IFERROR(TEXTJOIN(""/"",1,FILTER($B$48:$IV$48,$B$47:$IV$47=AA$97)),"" "")")," ")</f>
        <v> </v>
      </c>
      <c r="AB85" s="48" t="str">
        <f>IFERROR(__xludf.DUMMYFUNCTION("IFERROR(TEXTJOIN(""/"",1,FILTER($B$48:$IV$48,$B$47:$IV$47=AB$97)),"" "")")," ")</f>
        <v> </v>
      </c>
      <c r="AC85" s="48" t="str">
        <f>IFERROR(__xludf.DUMMYFUNCTION("IFERROR(TEXTJOIN(""/"",1,FILTER($B$48:$IV$48,$B$47:$IV$47=AC$97)),"" "")")," ")</f>
        <v> </v>
      </c>
      <c r="AD85" s="48" t="str">
        <f>IFERROR(__xludf.DUMMYFUNCTION("IFERROR(TEXTJOIN(""/"",1,FILTER($B$48:$IV$48,$B$47:$IV$47=AD$97)),"" "")")," ")</f>
        <v> </v>
      </c>
      <c r="AE85" s="48" t="str">
        <f>IFERROR(__xludf.DUMMYFUNCTION("IFERROR(TEXTJOIN(""/"",1,FILTER($B$48:$IV$48,$B$47:$IV$47=AE$97)),"" "")")," ")</f>
        <v> </v>
      </c>
      <c r="AF85" s="48" t="str">
        <f>IFERROR(__xludf.DUMMYFUNCTION("IFERROR(TEXTJOIN(""/"",1,FILTER($B$48:$IV$48,$B$47:$IV$47=AF$97)),"" "")")," ")</f>
        <v> </v>
      </c>
      <c r="AG85" s="48" t="str">
        <f>IFERROR(__xludf.DUMMYFUNCTION("IFERROR(TEXTJOIN(""/"",1,FILTER($B$48:$IV$48,$B$47:$IV$47=AG$97)),"" "")")," ")</f>
        <v> </v>
      </c>
      <c r="AH85" s="48" t="str">
        <f>IFERROR(__xludf.DUMMYFUNCTION("IFERROR(TEXTJOIN(""/"",1,FILTER($B$48:$IV$48,$B$47:$IV$47=AH$97)),"" "")")," ")</f>
        <v> </v>
      </c>
      <c r="AI85" s="48" t="str">
        <f>IFERROR(__xludf.DUMMYFUNCTION("IFERROR(TEXTJOIN(""/"",1,FILTER($B$48:$IV$48,$B$47:$IV$47=AI$97)),"" "")")," ")</f>
        <v> </v>
      </c>
      <c r="AJ85" s="48" t="str">
        <f>IFERROR(__xludf.DUMMYFUNCTION("IFERROR(TEXTJOIN(""/"",1,FILTER($B$48:$IV$48,$B$47:$IV$47=AJ$97)),"" "")")," ")</f>
        <v> </v>
      </c>
      <c r="AK85" s="48" t="str">
        <f>IFERROR(__xludf.DUMMYFUNCTION("IFERROR(TEXTJOIN(""/"",1,FILTER($B$48:$IV$48,$B$47:$IV$47=AK$97)),"" "")")," ")</f>
        <v> </v>
      </c>
      <c r="AL85" s="48" t="str">
        <f>IFERROR(__xludf.DUMMYFUNCTION("IFERROR(TEXTJOIN(""/"",1,FILTER($B$48:$IV$48,$B$47:$IV$47=AL$97)),"" "")")," ")</f>
        <v> </v>
      </c>
      <c r="AM85" s="48" t="str">
        <f>IFERROR(__xludf.DUMMYFUNCTION("IFERROR(TEXTJOIN(""/"",1,FILTER($B$48:$IV$48,$B$47:$IV$47=AM$97)),"" "")")," ")</f>
        <v> </v>
      </c>
      <c r="AN85" s="48" t="str">
        <f>IFERROR(__xludf.DUMMYFUNCTION("IFERROR(TEXTJOIN(""/"",1,FILTER($B$48:$IV$48,$B$47:$IV$47=AN$97)),"" "")")," ")</f>
        <v> </v>
      </c>
      <c r="AO85" s="48" t="str">
        <f>IFERROR(__xludf.DUMMYFUNCTION("IFERROR(TEXTJOIN(""/"",1,FILTER($B$48:$IV$48,$B$47:$IV$47=AO$97)),"" "")")," ")</f>
        <v> </v>
      </c>
      <c r="AP85" s="48" t="str">
        <f>IFERROR(__xludf.DUMMYFUNCTION("IFERROR(TEXTJOIN(""/"",1,FILTER($B$48:$IV$48,$B$47:$IV$47=AP$97)),"" "")")," ")</f>
        <v> </v>
      </c>
      <c r="AQ85" s="48" t="str">
        <f>IFERROR(__xludf.DUMMYFUNCTION("IFERROR(TEXTJOIN(""/"",1,FILTER($B$48:$IV$48,$B$47:$IV$47=AQ$97)),"" "")")," ")</f>
        <v> </v>
      </c>
      <c r="AR85" s="48" t="str">
        <f>IFERROR(__xludf.DUMMYFUNCTION("IFERROR(TEXTJOIN(""/"",1,FILTER($B$48:$IV$48,$B$47:$IV$47=AR$97)),"" "")")," ")</f>
        <v> </v>
      </c>
      <c r="AS85" s="48" t="str">
        <f>IFERROR(__xludf.DUMMYFUNCTION("IFERROR(TEXTJOIN(""/"",1,FILTER($B$48:$IV$48,$B$47:$IV$47=AS$97)),"" "")")," ")</f>
        <v> </v>
      </c>
      <c r="AT85" s="48" t="str">
        <f>IFERROR(__xludf.DUMMYFUNCTION("IFERROR(TEXTJOIN(""/"",1,FILTER($B$48:$IV$48,$B$47:$IV$47=AT$97)),"" "")")," ")</f>
        <v> </v>
      </c>
      <c r="AU85" s="48" t="str">
        <f>IFERROR(__xludf.DUMMYFUNCTION("IFERROR(TEXTJOIN(""/"",1,FILTER($B$48:$IV$48,$B$47:$IV$47=AU$97)),"" "")")," ")</f>
        <v> </v>
      </c>
      <c r="AV85" s="48" t="str">
        <f>IFERROR(__xludf.DUMMYFUNCTION("IFERROR(TEXTJOIN(""/"",1,FILTER($B$48:$IV$48,$B$47:$IV$47=AV$97)),"" "")")," ")</f>
        <v> </v>
      </c>
      <c r="AW85" s="48" t="str">
        <f>IFERROR(__xludf.DUMMYFUNCTION("IFERROR(TEXTJOIN(""/"",1,FILTER($B$48:$IV$48,$B$47:$IV$47=AW$97)),"" "")")," ")</f>
        <v> </v>
      </c>
      <c r="AX85" s="48" t="str">
        <f>IFERROR(__xludf.DUMMYFUNCTION("IFERROR(TEXTJOIN(""/"",1,FILTER($B$48:$IV$48,$B$47:$IV$47=AX$97)),"" "")")," ")</f>
        <v> </v>
      </c>
      <c r="AY85" s="48" t="str">
        <f>IFERROR(__xludf.DUMMYFUNCTION("IFERROR(TEXTJOIN(""/"",1,FILTER($B$48:$IV$48,$B$47:$IV$47=AY$97)),"" "")")," ")</f>
        <v> </v>
      </c>
      <c r="AZ85" s="48" t="str">
        <f>IFERROR(__xludf.DUMMYFUNCTION("IFERROR(TEXTJOIN(""/"",1,FILTER($B$48:$IV$48,$B$47:$IV$47=AZ$97)),"" "")")," ")</f>
        <v> </v>
      </c>
      <c r="BA85" s="48" t="str">
        <f>IFERROR(__xludf.DUMMYFUNCTION("IFERROR(TEXTJOIN(""/"",1,FILTER($B$48:$IV$48,$B$47:$IV$47=BA$97)),"" "")")," ")</f>
        <v> </v>
      </c>
      <c r="BB85" s="48" t="str">
        <f>IFERROR(__xludf.DUMMYFUNCTION("IFERROR(TEXTJOIN(""/"",1,FILTER($B$48:$IV$48,$B$47:$IV$47=BB$97)),"" "")")," ")</f>
        <v> </v>
      </c>
      <c r="BC85" s="48" t="str">
        <f>IFERROR(__xludf.DUMMYFUNCTION("IFERROR(TEXTJOIN(""/"",1,FILTER($B$48:$IV$48,$B$47:$IV$47=BC$97)),"" "")")," ")</f>
        <v> </v>
      </c>
      <c r="BD85" s="48" t="str">
        <f>IFERROR(__xludf.DUMMYFUNCTION("IFERROR(TEXTJOIN(""/"",1,FILTER($B$48:$IV$48,$B$47:$IV$47=BD$97)),"" "")")," ")</f>
        <v> </v>
      </c>
      <c r="BE85" s="48" t="str">
        <f>IFERROR(__xludf.DUMMYFUNCTION("IFERROR(TEXTJOIN(""/"",1,FILTER($B$48:$IV$48,$B$47:$IV$47=BE$97)),"" "")")," ")</f>
        <v> </v>
      </c>
      <c r="BF85" s="48" t="str">
        <f>IFERROR(__xludf.DUMMYFUNCTION("IFERROR(TEXTJOIN(""/"",1,FILTER($B$48:$IV$48,$B$47:$IV$47=BF$97)),"" "")")," ")</f>
        <v> </v>
      </c>
      <c r="BG85" s="48" t="str">
        <f>IFERROR(__xludf.DUMMYFUNCTION("IFERROR(TEXTJOIN(""/"",1,FILTER($B$48:$IV$48,$B$47:$IV$47=BG$97)),"" "")")," ")</f>
        <v> </v>
      </c>
      <c r="BH85" s="48" t="str">
        <f>IFERROR(__xludf.DUMMYFUNCTION("IFERROR(TEXTJOIN(""/"",1,FILTER($B$48:$IV$48,$B$47:$IV$47=BH$97)),"" "")")," ")</f>
        <v> </v>
      </c>
      <c r="BI85" s="48" t="str">
        <f>IFERROR(__xludf.DUMMYFUNCTION("IFERROR(TEXTJOIN(""/"",1,FILTER($B$48:$IV$48,$B$47:$IV$47=BI$97)),"" "")")," ")</f>
        <v> </v>
      </c>
      <c r="BJ85" s="48" t="str">
        <f>IFERROR(__xludf.DUMMYFUNCTION("IFERROR(TEXTJOIN(""/"",1,FILTER($B$48:$IV$48,$B$47:$IV$47=BJ$97)),"" "")")," ")</f>
        <v> </v>
      </c>
      <c r="BK85" s="48" t="str">
        <f>IFERROR(__xludf.DUMMYFUNCTION("IFERROR(TEXTJOIN(""/"",1,FILTER($B$48:$IV$48,$B$47:$IV$47=BK$97)),"" "")")," ")</f>
        <v> </v>
      </c>
      <c r="BL85" s="48" t="str">
        <f>IFERROR(__xludf.DUMMYFUNCTION("IFERROR(TEXTJOIN(""/"",1,FILTER($B$48:$IV$48,$B$47:$IV$47=BL$97)),"" "")")," ")</f>
        <v> </v>
      </c>
      <c r="BM85" s="48" t="str">
        <f>IFERROR(__xludf.DUMMYFUNCTION("IFERROR(TEXTJOIN(""/"",1,FILTER($B$48:$IV$48,$B$47:$IV$47=BM$97)),"" "")")," ")</f>
        <v> </v>
      </c>
      <c r="BN85" s="48" t="str">
        <f>IFERROR(__xludf.DUMMYFUNCTION("IFERROR(TEXTJOIN(""/"",1,FILTER($B$48:$IV$48,$B$47:$IV$47=BN$97)),"" "")")," ")</f>
        <v> </v>
      </c>
      <c r="BO85" s="48" t="str">
        <f>IFERROR(__xludf.DUMMYFUNCTION("IFERROR(TEXTJOIN(""/"",1,FILTER($B$48:$IV$48,$B$47:$IV$47=BO$97)),"" "")")," ")</f>
        <v> </v>
      </c>
      <c r="BP85" s="48" t="str">
        <f>IFERROR(__xludf.DUMMYFUNCTION("IFERROR(TEXTJOIN(""/"",1,FILTER($B$48:$IV$48,$B$47:$IV$47=BP$97)),"" "")")," ")</f>
        <v> </v>
      </c>
      <c r="BQ85" s="48" t="str">
        <f>IFERROR(__xludf.DUMMYFUNCTION("IFERROR(TEXTJOIN(""/"",1,FILTER($B$48:$IV$48,$B$47:$IV$47=BQ$97)),"" "")")," ")</f>
        <v> </v>
      </c>
      <c r="BR85" s="48" t="str">
        <f>IFERROR(__xludf.DUMMYFUNCTION("IFERROR(TEXTJOIN(""/"",1,FILTER($B$48:$IV$48,$B$47:$IV$47=BR$97)),"" "")")," ")</f>
        <v> </v>
      </c>
      <c r="BS85" s="48" t="str">
        <f>IFERROR(__xludf.DUMMYFUNCTION("IFERROR(TEXTJOIN(""/"",1,FILTER($B$48:$IV$48,$B$47:$IV$47=BS$97)),"" "")")," ")</f>
        <v> </v>
      </c>
      <c r="BT85" s="48" t="str">
        <f>IFERROR(__xludf.DUMMYFUNCTION("IFERROR(TEXTJOIN(""/"",1,FILTER($B$48:$IV$48,$B$47:$IV$47=BT$97)),"" "")")," ")</f>
        <v> </v>
      </c>
      <c r="BU85" s="48" t="str">
        <f>IFERROR(__xludf.DUMMYFUNCTION("IFERROR(TEXTJOIN(""/"",1,FILTER($B$48:$IV$48,$B$47:$IV$47=BU$97)),"" "")")," ")</f>
        <v> </v>
      </c>
      <c r="BV85" s="48" t="str">
        <f>IFERROR(__xludf.DUMMYFUNCTION("IFERROR(TEXTJOIN(""/"",1,FILTER($B$48:$IV$48,$B$47:$IV$47=BV$97)),"" "")")," ")</f>
        <v> </v>
      </c>
      <c r="BW85" s="48" t="str">
        <f>IFERROR(__xludf.DUMMYFUNCTION("IFERROR(TEXTJOIN(""/"",1,FILTER($B$48:$IV$48,$B$47:$IV$47=BW$97)),"" "")")," ")</f>
        <v> </v>
      </c>
      <c r="BX85" s="48" t="str">
        <f>IFERROR(__xludf.DUMMYFUNCTION("IFERROR(TEXTJOIN(""/"",1,FILTER($B$48:$IV$48,$B$47:$IV$47=BX$97)),"" "")")," ")</f>
        <v> </v>
      </c>
      <c r="BY85" s="48" t="str">
        <f>IFERROR(__xludf.DUMMYFUNCTION("IFERROR(TEXTJOIN(""/"",1,FILTER($B$48:$IV$48,$B$47:$IV$47=BY$97)),"" "")")," ")</f>
        <v> </v>
      </c>
      <c r="BZ85" s="48" t="str">
        <f>IFERROR(__xludf.DUMMYFUNCTION("IFERROR(TEXTJOIN(""/"",1,FILTER($B$48:$IV$48,$B$47:$IV$47=BZ$97)),"" "")")," ")</f>
        <v> </v>
      </c>
      <c r="CA85" s="48" t="str">
        <f>IFERROR(__xludf.DUMMYFUNCTION("IFERROR(TEXTJOIN(""/"",1,FILTER($B$48:$IV$48,$B$47:$IV$47=CA$97)),"" "")")," ")</f>
        <v> </v>
      </c>
      <c r="CB85" s="48" t="str">
        <f>IFERROR(__xludf.DUMMYFUNCTION("IFERROR(TEXTJOIN(""/"",1,FILTER($B$48:$IV$48,$B$47:$IV$47=CB$97)),"" "")")," ")</f>
        <v> </v>
      </c>
      <c r="CC85" s="48" t="str">
        <f>IFERROR(__xludf.DUMMYFUNCTION("IFERROR(TEXTJOIN(""/"",1,FILTER($B$48:$IV$48,$B$47:$IV$47=CC$97)),"" "")")," ")</f>
        <v> </v>
      </c>
      <c r="CD85" s="48" t="str">
        <f>IFERROR(__xludf.DUMMYFUNCTION("IFERROR(TEXTJOIN(""/"",1,FILTER($B$48:$IV$48,$B$47:$IV$47=CD$97)),"" "")")," ")</f>
        <v> </v>
      </c>
      <c r="CE85" s="48" t="str">
        <f>IFERROR(__xludf.DUMMYFUNCTION("IFERROR(TEXTJOIN(""/"",1,FILTER($B$48:$IV$48,$B$47:$IV$47=CE$97)),"" "")")," ")</f>
        <v> </v>
      </c>
      <c r="CF85" s="48" t="str">
        <f>IFERROR(__xludf.DUMMYFUNCTION("IFERROR(TEXTJOIN(""/"",1,FILTER($B$48:$IV$48,$B$47:$IV$47=CF$97)),"" "")")," ")</f>
        <v> </v>
      </c>
      <c r="CG85" s="48" t="str">
        <f>IFERROR(__xludf.DUMMYFUNCTION("IFERROR(TEXTJOIN(""/"",1,FILTER($B$48:$IV$48,$B$47:$IV$47=CG$97)),"" "")")," ")</f>
        <v> </v>
      </c>
      <c r="CH85" s="48" t="str">
        <f>IFERROR(__xludf.DUMMYFUNCTION("IFERROR(TEXTJOIN(""/"",1,FILTER($B$48:$IV$48,$B$47:$IV$47=CH$97)),"" "")")," ")</f>
        <v> </v>
      </c>
      <c r="CI85" s="48" t="str">
        <f>IFERROR(__xludf.DUMMYFUNCTION("IFERROR(TEXTJOIN(""/"",1,FILTER($B$48:$IV$48,$B$47:$IV$47=CI$97)),"" "")")," ")</f>
        <v> </v>
      </c>
      <c r="CJ85" s="48" t="str">
        <f>IFERROR(__xludf.DUMMYFUNCTION("IFERROR(TEXTJOIN(""/"",1,FILTER($B$48:$IV$48,$B$47:$IV$47=CJ$97)),"" "")")," ")</f>
        <v> </v>
      </c>
      <c r="CK85" s="48" t="str">
        <f>IFERROR(__xludf.DUMMYFUNCTION("IFERROR(TEXTJOIN(""/"",1,FILTER($B$48:$IV$48,$B$47:$IV$47=CK$97)),"" "")")," ")</f>
        <v> </v>
      </c>
      <c r="CL85" s="48" t="str">
        <f>IFERROR(__xludf.DUMMYFUNCTION("IFERROR(TEXTJOIN(""/"",1,FILTER($B$48:$IV$48,$B$47:$IV$47=CL$97)),"" "")")," ")</f>
        <v> </v>
      </c>
      <c r="CM85" s="48" t="str">
        <f>IFERROR(__xludf.DUMMYFUNCTION("IFERROR(TEXTJOIN(""/"",1,FILTER($B$48:$IV$48,$B$47:$IV$47=CM$97)),"" "")")," ")</f>
        <v> </v>
      </c>
      <c r="CN85" s="48" t="str">
        <f>IFERROR(__xludf.DUMMYFUNCTION("IFERROR(TEXTJOIN(""/"",1,FILTER($B$48:$IV$48,$B$47:$IV$47=CN$97)),"" "")")," ")</f>
        <v> </v>
      </c>
      <c r="CO85" s="48" t="str">
        <f>IFERROR(__xludf.DUMMYFUNCTION("IFERROR(TEXTJOIN(""/"",1,FILTER($B$48:$IV$48,$B$47:$IV$47=CO$97)),"" "")")," ")</f>
        <v> </v>
      </c>
      <c r="CP85" s="48" t="str">
        <f>IFERROR(__xludf.DUMMYFUNCTION("IFERROR(TEXTJOIN(""/"",1,FILTER($B$48:$IV$48,$B$47:$IV$47=CP$97)),"" "")")," ")</f>
        <v> </v>
      </c>
      <c r="CQ85" s="48" t="str">
        <f>IFERROR(__xludf.DUMMYFUNCTION("IFERROR(TEXTJOIN(""/"",1,FILTER($B$48:$IV$48,$B$47:$IV$47=CQ$97)),"" "")")," ")</f>
        <v> </v>
      </c>
      <c r="CR85" s="48" t="str">
        <f>IFERROR(__xludf.DUMMYFUNCTION("IFERROR(TEXTJOIN(""/"",1,FILTER($B$48:$IV$48,$B$47:$IV$47=CR$97)),"" "")")," ")</f>
        <v> </v>
      </c>
      <c r="CS85" s="48" t="str">
        <f>IFERROR(__xludf.DUMMYFUNCTION("IFERROR(TEXTJOIN(""/"",1,FILTER($B$48:$IV$48,$B$47:$IV$47=CS$97)),"" "")")," ")</f>
        <v> </v>
      </c>
      <c r="CT85" s="48" t="str">
        <f>IFERROR(__xludf.DUMMYFUNCTION("IFERROR(TEXTJOIN(""/"",1,FILTER($B$48:$IV$48,$B$47:$IV$47=CT$97)),"" "")")," ")</f>
        <v> </v>
      </c>
      <c r="CU85" s="48" t="str">
        <f>IFERROR(__xludf.DUMMYFUNCTION("IFERROR(TEXTJOIN(""/"",1,FILTER($B$48:$IV$48,$B$47:$IV$47=CU$97)),"" "")")," ")</f>
        <v> </v>
      </c>
      <c r="CV85" s="48" t="str">
        <f>IFERROR(__xludf.DUMMYFUNCTION("IFERROR(TEXTJOIN(""/"",1,FILTER($B$48:$IV$48,$B$47:$IV$47=CV$97)),"" "")")," ")</f>
        <v> </v>
      </c>
      <c r="CW85" s="48" t="str">
        <f>IFERROR(__xludf.DUMMYFUNCTION("IFERROR(TEXTJOIN(""/"",1,FILTER($B$48:$IV$48,$B$47:$IV$47=CW$97)),"" "")")," ")</f>
        <v> </v>
      </c>
      <c r="CX85" s="48" t="str">
        <f>IFERROR(__xludf.DUMMYFUNCTION("IFERROR(TEXTJOIN(""/"",1,FILTER($B$48:$IV$48,$B$47:$IV$47=CX$97)),"" "")")," ")</f>
        <v> </v>
      </c>
      <c r="CY85" s="48" t="str">
        <f>IFERROR(__xludf.DUMMYFUNCTION("IFERROR(TEXTJOIN(""/"",1,FILTER($B$48:$IV$48,$B$47:$IV$47=CY$97)),"" "")")," ")</f>
        <v> </v>
      </c>
      <c r="CZ85" s="48" t="str">
        <f>IFERROR(__xludf.DUMMYFUNCTION("IFERROR(TEXTJOIN(""/"",1,FILTER($B$48:$IV$48,$B$47:$IV$47=CZ$97)),"" "")")," ")</f>
        <v> </v>
      </c>
      <c r="DA85" s="48" t="str">
        <f>IFERROR(__xludf.DUMMYFUNCTION("IFERROR(TEXTJOIN(""/"",1,FILTER($B$48:$IV$48,$B$47:$IV$47=DA$97)),"" "")")," ")</f>
        <v> </v>
      </c>
      <c r="DB85" s="48" t="str">
        <f>IFERROR(__xludf.DUMMYFUNCTION("IFERROR(TEXTJOIN(""/"",1,FILTER($B$48:$IV$48,$B$47:$IV$47=DB$97)),"" "")")," ")</f>
        <v> </v>
      </c>
      <c r="DC85" s="48" t="str">
        <f>IFERROR(__xludf.DUMMYFUNCTION("IFERROR(TEXTJOIN(""/"",1,FILTER($B$48:$IV$48,$B$47:$IV$47=DC$97)),"" "")")," ")</f>
        <v> </v>
      </c>
      <c r="DD85" s="48" t="str">
        <f>IFERROR(__xludf.DUMMYFUNCTION("IFERROR(TEXTJOIN(""/"",1,FILTER($B$48:$IV$48,$B$47:$IV$47=DD$97)),"" "")")," ")</f>
        <v> </v>
      </c>
      <c r="DE85" s="48" t="str">
        <f>IFERROR(__xludf.DUMMYFUNCTION("IFERROR(TEXTJOIN(""/"",1,FILTER($B$48:$IV$48,$B$47:$IV$47=DE$97)),"" "")")," ")</f>
        <v> </v>
      </c>
      <c r="DF85" s="48" t="str">
        <f>IFERROR(__xludf.DUMMYFUNCTION("IFERROR(TEXTJOIN(""/"",1,FILTER($B$48:$IV$48,$B$47:$IV$47=DF$97)),"" "")")," ")</f>
        <v> </v>
      </c>
      <c r="DG85" s="48" t="str">
        <f>IFERROR(__xludf.DUMMYFUNCTION("IFERROR(TEXTJOIN(""/"",1,FILTER($B$48:$IV$48,$B$47:$IV$47=DG$97)),"" "")")," ")</f>
        <v> </v>
      </c>
      <c r="DH85" s="48" t="str">
        <f>IFERROR(__xludf.DUMMYFUNCTION("IFERROR(TEXTJOIN(""/"",1,FILTER($B$48:$IV$48,$B$47:$IV$47=DH$97)),"" "")")," ")</f>
        <v> </v>
      </c>
      <c r="DI85" s="48" t="str">
        <f>IFERROR(__xludf.DUMMYFUNCTION("IFERROR(TEXTJOIN(""/"",1,FILTER($B$48:$IV$48,$B$47:$IV$47=DI$97)),"" "")")," ")</f>
        <v> </v>
      </c>
      <c r="DJ85" s="48" t="str">
        <f>IFERROR(__xludf.DUMMYFUNCTION("IFERROR(TEXTJOIN(""/"",1,FILTER($B$48:$IV$48,$B$47:$IV$47=DJ$97)),"" "")")," ")</f>
        <v> </v>
      </c>
      <c r="DK85" s="48" t="str">
        <f>IFERROR(__xludf.DUMMYFUNCTION("IFERROR(TEXTJOIN(""/"",1,FILTER($B$48:$IV$48,$B$47:$IV$47=DK$97)),"" "")")," ")</f>
        <v> </v>
      </c>
      <c r="DL85" s="48" t="str">
        <f>IFERROR(__xludf.DUMMYFUNCTION("IFERROR(TEXTJOIN(""/"",1,FILTER($B$48:$IV$48,$B$47:$IV$47=DL$97)),"" "")")," ")</f>
        <v> </v>
      </c>
      <c r="DM85" s="48" t="str">
        <f>IFERROR(__xludf.DUMMYFUNCTION("IFERROR(TEXTJOIN(""/"",1,FILTER($B$48:$IV$48,$B$47:$IV$47=DM$97)),"" "")")," ")</f>
        <v> </v>
      </c>
      <c r="DN85" s="48" t="str">
        <f>IFERROR(__xludf.DUMMYFUNCTION("IFERROR(TEXTJOIN(""/"",1,FILTER($B$48:$IV$48,$B$47:$IV$47=DN$97)),"" "")")," ")</f>
        <v> </v>
      </c>
      <c r="DO85" s="48" t="str">
        <f>IFERROR(__xludf.DUMMYFUNCTION("IFERROR(TEXTJOIN(""/"",1,FILTER($B$48:$IV$48,$B$47:$IV$47=DO$97)),"" "")")," ")</f>
        <v> </v>
      </c>
      <c r="DP85" s="48" t="str">
        <f>IFERROR(__xludf.DUMMYFUNCTION("IFERROR(TEXTJOIN(""/"",1,FILTER($B$48:$IV$48,$B$47:$IV$47=DP$97)),"" "")")," ")</f>
        <v> </v>
      </c>
      <c r="DQ85" s="48" t="str">
        <f>IFERROR(__xludf.DUMMYFUNCTION("IFERROR(TEXTJOIN(""/"",1,FILTER($B$48:$IV$48,$B$47:$IV$47=DQ$97)),"" "")")," ")</f>
        <v> </v>
      </c>
      <c r="DR85" s="48" t="str">
        <f>IFERROR(__xludf.DUMMYFUNCTION("IFERROR(TEXTJOIN(""/"",1,FILTER($B$48:$IV$48,$B$47:$IV$47=DR$97)),"" "")")," ")</f>
        <v> </v>
      </c>
      <c r="DS85" s="48" t="str">
        <f>IFERROR(__xludf.DUMMYFUNCTION("IFERROR(TEXTJOIN(""/"",1,FILTER($B$48:$IV$48,$B$47:$IV$47=DS$97)),"" "")")," ")</f>
        <v> </v>
      </c>
      <c r="DT85" s="48" t="str">
        <f>IFERROR(__xludf.DUMMYFUNCTION("IFERROR(TEXTJOIN(""/"",1,FILTER($B$48:$IV$48,$B$47:$IV$47=DT$97)),"" "")")," ")</f>
        <v> </v>
      </c>
      <c r="DU85" s="48" t="str">
        <f>IFERROR(__xludf.DUMMYFUNCTION("IFERROR(TEXTJOIN(""/"",1,FILTER($B$48:$IV$48,$B$47:$IV$47=DU$97)),"" "")")," ")</f>
        <v> </v>
      </c>
      <c r="DV85" s="48" t="str">
        <f>IFERROR(__xludf.DUMMYFUNCTION("IFERROR(TEXTJOIN(""/"",1,FILTER($B$48:$IV$48,$B$47:$IV$47=DV$97)),"" "")")," ")</f>
        <v> </v>
      </c>
      <c r="DW85" s="48" t="str">
        <f>IFERROR(__xludf.DUMMYFUNCTION("IFERROR(TEXTJOIN(""/"",1,FILTER($B$48:$IV$48,$B$47:$IV$47=DW$97)),"" "")")," ")</f>
        <v> </v>
      </c>
      <c r="DX85" s="48" t="str">
        <f>IFERROR(__xludf.DUMMYFUNCTION("IFERROR(TEXTJOIN(""/"",1,FILTER($B$48:$IV$48,$B$47:$IV$47=DX$97)),"" "")")," ")</f>
        <v> </v>
      </c>
      <c r="DY85" s="48" t="str">
        <f>IFERROR(__xludf.DUMMYFUNCTION("IFERROR(TEXTJOIN(""/"",1,FILTER($B$48:$IV$48,$B$47:$IV$47=DY$97)),"" "")")," ")</f>
        <v> </v>
      </c>
      <c r="DZ85" s="48" t="str">
        <f>IFERROR(__xludf.DUMMYFUNCTION("IFERROR(TEXTJOIN(""/"",1,FILTER($B$48:$IV$48,$B$47:$IV$47=DZ$97)),"" "")")," ")</f>
        <v> </v>
      </c>
      <c r="EA85" s="48" t="str">
        <f>IFERROR(__xludf.DUMMYFUNCTION("IFERROR(TEXTJOIN(""/"",1,FILTER($B$48:$IV$48,$B$47:$IV$47=EA$97)),"" "")")," ")</f>
        <v> </v>
      </c>
      <c r="EB85" s="48" t="str">
        <f>IFERROR(__xludf.DUMMYFUNCTION("IFERROR(TEXTJOIN(""/"",1,FILTER($B$48:$IV$48,$B$47:$IV$47=EB$97)),"" "")")," ")</f>
        <v> </v>
      </c>
      <c r="EC85" s="48" t="str">
        <f>IFERROR(__xludf.DUMMYFUNCTION("IFERROR(TEXTJOIN(""/"",1,FILTER($B$48:$IV$48,$B$47:$IV$47=EC$97)),"" "")")," ")</f>
        <v> </v>
      </c>
      <c r="ED85" s="48" t="str">
        <f>IFERROR(__xludf.DUMMYFUNCTION("IFERROR(TEXTJOIN(""/"",1,FILTER($B$48:$IV$48,$B$47:$IV$47=ED$97)),"" "")")," ")</f>
        <v> </v>
      </c>
      <c r="EE85" s="48" t="str">
        <f>IFERROR(__xludf.DUMMYFUNCTION("IFERROR(TEXTJOIN(""/"",1,FILTER($B$48:$IV$48,$B$47:$IV$47=EE$97)),"" "")")," ")</f>
        <v> </v>
      </c>
      <c r="EF85" s="48" t="str">
        <f>IFERROR(__xludf.DUMMYFUNCTION("IFERROR(TEXTJOIN(""/"",1,FILTER($B$48:$IV$48,$B$47:$IV$47=EF$97)),"" "")")," ")</f>
        <v> </v>
      </c>
      <c r="EG85" s="48" t="str">
        <f>IFERROR(__xludf.DUMMYFUNCTION("IFERROR(TEXTJOIN(""/"",1,FILTER($B$48:$IV$48,$B$47:$IV$47=EG$97)),"" "")")," ")</f>
        <v> </v>
      </c>
      <c r="EH85" s="48" t="str">
        <f>IFERROR(__xludf.DUMMYFUNCTION("IFERROR(TEXTJOIN(""/"",1,FILTER($B$48:$IV$48,$B$47:$IV$47=EH$97)),"" "")")," ")</f>
        <v> </v>
      </c>
      <c r="EI85" s="48" t="str">
        <f>IFERROR(__xludf.DUMMYFUNCTION("IFERROR(TEXTJOIN(""/"",1,FILTER($B$48:$IV$48,$B$47:$IV$47=EI$97)),"" "")")," ")</f>
        <v> </v>
      </c>
      <c r="EJ85" s="48" t="str">
        <f>IFERROR(__xludf.DUMMYFUNCTION("IFERROR(TEXTJOIN(""/"",1,FILTER($B$48:$IV$48,$B$47:$IV$47=EJ$97)),"" "")")," ")</f>
        <v> </v>
      </c>
      <c r="EK85" s="48" t="str">
        <f>IFERROR(__xludf.DUMMYFUNCTION("IFERROR(TEXTJOIN(""/"",1,FILTER($B$48:$IV$48,$B$47:$IV$47=EK$97)),"" "")")," ")</f>
        <v> </v>
      </c>
      <c r="EL85" s="48" t="str">
        <f>IFERROR(__xludf.DUMMYFUNCTION("IFERROR(TEXTJOIN(""/"",1,FILTER($B$48:$IV$48,$B$47:$IV$47=EL$97)),"" "")")," ")</f>
        <v> </v>
      </c>
      <c r="EM85" s="48" t="str">
        <f>IFERROR(__xludf.DUMMYFUNCTION("IFERROR(TEXTJOIN(""/"",1,FILTER($B$48:$IV$48,$B$47:$IV$47=EM$97)),"" "")")," ")</f>
        <v> </v>
      </c>
      <c r="EN85" s="48" t="str">
        <f>IFERROR(__xludf.DUMMYFUNCTION("IFERROR(TEXTJOIN(""/"",1,FILTER($B$48:$IV$48,$B$47:$IV$47=EN$97)),"" "")")," ")</f>
        <v> </v>
      </c>
      <c r="EO85" s="48" t="str">
        <f>IFERROR(__xludf.DUMMYFUNCTION("IFERROR(TEXTJOIN(""/"",1,FILTER($B$48:$IV$48,$B$47:$IV$47=EO$97)),"" "")")," ")</f>
        <v> </v>
      </c>
      <c r="EP85" s="48" t="str">
        <f>IFERROR(__xludf.DUMMYFUNCTION("IFERROR(TEXTJOIN(""/"",1,FILTER($B$48:$IV$48,$B$47:$IV$47=EP$97)),"" "")")," ")</f>
        <v> </v>
      </c>
      <c r="EQ85" s="48" t="str">
        <f>IFERROR(__xludf.DUMMYFUNCTION("IFERROR(TEXTJOIN(""/"",1,FILTER($B$48:$IV$48,$B$47:$IV$47=EQ$97)),"" "")")," ")</f>
        <v> </v>
      </c>
      <c r="ER85" s="48" t="str">
        <f>IFERROR(__xludf.DUMMYFUNCTION("IFERROR(TEXTJOIN(""/"",1,FILTER($B$48:$IV$48,$B$47:$IV$47=ER$97)),"" "")")," ")</f>
        <v> </v>
      </c>
      <c r="ES85" s="48" t="str">
        <f>IFERROR(__xludf.DUMMYFUNCTION("IFERROR(TEXTJOIN(""/"",1,FILTER($B$48:$IV$48,$B$47:$IV$47=ES$97)),"" "")")," ")</f>
        <v> </v>
      </c>
      <c r="ET85" s="48" t="str">
        <f>IFERROR(__xludf.DUMMYFUNCTION("IFERROR(TEXTJOIN(""/"",1,FILTER($B$48:$IV$48,$B$47:$IV$47=ET$97)),"" "")")," ")</f>
        <v> </v>
      </c>
      <c r="EU85" s="48" t="str">
        <f>IFERROR(__xludf.DUMMYFUNCTION("IFERROR(TEXTJOIN(""/"",1,FILTER($B$48:$IV$48,$B$47:$IV$47=EU$97)),"" "")")," ")</f>
        <v> </v>
      </c>
      <c r="EV85" s="48" t="str">
        <f>IFERROR(__xludf.DUMMYFUNCTION("IFERROR(TEXTJOIN(""/"",1,FILTER($B$48:$IV$48,$B$47:$IV$47=EV$97)),"" "")")," ")</f>
        <v> </v>
      </c>
      <c r="EW85" s="48" t="str">
        <f>IFERROR(__xludf.DUMMYFUNCTION("IFERROR(TEXTJOIN(""/"",1,FILTER($B$48:$IV$48,$B$47:$IV$47=EW$97)),"" "")")," ")</f>
        <v> </v>
      </c>
      <c r="EX85" s="48" t="str">
        <f>IFERROR(__xludf.DUMMYFUNCTION("IFERROR(TEXTJOIN(""/"",1,FILTER($B$48:$IV$48,$B$47:$IV$47=EX$97)),"" "")")," ")</f>
        <v> </v>
      </c>
      <c r="EY85" s="48" t="str">
        <f>IFERROR(__xludf.DUMMYFUNCTION("IFERROR(TEXTJOIN(""/"",1,FILTER($B$48:$IV$48,$B$47:$IV$47=EY$97)),"" "")")," ")</f>
        <v> </v>
      </c>
      <c r="EZ85" s="48" t="str">
        <f>IFERROR(__xludf.DUMMYFUNCTION("IFERROR(TEXTJOIN(""/"",1,FILTER($B$48:$IV$48,$B$47:$IV$47=EZ$97)),"" "")")," ")</f>
        <v> </v>
      </c>
      <c r="FA85" s="48" t="str">
        <f>IFERROR(__xludf.DUMMYFUNCTION("IFERROR(TEXTJOIN(""/"",1,FILTER($B$48:$IV$48,$B$47:$IV$47=FA$97)),"" "")")," ")</f>
        <v> </v>
      </c>
      <c r="FB85" s="48" t="str">
        <f>IFERROR(__xludf.DUMMYFUNCTION("IFERROR(TEXTJOIN(""/"",1,FILTER($B$48:$IV$48,$B$47:$IV$47=FB$97)),"" "")")," ")</f>
        <v> </v>
      </c>
      <c r="FC85" s="48" t="str">
        <f>IFERROR(__xludf.DUMMYFUNCTION("IFERROR(TEXTJOIN(""/"",1,FILTER($B$48:$IV$48,$B$47:$IV$47=FC$97)),"" "")")," ")</f>
        <v> </v>
      </c>
      <c r="FD85" s="48" t="str">
        <f>IFERROR(__xludf.DUMMYFUNCTION("IFERROR(TEXTJOIN(""/"",1,FILTER($B$48:$IV$48,$B$47:$IV$47=FD$97)),"" "")")," ")</f>
        <v> </v>
      </c>
      <c r="FE85" s="48" t="str">
        <f>IFERROR(__xludf.DUMMYFUNCTION("IFERROR(TEXTJOIN(""/"",1,FILTER($B$48:$IV$48,$B$47:$IV$47=FE$97)),"" "")")," ")</f>
        <v> </v>
      </c>
      <c r="FF85" s="48" t="str">
        <f>IFERROR(__xludf.DUMMYFUNCTION("IFERROR(TEXTJOIN(""/"",1,FILTER($B$48:$IV$48,$B$47:$IV$47=FF$97)),"" "")")," ")</f>
        <v> </v>
      </c>
      <c r="FG85" s="48" t="str">
        <f>IFERROR(__xludf.DUMMYFUNCTION("IFERROR(TEXTJOIN(""/"",1,FILTER($B$48:$IV$48,$B$47:$IV$47=FG$97)),"" "")")," ")</f>
        <v> </v>
      </c>
      <c r="FH85" s="48" t="str">
        <f>IFERROR(__xludf.DUMMYFUNCTION("IFERROR(TEXTJOIN(""/"",1,FILTER($B$48:$IV$48,$B$47:$IV$47=FH$97)),"" "")")," ")</f>
        <v> </v>
      </c>
      <c r="FI85" s="48" t="str">
        <f>IFERROR(__xludf.DUMMYFUNCTION("IFERROR(TEXTJOIN(""/"",1,FILTER($B$48:$IV$48,$B$47:$IV$47=FI$97)),"" "")")," ")</f>
        <v> </v>
      </c>
      <c r="FJ85" s="48" t="str">
        <f>IFERROR(__xludf.DUMMYFUNCTION("IFERROR(TEXTJOIN(""/"",1,FILTER($B$48:$IV$48,$B$47:$IV$47=FJ$97)),"" "")")," ")</f>
        <v> </v>
      </c>
      <c r="FK85" s="48" t="str">
        <f>IFERROR(__xludf.DUMMYFUNCTION("IFERROR(TEXTJOIN(""/"",1,FILTER($B$48:$IV$48,$B$47:$IV$47=FK$97)),"" "")")," ")</f>
        <v> </v>
      </c>
      <c r="FL85" s="48" t="str">
        <f>IFERROR(__xludf.DUMMYFUNCTION("IFERROR(TEXTJOIN(""/"",1,FILTER($B$48:$IV$48,$B$47:$IV$47=FL$97)),"" "")")," ")</f>
        <v> </v>
      </c>
      <c r="FM85" s="48" t="str">
        <f>IFERROR(__xludf.DUMMYFUNCTION("IFERROR(TEXTJOIN(""/"",1,FILTER($B$48:$IV$48,$B$47:$IV$47=FM$97)),"" "")")," ")</f>
        <v> </v>
      </c>
      <c r="FN85" s="48" t="str">
        <f>IFERROR(__xludf.DUMMYFUNCTION("IFERROR(TEXTJOIN(""/"",1,FILTER($B$48:$IV$48,$B$47:$IV$47=FN$97)),"" "")")," ")</f>
        <v> </v>
      </c>
      <c r="FO85" s="48" t="str">
        <f>IFERROR(__xludf.DUMMYFUNCTION("IFERROR(TEXTJOIN(""/"",1,FILTER($B$48:$IV$48,$B$47:$IV$47=FO$97)),"" "")")," ")</f>
        <v> </v>
      </c>
      <c r="FP85" s="48" t="str">
        <f>IFERROR(__xludf.DUMMYFUNCTION("IFERROR(TEXTJOIN(""/"",1,FILTER($B$48:$IV$48,$B$47:$IV$47=FP$97)),"" "")")," ")</f>
        <v> </v>
      </c>
      <c r="FQ85" s="48" t="str">
        <f>IFERROR(__xludf.DUMMYFUNCTION("IFERROR(TEXTJOIN(""/"",1,FILTER($B$48:$IV$48,$B$47:$IV$47=FQ$97)),"" "")")," ")</f>
        <v> </v>
      </c>
      <c r="FR85" s="48" t="str">
        <f>IFERROR(__xludf.DUMMYFUNCTION("IFERROR(TEXTJOIN(""/"",1,FILTER($B$48:$IV$48,$B$47:$IV$47=FR$97)),"" "")")," ")</f>
        <v> </v>
      </c>
      <c r="FS85" s="48" t="str">
        <f>IFERROR(__xludf.DUMMYFUNCTION("IFERROR(TEXTJOIN(""/"",1,FILTER($B$48:$IV$48,$B$47:$IV$47=FS$97)),"" "")")," ")</f>
        <v> </v>
      </c>
      <c r="FT85" s="48" t="str">
        <f>IFERROR(__xludf.DUMMYFUNCTION("IFERROR(TEXTJOIN(""/"",1,FILTER($B$48:$IV$48,$B$47:$IV$47=FT$97)),"" "")")," ")</f>
        <v> </v>
      </c>
      <c r="FU85" s="48" t="str">
        <f>IFERROR(__xludf.DUMMYFUNCTION("IFERROR(TEXTJOIN(""/"",1,FILTER($B$48:$IV$48,$B$47:$IV$47=FU$97)),"" "")")," ")</f>
        <v> </v>
      </c>
      <c r="FV85" s="48" t="str">
        <f>IFERROR(__xludf.DUMMYFUNCTION("IFERROR(TEXTJOIN(""/"",1,FILTER($B$48:$IV$48,$B$47:$IV$47=FV$97)),"" "")")," ")</f>
        <v> </v>
      </c>
      <c r="FW85" s="48" t="str">
        <f>IFERROR(__xludf.DUMMYFUNCTION("IFERROR(TEXTJOIN(""/"",1,FILTER($B$48:$IV$48,$B$47:$IV$47=FW$97)),"" "")")," ")</f>
        <v> </v>
      </c>
      <c r="FX85" s="48" t="str">
        <f>IFERROR(__xludf.DUMMYFUNCTION("IFERROR(TEXTJOIN(""/"",1,FILTER($B$48:$IV$48,$B$47:$IV$47=FX$97)),"" "")")," ")</f>
        <v> </v>
      </c>
      <c r="FY85" s="48" t="str">
        <f>IFERROR(__xludf.DUMMYFUNCTION("IFERROR(TEXTJOIN(""/"",1,FILTER($B$48:$IV$48,$B$47:$IV$47=FY$97)),"" "")")," ")</f>
        <v> </v>
      </c>
      <c r="FZ85" s="48" t="str">
        <f>IFERROR(__xludf.DUMMYFUNCTION("IFERROR(TEXTJOIN(""/"",1,FILTER($B$48:$IV$48,$B$47:$IV$47=FZ$97)),"" "")")," ")</f>
        <v> </v>
      </c>
      <c r="GA85" s="48" t="str">
        <f>IFERROR(__xludf.DUMMYFUNCTION("IFERROR(TEXTJOIN(""/"",1,FILTER($B$48:$IV$48,$B$47:$IV$47=GA$97)),"" "")")," ")</f>
        <v> </v>
      </c>
      <c r="GB85" s="48" t="str">
        <f>IFERROR(__xludf.DUMMYFUNCTION("IFERROR(TEXTJOIN(""/"",1,FILTER($B$48:$IV$48,$B$47:$IV$47=GB$97)),"" "")")," ")</f>
        <v> </v>
      </c>
      <c r="GC85" s="48" t="str">
        <f>IFERROR(__xludf.DUMMYFUNCTION("IFERROR(TEXTJOIN(""/"",1,FILTER($B$48:$IV$48,$B$47:$IV$47=GC$97)),"" "")")," ")</f>
        <v> </v>
      </c>
      <c r="GD85" s="48" t="str">
        <f>IFERROR(__xludf.DUMMYFUNCTION("IFERROR(TEXTJOIN(""/"",1,FILTER($B$48:$IV$48,$B$47:$IV$47=GD$97)),"" "")")," ")</f>
        <v> </v>
      </c>
      <c r="GE85" s="48" t="str">
        <f>IFERROR(__xludf.DUMMYFUNCTION("IFERROR(TEXTJOIN(""/"",1,FILTER($B$48:$IV$48,$B$47:$IV$47=GE$97)),"" "")")," ")</f>
        <v> </v>
      </c>
      <c r="GF85" s="48" t="str">
        <f>IFERROR(__xludf.DUMMYFUNCTION("IFERROR(TEXTJOIN(""/"",1,FILTER($B$48:$IV$48,$B$47:$IV$47=GF$97)),"" "")")," ")</f>
        <v> </v>
      </c>
      <c r="GG85" s="48" t="str">
        <f>IFERROR(__xludf.DUMMYFUNCTION("IFERROR(TEXTJOIN(""/"",1,FILTER($B$48:$IV$48,$B$47:$IV$47=GG$97)),"" "")")," ")</f>
        <v> </v>
      </c>
      <c r="GH85" s="48" t="str">
        <f>IFERROR(__xludf.DUMMYFUNCTION("IFERROR(TEXTJOIN(""/"",1,FILTER($B$48:$IV$48,$B$47:$IV$47=GH$97)),"" "")")," ")</f>
        <v> </v>
      </c>
      <c r="GI85" s="48" t="str">
        <f>IFERROR(__xludf.DUMMYFUNCTION("IFERROR(TEXTJOIN(""/"",1,FILTER($B$48:$IV$48,$B$47:$IV$47=GI$97)),"" "")")," ")</f>
        <v> </v>
      </c>
      <c r="GJ85" s="48" t="str">
        <f>IFERROR(__xludf.DUMMYFUNCTION("IFERROR(TEXTJOIN(""/"",1,FILTER($B$48:$IV$48,$B$47:$IV$47=GJ$97)),"" "")")," ")</f>
        <v> </v>
      </c>
      <c r="GK85" s="48" t="str">
        <f>IFERROR(__xludf.DUMMYFUNCTION("IFERROR(TEXTJOIN(""/"",1,FILTER($B$48:$IV$48,$B$47:$IV$47=GK$97)),"" "")")," ")</f>
        <v> </v>
      </c>
      <c r="GL85" s="48" t="str">
        <f>IFERROR(__xludf.DUMMYFUNCTION("IFERROR(TEXTJOIN(""/"",1,FILTER($B$48:$IV$48,$B$47:$IV$47=GL$97)),"" "")")," ")</f>
        <v> </v>
      </c>
      <c r="GM85" s="48" t="str">
        <f>IFERROR(__xludf.DUMMYFUNCTION("IFERROR(TEXTJOIN(""/"",1,FILTER($B$48:$IV$48,$B$47:$IV$47=GM$97)),"" "")")," ")</f>
        <v> </v>
      </c>
      <c r="GN85" s="48" t="str">
        <f>IFERROR(__xludf.DUMMYFUNCTION("IFERROR(TEXTJOIN(""/"",1,FILTER($B$48:$IV$48,$B$47:$IV$47=GN$97)),"" "")")," ")</f>
        <v> </v>
      </c>
      <c r="GO85" s="48" t="str">
        <f>IFERROR(__xludf.DUMMYFUNCTION("IFERROR(TEXTJOIN(""/"",1,FILTER($B$48:$IV$48,$B$47:$IV$47=GO$97)),"" "")")," ")</f>
        <v> </v>
      </c>
      <c r="GP85" s="48" t="str">
        <f>IFERROR(__xludf.DUMMYFUNCTION("IFERROR(TEXTJOIN(""/"",1,FILTER($B$48:$IV$48,$B$47:$IV$47=GP$97)),"" "")")," ")</f>
        <v> </v>
      </c>
      <c r="GQ85" s="48" t="str">
        <f>IFERROR(__xludf.DUMMYFUNCTION("IFERROR(TEXTJOIN(""/"",1,FILTER($B$48:$IV$48,$B$47:$IV$47=GQ$97)),"" "")")," ")</f>
        <v> </v>
      </c>
      <c r="GR85" s="48" t="str">
        <f>IFERROR(__xludf.DUMMYFUNCTION("IFERROR(TEXTJOIN(""/"",1,FILTER($B$48:$IV$48,$B$47:$IV$47=GR$97)),"" "")")," ")</f>
        <v> </v>
      </c>
      <c r="GS85" s="48" t="str">
        <f>IFERROR(__xludf.DUMMYFUNCTION("IFERROR(TEXTJOIN(""/"",1,FILTER($B$48:$IV$48,$B$47:$IV$47=GS$97)),"" "")")," ")</f>
        <v> </v>
      </c>
      <c r="GT85" s="48" t="str">
        <f>IFERROR(__xludf.DUMMYFUNCTION("IFERROR(TEXTJOIN(""/"",1,FILTER($B$48:$IV$48,$B$47:$IV$47=GT$97)),"" "")")," ")</f>
        <v> </v>
      </c>
      <c r="GU85" s="48" t="str">
        <f>IFERROR(__xludf.DUMMYFUNCTION("IFERROR(TEXTJOIN(""/"",1,FILTER($B$48:$IV$48,$B$47:$IV$47=GU$97)),"" "")")," ")</f>
        <v> </v>
      </c>
      <c r="GV85" s="48" t="str">
        <f>IFERROR(__xludf.DUMMYFUNCTION("IFERROR(TEXTJOIN(""/"",1,FILTER($B$48:$IV$48,$B$47:$IV$47=GV$97)),"" "")")," ")</f>
        <v> </v>
      </c>
      <c r="GW85" s="48" t="str">
        <f>IFERROR(__xludf.DUMMYFUNCTION("IFERROR(TEXTJOIN(""/"",1,FILTER($B$48:$IV$48,$B$47:$IV$47=GW$97)),"" "")")," ")</f>
        <v> </v>
      </c>
      <c r="GX85" s="48" t="str">
        <f>IFERROR(__xludf.DUMMYFUNCTION("IFERROR(TEXTJOIN(""/"",1,FILTER($B$48:$IV$48,$B$47:$IV$47=GX$97)),"" "")")," ")</f>
        <v> </v>
      </c>
      <c r="GY85" s="48" t="str">
        <f>IFERROR(__xludf.DUMMYFUNCTION("IFERROR(TEXTJOIN(""/"",1,FILTER($B$48:$IV$48,$B$47:$IV$47=GY$97)),"" "")")," ")</f>
        <v> </v>
      </c>
      <c r="GZ85" s="48" t="str">
        <f>IFERROR(__xludf.DUMMYFUNCTION("IFERROR(TEXTJOIN(""/"",1,FILTER($B$48:$IV$48,$B$47:$IV$47=GZ$97)),"" "")")," ")</f>
        <v> </v>
      </c>
      <c r="HA85" s="48" t="str">
        <f>IFERROR(__xludf.DUMMYFUNCTION("IFERROR(TEXTJOIN(""/"",1,FILTER($B$48:$IV$48,$B$47:$IV$47=HA$97)),"" "")")," ")</f>
        <v> </v>
      </c>
      <c r="HB85" s="48" t="str">
        <f>IFERROR(__xludf.DUMMYFUNCTION("IFERROR(TEXTJOIN(""/"",1,FILTER($B$48:$IV$48,$B$47:$IV$47=HB$97)),"" "")")," ")</f>
        <v> </v>
      </c>
      <c r="HC85" s="48" t="str">
        <f>IFERROR(__xludf.DUMMYFUNCTION("IFERROR(TEXTJOIN(""/"",1,FILTER($B$48:$IV$48,$B$47:$IV$47=HC$97)),"" "")")," ")</f>
        <v> </v>
      </c>
      <c r="HD85" s="48" t="str">
        <f>IFERROR(__xludf.DUMMYFUNCTION("IFERROR(TEXTJOIN(""/"",1,FILTER($B$48:$IV$48,$B$47:$IV$47=HD$97)),"" "")")," ")</f>
        <v> </v>
      </c>
      <c r="HE85" s="48" t="str">
        <f>IFERROR(__xludf.DUMMYFUNCTION("IFERROR(TEXTJOIN(""/"",1,FILTER($B$48:$IV$48,$B$47:$IV$47=HE$97)),"" "")")," ")</f>
        <v> </v>
      </c>
      <c r="HF85" s="48" t="str">
        <f>IFERROR(__xludf.DUMMYFUNCTION("IFERROR(TEXTJOIN(""/"",1,FILTER($B$48:$IV$48,$B$47:$IV$47=HF$97)),"" "")")," ")</f>
        <v> </v>
      </c>
      <c r="HG85" s="48" t="str">
        <f>IFERROR(__xludf.DUMMYFUNCTION("IFERROR(TEXTJOIN(""/"",1,FILTER($B$48:$IV$48,$B$47:$IV$47=HG$97)),"" "")")," ")</f>
        <v> </v>
      </c>
      <c r="HH85" s="48" t="str">
        <f>IFERROR(__xludf.DUMMYFUNCTION("IFERROR(TEXTJOIN(""/"",1,FILTER($B$48:$IV$48,$B$47:$IV$47=HH$97)),"" "")")," ")</f>
        <v> </v>
      </c>
      <c r="HI85" s="48" t="str">
        <f>IFERROR(__xludf.DUMMYFUNCTION("IFERROR(TEXTJOIN(""/"",1,FILTER($B$48:$IV$48,$B$47:$IV$47=HI$97)),"" "")")," ")</f>
        <v> </v>
      </c>
      <c r="HJ85" s="48" t="str">
        <f>IFERROR(__xludf.DUMMYFUNCTION("IFERROR(TEXTJOIN(""/"",1,FILTER($B$48:$IV$48,$B$47:$IV$47=HJ$97)),"" "")")," ")</f>
        <v> </v>
      </c>
      <c r="HK85" s="48" t="str">
        <f>IFERROR(__xludf.DUMMYFUNCTION("IFERROR(TEXTJOIN(""/"",1,FILTER($B$48:$IV$48,$B$47:$IV$47=HK$97)),"" "")")," ")</f>
        <v> </v>
      </c>
      <c r="HL85" s="48" t="str">
        <f>IFERROR(__xludf.DUMMYFUNCTION("IFERROR(TEXTJOIN(""/"",1,FILTER($B$48:$IV$48,$B$47:$IV$47=HL$97)),"" "")")," ")</f>
        <v> </v>
      </c>
      <c r="HM85" s="48" t="str">
        <f>IFERROR(__xludf.DUMMYFUNCTION("IFERROR(TEXTJOIN(""/"",1,FILTER($B$48:$IV$48,$B$47:$IV$47=HM$97)),"" "")")," ")</f>
        <v> </v>
      </c>
      <c r="HN85" s="48" t="str">
        <f>IFERROR(__xludf.DUMMYFUNCTION("IFERROR(TEXTJOIN(""/"",1,FILTER($B$48:$IV$48,$B$47:$IV$47=HN$97)),"" "")")," ")</f>
        <v> </v>
      </c>
      <c r="HO85" s="48" t="str">
        <f>IFERROR(__xludf.DUMMYFUNCTION("IFERROR(TEXTJOIN(""/"",1,FILTER($B$48:$IV$48,$B$47:$IV$47=HO$97)),"" "")")," ")</f>
        <v> </v>
      </c>
      <c r="HP85" s="48" t="str">
        <f>IFERROR(__xludf.DUMMYFUNCTION("IFERROR(TEXTJOIN(""/"",1,FILTER($B$48:$IV$48,$B$47:$IV$47=HP$97)),"" "")")," ")</f>
        <v> </v>
      </c>
      <c r="HQ85" s="48" t="str">
        <f>IFERROR(__xludf.DUMMYFUNCTION("IFERROR(TEXTJOIN(""/"",1,FILTER($B$48:$IV$48,$B$47:$IV$47=HQ$97)),"" "")")," ")</f>
        <v> </v>
      </c>
      <c r="HR85" s="48" t="str">
        <f>IFERROR(__xludf.DUMMYFUNCTION("IFERROR(TEXTJOIN(""/"",1,FILTER($B$48:$IV$48,$B$47:$IV$47=HR$97)),"" "")")," ")</f>
        <v> </v>
      </c>
      <c r="HS85" s="48" t="str">
        <f>IFERROR(__xludf.DUMMYFUNCTION("IFERROR(TEXTJOIN(""/"",1,FILTER($B$48:$IV$48,$B$47:$IV$47=HS$97)),"" "")")," ")</f>
        <v> </v>
      </c>
      <c r="HT85" s="48" t="str">
        <f>IFERROR(__xludf.DUMMYFUNCTION("IFERROR(TEXTJOIN(""/"",1,FILTER($B$48:$IV$48,$B$47:$IV$47=HT$97)),"" "")")," ")</f>
        <v> </v>
      </c>
      <c r="HU85" s="48" t="str">
        <f>IFERROR(__xludf.DUMMYFUNCTION("IFERROR(TEXTJOIN(""/"",1,FILTER($B$48:$IV$48,$B$47:$IV$47=HU$97)),"" "")")," ")</f>
        <v> </v>
      </c>
      <c r="HV85" s="48" t="str">
        <f>IFERROR(__xludf.DUMMYFUNCTION("IFERROR(TEXTJOIN(""/"",1,FILTER($B$48:$IV$48,$B$47:$IV$47=HV$97)),"" "")")," ")</f>
        <v> </v>
      </c>
      <c r="HW85" s="48" t="str">
        <f>IFERROR(__xludf.DUMMYFUNCTION("IFERROR(TEXTJOIN(""/"",1,FILTER($B$48:$IV$48,$B$47:$IV$47=HW$97)),"" "")")," ")</f>
        <v> </v>
      </c>
      <c r="HX85" s="48" t="str">
        <f>IFERROR(__xludf.DUMMYFUNCTION("IFERROR(TEXTJOIN(""/"",1,FILTER($B$48:$IV$48,$B$47:$IV$47=HX$97)),"" "")")," ")</f>
        <v> </v>
      </c>
      <c r="HY85" s="48" t="str">
        <f>IFERROR(__xludf.DUMMYFUNCTION("IFERROR(TEXTJOIN(""/"",1,FILTER($B$48:$IV$48,$B$47:$IV$47=HY$97)),"" "")")," ")</f>
        <v> </v>
      </c>
      <c r="HZ85" s="48" t="str">
        <f>IFERROR(__xludf.DUMMYFUNCTION("IFERROR(TEXTJOIN(""/"",1,FILTER($B$48:$IV$48,$B$47:$IV$47=HZ$97)),"" "")")," ")</f>
        <v> </v>
      </c>
      <c r="IA85" s="48" t="str">
        <f>IFERROR(__xludf.DUMMYFUNCTION("IFERROR(TEXTJOIN(""/"",1,FILTER($B$48:$IV$48,$B$47:$IV$47=IA$97)),"" "")")," ")</f>
        <v> </v>
      </c>
      <c r="IB85" s="48" t="str">
        <f>IFERROR(__xludf.DUMMYFUNCTION("IFERROR(TEXTJOIN(""/"",1,FILTER($B$48:$IV$48,$B$47:$IV$47=IB$97)),"" "")")," ")</f>
        <v> </v>
      </c>
      <c r="IC85" s="48" t="str">
        <f>IFERROR(__xludf.DUMMYFUNCTION("IFERROR(TEXTJOIN(""/"",1,FILTER($B$48:$IV$48,$B$47:$IV$47=IC$97)),"" "")")," ")</f>
        <v> </v>
      </c>
      <c r="ID85" s="48" t="str">
        <f>IFERROR(__xludf.DUMMYFUNCTION("IFERROR(TEXTJOIN(""/"",1,FILTER($B$48:$IV$48,$B$47:$IV$47=ID$97)),"" "")")," ")</f>
        <v> </v>
      </c>
      <c r="IE85" s="48" t="str">
        <f>IFERROR(__xludf.DUMMYFUNCTION("IFERROR(TEXTJOIN(""/"",1,FILTER($B$48:$IV$48,$B$47:$IV$47=IE$97)),"" "")")," ")</f>
        <v> </v>
      </c>
      <c r="IF85" s="48" t="str">
        <f>IFERROR(__xludf.DUMMYFUNCTION("IFERROR(TEXTJOIN(""/"",1,FILTER($B$48:$IV$48,$B$47:$IV$47=IF$97)),"" "")")," ")</f>
        <v> </v>
      </c>
      <c r="IG85" s="48" t="str">
        <f>IFERROR(__xludf.DUMMYFUNCTION("IFERROR(TEXTJOIN(""/"",1,FILTER($B$48:$IV$48,$B$47:$IV$47=IG$97)),"" "")")," ")</f>
        <v> </v>
      </c>
      <c r="IH85" s="48" t="str">
        <f>IFERROR(__xludf.DUMMYFUNCTION("IFERROR(TEXTJOIN(""/"",1,FILTER($B$48:$IV$48,$B$47:$IV$47=IH$97)),"" "")")," ")</f>
        <v> </v>
      </c>
      <c r="II85" s="48" t="str">
        <f>IFERROR(__xludf.DUMMYFUNCTION("IFERROR(TEXTJOIN(""/"",1,FILTER($B$48:$IV$48,$B$47:$IV$47=II$97)),"" "")")," ")</f>
        <v> </v>
      </c>
      <c r="IJ85" s="48" t="str">
        <f>IFERROR(__xludf.DUMMYFUNCTION("IFERROR(TEXTJOIN(""/"",1,FILTER($B$48:$IV$48,$B$47:$IV$47=IJ$97)),"" "")")," ")</f>
        <v> </v>
      </c>
      <c r="IK85" s="48" t="str">
        <f>IFERROR(__xludf.DUMMYFUNCTION("IFERROR(TEXTJOIN(""/"",1,FILTER($B$48:$IV$48,$B$47:$IV$47=IK$97)),"" "")")," ")</f>
        <v> </v>
      </c>
      <c r="IL85" s="48" t="str">
        <f>IFERROR(__xludf.DUMMYFUNCTION("IFERROR(TEXTJOIN(""/"",1,FILTER($B$48:$IV$48,$B$47:$IV$47=IL$97)),"" "")")," ")</f>
        <v> </v>
      </c>
      <c r="IM85" s="48" t="str">
        <f>IFERROR(__xludf.DUMMYFUNCTION("IFERROR(TEXTJOIN(""/"",1,FILTER($B$48:$IV$48,$B$47:$IV$47=IM$97)),"" "")")," ")</f>
        <v> </v>
      </c>
      <c r="IN85" s="48" t="str">
        <f>IFERROR(__xludf.DUMMYFUNCTION("IFERROR(TEXTJOIN(""/"",1,FILTER($B$48:$IV$48,$B$47:$IV$47=IN$97)),"" "")")," ")</f>
        <v> </v>
      </c>
      <c r="IO85" s="48" t="str">
        <f>IFERROR(__xludf.DUMMYFUNCTION("IFERROR(TEXTJOIN(""/"",1,FILTER($B$48:$IV$48,$B$47:$IV$47=IO$97)),"" "")")," ")</f>
        <v> </v>
      </c>
      <c r="IP85" s="48" t="str">
        <f>IFERROR(__xludf.DUMMYFUNCTION("IFERROR(TEXTJOIN(""/"",1,FILTER($B$48:$IV$48,$B$47:$IV$47=IP$97)),"" "")")," ")</f>
        <v> </v>
      </c>
      <c r="IQ85" s="48" t="str">
        <f>IFERROR(__xludf.DUMMYFUNCTION("IFERROR(TEXTJOIN(""/"",1,FILTER($B$48:$IV$48,$B$47:$IV$47=IQ$97)),"" "")")," ")</f>
        <v> </v>
      </c>
      <c r="IR85" s="48" t="str">
        <f>IFERROR(__xludf.DUMMYFUNCTION("IFERROR(TEXTJOIN(""/"",1,FILTER($B$48:$IV$48,$B$47:$IV$47=IR$97)),"" "")")," ")</f>
        <v> </v>
      </c>
      <c r="IS85" s="48" t="str">
        <f>IFERROR(__xludf.DUMMYFUNCTION("IFERROR(TEXTJOIN(""/"",1,FILTER($B$48:$IV$48,$B$47:$IV$47=IS$97)),"" "")")," ")</f>
        <v> </v>
      </c>
      <c r="IT85" s="48" t="str">
        <f>IFERROR(__xludf.DUMMYFUNCTION("IFERROR(TEXTJOIN(""/"",1,FILTER($B$48:$IV$48,$B$47:$IV$47=IT$97)),"" "")")," ")</f>
        <v> </v>
      </c>
      <c r="IU85" s="48" t="str">
        <f>IFERROR(__xludf.DUMMYFUNCTION("IFERROR(TEXTJOIN(""/"",1,FILTER($B$48:$IV$48,$B$47:$IV$47=IU$97)),"" "")")," ")</f>
        <v> </v>
      </c>
      <c r="IV85" s="48" t="str">
        <f>IFERROR(__xludf.DUMMYFUNCTION("IFERROR(TEXTJOIN(""/"",1,FILTER($B$48:$IV$48,$B$47:$IV$47=IV$97)),"" "")")," ")</f>
        <v> </v>
      </c>
      <c r="IW85" s="48" t="str">
        <f>IFERROR(__xludf.DUMMYFUNCTION("IFERROR(TEXTJOIN(""/"",1,FILTER($B$48:$IV$48,$B$47:$IV$47=IW$97)),"" "")")," ")</f>
        <v> </v>
      </c>
      <c r="IX85" s="48" t="str">
        <f>IFERROR(__xludf.DUMMYFUNCTION("IFERROR(TEXTJOIN(""/"",1,FILTER($B$48:$IV$48,$B$47:$IV$47=IX$97)),"" "")")," ")</f>
        <v> </v>
      </c>
      <c r="IY85" s="48" t="str">
        <f>IFERROR(__xludf.DUMMYFUNCTION("IFERROR(TEXTJOIN(""/"",1,FILTER($B$48:$IV$48,$B$47:$IV$47=IY$97)),"" "")")," ")</f>
        <v> </v>
      </c>
      <c r="IZ85" s="48" t="str">
        <f>IFERROR(__xludf.DUMMYFUNCTION("IFERROR(TEXTJOIN(""/"",1,FILTER($B$48:$IV$48,$B$47:$IV$47=IZ$97)),"" "")")," ")</f>
        <v> </v>
      </c>
      <c r="JA85" s="48" t="str">
        <f>IFERROR(__xludf.DUMMYFUNCTION("IFERROR(TEXTJOIN(""/"",1,FILTER($B$48:$IV$48,$B$47:$IV$47=JA$97)),"" "")")," ")</f>
        <v> </v>
      </c>
      <c r="JB85" s="48" t="str">
        <f>IFERROR(__xludf.DUMMYFUNCTION("IFERROR(TEXTJOIN(""/"",1,FILTER($B$48:$IV$48,$B$47:$IV$47=JB$97)),"" "")")," ")</f>
        <v> </v>
      </c>
      <c r="JC85" s="48" t="str">
        <f>IFERROR(__xludf.DUMMYFUNCTION("IFERROR(TEXTJOIN(""/"",1,FILTER($B$48:$IV$48,$B$47:$IV$47=JC$97)),"" "")")," ")</f>
        <v> </v>
      </c>
      <c r="JD85" s="48" t="str">
        <f>IFERROR(__xludf.DUMMYFUNCTION("IFERROR(TEXTJOIN(""/"",1,FILTER($B$48:$IV$48,$B$47:$IV$47=JD$97)),"" "")")," ")</f>
        <v> </v>
      </c>
      <c r="JE85" s="48" t="str">
        <f>IFERROR(__xludf.DUMMYFUNCTION("IFERROR(TEXTJOIN(""/"",1,FILTER($B$48:$IV$48,$B$47:$IV$47=JE$97)),"" "")")," ")</f>
        <v> </v>
      </c>
    </row>
    <row r="86">
      <c r="A86" s="51"/>
      <c r="B86" s="48" t="str">
        <f>IFERROR(__xludf.DUMMYFUNCTION("IFERROR(TEXTJOIN(""/"",1,FILTER($B$51:$IV$51,$B$50:$IV$50=B$97)),"" "")")," ")</f>
        <v> </v>
      </c>
      <c r="C86" s="48" t="str">
        <f>IFERROR(__xludf.DUMMYFUNCTION("IFERROR(TEXTJOIN(""/"",1,FILTER($B$51:$IV$51,$B$50:$IV$50=C$97)),"" "")")," ")</f>
        <v> </v>
      </c>
      <c r="D86" s="48" t="str">
        <f>IFERROR(__xludf.DUMMYFUNCTION("IFERROR(TEXTJOIN(""/"",1,FILTER($B$51:$IV$51,$B$50:$IV$50=D$97)),"" "")")," ")</f>
        <v> </v>
      </c>
      <c r="E86" s="48" t="str">
        <f>IFERROR(__xludf.DUMMYFUNCTION("IFERROR(TEXTJOIN(""/"",1,FILTER($B$51:$IV$51,$B$50:$IV$50=E$97)),"" "")")," ")</f>
        <v> </v>
      </c>
      <c r="F86" s="48" t="str">
        <f>IFERROR(__xludf.DUMMYFUNCTION("IFERROR(TEXTJOIN(""/"",1,FILTER($B$51:$IV$51,$B$50:$IV$50=F$97)),"" "")")," ")</f>
        <v> </v>
      </c>
      <c r="G86" s="48" t="str">
        <f>IFERROR(__xludf.DUMMYFUNCTION("IFERROR(TEXTJOIN(""/"",1,FILTER($B$51:$IV$51,$B$50:$IV$50=G$97)),"" "")")," ")</f>
        <v> </v>
      </c>
      <c r="H86" s="48" t="str">
        <f>IFERROR(__xludf.DUMMYFUNCTION("IFERROR(TEXTJOIN(""/"",1,FILTER($B$51:$IV$51,$B$50:$IV$50=H$97)),"" "")")," ")</f>
        <v> </v>
      </c>
      <c r="I86" s="48" t="str">
        <f>IFERROR(__xludf.DUMMYFUNCTION("IFERROR(TEXTJOIN(""/"",1,FILTER($B$51:$IV$51,$B$50:$IV$50=I$97)),"" "")")," ")</f>
        <v> </v>
      </c>
      <c r="J86" s="48" t="str">
        <f>IFERROR(__xludf.DUMMYFUNCTION("IFERROR(TEXTJOIN(""/"",1,FILTER($B$51:$IV$51,$B$50:$IV$50=J$97)),"" "")")," ")</f>
        <v> </v>
      </c>
      <c r="K86" s="48" t="str">
        <f>IFERROR(__xludf.DUMMYFUNCTION("IFERROR(TEXTJOIN(""/"",1,FILTER($B$51:$IV$51,$B$50:$IV$50=K$97)),"" "")")," ")</f>
        <v> </v>
      </c>
      <c r="L86" s="48" t="str">
        <f>IFERROR(__xludf.DUMMYFUNCTION("IFERROR(TEXTJOIN(""/"",1,FILTER($B$51:$IV$51,$B$50:$IV$50=L$97)),"" "")")," ")</f>
        <v> </v>
      </c>
      <c r="M86" s="48" t="str">
        <f>IFERROR(__xludf.DUMMYFUNCTION("IFERROR(TEXTJOIN(""/"",1,FILTER($B$51:$IV$51,$B$50:$IV$50=M$97)),"" "")")," ")</f>
        <v> </v>
      </c>
      <c r="N86" s="48" t="str">
        <f>IFERROR(__xludf.DUMMYFUNCTION("IFERROR(TEXTJOIN(""/"",1,FILTER($B$51:$IV$51,$B$50:$IV$50=N$97)),"" "")")," ")</f>
        <v> </v>
      </c>
      <c r="O86" s="48" t="str">
        <f>IFERROR(__xludf.DUMMYFUNCTION("IFERROR(TEXTJOIN(""/"",1,FILTER($B$51:$IV$51,$B$50:$IV$50=O$97)),"" "")")," ")</f>
        <v> </v>
      </c>
      <c r="P86" s="48" t="str">
        <f>IFERROR(__xludf.DUMMYFUNCTION("IFERROR(TEXTJOIN(""/"",1,FILTER($B$51:$IV$51,$B$50:$IV$50=P$97)),"" "")")," ")</f>
        <v> </v>
      </c>
      <c r="Q86" s="48" t="str">
        <f>IFERROR(__xludf.DUMMYFUNCTION("IFERROR(TEXTJOIN(""/"",1,FILTER($B$51:$IV$51,$B$50:$IV$50=Q$97)),"" "")")," ")</f>
        <v> </v>
      </c>
      <c r="R86" s="48" t="str">
        <f>IFERROR(__xludf.DUMMYFUNCTION("IFERROR(TEXTJOIN(""/"",1,FILTER($B$51:$IV$51,$B$50:$IV$50=R$97)),"" "")")," ")</f>
        <v> </v>
      </c>
      <c r="S86" s="48" t="str">
        <f>IFERROR(__xludf.DUMMYFUNCTION("IFERROR(TEXTJOIN(""/"",1,FILTER($B$51:$IV$51,$B$50:$IV$50=S$97)),"" "")")," ")</f>
        <v> </v>
      </c>
      <c r="T86" s="48" t="str">
        <f>IFERROR(__xludf.DUMMYFUNCTION("IFERROR(TEXTJOIN(""/"",1,FILTER($B$51:$IV$51,$B$50:$IV$50=T$97)),"" "")")," ")</f>
        <v> </v>
      </c>
      <c r="U86" s="48" t="str">
        <f>IFERROR(__xludf.DUMMYFUNCTION("IFERROR(TEXTJOIN(""/"",1,FILTER($B$51:$IV$51,$B$50:$IV$50=U$97)),"" "")")," ")</f>
        <v> </v>
      </c>
      <c r="V86" s="48" t="str">
        <f>IFERROR(__xludf.DUMMYFUNCTION("IFERROR(TEXTJOIN(""/"",1,FILTER($B$51:$IV$51,$B$50:$IV$50=V$97)),"" "")")," ")</f>
        <v> </v>
      </c>
      <c r="W86" s="48" t="str">
        <f>IFERROR(__xludf.DUMMYFUNCTION("IFERROR(TEXTJOIN(""/"",1,FILTER($B$51:$IV$51,$B$50:$IV$50=W$97)),"" "")")," ")</f>
        <v> </v>
      </c>
      <c r="X86" s="48" t="str">
        <f>IFERROR(__xludf.DUMMYFUNCTION("IFERROR(TEXTJOIN(""/"",1,FILTER($B$51:$IV$51,$B$50:$IV$50=X$97)),"" "")")," ")</f>
        <v> </v>
      </c>
      <c r="Y86" s="48" t="str">
        <f>IFERROR(__xludf.DUMMYFUNCTION("IFERROR(TEXTJOIN(""/"",1,FILTER($B$51:$IV$51,$B$50:$IV$50=Y$97)),"" "")")," ")</f>
        <v> </v>
      </c>
      <c r="Z86" s="48" t="str">
        <f>IFERROR(__xludf.DUMMYFUNCTION("IFERROR(TEXTJOIN(""/"",1,FILTER($B$51:$IV$51,$B$50:$IV$50=Z$97)),"" "")")," ")</f>
        <v> </v>
      </c>
      <c r="AA86" s="48" t="str">
        <f>IFERROR(__xludf.DUMMYFUNCTION("IFERROR(TEXTJOIN(""/"",1,FILTER($B$51:$IV$51,$B$50:$IV$50=AA$97)),"" "")")," ")</f>
        <v> </v>
      </c>
      <c r="AB86" s="48" t="str">
        <f>IFERROR(__xludf.DUMMYFUNCTION("IFERROR(TEXTJOIN(""/"",1,FILTER($B$51:$IV$51,$B$50:$IV$50=AB$97)),"" "")")," ")</f>
        <v> </v>
      </c>
      <c r="AC86" s="48" t="str">
        <f>IFERROR(__xludf.DUMMYFUNCTION("IFERROR(TEXTJOIN(""/"",1,FILTER($B$51:$IV$51,$B$50:$IV$50=AC$97)),"" "")")," ")</f>
        <v> </v>
      </c>
      <c r="AD86" s="48" t="str">
        <f>IFERROR(__xludf.DUMMYFUNCTION("IFERROR(TEXTJOIN(""/"",1,FILTER($B$51:$IV$51,$B$50:$IV$50=AD$97)),"" "")")," ")</f>
        <v> </v>
      </c>
      <c r="AE86" s="48" t="str">
        <f>IFERROR(__xludf.DUMMYFUNCTION("IFERROR(TEXTJOIN(""/"",1,FILTER($B$51:$IV$51,$B$50:$IV$50=AE$97)),"" "")")," ")</f>
        <v> </v>
      </c>
      <c r="AF86" s="48" t="str">
        <f>IFERROR(__xludf.DUMMYFUNCTION("IFERROR(TEXTJOIN(""/"",1,FILTER($B$51:$IV$51,$B$50:$IV$50=AF$97)),"" "")")," ")</f>
        <v> </v>
      </c>
      <c r="AG86" s="48" t="str">
        <f>IFERROR(__xludf.DUMMYFUNCTION("IFERROR(TEXTJOIN(""/"",1,FILTER($B$51:$IV$51,$B$50:$IV$50=AG$97)),"" "")")," ")</f>
        <v> </v>
      </c>
      <c r="AH86" s="48" t="str">
        <f>IFERROR(__xludf.DUMMYFUNCTION("IFERROR(TEXTJOIN(""/"",1,FILTER($B$51:$IV$51,$B$50:$IV$50=AH$97)),"" "")")," ")</f>
        <v> </v>
      </c>
      <c r="AI86" s="48" t="str">
        <f>IFERROR(__xludf.DUMMYFUNCTION("IFERROR(TEXTJOIN(""/"",1,FILTER($B$51:$IV$51,$B$50:$IV$50=AI$97)),"" "")")," ")</f>
        <v> </v>
      </c>
      <c r="AJ86" s="48" t="str">
        <f>IFERROR(__xludf.DUMMYFUNCTION("IFERROR(TEXTJOIN(""/"",1,FILTER($B$51:$IV$51,$B$50:$IV$50=AJ$97)),"" "")")," ")</f>
        <v> </v>
      </c>
      <c r="AK86" s="48" t="str">
        <f>IFERROR(__xludf.DUMMYFUNCTION("IFERROR(TEXTJOIN(""/"",1,FILTER($B$51:$IV$51,$B$50:$IV$50=AK$97)),"" "")")," ")</f>
        <v> </v>
      </c>
      <c r="AL86" s="48" t="str">
        <f>IFERROR(__xludf.DUMMYFUNCTION("IFERROR(TEXTJOIN(""/"",1,FILTER($B$51:$IV$51,$B$50:$IV$50=AL$97)),"" "")")," ")</f>
        <v> </v>
      </c>
      <c r="AM86" s="48" t="str">
        <f>IFERROR(__xludf.DUMMYFUNCTION("IFERROR(TEXTJOIN(""/"",1,FILTER($B$51:$IV$51,$B$50:$IV$50=AM$97)),"" "")")," ")</f>
        <v> </v>
      </c>
      <c r="AN86" s="48" t="str">
        <f>IFERROR(__xludf.DUMMYFUNCTION("IFERROR(TEXTJOIN(""/"",1,FILTER($B$51:$IV$51,$B$50:$IV$50=AN$97)),"" "")")," ")</f>
        <v> </v>
      </c>
      <c r="AO86" s="48" t="str">
        <f>IFERROR(__xludf.DUMMYFUNCTION("IFERROR(TEXTJOIN(""/"",1,FILTER($B$51:$IV$51,$B$50:$IV$50=AO$97)),"" "")")," ")</f>
        <v> </v>
      </c>
      <c r="AP86" s="48" t="str">
        <f>IFERROR(__xludf.DUMMYFUNCTION("IFERROR(TEXTJOIN(""/"",1,FILTER($B$51:$IV$51,$B$50:$IV$50=AP$97)),"" "")")," ")</f>
        <v> </v>
      </c>
      <c r="AQ86" s="48" t="str">
        <f>IFERROR(__xludf.DUMMYFUNCTION("IFERROR(TEXTJOIN(""/"",1,FILTER($B$51:$IV$51,$B$50:$IV$50=AQ$97)),"" "")")," ")</f>
        <v> </v>
      </c>
      <c r="AR86" s="48" t="str">
        <f>IFERROR(__xludf.DUMMYFUNCTION("IFERROR(TEXTJOIN(""/"",1,FILTER($B$51:$IV$51,$B$50:$IV$50=AR$97)),"" "")")," ")</f>
        <v> </v>
      </c>
      <c r="AS86" s="48" t="str">
        <f>IFERROR(__xludf.DUMMYFUNCTION("IFERROR(TEXTJOIN(""/"",1,FILTER($B$51:$IV$51,$B$50:$IV$50=AS$97)),"" "")")," ")</f>
        <v> </v>
      </c>
      <c r="AT86" s="48" t="str">
        <f>IFERROR(__xludf.DUMMYFUNCTION("IFERROR(TEXTJOIN(""/"",1,FILTER($B$51:$IV$51,$B$50:$IV$50=AT$97)),"" "")")," ")</f>
        <v> </v>
      </c>
      <c r="AU86" s="48" t="str">
        <f>IFERROR(__xludf.DUMMYFUNCTION("IFERROR(TEXTJOIN(""/"",1,FILTER($B$51:$IV$51,$B$50:$IV$50=AU$97)),"" "")")," ")</f>
        <v> </v>
      </c>
      <c r="AV86" s="48" t="str">
        <f>IFERROR(__xludf.DUMMYFUNCTION("IFERROR(TEXTJOIN(""/"",1,FILTER($B$51:$IV$51,$B$50:$IV$50=AV$97)),"" "")")," ")</f>
        <v> </v>
      </c>
      <c r="AW86" s="48" t="str">
        <f>IFERROR(__xludf.DUMMYFUNCTION("IFERROR(TEXTJOIN(""/"",1,FILTER($B$51:$IV$51,$B$50:$IV$50=AW$97)),"" "")")," ")</f>
        <v> </v>
      </c>
      <c r="AX86" s="48" t="str">
        <f>IFERROR(__xludf.DUMMYFUNCTION("IFERROR(TEXTJOIN(""/"",1,FILTER($B$51:$IV$51,$B$50:$IV$50=AX$97)),"" "")")," ")</f>
        <v> </v>
      </c>
      <c r="AY86" s="48" t="str">
        <f>IFERROR(__xludf.DUMMYFUNCTION("IFERROR(TEXTJOIN(""/"",1,FILTER($B$51:$IV$51,$B$50:$IV$50=AY$97)),"" "")")," ")</f>
        <v> </v>
      </c>
      <c r="AZ86" s="48" t="str">
        <f>IFERROR(__xludf.DUMMYFUNCTION("IFERROR(TEXTJOIN(""/"",1,FILTER($B$51:$IV$51,$B$50:$IV$50=AZ$97)),"" "")")," ")</f>
        <v> </v>
      </c>
      <c r="BA86" s="48" t="str">
        <f>IFERROR(__xludf.DUMMYFUNCTION("IFERROR(TEXTJOIN(""/"",1,FILTER($B$51:$IV$51,$B$50:$IV$50=BA$97)),"" "")")," ")</f>
        <v> </v>
      </c>
      <c r="BB86" s="48" t="str">
        <f>IFERROR(__xludf.DUMMYFUNCTION("IFERROR(TEXTJOIN(""/"",1,FILTER($B$51:$IV$51,$B$50:$IV$50=BB$97)),"" "")")," ")</f>
        <v> </v>
      </c>
      <c r="BC86" s="48" t="str">
        <f>IFERROR(__xludf.DUMMYFUNCTION("IFERROR(TEXTJOIN(""/"",1,FILTER($B$51:$IV$51,$B$50:$IV$50=BC$97)),"" "")")," ")</f>
        <v> </v>
      </c>
      <c r="BD86" s="48" t="str">
        <f>IFERROR(__xludf.DUMMYFUNCTION("IFERROR(TEXTJOIN(""/"",1,FILTER($B$51:$IV$51,$B$50:$IV$50=BD$97)),"" "")")," ")</f>
        <v> </v>
      </c>
      <c r="BE86" s="48" t="str">
        <f>IFERROR(__xludf.DUMMYFUNCTION("IFERROR(TEXTJOIN(""/"",1,FILTER($B$51:$IV$51,$B$50:$IV$50=BE$97)),"" "")")," ")</f>
        <v> </v>
      </c>
      <c r="BF86" s="48" t="str">
        <f>IFERROR(__xludf.DUMMYFUNCTION("IFERROR(TEXTJOIN(""/"",1,FILTER($B$51:$IV$51,$B$50:$IV$50=BF$97)),"" "")")," ")</f>
        <v> </v>
      </c>
      <c r="BG86" s="48" t="str">
        <f>IFERROR(__xludf.DUMMYFUNCTION("IFERROR(TEXTJOIN(""/"",1,FILTER($B$51:$IV$51,$B$50:$IV$50=BG$97)),"" "")")," ")</f>
        <v> </v>
      </c>
      <c r="BH86" s="48" t="str">
        <f>IFERROR(__xludf.DUMMYFUNCTION("IFERROR(TEXTJOIN(""/"",1,FILTER($B$51:$IV$51,$B$50:$IV$50=BH$97)),"" "")")," ")</f>
        <v> </v>
      </c>
      <c r="BI86" s="48" t="str">
        <f>IFERROR(__xludf.DUMMYFUNCTION("IFERROR(TEXTJOIN(""/"",1,FILTER($B$51:$IV$51,$B$50:$IV$50=BI$97)),"" "")")," ")</f>
        <v> </v>
      </c>
      <c r="BJ86" s="48" t="str">
        <f>IFERROR(__xludf.DUMMYFUNCTION("IFERROR(TEXTJOIN(""/"",1,FILTER($B$51:$IV$51,$B$50:$IV$50=BJ$97)),"" "")")," ")</f>
        <v> </v>
      </c>
      <c r="BK86" s="48" t="str">
        <f>IFERROR(__xludf.DUMMYFUNCTION("IFERROR(TEXTJOIN(""/"",1,FILTER($B$51:$IV$51,$B$50:$IV$50=BK$97)),"" "")")," ")</f>
        <v> </v>
      </c>
      <c r="BL86" s="48" t="str">
        <f>IFERROR(__xludf.DUMMYFUNCTION("IFERROR(TEXTJOIN(""/"",1,FILTER($B$51:$IV$51,$B$50:$IV$50=BL$97)),"" "")")," ")</f>
        <v> </v>
      </c>
      <c r="BM86" s="48" t="str">
        <f>IFERROR(__xludf.DUMMYFUNCTION("IFERROR(TEXTJOIN(""/"",1,FILTER($B$51:$IV$51,$B$50:$IV$50=BM$97)),"" "")")," ")</f>
        <v> </v>
      </c>
      <c r="BN86" s="48" t="str">
        <f>IFERROR(__xludf.DUMMYFUNCTION("IFERROR(TEXTJOIN(""/"",1,FILTER($B$51:$IV$51,$B$50:$IV$50=BN$97)),"" "")")," ")</f>
        <v> </v>
      </c>
      <c r="BO86" s="48" t="str">
        <f>IFERROR(__xludf.DUMMYFUNCTION("IFERROR(TEXTJOIN(""/"",1,FILTER($B$51:$IV$51,$B$50:$IV$50=BO$97)),"" "")")," ")</f>
        <v> </v>
      </c>
      <c r="BP86" s="48" t="str">
        <f>IFERROR(__xludf.DUMMYFUNCTION("IFERROR(TEXTJOIN(""/"",1,FILTER($B$51:$IV$51,$B$50:$IV$50=BP$97)),"" "")")," ")</f>
        <v> </v>
      </c>
      <c r="BQ86" s="48" t="str">
        <f>IFERROR(__xludf.DUMMYFUNCTION("IFERROR(TEXTJOIN(""/"",1,FILTER($B$51:$IV$51,$B$50:$IV$50=BQ$97)),"" "")")," ")</f>
        <v> </v>
      </c>
      <c r="BR86" s="48" t="str">
        <f>IFERROR(__xludf.DUMMYFUNCTION("IFERROR(TEXTJOIN(""/"",1,FILTER($B$51:$IV$51,$B$50:$IV$50=BR$97)),"" "")")," ")</f>
        <v> </v>
      </c>
      <c r="BS86" s="48" t="str">
        <f>IFERROR(__xludf.DUMMYFUNCTION("IFERROR(TEXTJOIN(""/"",1,FILTER($B$51:$IV$51,$B$50:$IV$50=BS$97)),"" "")")," ")</f>
        <v> </v>
      </c>
      <c r="BT86" s="48" t="str">
        <f>IFERROR(__xludf.DUMMYFUNCTION("IFERROR(TEXTJOIN(""/"",1,FILTER($B$51:$IV$51,$B$50:$IV$50=BT$97)),"" "")")," ")</f>
        <v> </v>
      </c>
      <c r="BU86" s="48" t="str">
        <f>IFERROR(__xludf.DUMMYFUNCTION("IFERROR(TEXTJOIN(""/"",1,FILTER($B$51:$IV$51,$B$50:$IV$50=BU$97)),"" "")")," ")</f>
        <v> </v>
      </c>
      <c r="BV86" s="48" t="str">
        <f>IFERROR(__xludf.DUMMYFUNCTION("IFERROR(TEXTJOIN(""/"",1,FILTER($B$51:$IV$51,$B$50:$IV$50=BV$97)),"" "")")," ")</f>
        <v> </v>
      </c>
      <c r="BW86" s="48" t="str">
        <f>IFERROR(__xludf.DUMMYFUNCTION("IFERROR(TEXTJOIN(""/"",1,FILTER($B$51:$IV$51,$B$50:$IV$50=BW$97)),"" "")")," ")</f>
        <v> </v>
      </c>
      <c r="BX86" s="48" t="str">
        <f>IFERROR(__xludf.DUMMYFUNCTION("IFERROR(TEXTJOIN(""/"",1,FILTER($B$51:$IV$51,$B$50:$IV$50=BX$97)),"" "")")," ")</f>
        <v> </v>
      </c>
      <c r="BY86" s="48" t="str">
        <f>IFERROR(__xludf.DUMMYFUNCTION("IFERROR(TEXTJOIN(""/"",1,FILTER($B$51:$IV$51,$B$50:$IV$50=BY$97)),"" "")")," ")</f>
        <v> </v>
      </c>
      <c r="BZ86" s="48" t="str">
        <f>IFERROR(__xludf.DUMMYFUNCTION("IFERROR(TEXTJOIN(""/"",1,FILTER($B$51:$IV$51,$B$50:$IV$50=BZ$97)),"" "")")," ")</f>
        <v> </v>
      </c>
      <c r="CA86" s="48" t="str">
        <f>IFERROR(__xludf.DUMMYFUNCTION("IFERROR(TEXTJOIN(""/"",1,FILTER($B$51:$IV$51,$B$50:$IV$50=CA$97)),"" "")")," ")</f>
        <v> </v>
      </c>
      <c r="CB86" s="48" t="str">
        <f>IFERROR(__xludf.DUMMYFUNCTION("IFERROR(TEXTJOIN(""/"",1,FILTER($B$51:$IV$51,$B$50:$IV$50=CB$97)),"" "")")," ")</f>
        <v> </v>
      </c>
      <c r="CC86" s="48" t="str">
        <f>IFERROR(__xludf.DUMMYFUNCTION("IFERROR(TEXTJOIN(""/"",1,FILTER($B$51:$IV$51,$B$50:$IV$50=CC$97)),"" "")")," ")</f>
        <v> </v>
      </c>
      <c r="CD86" s="48" t="str">
        <f>IFERROR(__xludf.DUMMYFUNCTION("IFERROR(TEXTJOIN(""/"",1,FILTER($B$51:$IV$51,$B$50:$IV$50=CD$97)),"" "")")," ")</f>
        <v> </v>
      </c>
      <c r="CE86" s="48" t="str">
        <f>IFERROR(__xludf.DUMMYFUNCTION("IFERROR(TEXTJOIN(""/"",1,FILTER($B$51:$IV$51,$B$50:$IV$50=CE$97)),"" "")")," ")</f>
        <v> </v>
      </c>
      <c r="CF86" s="48" t="str">
        <f>IFERROR(__xludf.DUMMYFUNCTION("IFERROR(TEXTJOIN(""/"",1,FILTER($B$51:$IV$51,$B$50:$IV$50=CF$97)),"" "")")," ")</f>
        <v> </v>
      </c>
      <c r="CG86" s="48" t="str">
        <f>IFERROR(__xludf.DUMMYFUNCTION("IFERROR(TEXTJOIN(""/"",1,FILTER($B$51:$IV$51,$B$50:$IV$50=CG$97)),"" "")")," ")</f>
        <v> </v>
      </c>
      <c r="CH86" s="48" t="str">
        <f>IFERROR(__xludf.DUMMYFUNCTION("IFERROR(TEXTJOIN(""/"",1,FILTER($B$51:$IV$51,$B$50:$IV$50=CH$97)),"" "")")," ")</f>
        <v> </v>
      </c>
      <c r="CI86" s="48" t="str">
        <f>IFERROR(__xludf.DUMMYFUNCTION("IFERROR(TEXTJOIN(""/"",1,FILTER($B$51:$IV$51,$B$50:$IV$50=CI$97)),"" "")")," ")</f>
        <v> </v>
      </c>
      <c r="CJ86" s="48" t="str">
        <f>IFERROR(__xludf.DUMMYFUNCTION("IFERROR(TEXTJOIN(""/"",1,FILTER($B$51:$IV$51,$B$50:$IV$50=CJ$97)),"" "")")," ")</f>
        <v> </v>
      </c>
      <c r="CK86" s="48" t="str">
        <f>IFERROR(__xludf.DUMMYFUNCTION("IFERROR(TEXTJOIN(""/"",1,FILTER($B$51:$IV$51,$B$50:$IV$50=CK$97)),"" "")")," ")</f>
        <v> </v>
      </c>
      <c r="CL86" s="48" t="str">
        <f>IFERROR(__xludf.DUMMYFUNCTION("IFERROR(TEXTJOIN(""/"",1,FILTER($B$51:$IV$51,$B$50:$IV$50=CL$97)),"" "")")," ")</f>
        <v> </v>
      </c>
      <c r="CM86" s="48" t="str">
        <f>IFERROR(__xludf.DUMMYFUNCTION("IFERROR(TEXTJOIN(""/"",1,FILTER($B$51:$IV$51,$B$50:$IV$50=CM$97)),"" "")")," ")</f>
        <v> </v>
      </c>
      <c r="CN86" s="48" t="str">
        <f>IFERROR(__xludf.DUMMYFUNCTION("IFERROR(TEXTJOIN(""/"",1,FILTER($B$51:$IV$51,$B$50:$IV$50=CN$97)),"" "")")," ")</f>
        <v> </v>
      </c>
      <c r="CO86" s="48" t="str">
        <f>IFERROR(__xludf.DUMMYFUNCTION("IFERROR(TEXTJOIN(""/"",1,FILTER($B$51:$IV$51,$B$50:$IV$50=CO$97)),"" "")")," ")</f>
        <v> </v>
      </c>
      <c r="CP86" s="48" t="str">
        <f>IFERROR(__xludf.DUMMYFUNCTION("IFERROR(TEXTJOIN(""/"",1,FILTER($B$51:$IV$51,$B$50:$IV$50=CP$97)),"" "")")," ")</f>
        <v> </v>
      </c>
      <c r="CQ86" s="48" t="str">
        <f>IFERROR(__xludf.DUMMYFUNCTION("IFERROR(TEXTJOIN(""/"",1,FILTER($B$51:$IV$51,$B$50:$IV$50=CQ$97)),"" "")")," ")</f>
        <v> </v>
      </c>
      <c r="CR86" s="48" t="str">
        <f>IFERROR(__xludf.DUMMYFUNCTION("IFERROR(TEXTJOIN(""/"",1,FILTER($B$51:$IV$51,$B$50:$IV$50=CR$97)),"" "")")," ")</f>
        <v> </v>
      </c>
      <c r="CS86" s="48" t="str">
        <f>IFERROR(__xludf.DUMMYFUNCTION("IFERROR(TEXTJOIN(""/"",1,FILTER($B$51:$IV$51,$B$50:$IV$50=CS$97)),"" "")")," ")</f>
        <v> </v>
      </c>
      <c r="CT86" s="48" t="str">
        <f>IFERROR(__xludf.DUMMYFUNCTION("IFERROR(TEXTJOIN(""/"",1,FILTER($B$51:$IV$51,$B$50:$IV$50=CT$97)),"" "")")," ")</f>
        <v> </v>
      </c>
      <c r="CU86" s="48" t="str">
        <f>IFERROR(__xludf.DUMMYFUNCTION("IFERROR(TEXTJOIN(""/"",1,FILTER($B$51:$IV$51,$B$50:$IV$50=CU$97)),"" "")")," ")</f>
        <v> </v>
      </c>
      <c r="CV86" s="48" t="str">
        <f>IFERROR(__xludf.DUMMYFUNCTION("IFERROR(TEXTJOIN(""/"",1,FILTER($B$51:$IV$51,$B$50:$IV$50=CV$97)),"" "")")," ")</f>
        <v> </v>
      </c>
      <c r="CW86" s="48" t="str">
        <f>IFERROR(__xludf.DUMMYFUNCTION("IFERROR(TEXTJOIN(""/"",1,FILTER($B$51:$IV$51,$B$50:$IV$50=CW$97)),"" "")")," ")</f>
        <v> </v>
      </c>
      <c r="CX86" s="48" t="str">
        <f>IFERROR(__xludf.DUMMYFUNCTION("IFERROR(TEXTJOIN(""/"",1,FILTER($B$51:$IV$51,$B$50:$IV$50=CX$97)),"" "")")," ")</f>
        <v> </v>
      </c>
      <c r="CY86" s="48" t="str">
        <f>IFERROR(__xludf.DUMMYFUNCTION("IFERROR(TEXTJOIN(""/"",1,FILTER($B$51:$IV$51,$B$50:$IV$50=CY$97)),"" "")")," ")</f>
        <v> </v>
      </c>
      <c r="CZ86" s="48" t="str">
        <f>IFERROR(__xludf.DUMMYFUNCTION("IFERROR(TEXTJOIN(""/"",1,FILTER($B$51:$IV$51,$B$50:$IV$50=CZ$97)),"" "")")," ")</f>
        <v> </v>
      </c>
      <c r="DA86" s="48" t="str">
        <f>IFERROR(__xludf.DUMMYFUNCTION("IFERROR(TEXTJOIN(""/"",1,FILTER($B$51:$IV$51,$B$50:$IV$50=DA$97)),"" "")")," ")</f>
        <v> </v>
      </c>
      <c r="DB86" s="48" t="str">
        <f>IFERROR(__xludf.DUMMYFUNCTION("IFERROR(TEXTJOIN(""/"",1,FILTER($B$51:$IV$51,$B$50:$IV$50=DB$97)),"" "")")," ")</f>
        <v> </v>
      </c>
      <c r="DC86" s="48" t="str">
        <f>IFERROR(__xludf.DUMMYFUNCTION("IFERROR(TEXTJOIN(""/"",1,FILTER($B$51:$IV$51,$B$50:$IV$50=DC$97)),"" "")")," ")</f>
        <v> </v>
      </c>
      <c r="DD86" s="48" t="str">
        <f>IFERROR(__xludf.DUMMYFUNCTION("IFERROR(TEXTJOIN(""/"",1,FILTER($B$51:$IV$51,$B$50:$IV$50=DD$97)),"" "")")," ")</f>
        <v> </v>
      </c>
      <c r="DE86" s="48" t="str">
        <f>IFERROR(__xludf.DUMMYFUNCTION("IFERROR(TEXTJOIN(""/"",1,FILTER($B$51:$IV$51,$B$50:$IV$50=DE$97)),"" "")")," ")</f>
        <v> </v>
      </c>
      <c r="DF86" s="48" t="str">
        <f>IFERROR(__xludf.DUMMYFUNCTION("IFERROR(TEXTJOIN(""/"",1,FILTER($B$51:$IV$51,$B$50:$IV$50=DF$97)),"" "")")," ")</f>
        <v> </v>
      </c>
      <c r="DG86" s="48" t="str">
        <f>IFERROR(__xludf.DUMMYFUNCTION("IFERROR(TEXTJOIN(""/"",1,FILTER($B$51:$IV$51,$B$50:$IV$50=DG$97)),"" "")")," ")</f>
        <v> </v>
      </c>
      <c r="DH86" s="48" t="str">
        <f>IFERROR(__xludf.DUMMYFUNCTION("IFERROR(TEXTJOIN(""/"",1,FILTER($B$51:$IV$51,$B$50:$IV$50=DH$97)),"" "")")," ")</f>
        <v> </v>
      </c>
      <c r="DI86" s="48" t="str">
        <f>IFERROR(__xludf.DUMMYFUNCTION("IFERROR(TEXTJOIN(""/"",1,FILTER($B$51:$IV$51,$B$50:$IV$50=DI$97)),"" "")")," ")</f>
        <v> </v>
      </c>
      <c r="DJ86" s="48" t="str">
        <f>IFERROR(__xludf.DUMMYFUNCTION("IFERROR(TEXTJOIN(""/"",1,FILTER($B$51:$IV$51,$B$50:$IV$50=DJ$97)),"" "")")," ")</f>
        <v> </v>
      </c>
      <c r="DK86" s="48" t="str">
        <f>IFERROR(__xludf.DUMMYFUNCTION("IFERROR(TEXTJOIN(""/"",1,FILTER($B$51:$IV$51,$B$50:$IV$50=DK$97)),"" "")")," ")</f>
        <v> </v>
      </c>
      <c r="DL86" s="48" t="str">
        <f>IFERROR(__xludf.DUMMYFUNCTION("IFERROR(TEXTJOIN(""/"",1,FILTER($B$51:$IV$51,$B$50:$IV$50=DL$97)),"" "")")," ")</f>
        <v> </v>
      </c>
      <c r="DM86" s="48" t="str">
        <f>IFERROR(__xludf.DUMMYFUNCTION("IFERROR(TEXTJOIN(""/"",1,FILTER($B$51:$IV$51,$B$50:$IV$50=DM$97)),"" "")")," ")</f>
        <v> </v>
      </c>
      <c r="DN86" s="48" t="str">
        <f>IFERROR(__xludf.DUMMYFUNCTION("IFERROR(TEXTJOIN(""/"",1,FILTER($B$51:$IV$51,$B$50:$IV$50=DN$97)),"" "")")," ")</f>
        <v> </v>
      </c>
      <c r="DO86" s="48" t="str">
        <f>IFERROR(__xludf.DUMMYFUNCTION("IFERROR(TEXTJOIN(""/"",1,FILTER($B$51:$IV$51,$B$50:$IV$50=DO$97)),"" "")")," ")</f>
        <v> </v>
      </c>
      <c r="DP86" s="48" t="str">
        <f>IFERROR(__xludf.DUMMYFUNCTION("IFERROR(TEXTJOIN(""/"",1,FILTER($B$51:$IV$51,$B$50:$IV$50=DP$97)),"" "")")," ")</f>
        <v> </v>
      </c>
      <c r="DQ86" s="48" t="str">
        <f>IFERROR(__xludf.DUMMYFUNCTION("IFERROR(TEXTJOIN(""/"",1,FILTER($B$51:$IV$51,$B$50:$IV$50=DQ$97)),"" "")")," ")</f>
        <v> </v>
      </c>
      <c r="DR86" s="48" t="str">
        <f>IFERROR(__xludf.DUMMYFUNCTION("IFERROR(TEXTJOIN(""/"",1,FILTER($B$51:$IV$51,$B$50:$IV$50=DR$97)),"" "")")," ")</f>
        <v> </v>
      </c>
      <c r="DS86" s="48" t="str">
        <f>IFERROR(__xludf.DUMMYFUNCTION("IFERROR(TEXTJOIN(""/"",1,FILTER($B$51:$IV$51,$B$50:$IV$50=DS$97)),"" "")")," ")</f>
        <v> </v>
      </c>
      <c r="DT86" s="48" t="str">
        <f>IFERROR(__xludf.DUMMYFUNCTION("IFERROR(TEXTJOIN(""/"",1,FILTER($B$51:$IV$51,$B$50:$IV$50=DT$97)),"" "")")," ")</f>
        <v> </v>
      </c>
      <c r="DU86" s="48" t="str">
        <f>IFERROR(__xludf.DUMMYFUNCTION("IFERROR(TEXTJOIN(""/"",1,FILTER($B$51:$IV$51,$B$50:$IV$50=DU$97)),"" "")")," ")</f>
        <v> </v>
      </c>
      <c r="DV86" s="48" t="str">
        <f>IFERROR(__xludf.DUMMYFUNCTION("IFERROR(TEXTJOIN(""/"",1,FILTER($B$51:$IV$51,$B$50:$IV$50=DV$97)),"" "")")," ")</f>
        <v> </v>
      </c>
      <c r="DW86" s="48" t="str">
        <f>IFERROR(__xludf.DUMMYFUNCTION("IFERROR(TEXTJOIN(""/"",1,FILTER($B$51:$IV$51,$B$50:$IV$50=DW$97)),"" "")")," ")</f>
        <v> </v>
      </c>
      <c r="DX86" s="48" t="str">
        <f>IFERROR(__xludf.DUMMYFUNCTION("IFERROR(TEXTJOIN(""/"",1,FILTER($B$51:$IV$51,$B$50:$IV$50=DX$97)),"" "")")," ")</f>
        <v> </v>
      </c>
      <c r="DY86" s="48" t="str">
        <f>IFERROR(__xludf.DUMMYFUNCTION("IFERROR(TEXTJOIN(""/"",1,FILTER($B$51:$IV$51,$B$50:$IV$50=DY$97)),"" "")")," ")</f>
        <v> </v>
      </c>
      <c r="DZ86" s="48" t="str">
        <f>IFERROR(__xludf.DUMMYFUNCTION("IFERROR(TEXTJOIN(""/"",1,FILTER($B$51:$IV$51,$B$50:$IV$50=DZ$97)),"" "")")," ")</f>
        <v> </v>
      </c>
      <c r="EA86" s="48" t="str">
        <f>IFERROR(__xludf.DUMMYFUNCTION("IFERROR(TEXTJOIN(""/"",1,FILTER($B$51:$IV$51,$B$50:$IV$50=EA$97)),"" "")")," ")</f>
        <v> </v>
      </c>
      <c r="EB86" s="48" t="str">
        <f>IFERROR(__xludf.DUMMYFUNCTION("IFERROR(TEXTJOIN(""/"",1,FILTER($B$51:$IV$51,$B$50:$IV$50=EB$97)),"" "")")," ")</f>
        <v> </v>
      </c>
      <c r="EC86" s="48" t="str">
        <f>IFERROR(__xludf.DUMMYFUNCTION("IFERROR(TEXTJOIN(""/"",1,FILTER($B$51:$IV$51,$B$50:$IV$50=EC$97)),"" "")")," ")</f>
        <v> </v>
      </c>
      <c r="ED86" s="48" t="str">
        <f>IFERROR(__xludf.DUMMYFUNCTION("IFERROR(TEXTJOIN(""/"",1,FILTER($B$51:$IV$51,$B$50:$IV$50=ED$97)),"" "")")," ")</f>
        <v> </v>
      </c>
      <c r="EE86" s="48" t="str">
        <f>IFERROR(__xludf.DUMMYFUNCTION("IFERROR(TEXTJOIN(""/"",1,FILTER($B$51:$IV$51,$B$50:$IV$50=EE$97)),"" "")")," ")</f>
        <v> </v>
      </c>
      <c r="EF86" s="48" t="str">
        <f>IFERROR(__xludf.DUMMYFUNCTION("IFERROR(TEXTJOIN(""/"",1,FILTER($B$51:$IV$51,$B$50:$IV$50=EF$97)),"" "")")," ")</f>
        <v> </v>
      </c>
      <c r="EG86" s="48" t="str">
        <f>IFERROR(__xludf.DUMMYFUNCTION("IFERROR(TEXTJOIN(""/"",1,FILTER($B$51:$IV$51,$B$50:$IV$50=EG$97)),"" "")")," ")</f>
        <v> </v>
      </c>
      <c r="EH86" s="48" t="str">
        <f>IFERROR(__xludf.DUMMYFUNCTION("IFERROR(TEXTJOIN(""/"",1,FILTER($B$51:$IV$51,$B$50:$IV$50=EH$97)),"" "")")," ")</f>
        <v> </v>
      </c>
      <c r="EI86" s="48" t="str">
        <f>IFERROR(__xludf.DUMMYFUNCTION("IFERROR(TEXTJOIN(""/"",1,FILTER($B$51:$IV$51,$B$50:$IV$50=EI$97)),"" "")")," ")</f>
        <v> </v>
      </c>
      <c r="EJ86" s="48" t="str">
        <f>IFERROR(__xludf.DUMMYFUNCTION("IFERROR(TEXTJOIN(""/"",1,FILTER($B$51:$IV$51,$B$50:$IV$50=EJ$97)),"" "")")," ")</f>
        <v> </v>
      </c>
      <c r="EK86" s="48" t="str">
        <f>IFERROR(__xludf.DUMMYFUNCTION("IFERROR(TEXTJOIN(""/"",1,FILTER($B$51:$IV$51,$B$50:$IV$50=EK$97)),"" "")")," ")</f>
        <v> </v>
      </c>
      <c r="EL86" s="48" t="str">
        <f>IFERROR(__xludf.DUMMYFUNCTION("IFERROR(TEXTJOIN(""/"",1,FILTER($B$51:$IV$51,$B$50:$IV$50=EL$97)),"" "")")," ")</f>
        <v> </v>
      </c>
      <c r="EM86" s="48" t="str">
        <f>IFERROR(__xludf.DUMMYFUNCTION("IFERROR(TEXTJOIN(""/"",1,FILTER($B$51:$IV$51,$B$50:$IV$50=EM$97)),"" "")")," ")</f>
        <v> </v>
      </c>
      <c r="EN86" s="48" t="str">
        <f>IFERROR(__xludf.DUMMYFUNCTION("IFERROR(TEXTJOIN(""/"",1,FILTER($B$51:$IV$51,$B$50:$IV$50=EN$97)),"" "")")," ")</f>
        <v> </v>
      </c>
      <c r="EO86" s="48" t="str">
        <f>IFERROR(__xludf.DUMMYFUNCTION("IFERROR(TEXTJOIN(""/"",1,FILTER($B$51:$IV$51,$B$50:$IV$50=EO$97)),"" "")")," ")</f>
        <v> </v>
      </c>
      <c r="EP86" s="48" t="str">
        <f>IFERROR(__xludf.DUMMYFUNCTION("IFERROR(TEXTJOIN(""/"",1,FILTER($B$51:$IV$51,$B$50:$IV$50=EP$97)),"" "")")," ")</f>
        <v> </v>
      </c>
      <c r="EQ86" s="48" t="str">
        <f>IFERROR(__xludf.DUMMYFUNCTION("IFERROR(TEXTJOIN(""/"",1,FILTER($B$51:$IV$51,$B$50:$IV$50=EQ$97)),"" "")")," ")</f>
        <v> </v>
      </c>
      <c r="ER86" s="48" t="str">
        <f>IFERROR(__xludf.DUMMYFUNCTION("IFERROR(TEXTJOIN(""/"",1,FILTER($B$51:$IV$51,$B$50:$IV$50=ER$97)),"" "")")," ")</f>
        <v> </v>
      </c>
      <c r="ES86" s="48" t="str">
        <f>IFERROR(__xludf.DUMMYFUNCTION("IFERROR(TEXTJOIN(""/"",1,FILTER($B$51:$IV$51,$B$50:$IV$50=ES$97)),"" "")")," ")</f>
        <v> </v>
      </c>
      <c r="ET86" s="48" t="str">
        <f>IFERROR(__xludf.DUMMYFUNCTION("IFERROR(TEXTJOIN(""/"",1,FILTER($B$51:$IV$51,$B$50:$IV$50=ET$97)),"" "")")," ")</f>
        <v> </v>
      </c>
      <c r="EU86" s="48" t="str">
        <f>IFERROR(__xludf.DUMMYFUNCTION("IFERROR(TEXTJOIN(""/"",1,FILTER($B$51:$IV$51,$B$50:$IV$50=EU$97)),"" "")")," ")</f>
        <v> </v>
      </c>
      <c r="EV86" s="48" t="str">
        <f>IFERROR(__xludf.DUMMYFUNCTION("IFERROR(TEXTJOIN(""/"",1,FILTER($B$51:$IV$51,$B$50:$IV$50=EV$97)),"" "")")," ")</f>
        <v> </v>
      </c>
      <c r="EW86" s="48" t="str">
        <f>IFERROR(__xludf.DUMMYFUNCTION("IFERROR(TEXTJOIN(""/"",1,FILTER($B$51:$IV$51,$B$50:$IV$50=EW$97)),"" "")")," ")</f>
        <v> </v>
      </c>
      <c r="EX86" s="48" t="str">
        <f>IFERROR(__xludf.DUMMYFUNCTION("IFERROR(TEXTJOIN(""/"",1,FILTER($B$51:$IV$51,$B$50:$IV$50=EX$97)),"" "")")," ")</f>
        <v> </v>
      </c>
      <c r="EY86" s="48" t="str">
        <f>IFERROR(__xludf.DUMMYFUNCTION("IFERROR(TEXTJOIN(""/"",1,FILTER($B$51:$IV$51,$B$50:$IV$50=EY$97)),"" "")")," ")</f>
        <v> </v>
      </c>
      <c r="EZ86" s="48" t="str">
        <f>IFERROR(__xludf.DUMMYFUNCTION("IFERROR(TEXTJOIN(""/"",1,FILTER($B$51:$IV$51,$B$50:$IV$50=EZ$97)),"" "")")," ")</f>
        <v> </v>
      </c>
      <c r="FA86" s="48" t="str">
        <f>IFERROR(__xludf.DUMMYFUNCTION("IFERROR(TEXTJOIN(""/"",1,FILTER($B$51:$IV$51,$B$50:$IV$50=FA$97)),"" "")")," ")</f>
        <v> </v>
      </c>
      <c r="FB86" s="48" t="str">
        <f>IFERROR(__xludf.DUMMYFUNCTION("IFERROR(TEXTJOIN(""/"",1,FILTER($B$51:$IV$51,$B$50:$IV$50=FB$97)),"" "")")," ")</f>
        <v> </v>
      </c>
      <c r="FC86" s="48" t="str">
        <f>IFERROR(__xludf.DUMMYFUNCTION("IFERROR(TEXTJOIN(""/"",1,FILTER($B$51:$IV$51,$B$50:$IV$50=FC$97)),"" "")")," ")</f>
        <v> </v>
      </c>
      <c r="FD86" s="48" t="str">
        <f>IFERROR(__xludf.DUMMYFUNCTION("IFERROR(TEXTJOIN(""/"",1,FILTER($B$51:$IV$51,$B$50:$IV$50=FD$97)),"" "")")," ")</f>
        <v> </v>
      </c>
      <c r="FE86" s="48" t="str">
        <f>IFERROR(__xludf.DUMMYFUNCTION("IFERROR(TEXTJOIN(""/"",1,FILTER($B$51:$IV$51,$B$50:$IV$50=FE$97)),"" "")")," ")</f>
        <v> </v>
      </c>
      <c r="FF86" s="48" t="str">
        <f>IFERROR(__xludf.DUMMYFUNCTION("IFERROR(TEXTJOIN(""/"",1,FILTER($B$51:$IV$51,$B$50:$IV$50=FF$97)),"" "")")," ")</f>
        <v> </v>
      </c>
      <c r="FG86" s="48" t="str">
        <f>IFERROR(__xludf.DUMMYFUNCTION("IFERROR(TEXTJOIN(""/"",1,FILTER($B$51:$IV$51,$B$50:$IV$50=FG$97)),"" "")")," ")</f>
        <v> </v>
      </c>
      <c r="FH86" s="48" t="str">
        <f>IFERROR(__xludf.DUMMYFUNCTION("IFERROR(TEXTJOIN(""/"",1,FILTER($B$51:$IV$51,$B$50:$IV$50=FH$97)),"" "")")," ")</f>
        <v> </v>
      </c>
      <c r="FI86" s="48" t="str">
        <f>IFERROR(__xludf.DUMMYFUNCTION("IFERROR(TEXTJOIN(""/"",1,FILTER($B$51:$IV$51,$B$50:$IV$50=FI$97)),"" "")")," ")</f>
        <v> </v>
      </c>
      <c r="FJ86" s="48" t="str">
        <f>IFERROR(__xludf.DUMMYFUNCTION("IFERROR(TEXTJOIN(""/"",1,FILTER($B$51:$IV$51,$B$50:$IV$50=FJ$97)),"" "")")," ")</f>
        <v> </v>
      </c>
      <c r="FK86" s="48" t="str">
        <f>IFERROR(__xludf.DUMMYFUNCTION("IFERROR(TEXTJOIN(""/"",1,FILTER($B$51:$IV$51,$B$50:$IV$50=FK$97)),"" "")")," ")</f>
        <v> </v>
      </c>
      <c r="FL86" s="48" t="str">
        <f>IFERROR(__xludf.DUMMYFUNCTION("IFERROR(TEXTJOIN(""/"",1,FILTER($B$51:$IV$51,$B$50:$IV$50=FL$97)),"" "")")," ")</f>
        <v> </v>
      </c>
      <c r="FM86" s="48" t="str">
        <f>IFERROR(__xludf.DUMMYFUNCTION("IFERROR(TEXTJOIN(""/"",1,FILTER($B$51:$IV$51,$B$50:$IV$50=FM$97)),"" "")")," ")</f>
        <v> </v>
      </c>
      <c r="FN86" s="48" t="str">
        <f>IFERROR(__xludf.DUMMYFUNCTION("IFERROR(TEXTJOIN(""/"",1,FILTER($B$51:$IV$51,$B$50:$IV$50=FN$97)),"" "")")," ")</f>
        <v> </v>
      </c>
      <c r="FO86" s="48" t="str">
        <f>IFERROR(__xludf.DUMMYFUNCTION("IFERROR(TEXTJOIN(""/"",1,FILTER($B$51:$IV$51,$B$50:$IV$50=FO$97)),"" "")")," ")</f>
        <v> </v>
      </c>
      <c r="FP86" s="48" t="str">
        <f>IFERROR(__xludf.DUMMYFUNCTION("IFERROR(TEXTJOIN(""/"",1,FILTER($B$51:$IV$51,$B$50:$IV$50=FP$97)),"" "")")," ")</f>
        <v> </v>
      </c>
      <c r="FQ86" s="48" t="str">
        <f>IFERROR(__xludf.DUMMYFUNCTION("IFERROR(TEXTJOIN(""/"",1,FILTER($B$51:$IV$51,$B$50:$IV$50=FQ$97)),"" "")")," ")</f>
        <v> </v>
      </c>
      <c r="FR86" s="48" t="str">
        <f>IFERROR(__xludf.DUMMYFUNCTION("IFERROR(TEXTJOIN(""/"",1,FILTER($B$51:$IV$51,$B$50:$IV$50=FR$97)),"" "")")," ")</f>
        <v> </v>
      </c>
      <c r="FS86" s="48" t="str">
        <f>IFERROR(__xludf.DUMMYFUNCTION("IFERROR(TEXTJOIN(""/"",1,FILTER($B$51:$IV$51,$B$50:$IV$50=FS$97)),"" "")")," ")</f>
        <v> </v>
      </c>
      <c r="FT86" s="48" t="str">
        <f>IFERROR(__xludf.DUMMYFUNCTION("IFERROR(TEXTJOIN(""/"",1,FILTER($B$51:$IV$51,$B$50:$IV$50=FT$97)),"" "")")," ")</f>
        <v> </v>
      </c>
      <c r="FU86" s="48" t="str">
        <f>IFERROR(__xludf.DUMMYFUNCTION("IFERROR(TEXTJOIN(""/"",1,FILTER($B$51:$IV$51,$B$50:$IV$50=FU$97)),"" "")")," ")</f>
        <v> </v>
      </c>
      <c r="FV86" s="48" t="str">
        <f>IFERROR(__xludf.DUMMYFUNCTION("IFERROR(TEXTJOIN(""/"",1,FILTER($B$51:$IV$51,$B$50:$IV$50=FV$97)),"" "")")," ")</f>
        <v> </v>
      </c>
      <c r="FW86" s="48" t="str">
        <f>IFERROR(__xludf.DUMMYFUNCTION("IFERROR(TEXTJOIN(""/"",1,FILTER($B$51:$IV$51,$B$50:$IV$50=FW$97)),"" "")")," ")</f>
        <v> </v>
      </c>
      <c r="FX86" s="48" t="str">
        <f>IFERROR(__xludf.DUMMYFUNCTION("IFERROR(TEXTJOIN(""/"",1,FILTER($B$51:$IV$51,$B$50:$IV$50=FX$97)),"" "")")," ")</f>
        <v> </v>
      </c>
      <c r="FY86" s="48" t="str">
        <f>IFERROR(__xludf.DUMMYFUNCTION("IFERROR(TEXTJOIN(""/"",1,FILTER($B$51:$IV$51,$B$50:$IV$50=FY$97)),"" "")")," ")</f>
        <v> </v>
      </c>
      <c r="FZ86" s="48" t="str">
        <f>IFERROR(__xludf.DUMMYFUNCTION("IFERROR(TEXTJOIN(""/"",1,FILTER($B$51:$IV$51,$B$50:$IV$50=FZ$97)),"" "")")," ")</f>
        <v> </v>
      </c>
      <c r="GA86" s="48" t="str">
        <f>IFERROR(__xludf.DUMMYFUNCTION("IFERROR(TEXTJOIN(""/"",1,FILTER($B$51:$IV$51,$B$50:$IV$50=GA$97)),"" "")")," ")</f>
        <v> </v>
      </c>
      <c r="GB86" s="48" t="str">
        <f>IFERROR(__xludf.DUMMYFUNCTION("IFERROR(TEXTJOIN(""/"",1,FILTER($B$51:$IV$51,$B$50:$IV$50=GB$97)),"" "")")," ")</f>
        <v> </v>
      </c>
      <c r="GC86" s="48" t="str">
        <f>IFERROR(__xludf.DUMMYFUNCTION("IFERROR(TEXTJOIN(""/"",1,FILTER($B$51:$IV$51,$B$50:$IV$50=GC$97)),"" "")")," ")</f>
        <v> </v>
      </c>
      <c r="GD86" s="48" t="str">
        <f>IFERROR(__xludf.DUMMYFUNCTION("IFERROR(TEXTJOIN(""/"",1,FILTER($B$51:$IV$51,$B$50:$IV$50=GD$97)),"" "")")," ")</f>
        <v> </v>
      </c>
      <c r="GE86" s="48" t="str">
        <f>IFERROR(__xludf.DUMMYFUNCTION("IFERROR(TEXTJOIN(""/"",1,FILTER($B$51:$IV$51,$B$50:$IV$50=GE$97)),"" "")")," ")</f>
        <v> </v>
      </c>
      <c r="GF86" s="48" t="str">
        <f>IFERROR(__xludf.DUMMYFUNCTION("IFERROR(TEXTJOIN(""/"",1,FILTER($B$51:$IV$51,$B$50:$IV$50=GF$97)),"" "")")," ")</f>
        <v> </v>
      </c>
      <c r="GG86" s="48" t="str">
        <f>IFERROR(__xludf.DUMMYFUNCTION("IFERROR(TEXTJOIN(""/"",1,FILTER($B$51:$IV$51,$B$50:$IV$50=GG$97)),"" "")")," ")</f>
        <v> </v>
      </c>
      <c r="GH86" s="48" t="str">
        <f>IFERROR(__xludf.DUMMYFUNCTION("IFERROR(TEXTJOIN(""/"",1,FILTER($B$51:$IV$51,$B$50:$IV$50=GH$97)),"" "")")," ")</f>
        <v> </v>
      </c>
      <c r="GI86" s="48" t="str">
        <f>IFERROR(__xludf.DUMMYFUNCTION("IFERROR(TEXTJOIN(""/"",1,FILTER($B$51:$IV$51,$B$50:$IV$50=GI$97)),"" "")")," ")</f>
        <v> </v>
      </c>
      <c r="GJ86" s="48" t="str">
        <f>IFERROR(__xludf.DUMMYFUNCTION("IFERROR(TEXTJOIN(""/"",1,FILTER($B$51:$IV$51,$B$50:$IV$50=GJ$97)),"" "")")," ")</f>
        <v> </v>
      </c>
      <c r="GK86" s="48" t="str">
        <f>IFERROR(__xludf.DUMMYFUNCTION("IFERROR(TEXTJOIN(""/"",1,FILTER($B$51:$IV$51,$B$50:$IV$50=GK$97)),"" "")")," ")</f>
        <v> </v>
      </c>
      <c r="GL86" s="48" t="str">
        <f>IFERROR(__xludf.DUMMYFUNCTION("IFERROR(TEXTJOIN(""/"",1,FILTER($B$51:$IV$51,$B$50:$IV$50=GL$97)),"" "")")," ")</f>
        <v> </v>
      </c>
      <c r="GM86" s="48" t="str">
        <f>IFERROR(__xludf.DUMMYFUNCTION("IFERROR(TEXTJOIN(""/"",1,FILTER($B$51:$IV$51,$B$50:$IV$50=GM$97)),"" "")")," ")</f>
        <v> </v>
      </c>
      <c r="GN86" s="48" t="str">
        <f>IFERROR(__xludf.DUMMYFUNCTION("IFERROR(TEXTJOIN(""/"",1,FILTER($B$51:$IV$51,$B$50:$IV$50=GN$97)),"" "")")," ")</f>
        <v> </v>
      </c>
      <c r="GO86" s="48" t="str">
        <f>IFERROR(__xludf.DUMMYFUNCTION("IFERROR(TEXTJOIN(""/"",1,FILTER($B$51:$IV$51,$B$50:$IV$50=GO$97)),"" "")")," ")</f>
        <v> </v>
      </c>
      <c r="GP86" s="48" t="str">
        <f>IFERROR(__xludf.DUMMYFUNCTION("IFERROR(TEXTJOIN(""/"",1,FILTER($B$51:$IV$51,$B$50:$IV$50=GP$97)),"" "")")," ")</f>
        <v> </v>
      </c>
      <c r="GQ86" s="48" t="str">
        <f>IFERROR(__xludf.DUMMYFUNCTION("IFERROR(TEXTJOIN(""/"",1,FILTER($B$51:$IV$51,$B$50:$IV$50=GQ$97)),"" "")")," ")</f>
        <v> </v>
      </c>
      <c r="GR86" s="48" t="str">
        <f>IFERROR(__xludf.DUMMYFUNCTION("IFERROR(TEXTJOIN(""/"",1,FILTER($B$51:$IV$51,$B$50:$IV$50=GR$97)),"" "")")," ")</f>
        <v> </v>
      </c>
      <c r="GS86" s="48" t="str">
        <f>IFERROR(__xludf.DUMMYFUNCTION("IFERROR(TEXTJOIN(""/"",1,FILTER($B$51:$IV$51,$B$50:$IV$50=GS$97)),"" "")")," ")</f>
        <v> </v>
      </c>
      <c r="GT86" s="48" t="str">
        <f>IFERROR(__xludf.DUMMYFUNCTION("IFERROR(TEXTJOIN(""/"",1,FILTER($B$51:$IV$51,$B$50:$IV$50=GT$97)),"" "")")," ")</f>
        <v> </v>
      </c>
      <c r="GU86" s="48" t="str">
        <f>IFERROR(__xludf.DUMMYFUNCTION("IFERROR(TEXTJOIN(""/"",1,FILTER($B$51:$IV$51,$B$50:$IV$50=GU$97)),"" "")")," ")</f>
        <v> </v>
      </c>
      <c r="GV86" s="48" t="str">
        <f>IFERROR(__xludf.DUMMYFUNCTION("IFERROR(TEXTJOIN(""/"",1,FILTER($B$51:$IV$51,$B$50:$IV$50=GV$97)),"" "")")," ")</f>
        <v> </v>
      </c>
      <c r="GW86" s="48" t="str">
        <f>IFERROR(__xludf.DUMMYFUNCTION("IFERROR(TEXTJOIN(""/"",1,FILTER($B$51:$IV$51,$B$50:$IV$50=GW$97)),"" "")")," ")</f>
        <v> </v>
      </c>
      <c r="GX86" s="48" t="str">
        <f>IFERROR(__xludf.DUMMYFUNCTION("IFERROR(TEXTJOIN(""/"",1,FILTER($B$51:$IV$51,$B$50:$IV$50=GX$97)),"" "")")," ")</f>
        <v> </v>
      </c>
      <c r="GY86" s="48" t="str">
        <f>IFERROR(__xludf.DUMMYFUNCTION("IFERROR(TEXTJOIN(""/"",1,FILTER($B$51:$IV$51,$B$50:$IV$50=GY$97)),"" "")")," ")</f>
        <v> </v>
      </c>
      <c r="GZ86" s="48" t="str">
        <f>IFERROR(__xludf.DUMMYFUNCTION("IFERROR(TEXTJOIN(""/"",1,FILTER($B$51:$IV$51,$B$50:$IV$50=GZ$97)),"" "")")," ")</f>
        <v> </v>
      </c>
      <c r="HA86" s="48" t="str">
        <f>IFERROR(__xludf.DUMMYFUNCTION("IFERROR(TEXTJOIN(""/"",1,FILTER($B$51:$IV$51,$B$50:$IV$50=HA$97)),"" "")")," ")</f>
        <v> </v>
      </c>
      <c r="HB86" s="48" t="str">
        <f>IFERROR(__xludf.DUMMYFUNCTION("IFERROR(TEXTJOIN(""/"",1,FILTER($B$51:$IV$51,$B$50:$IV$50=HB$97)),"" "")")," ")</f>
        <v> </v>
      </c>
      <c r="HC86" s="48" t="str">
        <f>IFERROR(__xludf.DUMMYFUNCTION("IFERROR(TEXTJOIN(""/"",1,FILTER($B$51:$IV$51,$B$50:$IV$50=HC$97)),"" "")")," ")</f>
        <v> </v>
      </c>
      <c r="HD86" s="48" t="str">
        <f>IFERROR(__xludf.DUMMYFUNCTION("IFERROR(TEXTJOIN(""/"",1,FILTER($B$51:$IV$51,$B$50:$IV$50=HD$97)),"" "")")," ")</f>
        <v> </v>
      </c>
      <c r="HE86" s="48" t="str">
        <f>IFERROR(__xludf.DUMMYFUNCTION("IFERROR(TEXTJOIN(""/"",1,FILTER($B$51:$IV$51,$B$50:$IV$50=HE$97)),"" "")")," ")</f>
        <v> </v>
      </c>
      <c r="HF86" s="48" t="str">
        <f>IFERROR(__xludf.DUMMYFUNCTION("IFERROR(TEXTJOIN(""/"",1,FILTER($B$51:$IV$51,$B$50:$IV$50=HF$97)),"" "")")," ")</f>
        <v> </v>
      </c>
      <c r="HG86" s="48" t="str">
        <f>IFERROR(__xludf.DUMMYFUNCTION("IFERROR(TEXTJOIN(""/"",1,FILTER($B$51:$IV$51,$B$50:$IV$50=HG$97)),"" "")")," ")</f>
        <v> </v>
      </c>
      <c r="HH86" s="48" t="str">
        <f>IFERROR(__xludf.DUMMYFUNCTION("IFERROR(TEXTJOIN(""/"",1,FILTER($B$51:$IV$51,$B$50:$IV$50=HH$97)),"" "")")," ")</f>
        <v> </v>
      </c>
      <c r="HI86" s="48" t="str">
        <f>IFERROR(__xludf.DUMMYFUNCTION("IFERROR(TEXTJOIN(""/"",1,FILTER($B$51:$IV$51,$B$50:$IV$50=HI$97)),"" "")")," ")</f>
        <v> </v>
      </c>
      <c r="HJ86" s="48" t="str">
        <f>IFERROR(__xludf.DUMMYFUNCTION("IFERROR(TEXTJOIN(""/"",1,FILTER($B$51:$IV$51,$B$50:$IV$50=HJ$97)),"" "")")," ")</f>
        <v> </v>
      </c>
      <c r="HK86" s="48" t="str">
        <f>IFERROR(__xludf.DUMMYFUNCTION("IFERROR(TEXTJOIN(""/"",1,FILTER($B$51:$IV$51,$B$50:$IV$50=HK$97)),"" "")")," ")</f>
        <v> </v>
      </c>
      <c r="HL86" s="48" t="str">
        <f>IFERROR(__xludf.DUMMYFUNCTION("IFERROR(TEXTJOIN(""/"",1,FILTER($B$51:$IV$51,$B$50:$IV$50=HL$97)),"" "")")," ")</f>
        <v> </v>
      </c>
      <c r="HM86" s="48" t="str">
        <f>IFERROR(__xludf.DUMMYFUNCTION("IFERROR(TEXTJOIN(""/"",1,FILTER($B$51:$IV$51,$B$50:$IV$50=HM$97)),"" "")")," ")</f>
        <v> </v>
      </c>
      <c r="HN86" s="48" t="str">
        <f>IFERROR(__xludf.DUMMYFUNCTION("IFERROR(TEXTJOIN(""/"",1,FILTER($B$51:$IV$51,$B$50:$IV$50=HN$97)),"" "")")," ")</f>
        <v> </v>
      </c>
      <c r="HO86" s="48" t="str">
        <f>IFERROR(__xludf.DUMMYFUNCTION("IFERROR(TEXTJOIN(""/"",1,FILTER($B$51:$IV$51,$B$50:$IV$50=HO$97)),"" "")")," ")</f>
        <v> </v>
      </c>
      <c r="HP86" s="48" t="str">
        <f>IFERROR(__xludf.DUMMYFUNCTION("IFERROR(TEXTJOIN(""/"",1,FILTER($B$51:$IV$51,$B$50:$IV$50=HP$97)),"" "")")," ")</f>
        <v> </v>
      </c>
      <c r="HQ86" s="48" t="str">
        <f>IFERROR(__xludf.DUMMYFUNCTION("IFERROR(TEXTJOIN(""/"",1,FILTER($B$51:$IV$51,$B$50:$IV$50=HQ$97)),"" "")")," ")</f>
        <v> </v>
      </c>
      <c r="HR86" s="48" t="str">
        <f>IFERROR(__xludf.DUMMYFUNCTION("IFERROR(TEXTJOIN(""/"",1,FILTER($B$51:$IV$51,$B$50:$IV$50=HR$97)),"" "")")," ")</f>
        <v> </v>
      </c>
      <c r="HS86" s="48" t="str">
        <f>IFERROR(__xludf.DUMMYFUNCTION("IFERROR(TEXTJOIN(""/"",1,FILTER($B$51:$IV$51,$B$50:$IV$50=HS$97)),"" "")")," ")</f>
        <v> </v>
      </c>
      <c r="HT86" s="48" t="str">
        <f>IFERROR(__xludf.DUMMYFUNCTION("IFERROR(TEXTJOIN(""/"",1,FILTER($B$51:$IV$51,$B$50:$IV$50=HT$97)),"" "")")," ")</f>
        <v> </v>
      </c>
      <c r="HU86" s="48" t="str">
        <f>IFERROR(__xludf.DUMMYFUNCTION("IFERROR(TEXTJOIN(""/"",1,FILTER($B$51:$IV$51,$B$50:$IV$50=HU$97)),"" "")")," ")</f>
        <v> </v>
      </c>
      <c r="HV86" s="48" t="str">
        <f>IFERROR(__xludf.DUMMYFUNCTION("IFERROR(TEXTJOIN(""/"",1,FILTER($B$51:$IV$51,$B$50:$IV$50=HV$97)),"" "")")," ")</f>
        <v> </v>
      </c>
      <c r="HW86" s="48" t="str">
        <f>IFERROR(__xludf.DUMMYFUNCTION("IFERROR(TEXTJOIN(""/"",1,FILTER($B$51:$IV$51,$B$50:$IV$50=HW$97)),"" "")")," ")</f>
        <v> </v>
      </c>
      <c r="HX86" s="48" t="str">
        <f>IFERROR(__xludf.DUMMYFUNCTION("IFERROR(TEXTJOIN(""/"",1,FILTER($B$51:$IV$51,$B$50:$IV$50=HX$97)),"" "")")," ")</f>
        <v> </v>
      </c>
      <c r="HY86" s="48" t="str">
        <f>IFERROR(__xludf.DUMMYFUNCTION("IFERROR(TEXTJOIN(""/"",1,FILTER($B$51:$IV$51,$B$50:$IV$50=HY$97)),"" "")")," ")</f>
        <v> </v>
      </c>
      <c r="HZ86" s="48" t="str">
        <f>IFERROR(__xludf.DUMMYFUNCTION("IFERROR(TEXTJOIN(""/"",1,FILTER($B$51:$IV$51,$B$50:$IV$50=HZ$97)),"" "")")," ")</f>
        <v> </v>
      </c>
      <c r="IA86" s="48" t="str">
        <f>IFERROR(__xludf.DUMMYFUNCTION("IFERROR(TEXTJOIN(""/"",1,FILTER($B$51:$IV$51,$B$50:$IV$50=IA$97)),"" "")")," ")</f>
        <v> </v>
      </c>
      <c r="IB86" s="48" t="str">
        <f>IFERROR(__xludf.DUMMYFUNCTION("IFERROR(TEXTJOIN(""/"",1,FILTER($B$51:$IV$51,$B$50:$IV$50=IB$97)),"" "")")," ")</f>
        <v> </v>
      </c>
      <c r="IC86" s="48" t="str">
        <f>IFERROR(__xludf.DUMMYFUNCTION("IFERROR(TEXTJOIN(""/"",1,FILTER($B$51:$IV$51,$B$50:$IV$50=IC$97)),"" "")")," ")</f>
        <v> </v>
      </c>
      <c r="ID86" s="48" t="str">
        <f>IFERROR(__xludf.DUMMYFUNCTION("IFERROR(TEXTJOIN(""/"",1,FILTER($B$51:$IV$51,$B$50:$IV$50=ID$97)),"" "")")," ")</f>
        <v> </v>
      </c>
      <c r="IE86" s="48" t="str">
        <f>IFERROR(__xludf.DUMMYFUNCTION("IFERROR(TEXTJOIN(""/"",1,FILTER($B$51:$IV$51,$B$50:$IV$50=IE$97)),"" "")")," ")</f>
        <v> </v>
      </c>
      <c r="IF86" s="48" t="str">
        <f>IFERROR(__xludf.DUMMYFUNCTION("IFERROR(TEXTJOIN(""/"",1,FILTER($B$51:$IV$51,$B$50:$IV$50=IF$97)),"" "")")," ")</f>
        <v> </v>
      </c>
      <c r="IG86" s="48" t="str">
        <f>IFERROR(__xludf.DUMMYFUNCTION("IFERROR(TEXTJOIN(""/"",1,FILTER($B$51:$IV$51,$B$50:$IV$50=IG$97)),"" "")")," ")</f>
        <v> </v>
      </c>
      <c r="IH86" s="48" t="str">
        <f>IFERROR(__xludf.DUMMYFUNCTION("IFERROR(TEXTJOIN(""/"",1,FILTER($B$51:$IV$51,$B$50:$IV$50=IH$97)),"" "")")," ")</f>
        <v> </v>
      </c>
      <c r="II86" s="48" t="str">
        <f>IFERROR(__xludf.DUMMYFUNCTION("IFERROR(TEXTJOIN(""/"",1,FILTER($B$51:$IV$51,$B$50:$IV$50=II$97)),"" "")")," ")</f>
        <v> </v>
      </c>
      <c r="IJ86" s="48" t="str">
        <f>IFERROR(__xludf.DUMMYFUNCTION("IFERROR(TEXTJOIN(""/"",1,FILTER($B$51:$IV$51,$B$50:$IV$50=IJ$97)),"" "")")," ")</f>
        <v> </v>
      </c>
      <c r="IK86" s="48" t="str">
        <f>IFERROR(__xludf.DUMMYFUNCTION("IFERROR(TEXTJOIN(""/"",1,FILTER($B$51:$IV$51,$B$50:$IV$50=IK$97)),"" "")")," ")</f>
        <v> </v>
      </c>
      <c r="IL86" s="48" t="str">
        <f>IFERROR(__xludf.DUMMYFUNCTION("IFERROR(TEXTJOIN(""/"",1,FILTER($B$51:$IV$51,$B$50:$IV$50=IL$97)),"" "")")," ")</f>
        <v> </v>
      </c>
      <c r="IM86" s="48" t="str">
        <f>IFERROR(__xludf.DUMMYFUNCTION("IFERROR(TEXTJOIN(""/"",1,FILTER($B$51:$IV$51,$B$50:$IV$50=IM$97)),"" "")")," ")</f>
        <v> </v>
      </c>
      <c r="IN86" s="48" t="str">
        <f>IFERROR(__xludf.DUMMYFUNCTION("IFERROR(TEXTJOIN(""/"",1,FILTER($B$51:$IV$51,$B$50:$IV$50=IN$97)),"" "")")," ")</f>
        <v> </v>
      </c>
      <c r="IO86" s="48" t="str">
        <f>IFERROR(__xludf.DUMMYFUNCTION("IFERROR(TEXTJOIN(""/"",1,FILTER($B$51:$IV$51,$B$50:$IV$50=IO$97)),"" "")")," ")</f>
        <v> </v>
      </c>
      <c r="IP86" s="48" t="str">
        <f>IFERROR(__xludf.DUMMYFUNCTION("IFERROR(TEXTJOIN(""/"",1,FILTER($B$51:$IV$51,$B$50:$IV$50=IP$97)),"" "")")," ")</f>
        <v> </v>
      </c>
      <c r="IQ86" s="48" t="str">
        <f>IFERROR(__xludf.DUMMYFUNCTION("IFERROR(TEXTJOIN(""/"",1,FILTER($B$51:$IV$51,$B$50:$IV$50=IQ$97)),"" "")")," ")</f>
        <v> </v>
      </c>
      <c r="IR86" s="48" t="str">
        <f>IFERROR(__xludf.DUMMYFUNCTION("IFERROR(TEXTJOIN(""/"",1,FILTER($B$51:$IV$51,$B$50:$IV$50=IR$97)),"" "")")," ")</f>
        <v> </v>
      </c>
      <c r="IS86" s="48" t="str">
        <f>IFERROR(__xludf.DUMMYFUNCTION("IFERROR(TEXTJOIN(""/"",1,FILTER($B$51:$IV$51,$B$50:$IV$50=IS$97)),"" "")")," ")</f>
        <v> </v>
      </c>
      <c r="IT86" s="48" t="str">
        <f>IFERROR(__xludf.DUMMYFUNCTION("IFERROR(TEXTJOIN(""/"",1,FILTER($B$51:$IV$51,$B$50:$IV$50=IT$97)),"" "")")," ")</f>
        <v> </v>
      </c>
      <c r="IU86" s="48" t="str">
        <f>IFERROR(__xludf.DUMMYFUNCTION("IFERROR(TEXTJOIN(""/"",1,FILTER($B$51:$IV$51,$B$50:$IV$50=IU$97)),"" "")")," ")</f>
        <v> </v>
      </c>
      <c r="IV86" s="48" t="str">
        <f>IFERROR(__xludf.DUMMYFUNCTION("IFERROR(TEXTJOIN(""/"",1,FILTER($B$51:$IV$51,$B$50:$IV$50=IV$97)),"" "")")," ")</f>
        <v> </v>
      </c>
      <c r="IW86" s="48" t="str">
        <f>IFERROR(__xludf.DUMMYFUNCTION("IFERROR(TEXTJOIN(""/"",1,FILTER($B$51:$IV$51,$B$50:$IV$50=IW$97)),"" "")")," ")</f>
        <v> </v>
      </c>
      <c r="IX86" s="48" t="str">
        <f>IFERROR(__xludf.DUMMYFUNCTION("IFERROR(TEXTJOIN(""/"",1,FILTER($B$51:$IV$51,$B$50:$IV$50=IX$97)),"" "")")," ")</f>
        <v> </v>
      </c>
      <c r="IY86" s="48" t="str">
        <f>IFERROR(__xludf.DUMMYFUNCTION("IFERROR(TEXTJOIN(""/"",1,FILTER($B$51:$IV$51,$B$50:$IV$50=IY$97)),"" "")")," ")</f>
        <v> </v>
      </c>
      <c r="IZ86" s="48" t="str">
        <f>IFERROR(__xludf.DUMMYFUNCTION("IFERROR(TEXTJOIN(""/"",1,FILTER($B$51:$IV$51,$B$50:$IV$50=IZ$97)),"" "")")," ")</f>
        <v> </v>
      </c>
      <c r="JA86" s="48" t="str">
        <f>IFERROR(__xludf.DUMMYFUNCTION("IFERROR(TEXTJOIN(""/"",1,FILTER($B$51:$IV$51,$B$50:$IV$50=JA$97)),"" "")")," ")</f>
        <v> </v>
      </c>
      <c r="JB86" s="48" t="str">
        <f>IFERROR(__xludf.DUMMYFUNCTION("IFERROR(TEXTJOIN(""/"",1,FILTER($B$51:$IV$51,$B$50:$IV$50=JB$97)),"" "")")," ")</f>
        <v> </v>
      </c>
      <c r="JC86" s="48" t="str">
        <f>IFERROR(__xludf.DUMMYFUNCTION("IFERROR(TEXTJOIN(""/"",1,FILTER($B$51:$IV$51,$B$50:$IV$50=JC$97)),"" "")")," ")</f>
        <v> </v>
      </c>
      <c r="JD86" s="48" t="str">
        <f>IFERROR(__xludf.DUMMYFUNCTION("IFERROR(TEXTJOIN(""/"",1,FILTER($B$51:$IV$51,$B$50:$IV$50=JD$97)),"" "")")," ")</f>
        <v> </v>
      </c>
      <c r="JE86" s="48" t="str">
        <f>IFERROR(__xludf.DUMMYFUNCTION("IFERROR(TEXTJOIN(""/"",1,FILTER($B$51:$IV$51,$B$50:$IV$50=JE$97)),"" "")")," ")</f>
        <v> </v>
      </c>
    </row>
    <row r="87">
      <c r="A87" s="42"/>
      <c r="B87" s="48" t="str">
        <f>IFERROR(__xludf.DUMMYFUNCTION("IFERROR(TEXTJOIN(""/"",1,FILTER($B$54:$IV$54,$B$53:$IV$53=B$97)),"" "")")," ")</f>
        <v> </v>
      </c>
      <c r="C87" s="48" t="str">
        <f>IFERROR(__xludf.DUMMYFUNCTION("IFERROR(TEXTJOIN(""/"",1,FILTER($B$54:$IV$54,$B$53:$IV$53=C$97)),"" "")")," ")</f>
        <v> </v>
      </c>
      <c r="D87" s="48" t="str">
        <f>IFERROR(__xludf.DUMMYFUNCTION("IFERROR(TEXTJOIN(""/"",1,FILTER($B$54:$IV$54,$B$53:$IV$53=D$97)),"" "")")," ")</f>
        <v> </v>
      </c>
      <c r="E87" s="48" t="str">
        <f>IFERROR(__xludf.DUMMYFUNCTION("IFERROR(TEXTJOIN(""/"",1,FILTER($B$54:$IV$54,$B$53:$IV$53=E$97)),"" "")")," ")</f>
        <v> </v>
      </c>
      <c r="F87" s="48" t="str">
        <f>IFERROR(__xludf.DUMMYFUNCTION("IFERROR(TEXTJOIN(""/"",1,FILTER($B$54:$IV$54,$B$53:$IV$53=F$97)),"" "")")," ")</f>
        <v> </v>
      </c>
      <c r="G87" s="48" t="str">
        <f>IFERROR(__xludf.DUMMYFUNCTION("IFERROR(TEXTJOIN(""/"",1,FILTER($B$54:$IV$54,$B$53:$IV$53=G$97)),"" "")")," ")</f>
        <v> </v>
      </c>
      <c r="H87" s="48" t="str">
        <f>IFERROR(__xludf.DUMMYFUNCTION("IFERROR(TEXTJOIN(""/"",1,FILTER($B$54:$IV$54,$B$53:$IV$53=H$97)),"" "")")," ")</f>
        <v> </v>
      </c>
      <c r="I87" s="48" t="str">
        <f>IFERROR(__xludf.DUMMYFUNCTION("IFERROR(TEXTJOIN(""/"",1,FILTER($B$54:$IV$54,$B$53:$IV$53=I$97)),"" "")")," ")</f>
        <v> </v>
      </c>
      <c r="J87" s="48" t="str">
        <f>IFERROR(__xludf.DUMMYFUNCTION("IFERROR(TEXTJOIN(""/"",1,FILTER($B$54:$IV$54,$B$53:$IV$53=J$97)),"" "")")," ")</f>
        <v> </v>
      </c>
      <c r="K87" s="48" t="str">
        <f>IFERROR(__xludf.DUMMYFUNCTION("IFERROR(TEXTJOIN(""/"",1,FILTER($B$54:$IV$54,$B$53:$IV$53=K$97)),"" "")")," ")</f>
        <v> </v>
      </c>
      <c r="L87" s="48" t="str">
        <f>IFERROR(__xludf.DUMMYFUNCTION("IFERROR(TEXTJOIN(""/"",1,FILTER($B$54:$IV$54,$B$53:$IV$53=L$97)),"" "")")," ")</f>
        <v> </v>
      </c>
      <c r="M87" s="48" t="str">
        <f>IFERROR(__xludf.DUMMYFUNCTION("IFERROR(TEXTJOIN(""/"",1,FILTER($B$54:$IV$54,$B$53:$IV$53=M$97)),"" "")")," ")</f>
        <v> </v>
      </c>
      <c r="N87" s="48" t="str">
        <f>IFERROR(__xludf.DUMMYFUNCTION("IFERROR(TEXTJOIN(""/"",1,FILTER($B$54:$IV$54,$B$53:$IV$53=N$97)),"" "")")," ")</f>
        <v> </v>
      </c>
      <c r="O87" s="48" t="str">
        <f>IFERROR(__xludf.DUMMYFUNCTION("IFERROR(TEXTJOIN(""/"",1,FILTER($B$54:$IV$54,$B$53:$IV$53=O$97)),"" "")")," ")</f>
        <v> </v>
      </c>
      <c r="P87" s="48" t="str">
        <f>IFERROR(__xludf.DUMMYFUNCTION("IFERROR(TEXTJOIN(""/"",1,FILTER($B$54:$IV$54,$B$53:$IV$53=P$97)),"" "")")," ")</f>
        <v> </v>
      </c>
      <c r="Q87" s="48" t="str">
        <f>IFERROR(__xludf.DUMMYFUNCTION("IFERROR(TEXTJOIN(""/"",1,FILTER($B$54:$IV$54,$B$53:$IV$53=Q$97)),"" "")")," ")</f>
        <v> </v>
      </c>
      <c r="R87" s="48" t="str">
        <f>IFERROR(__xludf.DUMMYFUNCTION("IFERROR(TEXTJOIN(""/"",1,FILTER($B$54:$IV$54,$B$53:$IV$53=R$97)),"" "")")," ")</f>
        <v> </v>
      </c>
      <c r="S87" s="48" t="str">
        <f>IFERROR(__xludf.DUMMYFUNCTION("IFERROR(TEXTJOIN(""/"",1,FILTER($B$54:$IV$54,$B$53:$IV$53=S$97)),"" "")")," ")</f>
        <v> </v>
      </c>
      <c r="T87" s="48" t="str">
        <f>IFERROR(__xludf.DUMMYFUNCTION("IFERROR(TEXTJOIN(""/"",1,FILTER($B$54:$IV$54,$B$53:$IV$53=T$97)),"" "")")," ")</f>
        <v> </v>
      </c>
      <c r="U87" s="48" t="str">
        <f>IFERROR(__xludf.DUMMYFUNCTION("IFERROR(TEXTJOIN(""/"",1,FILTER($B$54:$IV$54,$B$53:$IV$53=U$97)),"" "")")," ")</f>
        <v> </v>
      </c>
      <c r="V87" s="48" t="str">
        <f>IFERROR(__xludf.DUMMYFUNCTION("IFERROR(TEXTJOIN(""/"",1,FILTER($B$54:$IV$54,$B$53:$IV$53=V$97)),"" "")")," ")</f>
        <v> </v>
      </c>
      <c r="W87" s="48" t="str">
        <f>IFERROR(__xludf.DUMMYFUNCTION("IFERROR(TEXTJOIN(""/"",1,FILTER($B$54:$IV$54,$B$53:$IV$53=W$97)),"" "")")," ")</f>
        <v> </v>
      </c>
      <c r="X87" s="48" t="str">
        <f>IFERROR(__xludf.DUMMYFUNCTION("IFERROR(TEXTJOIN(""/"",1,FILTER($B$54:$IV$54,$B$53:$IV$53=X$97)),"" "")")," ")</f>
        <v> </v>
      </c>
      <c r="Y87" s="48" t="str">
        <f>IFERROR(__xludf.DUMMYFUNCTION("IFERROR(TEXTJOIN(""/"",1,FILTER($B$54:$IV$54,$B$53:$IV$53=Y$97)),"" "")")," ")</f>
        <v> </v>
      </c>
      <c r="Z87" s="48" t="str">
        <f>IFERROR(__xludf.DUMMYFUNCTION("IFERROR(TEXTJOIN(""/"",1,FILTER($B$54:$IV$54,$B$53:$IV$53=Z$97)),"" "")")," ")</f>
        <v> </v>
      </c>
      <c r="AA87" s="48" t="str">
        <f>IFERROR(__xludf.DUMMYFUNCTION("IFERROR(TEXTJOIN(""/"",1,FILTER($B$54:$IV$54,$B$53:$IV$53=AA$97)),"" "")")," ")</f>
        <v> </v>
      </c>
      <c r="AB87" s="48" t="str">
        <f>IFERROR(__xludf.DUMMYFUNCTION("IFERROR(TEXTJOIN(""/"",1,FILTER($B$54:$IV$54,$B$53:$IV$53=AB$97)),"" "")")," ")</f>
        <v> </v>
      </c>
      <c r="AC87" s="48" t="str">
        <f>IFERROR(__xludf.DUMMYFUNCTION("IFERROR(TEXTJOIN(""/"",1,FILTER($B$54:$IV$54,$B$53:$IV$53=AC$97)),"" "")")," ")</f>
        <v> </v>
      </c>
      <c r="AD87" s="48" t="str">
        <f>IFERROR(__xludf.DUMMYFUNCTION("IFERROR(TEXTJOIN(""/"",1,FILTER($B$54:$IV$54,$B$53:$IV$53=AD$97)),"" "")")," ")</f>
        <v> </v>
      </c>
      <c r="AE87" s="48" t="str">
        <f>IFERROR(__xludf.DUMMYFUNCTION("IFERROR(TEXTJOIN(""/"",1,FILTER($B$54:$IV$54,$B$53:$IV$53=AE$97)),"" "")")," ")</f>
        <v> </v>
      </c>
      <c r="AF87" s="48" t="str">
        <f>IFERROR(__xludf.DUMMYFUNCTION("IFERROR(TEXTJOIN(""/"",1,FILTER($B$54:$IV$54,$B$53:$IV$53=AF$97)),"" "")")," ")</f>
        <v> </v>
      </c>
      <c r="AG87" s="48" t="str">
        <f>IFERROR(__xludf.DUMMYFUNCTION("IFERROR(TEXTJOIN(""/"",1,FILTER($B$54:$IV$54,$B$53:$IV$53=AG$97)),"" "")")," ")</f>
        <v> </v>
      </c>
      <c r="AH87" s="48" t="str">
        <f>IFERROR(__xludf.DUMMYFUNCTION("IFERROR(TEXTJOIN(""/"",1,FILTER($B$54:$IV$54,$B$53:$IV$53=AH$97)),"" "")")," ")</f>
        <v> </v>
      </c>
      <c r="AI87" s="48" t="str">
        <f>IFERROR(__xludf.DUMMYFUNCTION("IFERROR(TEXTJOIN(""/"",1,FILTER($B$54:$IV$54,$B$53:$IV$53=AI$97)),"" "")")," ")</f>
        <v> </v>
      </c>
      <c r="AJ87" s="48" t="str">
        <f>IFERROR(__xludf.DUMMYFUNCTION("IFERROR(TEXTJOIN(""/"",1,FILTER($B$54:$IV$54,$B$53:$IV$53=AJ$97)),"" "")")," ")</f>
        <v> </v>
      </c>
      <c r="AK87" s="48" t="str">
        <f>IFERROR(__xludf.DUMMYFUNCTION("IFERROR(TEXTJOIN(""/"",1,FILTER($B$54:$IV$54,$B$53:$IV$53=AK$97)),"" "")")," ")</f>
        <v> </v>
      </c>
      <c r="AL87" s="48" t="str">
        <f>IFERROR(__xludf.DUMMYFUNCTION("IFERROR(TEXTJOIN(""/"",1,FILTER($B$54:$IV$54,$B$53:$IV$53=AL$97)),"" "")")," ")</f>
        <v> </v>
      </c>
      <c r="AM87" s="48" t="str">
        <f>IFERROR(__xludf.DUMMYFUNCTION("IFERROR(TEXTJOIN(""/"",1,FILTER($B$54:$IV$54,$B$53:$IV$53=AM$97)),"" "")")," ")</f>
        <v> </v>
      </c>
      <c r="AN87" s="48" t="str">
        <f>IFERROR(__xludf.DUMMYFUNCTION("IFERROR(TEXTJOIN(""/"",1,FILTER($B$54:$IV$54,$B$53:$IV$53=AN$97)),"" "")")," ")</f>
        <v> </v>
      </c>
      <c r="AO87" s="48" t="str">
        <f>IFERROR(__xludf.DUMMYFUNCTION("IFERROR(TEXTJOIN(""/"",1,FILTER($B$54:$IV$54,$B$53:$IV$53=AO$97)),"" "")")," ")</f>
        <v> </v>
      </c>
      <c r="AP87" s="48" t="str">
        <f>IFERROR(__xludf.DUMMYFUNCTION("IFERROR(TEXTJOIN(""/"",1,FILTER($B$54:$IV$54,$B$53:$IV$53=AP$97)),"" "")")," ")</f>
        <v> </v>
      </c>
      <c r="AQ87" s="48" t="str">
        <f>IFERROR(__xludf.DUMMYFUNCTION("IFERROR(TEXTJOIN(""/"",1,FILTER($B$54:$IV$54,$B$53:$IV$53=AQ$97)),"" "")")," ")</f>
        <v> </v>
      </c>
      <c r="AR87" s="48" t="str">
        <f>IFERROR(__xludf.DUMMYFUNCTION("IFERROR(TEXTJOIN(""/"",1,FILTER($B$54:$IV$54,$B$53:$IV$53=AR$97)),"" "")")," ")</f>
        <v> </v>
      </c>
      <c r="AS87" s="48" t="str">
        <f>IFERROR(__xludf.DUMMYFUNCTION("IFERROR(TEXTJOIN(""/"",1,FILTER($B$54:$IV$54,$B$53:$IV$53=AS$97)),"" "")")," ")</f>
        <v> </v>
      </c>
      <c r="AT87" s="48" t="str">
        <f>IFERROR(__xludf.DUMMYFUNCTION("IFERROR(TEXTJOIN(""/"",1,FILTER($B$54:$IV$54,$B$53:$IV$53=AT$97)),"" "")")," ")</f>
        <v> </v>
      </c>
      <c r="AU87" s="48" t="str">
        <f>IFERROR(__xludf.DUMMYFUNCTION("IFERROR(TEXTJOIN(""/"",1,FILTER($B$54:$IV$54,$B$53:$IV$53=AU$97)),"" "")")," ")</f>
        <v> </v>
      </c>
      <c r="AV87" s="48" t="str">
        <f>IFERROR(__xludf.DUMMYFUNCTION("IFERROR(TEXTJOIN(""/"",1,FILTER($B$54:$IV$54,$B$53:$IV$53=AV$97)),"" "")")," ")</f>
        <v> </v>
      </c>
      <c r="AW87" s="48" t="str">
        <f>IFERROR(__xludf.DUMMYFUNCTION("IFERROR(TEXTJOIN(""/"",1,FILTER($B$54:$IV$54,$B$53:$IV$53=AW$97)),"" "")")," ")</f>
        <v> </v>
      </c>
      <c r="AX87" s="48" t="str">
        <f>IFERROR(__xludf.DUMMYFUNCTION("IFERROR(TEXTJOIN(""/"",1,FILTER($B$54:$IV$54,$B$53:$IV$53=AX$97)),"" "")")," ")</f>
        <v> </v>
      </c>
      <c r="AY87" s="48" t="str">
        <f>IFERROR(__xludf.DUMMYFUNCTION("IFERROR(TEXTJOIN(""/"",1,FILTER($B$54:$IV$54,$B$53:$IV$53=AY$97)),"" "")")," ")</f>
        <v> </v>
      </c>
      <c r="AZ87" s="48" t="str">
        <f>IFERROR(__xludf.DUMMYFUNCTION("IFERROR(TEXTJOIN(""/"",1,FILTER($B$54:$IV$54,$B$53:$IV$53=AZ$97)),"" "")")," ")</f>
        <v> </v>
      </c>
      <c r="BA87" s="48" t="str">
        <f>IFERROR(__xludf.DUMMYFUNCTION("IFERROR(TEXTJOIN(""/"",1,FILTER($B$54:$IV$54,$B$53:$IV$53=BA$97)),"" "")")," ")</f>
        <v> </v>
      </c>
      <c r="BB87" s="48" t="str">
        <f>IFERROR(__xludf.DUMMYFUNCTION("IFERROR(TEXTJOIN(""/"",1,FILTER($B$54:$IV$54,$B$53:$IV$53=BB$97)),"" "")")," ")</f>
        <v> </v>
      </c>
      <c r="BC87" s="48" t="str">
        <f>IFERROR(__xludf.DUMMYFUNCTION("IFERROR(TEXTJOIN(""/"",1,FILTER($B$54:$IV$54,$B$53:$IV$53=BC$97)),"" "")")," ")</f>
        <v> </v>
      </c>
      <c r="BD87" s="48" t="str">
        <f>IFERROR(__xludf.DUMMYFUNCTION("IFERROR(TEXTJOIN(""/"",1,FILTER($B$54:$IV$54,$B$53:$IV$53=BD$97)),"" "")")," ")</f>
        <v> </v>
      </c>
      <c r="BE87" s="48" t="str">
        <f>IFERROR(__xludf.DUMMYFUNCTION("IFERROR(TEXTJOIN(""/"",1,FILTER($B$54:$IV$54,$B$53:$IV$53=BE$97)),"" "")")," ")</f>
        <v> </v>
      </c>
      <c r="BF87" s="48" t="str">
        <f>IFERROR(__xludf.DUMMYFUNCTION("IFERROR(TEXTJOIN(""/"",1,FILTER($B$54:$IV$54,$B$53:$IV$53=BF$97)),"" "")")," ")</f>
        <v> </v>
      </c>
      <c r="BG87" s="48" t="str">
        <f>IFERROR(__xludf.DUMMYFUNCTION("IFERROR(TEXTJOIN(""/"",1,FILTER($B$54:$IV$54,$B$53:$IV$53=BG$97)),"" "")")," ")</f>
        <v> </v>
      </c>
      <c r="BH87" s="48" t="str">
        <f>IFERROR(__xludf.DUMMYFUNCTION("IFERROR(TEXTJOIN(""/"",1,FILTER($B$54:$IV$54,$B$53:$IV$53=BH$97)),"" "")")," ")</f>
        <v> </v>
      </c>
      <c r="BI87" s="48" t="str">
        <f>IFERROR(__xludf.DUMMYFUNCTION("IFERROR(TEXTJOIN(""/"",1,FILTER($B$54:$IV$54,$B$53:$IV$53=BI$97)),"" "")")," ")</f>
        <v> </v>
      </c>
      <c r="BJ87" s="48" t="str">
        <f>IFERROR(__xludf.DUMMYFUNCTION("IFERROR(TEXTJOIN(""/"",1,FILTER($B$54:$IV$54,$B$53:$IV$53=BJ$97)),"" "")")," ")</f>
        <v> </v>
      </c>
      <c r="BK87" s="48" t="str">
        <f>IFERROR(__xludf.DUMMYFUNCTION("IFERROR(TEXTJOIN(""/"",1,FILTER($B$54:$IV$54,$B$53:$IV$53=BK$97)),"" "")")," ")</f>
        <v> </v>
      </c>
      <c r="BL87" s="48" t="str">
        <f>IFERROR(__xludf.DUMMYFUNCTION("IFERROR(TEXTJOIN(""/"",1,FILTER($B$54:$IV$54,$B$53:$IV$53=BL$97)),"" "")")," ")</f>
        <v> </v>
      </c>
      <c r="BM87" s="48" t="str">
        <f>IFERROR(__xludf.DUMMYFUNCTION("IFERROR(TEXTJOIN(""/"",1,FILTER($B$54:$IV$54,$B$53:$IV$53=BM$97)),"" "")")," ")</f>
        <v> </v>
      </c>
      <c r="BN87" s="48" t="str">
        <f>IFERROR(__xludf.DUMMYFUNCTION("IFERROR(TEXTJOIN(""/"",1,FILTER($B$54:$IV$54,$B$53:$IV$53=BN$97)),"" "")")," ")</f>
        <v> </v>
      </c>
      <c r="BO87" s="48" t="str">
        <f>IFERROR(__xludf.DUMMYFUNCTION("IFERROR(TEXTJOIN(""/"",1,FILTER($B$54:$IV$54,$B$53:$IV$53=BO$97)),"" "")")," ")</f>
        <v> </v>
      </c>
      <c r="BP87" s="48" t="str">
        <f>IFERROR(__xludf.DUMMYFUNCTION("IFERROR(TEXTJOIN(""/"",1,FILTER($B$54:$IV$54,$B$53:$IV$53=BP$97)),"" "")")," ")</f>
        <v> </v>
      </c>
      <c r="BQ87" s="48" t="str">
        <f>IFERROR(__xludf.DUMMYFUNCTION("IFERROR(TEXTJOIN(""/"",1,FILTER($B$54:$IV$54,$B$53:$IV$53=BQ$97)),"" "")")," ")</f>
        <v> </v>
      </c>
      <c r="BR87" s="48" t="str">
        <f>IFERROR(__xludf.DUMMYFUNCTION("IFERROR(TEXTJOIN(""/"",1,FILTER($B$54:$IV$54,$B$53:$IV$53=BR$97)),"" "")")," ")</f>
        <v> </v>
      </c>
      <c r="BS87" s="48" t="str">
        <f>IFERROR(__xludf.DUMMYFUNCTION("IFERROR(TEXTJOIN(""/"",1,FILTER($B$54:$IV$54,$B$53:$IV$53=BS$97)),"" "")")," ")</f>
        <v> </v>
      </c>
      <c r="BT87" s="48" t="str">
        <f>IFERROR(__xludf.DUMMYFUNCTION("IFERROR(TEXTJOIN(""/"",1,FILTER($B$54:$IV$54,$B$53:$IV$53=BT$97)),"" "")")," ")</f>
        <v> </v>
      </c>
      <c r="BU87" s="48" t="str">
        <f>IFERROR(__xludf.DUMMYFUNCTION("IFERROR(TEXTJOIN(""/"",1,FILTER($B$54:$IV$54,$B$53:$IV$53=BU$97)),"" "")")," ")</f>
        <v> </v>
      </c>
      <c r="BV87" s="48" t="str">
        <f>IFERROR(__xludf.DUMMYFUNCTION("IFERROR(TEXTJOIN(""/"",1,FILTER($B$54:$IV$54,$B$53:$IV$53=BV$97)),"" "")")," ")</f>
        <v> </v>
      </c>
      <c r="BW87" s="48" t="str">
        <f>IFERROR(__xludf.DUMMYFUNCTION("IFERROR(TEXTJOIN(""/"",1,FILTER($B$54:$IV$54,$B$53:$IV$53=BW$97)),"" "")")," ")</f>
        <v> </v>
      </c>
      <c r="BX87" s="48" t="str">
        <f>IFERROR(__xludf.DUMMYFUNCTION("IFERROR(TEXTJOIN(""/"",1,FILTER($B$54:$IV$54,$B$53:$IV$53=BX$97)),"" "")")," ")</f>
        <v> </v>
      </c>
      <c r="BY87" s="48" t="str">
        <f>IFERROR(__xludf.DUMMYFUNCTION("IFERROR(TEXTJOIN(""/"",1,FILTER($B$54:$IV$54,$B$53:$IV$53=BY$97)),"" "")")," ")</f>
        <v> </v>
      </c>
      <c r="BZ87" s="48" t="str">
        <f>IFERROR(__xludf.DUMMYFUNCTION("IFERROR(TEXTJOIN(""/"",1,FILTER($B$54:$IV$54,$B$53:$IV$53=BZ$97)),"" "")")," ")</f>
        <v> </v>
      </c>
      <c r="CA87" s="48" t="str">
        <f>IFERROR(__xludf.DUMMYFUNCTION("IFERROR(TEXTJOIN(""/"",1,FILTER($B$54:$IV$54,$B$53:$IV$53=CA$97)),"" "")")," ")</f>
        <v> </v>
      </c>
      <c r="CB87" s="48" t="str">
        <f>IFERROR(__xludf.DUMMYFUNCTION("IFERROR(TEXTJOIN(""/"",1,FILTER($B$54:$IV$54,$B$53:$IV$53=CB$97)),"" "")")," ")</f>
        <v> </v>
      </c>
      <c r="CC87" s="48" t="str">
        <f>IFERROR(__xludf.DUMMYFUNCTION("IFERROR(TEXTJOIN(""/"",1,FILTER($B$54:$IV$54,$B$53:$IV$53=CC$97)),"" "")")," ")</f>
        <v> </v>
      </c>
      <c r="CD87" s="48" t="str">
        <f>IFERROR(__xludf.DUMMYFUNCTION("IFERROR(TEXTJOIN(""/"",1,FILTER($B$54:$IV$54,$B$53:$IV$53=CD$97)),"" "")")," ")</f>
        <v> </v>
      </c>
      <c r="CE87" s="48" t="str">
        <f>IFERROR(__xludf.DUMMYFUNCTION("IFERROR(TEXTJOIN(""/"",1,FILTER($B$54:$IV$54,$B$53:$IV$53=CE$97)),"" "")")," ")</f>
        <v> </v>
      </c>
      <c r="CF87" s="48" t="str">
        <f>IFERROR(__xludf.DUMMYFUNCTION("IFERROR(TEXTJOIN(""/"",1,FILTER($B$54:$IV$54,$B$53:$IV$53=CF$97)),"" "")")," ")</f>
        <v> </v>
      </c>
      <c r="CG87" s="48" t="str">
        <f>IFERROR(__xludf.DUMMYFUNCTION("IFERROR(TEXTJOIN(""/"",1,FILTER($B$54:$IV$54,$B$53:$IV$53=CG$97)),"" "")")," ")</f>
        <v> </v>
      </c>
      <c r="CH87" s="48" t="str">
        <f>IFERROR(__xludf.DUMMYFUNCTION("IFERROR(TEXTJOIN(""/"",1,FILTER($B$54:$IV$54,$B$53:$IV$53=CH$97)),"" "")")," ")</f>
        <v> </v>
      </c>
      <c r="CI87" s="48" t="str">
        <f>IFERROR(__xludf.DUMMYFUNCTION("IFERROR(TEXTJOIN(""/"",1,FILTER($B$54:$IV$54,$B$53:$IV$53=CI$97)),"" "")")," ")</f>
        <v> </v>
      </c>
      <c r="CJ87" s="48" t="str">
        <f>IFERROR(__xludf.DUMMYFUNCTION("IFERROR(TEXTJOIN(""/"",1,FILTER($B$54:$IV$54,$B$53:$IV$53=CJ$97)),"" "")")," ")</f>
        <v> </v>
      </c>
      <c r="CK87" s="48" t="str">
        <f>IFERROR(__xludf.DUMMYFUNCTION("IFERROR(TEXTJOIN(""/"",1,FILTER($B$54:$IV$54,$B$53:$IV$53=CK$97)),"" "")")," ")</f>
        <v> </v>
      </c>
      <c r="CL87" s="48" t="str">
        <f>IFERROR(__xludf.DUMMYFUNCTION("IFERROR(TEXTJOIN(""/"",1,FILTER($B$54:$IV$54,$B$53:$IV$53=CL$97)),"" "")")," ")</f>
        <v> </v>
      </c>
      <c r="CM87" s="48" t="str">
        <f>IFERROR(__xludf.DUMMYFUNCTION("IFERROR(TEXTJOIN(""/"",1,FILTER($B$54:$IV$54,$B$53:$IV$53=CM$97)),"" "")")," ")</f>
        <v> </v>
      </c>
      <c r="CN87" s="48" t="str">
        <f>IFERROR(__xludf.DUMMYFUNCTION("IFERROR(TEXTJOIN(""/"",1,FILTER($B$54:$IV$54,$B$53:$IV$53=CN$97)),"" "")")," ")</f>
        <v> </v>
      </c>
      <c r="CO87" s="48" t="str">
        <f>IFERROR(__xludf.DUMMYFUNCTION("IFERROR(TEXTJOIN(""/"",1,FILTER($B$54:$IV$54,$B$53:$IV$53=CO$97)),"" "")")," ")</f>
        <v> </v>
      </c>
      <c r="CP87" s="48" t="str">
        <f>IFERROR(__xludf.DUMMYFUNCTION("IFERROR(TEXTJOIN(""/"",1,FILTER($B$54:$IV$54,$B$53:$IV$53=CP$97)),"" "")")," ")</f>
        <v> </v>
      </c>
      <c r="CQ87" s="48" t="str">
        <f>IFERROR(__xludf.DUMMYFUNCTION("IFERROR(TEXTJOIN(""/"",1,FILTER($B$54:$IV$54,$B$53:$IV$53=CQ$97)),"" "")")," ")</f>
        <v> </v>
      </c>
      <c r="CR87" s="48" t="str">
        <f>IFERROR(__xludf.DUMMYFUNCTION("IFERROR(TEXTJOIN(""/"",1,FILTER($B$54:$IV$54,$B$53:$IV$53=CR$97)),"" "")")," ")</f>
        <v> </v>
      </c>
      <c r="CS87" s="48" t="str">
        <f>IFERROR(__xludf.DUMMYFUNCTION("IFERROR(TEXTJOIN(""/"",1,FILTER($B$54:$IV$54,$B$53:$IV$53=CS$97)),"" "")")," ")</f>
        <v> </v>
      </c>
      <c r="CT87" s="48" t="str">
        <f>IFERROR(__xludf.DUMMYFUNCTION("IFERROR(TEXTJOIN(""/"",1,FILTER($B$54:$IV$54,$B$53:$IV$53=CT$97)),"" "")")," ")</f>
        <v> </v>
      </c>
      <c r="CU87" s="48" t="str">
        <f>IFERROR(__xludf.DUMMYFUNCTION("IFERROR(TEXTJOIN(""/"",1,FILTER($B$54:$IV$54,$B$53:$IV$53=CU$97)),"" "")")," ")</f>
        <v> </v>
      </c>
      <c r="CV87" s="48" t="str">
        <f>IFERROR(__xludf.DUMMYFUNCTION("IFERROR(TEXTJOIN(""/"",1,FILTER($B$54:$IV$54,$B$53:$IV$53=CV$97)),"" "")")," ")</f>
        <v> </v>
      </c>
      <c r="CW87" s="48" t="str">
        <f>IFERROR(__xludf.DUMMYFUNCTION("IFERROR(TEXTJOIN(""/"",1,FILTER($B$54:$IV$54,$B$53:$IV$53=CW$97)),"" "")")," ")</f>
        <v> </v>
      </c>
      <c r="CX87" s="48" t="str">
        <f>IFERROR(__xludf.DUMMYFUNCTION("IFERROR(TEXTJOIN(""/"",1,FILTER($B$54:$IV$54,$B$53:$IV$53=CX$97)),"" "")")," ")</f>
        <v> </v>
      </c>
      <c r="CY87" s="48" t="str">
        <f>IFERROR(__xludf.DUMMYFUNCTION("IFERROR(TEXTJOIN(""/"",1,FILTER($B$54:$IV$54,$B$53:$IV$53=CY$97)),"" "")")," ")</f>
        <v> </v>
      </c>
      <c r="CZ87" s="48" t="str">
        <f>IFERROR(__xludf.DUMMYFUNCTION("IFERROR(TEXTJOIN(""/"",1,FILTER($B$54:$IV$54,$B$53:$IV$53=CZ$97)),"" "")")," ")</f>
        <v> </v>
      </c>
      <c r="DA87" s="48" t="str">
        <f>IFERROR(__xludf.DUMMYFUNCTION("IFERROR(TEXTJOIN(""/"",1,FILTER($B$54:$IV$54,$B$53:$IV$53=DA$97)),"" "")")," ")</f>
        <v> </v>
      </c>
      <c r="DB87" s="48" t="str">
        <f>IFERROR(__xludf.DUMMYFUNCTION("IFERROR(TEXTJOIN(""/"",1,FILTER($B$54:$IV$54,$B$53:$IV$53=DB$97)),"" "")")," ")</f>
        <v> </v>
      </c>
      <c r="DC87" s="48" t="str">
        <f>IFERROR(__xludf.DUMMYFUNCTION("IFERROR(TEXTJOIN(""/"",1,FILTER($B$54:$IV$54,$B$53:$IV$53=DC$97)),"" "")")," ")</f>
        <v> </v>
      </c>
      <c r="DD87" s="48" t="str">
        <f>IFERROR(__xludf.DUMMYFUNCTION("IFERROR(TEXTJOIN(""/"",1,FILTER($B$54:$IV$54,$B$53:$IV$53=DD$97)),"" "")")," ")</f>
        <v> </v>
      </c>
      <c r="DE87" s="48" t="str">
        <f>IFERROR(__xludf.DUMMYFUNCTION("IFERROR(TEXTJOIN(""/"",1,FILTER($B$54:$IV$54,$B$53:$IV$53=DE$97)),"" "")")," ")</f>
        <v> </v>
      </c>
      <c r="DF87" s="48" t="str">
        <f>IFERROR(__xludf.DUMMYFUNCTION("IFERROR(TEXTJOIN(""/"",1,FILTER($B$54:$IV$54,$B$53:$IV$53=DF$97)),"" "")")," ")</f>
        <v> </v>
      </c>
      <c r="DG87" s="48" t="str">
        <f>IFERROR(__xludf.DUMMYFUNCTION("IFERROR(TEXTJOIN(""/"",1,FILTER($B$54:$IV$54,$B$53:$IV$53=DG$97)),"" "")")," ")</f>
        <v> </v>
      </c>
      <c r="DH87" s="48" t="str">
        <f>IFERROR(__xludf.DUMMYFUNCTION("IFERROR(TEXTJOIN(""/"",1,FILTER($B$54:$IV$54,$B$53:$IV$53=DH$97)),"" "")")," ")</f>
        <v> </v>
      </c>
      <c r="DI87" s="48" t="str">
        <f>IFERROR(__xludf.DUMMYFUNCTION("IFERROR(TEXTJOIN(""/"",1,FILTER($B$54:$IV$54,$B$53:$IV$53=DI$97)),"" "")")," ")</f>
        <v> </v>
      </c>
      <c r="DJ87" s="48" t="str">
        <f>IFERROR(__xludf.DUMMYFUNCTION("IFERROR(TEXTJOIN(""/"",1,FILTER($B$54:$IV$54,$B$53:$IV$53=DJ$97)),"" "")")," ")</f>
        <v> </v>
      </c>
      <c r="DK87" s="48" t="str">
        <f>IFERROR(__xludf.DUMMYFUNCTION("IFERROR(TEXTJOIN(""/"",1,FILTER($B$54:$IV$54,$B$53:$IV$53=DK$97)),"" "")")," ")</f>
        <v> </v>
      </c>
      <c r="DL87" s="48" t="str">
        <f>IFERROR(__xludf.DUMMYFUNCTION("IFERROR(TEXTJOIN(""/"",1,FILTER($B$54:$IV$54,$B$53:$IV$53=DL$97)),"" "")")," ")</f>
        <v> </v>
      </c>
      <c r="DM87" s="48" t="str">
        <f>IFERROR(__xludf.DUMMYFUNCTION("IFERROR(TEXTJOIN(""/"",1,FILTER($B$54:$IV$54,$B$53:$IV$53=DM$97)),"" "")")," ")</f>
        <v> </v>
      </c>
      <c r="DN87" s="48" t="str">
        <f>IFERROR(__xludf.DUMMYFUNCTION("IFERROR(TEXTJOIN(""/"",1,FILTER($B$54:$IV$54,$B$53:$IV$53=DN$97)),"" "")")," ")</f>
        <v> </v>
      </c>
      <c r="DO87" s="48" t="str">
        <f>IFERROR(__xludf.DUMMYFUNCTION("IFERROR(TEXTJOIN(""/"",1,FILTER($B$54:$IV$54,$B$53:$IV$53=DO$97)),"" "")")," ")</f>
        <v> </v>
      </c>
      <c r="DP87" s="48" t="str">
        <f>IFERROR(__xludf.DUMMYFUNCTION("IFERROR(TEXTJOIN(""/"",1,FILTER($B$54:$IV$54,$B$53:$IV$53=DP$97)),"" "")")," ")</f>
        <v> </v>
      </c>
      <c r="DQ87" s="48" t="str">
        <f>IFERROR(__xludf.DUMMYFUNCTION("IFERROR(TEXTJOIN(""/"",1,FILTER($B$54:$IV$54,$B$53:$IV$53=DQ$97)),"" "")")," ")</f>
        <v> </v>
      </c>
      <c r="DR87" s="48" t="str">
        <f>IFERROR(__xludf.DUMMYFUNCTION("IFERROR(TEXTJOIN(""/"",1,FILTER($B$54:$IV$54,$B$53:$IV$53=DR$97)),"" "")")," ")</f>
        <v> </v>
      </c>
      <c r="DS87" s="48" t="str">
        <f>IFERROR(__xludf.DUMMYFUNCTION("IFERROR(TEXTJOIN(""/"",1,FILTER($B$54:$IV$54,$B$53:$IV$53=DS$97)),"" "")")," ")</f>
        <v> </v>
      </c>
      <c r="DT87" s="48" t="str">
        <f>IFERROR(__xludf.DUMMYFUNCTION("IFERROR(TEXTJOIN(""/"",1,FILTER($B$54:$IV$54,$B$53:$IV$53=DT$97)),"" "")")," ")</f>
        <v> </v>
      </c>
      <c r="DU87" s="48" t="str">
        <f>IFERROR(__xludf.DUMMYFUNCTION("IFERROR(TEXTJOIN(""/"",1,FILTER($B$54:$IV$54,$B$53:$IV$53=DU$97)),"" "")")," ")</f>
        <v> </v>
      </c>
      <c r="DV87" s="48" t="str">
        <f>IFERROR(__xludf.DUMMYFUNCTION("IFERROR(TEXTJOIN(""/"",1,FILTER($B$54:$IV$54,$B$53:$IV$53=DV$97)),"" "")")," ")</f>
        <v> </v>
      </c>
      <c r="DW87" s="48" t="str">
        <f>IFERROR(__xludf.DUMMYFUNCTION("IFERROR(TEXTJOIN(""/"",1,FILTER($B$54:$IV$54,$B$53:$IV$53=DW$97)),"" "")")," ")</f>
        <v> </v>
      </c>
      <c r="DX87" s="48" t="str">
        <f>IFERROR(__xludf.DUMMYFUNCTION("IFERROR(TEXTJOIN(""/"",1,FILTER($B$54:$IV$54,$B$53:$IV$53=DX$97)),"" "")")," ")</f>
        <v> </v>
      </c>
      <c r="DY87" s="48" t="str">
        <f>IFERROR(__xludf.DUMMYFUNCTION("IFERROR(TEXTJOIN(""/"",1,FILTER($B$54:$IV$54,$B$53:$IV$53=DY$97)),"" "")")," ")</f>
        <v> </v>
      </c>
      <c r="DZ87" s="48" t="str">
        <f>IFERROR(__xludf.DUMMYFUNCTION("IFERROR(TEXTJOIN(""/"",1,FILTER($B$54:$IV$54,$B$53:$IV$53=DZ$97)),"" "")")," ")</f>
        <v> </v>
      </c>
      <c r="EA87" s="48" t="str">
        <f>IFERROR(__xludf.DUMMYFUNCTION("IFERROR(TEXTJOIN(""/"",1,FILTER($B$54:$IV$54,$B$53:$IV$53=EA$97)),"" "")")," ")</f>
        <v> </v>
      </c>
      <c r="EB87" s="48" t="str">
        <f>IFERROR(__xludf.DUMMYFUNCTION("IFERROR(TEXTJOIN(""/"",1,FILTER($B$54:$IV$54,$B$53:$IV$53=EB$97)),"" "")")," ")</f>
        <v> </v>
      </c>
      <c r="EC87" s="48" t="str">
        <f>IFERROR(__xludf.DUMMYFUNCTION("IFERROR(TEXTJOIN(""/"",1,FILTER($B$54:$IV$54,$B$53:$IV$53=EC$97)),"" "")")," ")</f>
        <v> </v>
      </c>
      <c r="ED87" s="48" t="str">
        <f>IFERROR(__xludf.DUMMYFUNCTION("IFERROR(TEXTJOIN(""/"",1,FILTER($B$54:$IV$54,$B$53:$IV$53=ED$97)),"" "")")," ")</f>
        <v> </v>
      </c>
      <c r="EE87" s="48" t="str">
        <f>IFERROR(__xludf.DUMMYFUNCTION("IFERROR(TEXTJOIN(""/"",1,FILTER($B$54:$IV$54,$B$53:$IV$53=EE$97)),"" "")")," ")</f>
        <v> </v>
      </c>
      <c r="EF87" s="48" t="str">
        <f>IFERROR(__xludf.DUMMYFUNCTION("IFERROR(TEXTJOIN(""/"",1,FILTER($B$54:$IV$54,$B$53:$IV$53=EF$97)),"" "")")," ")</f>
        <v> </v>
      </c>
      <c r="EG87" s="48" t="str">
        <f>IFERROR(__xludf.DUMMYFUNCTION("IFERROR(TEXTJOIN(""/"",1,FILTER($B$54:$IV$54,$B$53:$IV$53=EG$97)),"" "")")," ")</f>
        <v> </v>
      </c>
      <c r="EH87" s="48" t="str">
        <f>IFERROR(__xludf.DUMMYFUNCTION("IFERROR(TEXTJOIN(""/"",1,FILTER($B$54:$IV$54,$B$53:$IV$53=EH$97)),"" "")")," ")</f>
        <v> </v>
      </c>
      <c r="EI87" s="48" t="str">
        <f>IFERROR(__xludf.DUMMYFUNCTION("IFERROR(TEXTJOIN(""/"",1,FILTER($B$54:$IV$54,$B$53:$IV$53=EI$97)),"" "")")," ")</f>
        <v> </v>
      </c>
      <c r="EJ87" s="48" t="str">
        <f>IFERROR(__xludf.DUMMYFUNCTION("IFERROR(TEXTJOIN(""/"",1,FILTER($B$54:$IV$54,$B$53:$IV$53=EJ$97)),"" "")")," ")</f>
        <v> </v>
      </c>
      <c r="EK87" s="48" t="str">
        <f>IFERROR(__xludf.DUMMYFUNCTION("IFERROR(TEXTJOIN(""/"",1,FILTER($B$54:$IV$54,$B$53:$IV$53=EK$97)),"" "")")," ")</f>
        <v> </v>
      </c>
      <c r="EL87" s="48" t="str">
        <f>IFERROR(__xludf.DUMMYFUNCTION("IFERROR(TEXTJOIN(""/"",1,FILTER($B$54:$IV$54,$B$53:$IV$53=EL$97)),"" "")")," ")</f>
        <v> </v>
      </c>
      <c r="EM87" s="48" t="str">
        <f>IFERROR(__xludf.DUMMYFUNCTION("IFERROR(TEXTJOIN(""/"",1,FILTER($B$54:$IV$54,$B$53:$IV$53=EM$97)),"" "")")," ")</f>
        <v> </v>
      </c>
      <c r="EN87" s="48" t="str">
        <f>IFERROR(__xludf.DUMMYFUNCTION("IFERROR(TEXTJOIN(""/"",1,FILTER($B$54:$IV$54,$B$53:$IV$53=EN$97)),"" "")")," ")</f>
        <v> </v>
      </c>
      <c r="EO87" s="48" t="str">
        <f>IFERROR(__xludf.DUMMYFUNCTION("IFERROR(TEXTJOIN(""/"",1,FILTER($B$54:$IV$54,$B$53:$IV$53=EO$97)),"" "")")," ")</f>
        <v> </v>
      </c>
      <c r="EP87" s="48" t="str">
        <f>IFERROR(__xludf.DUMMYFUNCTION("IFERROR(TEXTJOIN(""/"",1,FILTER($B$54:$IV$54,$B$53:$IV$53=EP$97)),"" "")")," ")</f>
        <v> </v>
      </c>
      <c r="EQ87" s="48" t="str">
        <f>IFERROR(__xludf.DUMMYFUNCTION("IFERROR(TEXTJOIN(""/"",1,FILTER($B$54:$IV$54,$B$53:$IV$53=EQ$97)),"" "")")," ")</f>
        <v> </v>
      </c>
      <c r="ER87" s="48" t="str">
        <f>IFERROR(__xludf.DUMMYFUNCTION("IFERROR(TEXTJOIN(""/"",1,FILTER($B$54:$IV$54,$B$53:$IV$53=ER$97)),"" "")")," ")</f>
        <v> </v>
      </c>
      <c r="ES87" s="48" t="str">
        <f>IFERROR(__xludf.DUMMYFUNCTION("IFERROR(TEXTJOIN(""/"",1,FILTER($B$54:$IV$54,$B$53:$IV$53=ES$97)),"" "")")," ")</f>
        <v> </v>
      </c>
      <c r="ET87" s="48" t="str">
        <f>IFERROR(__xludf.DUMMYFUNCTION("IFERROR(TEXTJOIN(""/"",1,FILTER($B$54:$IV$54,$B$53:$IV$53=ET$97)),"" "")")," ")</f>
        <v> </v>
      </c>
      <c r="EU87" s="48" t="str">
        <f>IFERROR(__xludf.DUMMYFUNCTION("IFERROR(TEXTJOIN(""/"",1,FILTER($B$54:$IV$54,$B$53:$IV$53=EU$97)),"" "")")," ")</f>
        <v> </v>
      </c>
      <c r="EV87" s="48" t="str">
        <f>IFERROR(__xludf.DUMMYFUNCTION("IFERROR(TEXTJOIN(""/"",1,FILTER($B$54:$IV$54,$B$53:$IV$53=EV$97)),"" "")")," ")</f>
        <v> </v>
      </c>
      <c r="EW87" s="48" t="str">
        <f>IFERROR(__xludf.DUMMYFUNCTION("IFERROR(TEXTJOIN(""/"",1,FILTER($B$54:$IV$54,$B$53:$IV$53=EW$97)),"" "")")," ")</f>
        <v> </v>
      </c>
      <c r="EX87" s="48" t="str">
        <f>IFERROR(__xludf.DUMMYFUNCTION("IFERROR(TEXTJOIN(""/"",1,FILTER($B$54:$IV$54,$B$53:$IV$53=EX$97)),"" "")")," ")</f>
        <v> </v>
      </c>
      <c r="EY87" s="48" t="str">
        <f>IFERROR(__xludf.DUMMYFUNCTION("IFERROR(TEXTJOIN(""/"",1,FILTER($B$54:$IV$54,$B$53:$IV$53=EY$97)),"" "")")," ")</f>
        <v> </v>
      </c>
      <c r="EZ87" s="48" t="str">
        <f>IFERROR(__xludf.DUMMYFUNCTION("IFERROR(TEXTJOIN(""/"",1,FILTER($B$54:$IV$54,$B$53:$IV$53=EZ$97)),"" "")")," ")</f>
        <v> </v>
      </c>
      <c r="FA87" s="48" t="str">
        <f>IFERROR(__xludf.DUMMYFUNCTION("IFERROR(TEXTJOIN(""/"",1,FILTER($B$54:$IV$54,$B$53:$IV$53=FA$97)),"" "")")," ")</f>
        <v> </v>
      </c>
      <c r="FB87" s="48" t="str">
        <f>IFERROR(__xludf.DUMMYFUNCTION("IFERROR(TEXTJOIN(""/"",1,FILTER($B$54:$IV$54,$B$53:$IV$53=FB$97)),"" "")")," ")</f>
        <v> </v>
      </c>
      <c r="FC87" s="48" t="str">
        <f>IFERROR(__xludf.DUMMYFUNCTION("IFERROR(TEXTJOIN(""/"",1,FILTER($B$54:$IV$54,$B$53:$IV$53=FC$97)),"" "")")," ")</f>
        <v> </v>
      </c>
      <c r="FD87" s="48" t="str">
        <f>IFERROR(__xludf.DUMMYFUNCTION("IFERROR(TEXTJOIN(""/"",1,FILTER($B$54:$IV$54,$B$53:$IV$53=FD$97)),"" "")")," ")</f>
        <v> </v>
      </c>
      <c r="FE87" s="48" t="str">
        <f>IFERROR(__xludf.DUMMYFUNCTION("IFERROR(TEXTJOIN(""/"",1,FILTER($B$54:$IV$54,$B$53:$IV$53=FE$97)),"" "")")," ")</f>
        <v> </v>
      </c>
      <c r="FF87" s="48" t="str">
        <f>IFERROR(__xludf.DUMMYFUNCTION("IFERROR(TEXTJOIN(""/"",1,FILTER($B$54:$IV$54,$B$53:$IV$53=FF$97)),"" "")")," ")</f>
        <v> </v>
      </c>
      <c r="FG87" s="48" t="str">
        <f>IFERROR(__xludf.DUMMYFUNCTION("IFERROR(TEXTJOIN(""/"",1,FILTER($B$54:$IV$54,$B$53:$IV$53=FG$97)),"" "")")," ")</f>
        <v> </v>
      </c>
      <c r="FH87" s="48" t="str">
        <f>IFERROR(__xludf.DUMMYFUNCTION("IFERROR(TEXTJOIN(""/"",1,FILTER($B$54:$IV$54,$B$53:$IV$53=FH$97)),"" "")")," ")</f>
        <v> </v>
      </c>
      <c r="FI87" s="48" t="str">
        <f>IFERROR(__xludf.DUMMYFUNCTION("IFERROR(TEXTJOIN(""/"",1,FILTER($B$54:$IV$54,$B$53:$IV$53=FI$97)),"" "")")," ")</f>
        <v> </v>
      </c>
      <c r="FJ87" s="48" t="str">
        <f>IFERROR(__xludf.DUMMYFUNCTION("IFERROR(TEXTJOIN(""/"",1,FILTER($B$54:$IV$54,$B$53:$IV$53=FJ$97)),"" "")")," ")</f>
        <v> </v>
      </c>
      <c r="FK87" s="48" t="str">
        <f>IFERROR(__xludf.DUMMYFUNCTION("IFERROR(TEXTJOIN(""/"",1,FILTER($B$54:$IV$54,$B$53:$IV$53=FK$97)),"" "")")," ")</f>
        <v> </v>
      </c>
      <c r="FL87" s="48" t="str">
        <f>IFERROR(__xludf.DUMMYFUNCTION("IFERROR(TEXTJOIN(""/"",1,FILTER($B$54:$IV$54,$B$53:$IV$53=FL$97)),"" "")")," ")</f>
        <v> </v>
      </c>
      <c r="FM87" s="48" t="str">
        <f>IFERROR(__xludf.DUMMYFUNCTION("IFERROR(TEXTJOIN(""/"",1,FILTER($B$54:$IV$54,$B$53:$IV$53=FM$97)),"" "")")," ")</f>
        <v> </v>
      </c>
      <c r="FN87" s="48" t="str">
        <f>IFERROR(__xludf.DUMMYFUNCTION("IFERROR(TEXTJOIN(""/"",1,FILTER($B$54:$IV$54,$B$53:$IV$53=FN$97)),"" "")")," ")</f>
        <v> </v>
      </c>
      <c r="FO87" s="48" t="str">
        <f>IFERROR(__xludf.DUMMYFUNCTION("IFERROR(TEXTJOIN(""/"",1,FILTER($B$54:$IV$54,$B$53:$IV$53=FO$97)),"" "")")," ")</f>
        <v> </v>
      </c>
      <c r="FP87" s="48" t="str">
        <f>IFERROR(__xludf.DUMMYFUNCTION("IFERROR(TEXTJOIN(""/"",1,FILTER($B$54:$IV$54,$B$53:$IV$53=FP$97)),"" "")")," ")</f>
        <v> </v>
      </c>
      <c r="FQ87" s="48" t="str">
        <f>IFERROR(__xludf.DUMMYFUNCTION("IFERROR(TEXTJOIN(""/"",1,FILTER($B$54:$IV$54,$B$53:$IV$53=FQ$97)),"" "")")," ")</f>
        <v> </v>
      </c>
      <c r="FR87" s="48" t="str">
        <f>IFERROR(__xludf.DUMMYFUNCTION("IFERROR(TEXTJOIN(""/"",1,FILTER($B$54:$IV$54,$B$53:$IV$53=FR$97)),"" "")")," ")</f>
        <v> </v>
      </c>
      <c r="FS87" s="48" t="str">
        <f>IFERROR(__xludf.DUMMYFUNCTION("IFERROR(TEXTJOIN(""/"",1,FILTER($B$54:$IV$54,$B$53:$IV$53=FS$97)),"" "")")," ")</f>
        <v> </v>
      </c>
      <c r="FT87" s="48" t="str">
        <f>IFERROR(__xludf.DUMMYFUNCTION("IFERROR(TEXTJOIN(""/"",1,FILTER($B$54:$IV$54,$B$53:$IV$53=FT$97)),"" "")")," ")</f>
        <v> </v>
      </c>
      <c r="FU87" s="48" t="str">
        <f>IFERROR(__xludf.DUMMYFUNCTION("IFERROR(TEXTJOIN(""/"",1,FILTER($B$54:$IV$54,$B$53:$IV$53=FU$97)),"" "")")," ")</f>
        <v> </v>
      </c>
      <c r="FV87" s="48" t="str">
        <f>IFERROR(__xludf.DUMMYFUNCTION("IFERROR(TEXTJOIN(""/"",1,FILTER($B$54:$IV$54,$B$53:$IV$53=FV$97)),"" "")")," ")</f>
        <v> </v>
      </c>
      <c r="FW87" s="48" t="str">
        <f>IFERROR(__xludf.DUMMYFUNCTION("IFERROR(TEXTJOIN(""/"",1,FILTER($B$54:$IV$54,$B$53:$IV$53=FW$97)),"" "")")," ")</f>
        <v> </v>
      </c>
      <c r="FX87" s="48" t="str">
        <f>IFERROR(__xludf.DUMMYFUNCTION("IFERROR(TEXTJOIN(""/"",1,FILTER($B$54:$IV$54,$B$53:$IV$53=FX$97)),"" "")")," ")</f>
        <v> </v>
      </c>
      <c r="FY87" s="48" t="str">
        <f>IFERROR(__xludf.DUMMYFUNCTION("IFERROR(TEXTJOIN(""/"",1,FILTER($B$54:$IV$54,$B$53:$IV$53=FY$97)),"" "")")," ")</f>
        <v> </v>
      </c>
      <c r="FZ87" s="48" t="str">
        <f>IFERROR(__xludf.DUMMYFUNCTION("IFERROR(TEXTJOIN(""/"",1,FILTER($B$54:$IV$54,$B$53:$IV$53=FZ$97)),"" "")")," ")</f>
        <v> </v>
      </c>
      <c r="GA87" s="48" t="str">
        <f>IFERROR(__xludf.DUMMYFUNCTION("IFERROR(TEXTJOIN(""/"",1,FILTER($B$54:$IV$54,$B$53:$IV$53=GA$97)),"" "")")," ")</f>
        <v> </v>
      </c>
      <c r="GB87" s="48" t="str">
        <f>IFERROR(__xludf.DUMMYFUNCTION("IFERROR(TEXTJOIN(""/"",1,FILTER($B$54:$IV$54,$B$53:$IV$53=GB$97)),"" "")")," ")</f>
        <v> </v>
      </c>
      <c r="GC87" s="48" t="str">
        <f>IFERROR(__xludf.DUMMYFUNCTION("IFERROR(TEXTJOIN(""/"",1,FILTER($B$54:$IV$54,$B$53:$IV$53=GC$97)),"" "")")," ")</f>
        <v> </v>
      </c>
      <c r="GD87" s="48" t="str">
        <f>IFERROR(__xludf.DUMMYFUNCTION("IFERROR(TEXTJOIN(""/"",1,FILTER($B$54:$IV$54,$B$53:$IV$53=GD$97)),"" "")")," ")</f>
        <v> </v>
      </c>
      <c r="GE87" s="48" t="str">
        <f>IFERROR(__xludf.DUMMYFUNCTION("IFERROR(TEXTJOIN(""/"",1,FILTER($B$54:$IV$54,$B$53:$IV$53=GE$97)),"" "")")," ")</f>
        <v> </v>
      </c>
      <c r="GF87" s="48" t="str">
        <f>IFERROR(__xludf.DUMMYFUNCTION("IFERROR(TEXTJOIN(""/"",1,FILTER($B$54:$IV$54,$B$53:$IV$53=GF$97)),"" "")")," ")</f>
        <v> </v>
      </c>
      <c r="GG87" s="48" t="str">
        <f>IFERROR(__xludf.DUMMYFUNCTION("IFERROR(TEXTJOIN(""/"",1,FILTER($B$54:$IV$54,$B$53:$IV$53=GG$97)),"" "")")," ")</f>
        <v> </v>
      </c>
      <c r="GH87" s="48" t="str">
        <f>IFERROR(__xludf.DUMMYFUNCTION("IFERROR(TEXTJOIN(""/"",1,FILTER($B$54:$IV$54,$B$53:$IV$53=GH$97)),"" "")")," ")</f>
        <v> </v>
      </c>
      <c r="GI87" s="48" t="str">
        <f>IFERROR(__xludf.DUMMYFUNCTION("IFERROR(TEXTJOIN(""/"",1,FILTER($B$54:$IV$54,$B$53:$IV$53=GI$97)),"" "")")," ")</f>
        <v> </v>
      </c>
      <c r="GJ87" s="48" t="str">
        <f>IFERROR(__xludf.DUMMYFUNCTION("IFERROR(TEXTJOIN(""/"",1,FILTER($B$54:$IV$54,$B$53:$IV$53=GJ$97)),"" "")")," ")</f>
        <v> </v>
      </c>
      <c r="GK87" s="48" t="str">
        <f>IFERROR(__xludf.DUMMYFUNCTION("IFERROR(TEXTJOIN(""/"",1,FILTER($B$54:$IV$54,$B$53:$IV$53=GK$97)),"" "")")," ")</f>
        <v> </v>
      </c>
      <c r="GL87" s="48" t="str">
        <f>IFERROR(__xludf.DUMMYFUNCTION("IFERROR(TEXTJOIN(""/"",1,FILTER($B$54:$IV$54,$B$53:$IV$53=GL$97)),"" "")")," ")</f>
        <v> </v>
      </c>
      <c r="GM87" s="48" t="str">
        <f>IFERROR(__xludf.DUMMYFUNCTION("IFERROR(TEXTJOIN(""/"",1,FILTER($B$54:$IV$54,$B$53:$IV$53=GM$97)),"" "")")," ")</f>
        <v> </v>
      </c>
      <c r="GN87" s="48" t="str">
        <f>IFERROR(__xludf.DUMMYFUNCTION("IFERROR(TEXTJOIN(""/"",1,FILTER($B$54:$IV$54,$B$53:$IV$53=GN$97)),"" "")")," ")</f>
        <v> </v>
      </c>
      <c r="GO87" s="48" t="str">
        <f>IFERROR(__xludf.DUMMYFUNCTION("IFERROR(TEXTJOIN(""/"",1,FILTER($B$54:$IV$54,$B$53:$IV$53=GO$97)),"" "")")," ")</f>
        <v> </v>
      </c>
      <c r="GP87" s="48" t="str">
        <f>IFERROR(__xludf.DUMMYFUNCTION("IFERROR(TEXTJOIN(""/"",1,FILTER($B$54:$IV$54,$B$53:$IV$53=GP$97)),"" "")")," ")</f>
        <v> </v>
      </c>
      <c r="GQ87" s="48" t="str">
        <f>IFERROR(__xludf.DUMMYFUNCTION("IFERROR(TEXTJOIN(""/"",1,FILTER($B$54:$IV$54,$B$53:$IV$53=GQ$97)),"" "")")," ")</f>
        <v> </v>
      </c>
      <c r="GR87" s="48" t="str">
        <f>IFERROR(__xludf.DUMMYFUNCTION("IFERROR(TEXTJOIN(""/"",1,FILTER($B$54:$IV$54,$B$53:$IV$53=GR$97)),"" "")")," ")</f>
        <v> </v>
      </c>
      <c r="GS87" s="48" t="str">
        <f>IFERROR(__xludf.DUMMYFUNCTION("IFERROR(TEXTJOIN(""/"",1,FILTER($B$54:$IV$54,$B$53:$IV$53=GS$97)),"" "")")," ")</f>
        <v> </v>
      </c>
      <c r="GT87" s="48" t="str">
        <f>IFERROR(__xludf.DUMMYFUNCTION("IFERROR(TEXTJOIN(""/"",1,FILTER($B$54:$IV$54,$B$53:$IV$53=GT$97)),"" "")")," ")</f>
        <v> </v>
      </c>
      <c r="GU87" s="48" t="str">
        <f>IFERROR(__xludf.DUMMYFUNCTION("IFERROR(TEXTJOIN(""/"",1,FILTER($B$54:$IV$54,$B$53:$IV$53=GU$97)),"" "")")," ")</f>
        <v> </v>
      </c>
      <c r="GV87" s="48" t="str">
        <f>IFERROR(__xludf.DUMMYFUNCTION("IFERROR(TEXTJOIN(""/"",1,FILTER($B$54:$IV$54,$B$53:$IV$53=GV$97)),"" "")")," ")</f>
        <v> </v>
      </c>
      <c r="GW87" s="48" t="str">
        <f>IFERROR(__xludf.DUMMYFUNCTION("IFERROR(TEXTJOIN(""/"",1,FILTER($B$54:$IV$54,$B$53:$IV$53=GW$97)),"" "")")," ")</f>
        <v> </v>
      </c>
      <c r="GX87" s="48" t="str">
        <f>IFERROR(__xludf.DUMMYFUNCTION("IFERROR(TEXTJOIN(""/"",1,FILTER($B$54:$IV$54,$B$53:$IV$53=GX$97)),"" "")")," ")</f>
        <v> </v>
      </c>
      <c r="GY87" s="48" t="str">
        <f>IFERROR(__xludf.DUMMYFUNCTION("IFERROR(TEXTJOIN(""/"",1,FILTER($B$54:$IV$54,$B$53:$IV$53=GY$97)),"" "")")," ")</f>
        <v> </v>
      </c>
      <c r="GZ87" s="48" t="str">
        <f>IFERROR(__xludf.DUMMYFUNCTION("IFERROR(TEXTJOIN(""/"",1,FILTER($B$54:$IV$54,$B$53:$IV$53=GZ$97)),"" "")")," ")</f>
        <v> </v>
      </c>
      <c r="HA87" s="48" t="str">
        <f>IFERROR(__xludf.DUMMYFUNCTION("IFERROR(TEXTJOIN(""/"",1,FILTER($B$54:$IV$54,$B$53:$IV$53=HA$97)),"" "")")," ")</f>
        <v> </v>
      </c>
      <c r="HB87" s="48" t="str">
        <f>IFERROR(__xludf.DUMMYFUNCTION("IFERROR(TEXTJOIN(""/"",1,FILTER($B$54:$IV$54,$B$53:$IV$53=HB$97)),"" "")")," ")</f>
        <v> </v>
      </c>
      <c r="HC87" s="48" t="str">
        <f>IFERROR(__xludf.DUMMYFUNCTION("IFERROR(TEXTJOIN(""/"",1,FILTER($B$54:$IV$54,$B$53:$IV$53=HC$97)),"" "")")," ")</f>
        <v> </v>
      </c>
      <c r="HD87" s="48" t="str">
        <f>IFERROR(__xludf.DUMMYFUNCTION("IFERROR(TEXTJOIN(""/"",1,FILTER($B$54:$IV$54,$B$53:$IV$53=HD$97)),"" "")")," ")</f>
        <v> </v>
      </c>
      <c r="HE87" s="48" t="str">
        <f>IFERROR(__xludf.DUMMYFUNCTION("IFERROR(TEXTJOIN(""/"",1,FILTER($B$54:$IV$54,$B$53:$IV$53=HE$97)),"" "")")," ")</f>
        <v> </v>
      </c>
      <c r="HF87" s="48" t="str">
        <f>IFERROR(__xludf.DUMMYFUNCTION("IFERROR(TEXTJOIN(""/"",1,FILTER($B$54:$IV$54,$B$53:$IV$53=HF$97)),"" "")")," ")</f>
        <v> </v>
      </c>
      <c r="HG87" s="48" t="str">
        <f>IFERROR(__xludf.DUMMYFUNCTION("IFERROR(TEXTJOIN(""/"",1,FILTER($B$54:$IV$54,$B$53:$IV$53=HG$97)),"" "")")," ")</f>
        <v> </v>
      </c>
      <c r="HH87" s="48" t="str">
        <f>IFERROR(__xludf.DUMMYFUNCTION("IFERROR(TEXTJOIN(""/"",1,FILTER($B$54:$IV$54,$B$53:$IV$53=HH$97)),"" "")")," ")</f>
        <v> </v>
      </c>
      <c r="HI87" s="48" t="str">
        <f>IFERROR(__xludf.DUMMYFUNCTION("IFERROR(TEXTJOIN(""/"",1,FILTER($B$54:$IV$54,$B$53:$IV$53=HI$97)),"" "")")," ")</f>
        <v> </v>
      </c>
      <c r="HJ87" s="48" t="str">
        <f>IFERROR(__xludf.DUMMYFUNCTION("IFERROR(TEXTJOIN(""/"",1,FILTER($B$54:$IV$54,$B$53:$IV$53=HJ$97)),"" "")")," ")</f>
        <v> </v>
      </c>
      <c r="HK87" s="48" t="str">
        <f>IFERROR(__xludf.DUMMYFUNCTION("IFERROR(TEXTJOIN(""/"",1,FILTER($B$54:$IV$54,$B$53:$IV$53=HK$97)),"" "")")," ")</f>
        <v> </v>
      </c>
      <c r="HL87" s="48" t="str">
        <f>IFERROR(__xludf.DUMMYFUNCTION("IFERROR(TEXTJOIN(""/"",1,FILTER($B$54:$IV$54,$B$53:$IV$53=HL$97)),"" "")")," ")</f>
        <v> </v>
      </c>
      <c r="HM87" s="48" t="str">
        <f>IFERROR(__xludf.DUMMYFUNCTION("IFERROR(TEXTJOIN(""/"",1,FILTER($B$54:$IV$54,$B$53:$IV$53=HM$97)),"" "")")," ")</f>
        <v> </v>
      </c>
      <c r="HN87" s="48" t="str">
        <f>IFERROR(__xludf.DUMMYFUNCTION("IFERROR(TEXTJOIN(""/"",1,FILTER($B$54:$IV$54,$B$53:$IV$53=HN$97)),"" "")")," ")</f>
        <v> </v>
      </c>
      <c r="HO87" s="48" t="str">
        <f>IFERROR(__xludf.DUMMYFUNCTION("IFERROR(TEXTJOIN(""/"",1,FILTER($B$54:$IV$54,$B$53:$IV$53=HO$97)),"" "")")," ")</f>
        <v> </v>
      </c>
      <c r="HP87" s="48" t="str">
        <f>IFERROR(__xludf.DUMMYFUNCTION("IFERROR(TEXTJOIN(""/"",1,FILTER($B$54:$IV$54,$B$53:$IV$53=HP$97)),"" "")")," ")</f>
        <v> </v>
      </c>
      <c r="HQ87" s="48" t="str">
        <f>IFERROR(__xludf.DUMMYFUNCTION("IFERROR(TEXTJOIN(""/"",1,FILTER($B$54:$IV$54,$B$53:$IV$53=HQ$97)),"" "")")," ")</f>
        <v> </v>
      </c>
      <c r="HR87" s="48" t="str">
        <f>IFERROR(__xludf.DUMMYFUNCTION("IFERROR(TEXTJOIN(""/"",1,FILTER($B$54:$IV$54,$B$53:$IV$53=HR$97)),"" "")")," ")</f>
        <v> </v>
      </c>
      <c r="HS87" s="48" t="str">
        <f>IFERROR(__xludf.DUMMYFUNCTION("IFERROR(TEXTJOIN(""/"",1,FILTER($B$54:$IV$54,$B$53:$IV$53=HS$97)),"" "")")," ")</f>
        <v> </v>
      </c>
      <c r="HT87" s="48" t="str">
        <f>IFERROR(__xludf.DUMMYFUNCTION("IFERROR(TEXTJOIN(""/"",1,FILTER($B$54:$IV$54,$B$53:$IV$53=HT$97)),"" "")")," ")</f>
        <v> </v>
      </c>
      <c r="HU87" s="48" t="str">
        <f>IFERROR(__xludf.DUMMYFUNCTION("IFERROR(TEXTJOIN(""/"",1,FILTER($B$54:$IV$54,$B$53:$IV$53=HU$97)),"" "")")," ")</f>
        <v> </v>
      </c>
      <c r="HV87" s="48" t="str">
        <f>IFERROR(__xludf.DUMMYFUNCTION("IFERROR(TEXTJOIN(""/"",1,FILTER($B$54:$IV$54,$B$53:$IV$53=HV$97)),"" "")")," ")</f>
        <v> </v>
      </c>
      <c r="HW87" s="48" t="str">
        <f>IFERROR(__xludf.DUMMYFUNCTION("IFERROR(TEXTJOIN(""/"",1,FILTER($B$54:$IV$54,$B$53:$IV$53=HW$97)),"" "")")," ")</f>
        <v> </v>
      </c>
      <c r="HX87" s="48" t="str">
        <f>IFERROR(__xludf.DUMMYFUNCTION("IFERROR(TEXTJOIN(""/"",1,FILTER($B$54:$IV$54,$B$53:$IV$53=HX$97)),"" "")")," ")</f>
        <v> </v>
      </c>
      <c r="HY87" s="48" t="str">
        <f>IFERROR(__xludf.DUMMYFUNCTION("IFERROR(TEXTJOIN(""/"",1,FILTER($B$54:$IV$54,$B$53:$IV$53=HY$97)),"" "")")," ")</f>
        <v> </v>
      </c>
      <c r="HZ87" s="48" t="str">
        <f>IFERROR(__xludf.DUMMYFUNCTION("IFERROR(TEXTJOIN(""/"",1,FILTER($B$54:$IV$54,$B$53:$IV$53=HZ$97)),"" "")")," ")</f>
        <v> </v>
      </c>
      <c r="IA87" s="48" t="str">
        <f>IFERROR(__xludf.DUMMYFUNCTION("IFERROR(TEXTJOIN(""/"",1,FILTER($B$54:$IV$54,$B$53:$IV$53=IA$97)),"" "")")," ")</f>
        <v> </v>
      </c>
      <c r="IB87" s="48" t="str">
        <f>IFERROR(__xludf.DUMMYFUNCTION("IFERROR(TEXTJOIN(""/"",1,FILTER($B$54:$IV$54,$B$53:$IV$53=IB$97)),"" "")")," ")</f>
        <v> </v>
      </c>
      <c r="IC87" s="48" t="str">
        <f>IFERROR(__xludf.DUMMYFUNCTION("IFERROR(TEXTJOIN(""/"",1,FILTER($B$54:$IV$54,$B$53:$IV$53=IC$97)),"" "")")," ")</f>
        <v> </v>
      </c>
      <c r="ID87" s="48" t="str">
        <f>IFERROR(__xludf.DUMMYFUNCTION("IFERROR(TEXTJOIN(""/"",1,FILTER($B$54:$IV$54,$B$53:$IV$53=ID$97)),"" "")")," ")</f>
        <v> </v>
      </c>
      <c r="IE87" s="48" t="str">
        <f>IFERROR(__xludf.DUMMYFUNCTION("IFERROR(TEXTJOIN(""/"",1,FILTER($B$54:$IV$54,$B$53:$IV$53=IE$97)),"" "")")," ")</f>
        <v> </v>
      </c>
      <c r="IF87" s="48" t="str">
        <f>IFERROR(__xludf.DUMMYFUNCTION("IFERROR(TEXTJOIN(""/"",1,FILTER($B$54:$IV$54,$B$53:$IV$53=IF$97)),"" "")")," ")</f>
        <v> </v>
      </c>
      <c r="IG87" s="48" t="str">
        <f>IFERROR(__xludf.DUMMYFUNCTION("IFERROR(TEXTJOIN(""/"",1,FILTER($B$54:$IV$54,$B$53:$IV$53=IG$97)),"" "")")," ")</f>
        <v> </v>
      </c>
      <c r="IH87" s="48" t="str">
        <f>IFERROR(__xludf.DUMMYFUNCTION("IFERROR(TEXTJOIN(""/"",1,FILTER($B$54:$IV$54,$B$53:$IV$53=IH$97)),"" "")")," ")</f>
        <v> </v>
      </c>
      <c r="II87" s="48" t="str">
        <f>IFERROR(__xludf.DUMMYFUNCTION("IFERROR(TEXTJOIN(""/"",1,FILTER($B$54:$IV$54,$B$53:$IV$53=II$97)),"" "")")," ")</f>
        <v> </v>
      </c>
      <c r="IJ87" s="48" t="str">
        <f>IFERROR(__xludf.DUMMYFUNCTION("IFERROR(TEXTJOIN(""/"",1,FILTER($B$54:$IV$54,$B$53:$IV$53=IJ$97)),"" "")")," ")</f>
        <v> </v>
      </c>
      <c r="IK87" s="48" t="str">
        <f>IFERROR(__xludf.DUMMYFUNCTION("IFERROR(TEXTJOIN(""/"",1,FILTER($B$54:$IV$54,$B$53:$IV$53=IK$97)),"" "")")," ")</f>
        <v> </v>
      </c>
      <c r="IL87" s="48" t="str">
        <f>IFERROR(__xludf.DUMMYFUNCTION("IFERROR(TEXTJOIN(""/"",1,FILTER($B$54:$IV$54,$B$53:$IV$53=IL$97)),"" "")")," ")</f>
        <v> </v>
      </c>
      <c r="IM87" s="48" t="str">
        <f>IFERROR(__xludf.DUMMYFUNCTION("IFERROR(TEXTJOIN(""/"",1,FILTER($B$54:$IV$54,$B$53:$IV$53=IM$97)),"" "")")," ")</f>
        <v> </v>
      </c>
      <c r="IN87" s="48" t="str">
        <f>IFERROR(__xludf.DUMMYFUNCTION("IFERROR(TEXTJOIN(""/"",1,FILTER($B$54:$IV$54,$B$53:$IV$53=IN$97)),"" "")")," ")</f>
        <v> </v>
      </c>
      <c r="IO87" s="48" t="str">
        <f>IFERROR(__xludf.DUMMYFUNCTION("IFERROR(TEXTJOIN(""/"",1,FILTER($B$54:$IV$54,$B$53:$IV$53=IO$97)),"" "")")," ")</f>
        <v> </v>
      </c>
      <c r="IP87" s="48" t="str">
        <f>IFERROR(__xludf.DUMMYFUNCTION("IFERROR(TEXTJOIN(""/"",1,FILTER($B$54:$IV$54,$B$53:$IV$53=IP$97)),"" "")")," ")</f>
        <v> </v>
      </c>
      <c r="IQ87" s="48" t="str">
        <f>IFERROR(__xludf.DUMMYFUNCTION("IFERROR(TEXTJOIN(""/"",1,FILTER($B$54:$IV$54,$B$53:$IV$53=IQ$97)),"" "")")," ")</f>
        <v> </v>
      </c>
      <c r="IR87" s="48" t="str">
        <f>IFERROR(__xludf.DUMMYFUNCTION("IFERROR(TEXTJOIN(""/"",1,FILTER($B$54:$IV$54,$B$53:$IV$53=IR$97)),"" "")")," ")</f>
        <v> </v>
      </c>
      <c r="IS87" s="48" t="str">
        <f>IFERROR(__xludf.DUMMYFUNCTION("IFERROR(TEXTJOIN(""/"",1,FILTER($B$54:$IV$54,$B$53:$IV$53=IS$97)),"" "")")," ")</f>
        <v> </v>
      </c>
      <c r="IT87" s="48" t="str">
        <f>IFERROR(__xludf.DUMMYFUNCTION("IFERROR(TEXTJOIN(""/"",1,FILTER($B$54:$IV$54,$B$53:$IV$53=IT$97)),"" "")")," ")</f>
        <v> </v>
      </c>
      <c r="IU87" s="48" t="str">
        <f>IFERROR(__xludf.DUMMYFUNCTION("IFERROR(TEXTJOIN(""/"",1,FILTER($B$54:$IV$54,$B$53:$IV$53=IU$97)),"" "")")," ")</f>
        <v> </v>
      </c>
      <c r="IV87" s="48" t="str">
        <f>IFERROR(__xludf.DUMMYFUNCTION("IFERROR(TEXTJOIN(""/"",1,FILTER($B$54:$IV$54,$B$53:$IV$53=IV$97)),"" "")")," ")</f>
        <v> </v>
      </c>
      <c r="IW87" s="48" t="str">
        <f>IFERROR(__xludf.DUMMYFUNCTION("IFERROR(TEXTJOIN(""/"",1,FILTER($B$54:$IV$54,$B$53:$IV$53=IW$97)),"" "")")," ")</f>
        <v> </v>
      </c>
      <c r="IX87" s="48" t="str">
        <f>IFERROR(__xludf.DUMMYFUNCTION("IFERROR(TEXTJOIN(""/"",1,FILTER($B$54:$IV$54,$B$53:$IV$53=IX$97)),"" "")")," ")</f>
        <v> </v>
      </c>
      <c r="IY87" s="48" t="str">
        <f>IFERROR(__xludf.DUMMYFUNCTION("IFERROR(TEXTJOIN(""/"",1,FILTER($B$54:$IV$54,$B$53:$IV$53=IY$97)),"" "")")," ")</f>
        <v> </v>
      </c>
      <c r="IZ87" s="48" t="str">
        <f>IFERROR(__xludf.DUMMYFUNCTION("IFERROR(TEXTJOIN(""/"",1,FILTER($B$54:$IV$54,$B$53:$IV$53=IZ$97)),"" "")")," ")</f>
        <v> </v>
      </c>
      <c r="JA87" s="48" t="str">
        <f>IFERROR(__xludf.DUMMYFUNCTION("IFERROR(TEXTJOIN(""/"",1,FILTER($B$54:$IV$54,$B$53:$IV$53=JA$97)),"" "")")," ")</f>
        <v> </v>
      </c>
      <c r="JB87" s="48" t="str">
        <f>IFERROR(__xludf.DUMMYFUNCTION("IFERROR(TEXTJOIN(""/"",1,FILTER($B$54:$IV$54,$B$53:$IV$53=JB$97)),"" "")")," ")</f>
        <v> </v>
      </c>
      <c r="JC87" s="48" t="str">
        <f>IFERROR(__xludf.DUMMYFUNCTION("IFERROR(TEXTJOIN(""/"",1,FILTER($B$54:$IV$54,$B$53:$IV$53=JC$97)),"" "")")," ")</f>
        <v> </v>
      </c>
      <c r="JD87" s="48" t="str">
        <f>IFERROR(__xludf.DUMMYFUNCTION("IFERROR(TEXTJOIN(""/"",1,FILTER($B$54:$IV$54,$B$53:$IV$53=JD$97)),"" "")")," ")</f>
        <v> </v>
      </c>
      <c r="JE87" s="48" t="str">
        <f>IFERROR(__xludf.DUMMYFUNCTION("IFERROR(TEXTJOIN(""/"",1,FILTER($B$54:$IV$54,$B$53:$IV$53=JE$97)),"" "")")," ")</f>
        <v> </v>
      </c>
    </row>
    <row r="88">
      <c r="A88" s="42"/>
      <c r="B88" s="48" t="str">
        <f>IFERROR(__xludf.DUMMYFUNCTION("IFERROR(TEXTJOIN(""/"",1,FILTER($B$57:$IV$57,$B$56:$IV$56=B$97)),"" "")")," ")</f>
        <v> </v>
      </c>
      <c r="C88" s="48" t="str">
        <f>IFERROR(__xludf.DUMMYFUNCTION("IFERROR(TEXTJOIN(""/"",1,FILTER($B$57:$IV$57,$B$56:$IV$56=C$97)),"" "")")," ")</f>
        <v> </v>
      </c>
      <c r="D88" s="48" t="str">
        <f>IFERROR(__xludf.DUMMYFUNCTION("IFERROR(TEXTJOIN(""/"",1,FILTER($B$57:$IV$57,$B$56:$IV$56=D$97)),"" "")")," ")</f>
        <v> </v>
      </c>
      <c r="E88" s="48" t="str">
        <f>IFERROR(__xludf.DUMMYFUNCTION("IFERROR(TEXTJOIN(""/"",1,FILTER($B$57:$IV$57,$B$56:$IV$56=E$97)),"" "")")," ")</f>
        <v> </v>
      </c>
      <c r="F88" s="48" t="str">
        <f>IFERROR(__xludf.DUMMYFUNCTION("IFERROR(TEXTJOIN(""/"",1,FILTER($B$57:$IV$57,$B$56:$IV$56=F$97)),"" "")")," ")</f>
        <v> </v>
      </c>
      <c r="G88" s="48" t="str">
        <f>IFERROR(__xludf.DUMMYFUNCTION("IFERROR(TEXTJOIN(""/"",1,FILTER($B$57:$IV$57,$B$56:$IV$56=G$97)),"" "")")," ")</f>
        <v> </v>
      </c>
      <c r="H88" s="48" t="str">
        <f>IFERROR(__xludf.DUMMYFUNCTION("IFERROR(TEXTJOIN(""/"",1,FILTER($B$57:$IV$57,$B$56:$IV$56=H$97)),"" "")")," ")</f>
        <v> </v>
      </c>
      <c r="I88" s="48" t="str">
        <f>IFERROR(__xludf.DUMMYFUNCTION("IFERROR(TEXTJOIN(""/"",1,FILTER($B$57:$IV$57,$B$56:$IV$56=I$97)),"" "")")," ")</f>
        <v> </v>
      </c>
      <c r="J88" s="48" t="str">
        <f>IFERROR(__xludf.DUMMYFUNCTION("IFERROR(TEXTJOIN(""/"",1,FILTER($B$57:$IV$57,$B$56:$IV$56=J$97)),"" "")")," ")</f>
        <v> </v>
      </c>
      <c r="K88" s="48" t="str">
        <f>IFERROR(__xludf.DUMMYFUNCTION("IFERROR(TEXTJOIN(""/"",1,FILTER($B$57:$IV$57,$B$56:$IV$56=K$97)),"" "")")," ")</f>
        <v> </v>
      </c>
      <c r="L88" s="48" t="str">
        <f>IFERROR(__xludf.DUMMYFUNCTION("IFERROR(TEXTJOIN(""/"",1,FILTER($B$57:$IV$57,$B$56:$IV$56=L$97)),"" "")")," ")</f>
        <v> </v>
      </c>
      <c r="M88" s="48" t="str">
        <f>IFERROR(__xludf.DUMMYFUNCTION("IFERROR(TEXTJOIN(""/"",1,FILTER($B$57:$IV$57,$B$56:$IV$56=M$97)),"" "")")," ")</f>
        <v> </v>
      </c>
      <c r="N88" s="48" t="str">
        <f>IFERROR(__xludf.DUMMYFUNCTION("IFERROR(TEXTJOIN(""/"",1,FILTER($B$57:$IV$57,$B$56:$IV$56=N$97)),"" "")")," ")</f>
        <v> </v>
      </c>
      <c r="O88" s="48" t="str">
        <f>IFERROR(__xludf.DUMMYFUNCTION("IFERROR(TEXTJOIN(""/"",1,FILTER($B$57:$IV$57,$B$56:$IV$56=O$97)),"" "")")," ")</f>
        <v> </v>
      </c>
      <c r="P88" s="48" t="str">
        <f>IFERROR(__xludf.DUMMYFUNCTION("IFERROR(TEXTJOIN(""/"",1,FILTER($B$57:$IV$57,$B$56:$IV$56=P$97)),"" "")")," ")</f>
        <v> </v>
      </c>
      <c r="Q88" s="48" t="str">
        <f>IFERROR(__xludf.DUMMYFUNCTION("IFERROR(TEXTJOIN(""/"",1,FILTER($B$57:$IV$57,$B$56:$IV$56=Q$97)),"" "")")," ")</f>
        <v> </v>
      </c>
      <c r="R88" s="48" t="str">
        <f>IFERROR(__xludf.DUMMYFUNCTION("IFERROR(TEXTJOIN(""/"",1,FILTER($B$57:$IV$57,$B$56:$IV$56=R$97)),"" "")")," ")</f>
        <v> </v>
      </c>
      <c r="S88" s="48" t="str">
        <f>IFERROR(__xludf.DUMMYFUNCTION("IFERROR(TEXTJOIN(""/"",1,FILTER($B$57:$IV$57,$B$56:$IV$56=S$97)),"" "")")," ")</f>
        <v> </v>
      </c>
      <c r="T88" s="48" t="str">
        <f>IFERROR(__xludf.DUMMYFUNCTION("IFERROR(TEXTJOIN(""/"",1,FILTER($B$57:$IV$57,$B$56:$IV$56=T$97)),"" "")")," ")</f>
        <v> </v>
      </c>
      <c r="U88" s="48" t="str">
        <f>IFERROR(__xludf.DUMMYFUNCTION("IFERROR(TEXTJOIN(""/"",1,FILTER($B$57:$IV$57,$B$56:$IV$56=U$97)),"" "")")," ")</f>
        <v> </v>
      </c>
      <c r="V88" s="48" t="str">
        <f>IFERROR(__xludf.DUMMYFUNCTION("IFERROR(TEXTJOIN(""/"",1,FILTER($B$57:$IV$57,$B$56:$IV$56=V$97)),"" "")")," ")</f>
        <v> </v>
      </c>
      <c r="W88" s="48" t="str">
        <f>IFERROR(__xludf.DUMMYFUNCTION("IFERROR(TEXTJOIN(""/"",1,FILTER($B$57:$IV$57,$B$56:$IV$56=W$97)),"" "")")," ")</f>
        <v> </v>
      </c>
      <c r="X88" s="48" t="str">
        <f>IFERROR(__xludf.DUMMYFUNCTION("IFERROR(TEXTJOIN(""/"",1,FILTER($B$57:$IV$57,$B$56:$IV$56=X$97)),"" "")")," ")</f>
        <v> </v>
      </c>
      <c r="Y88" s="48" t="str">
        <f>IFERROR(__xludf.DUMMYFUNCTION("IFERROR(TEXTJOIN(""/"",1,FILTER($B$57:$IV$57,$B$56:$IV$56=Y$97)),"" "")")," ")</f>
        <v> </v>
      </c>
      <c r="Z88" s="48" t="str">
        <f>IFERROR(__xludf.DUMMYFUNCTION("IFERROR(TEXTJOIN(""/"",1,FILTER($B$57:$IV$57,$B$56:$IV$56=Z$97)),"" "")")," ")</f>
        <v> </v>
      </c>
      <c r="AA88" s="48" t="str">
        <f>IFERROR(__xludf.DUMMYFUNCTION("IFERROR(TEXTJOIN(""/"",1,FILTER($B$57:$IV$57,$B$56:$IV$56=AA$97)),"" "")")," ")</f>
        <v> </v>
      </c>
      <c r="AB88" s="48" t="str">
        <f>IFERROR(__xludf.DUMMYFUNCTION("IFERROR(TEXTJOIN(""/"",1,FILTER($B$57:$IV$57,$B$56:$IV$56=AB$97)),"" "")")," ")</f>
        <v> </v>
      </c>
      <c r="AC88" s="48" t="str">
        <f>IFERROR(__xludf.DUMMYFUNCTION("IFERROR(TEXTJOIN(""/"",1,FILTER($B$57:$IV$57,$B$56:$IV$56=AC$97)),"" "")")," ")</f>
        <v> </v>
      </c>
      <c r="AD88" s="48" t="str">
        <f>IFERROR(__xludf.DUMMYFUNCTION("IFERROR(TEXTJOIN(""/"",1,FILTER($B$57:$IV$57,$B$56:$IV$56=AD$97)),"" "")")," ")</f>
        <v> </v>
      </c>
      <c r="AE88" s="48" t="str">
        <f>IFERROR(__xludf.DUMMYFUNCTION("IFERROR(TEXTJOIN(""/"",1,FILTER($B$57:$IV$57,$B$56:$IV$56=AE$97)),"" "")")," ")</f>
        <v> </v>
      </c>
      <c r="AF88" s="48" t="str">
        <f>IFERROR(__xludf.DUMMYFUNCTION("IFERROR(TEXTJOIN(""/"",1,FILTER($B$57:$IV$57,$B$56:$IV$56=AF$97)),"" "")")," ")</f>
        <v> </v>
      </c>
      <c r="AG88" s="48" t="str">
        <f>IFERROR(__xludf.DUMMYFUNCTION("IFERROR(TEXTJOIN(""/"",1,FILTER($B$57:$IV$57,$B$56:$IV$56=AG$97)),"" "")")," ")</f>
        <v> </v>
      </c>
      <c r="AH88" s="48" t="str">
        <f>IFERROR(__xludf.DUMMYFUNCTION("IFERROR(TEXTJOIN(""/"",1,FILTER($B$57:$IV$57,$B$56:$IV$56=AH$97)),"" "")")," ")</f>
        <v> </v>
      </c>
      <c r="AI88" s="48" t="str">
        <f>IFERROR(__xludf.DUMMYFUNCTION("IFERROR(TEXTJOIN(""/"",1,FILTER($B$57:$IV$57,$B$56:$IV$56=AI$97)),"" "")")," ")</f>
        <v> </v>
      </c>
      <c r="AJ88" s="48" t="str">
        <f>IFERROR(__xludf.DUMMYFUNCTION("IFERROR(TEXTJOIN(""/"",1,FILTER($B$57:$IV$57,$B$56:$IV$56=AJ$97)),"" "")")," ")</f>
        <v> </v>
      </c>
      <c r="AK88" s="48" t="str">
        <f>IFERROR(__xludf.DUMMYFUNCTION("IFERROR(TEXTJOIN(""/"",1,FILTER($B$57:$IV$57,$B$56:$IV$56=AK$97)),"" "")")," ")</f>
        <v> </v>
      </c>
      <c r="AL88" s="48" t="str">
        <f>IFERROR(__xludf.DUMMYFUNCTION("IFERROR(TEXTJOIN(""/"",1,FILTER($B$57:$IV$57,$B$56:$IV$56=AL$97)),"" "")")," ")</f>
        <v> </v>
      </c>
      <c r="AM88" s="48" t="str">
        <f>IFERROR(__xludf.DUMMYFUNCTION("IFERROR(TEXTJOIN(""/"",1,FILTER($B$57:$IV$57,$B$56:$IV$56=AM$97)),"" "")")," ")</f>
        <v> </v>
      </c>
      <c r="AN88" s="48" t="str">
        <f>IFERROR(__xludf.DUMMYFUNCTION("IFERROR(TEXTJOIN(""/"",1,FILTER($B$57:$IV$57,$B$56:$IV$56=AN$97)),"" "")")," ")</f>
        <v> </v>
      </c>
      <c r="AO88" s="48" t="str">
        <f>IFERROR(__xludf.DUMMYFUNCTION("IFERROR(TEXTJOIN(""/"",1,FILTER($B$57:$IV$57,$B$56:$IV$56=AO$97)),"" "")")," ")</f>
        <v> </v>
      </c>
      <c r="AP88" s="48" t="str">
        <f>IFERROR(__xludf.DUMMYFUNCTION("IFERROR(TEXTJOIN(""/"",1,FILTER($B$57:$IV$57,$B$56:$IV$56=AP$97)),"" "")")," ")</f>
        <v> </v>
      </c>
      <c r="AQ88" s="48" t="str">
        <f>IFERROR(__xludf.DUMMYFUNCTION("IFERROR(TEXTJOIN(""/"",1,FILTER($B$57:$IV$57,$B$56:$IV$56=AQ$97)),"" "")")," ")</f>
        <v> </v>
      </c>
      <c r="AR88" s="48" t="str">
        <f>IFERROR(__xludf.DUMMYFUNCTION("IFERROR(TEXTJOIN(""/"",1,FILTER($B$57:$IV$57,$B$56:$IV$56=AR$97)),"" "")")," ")</f>
        <v> </v>
      </c>
      <c r="AS88" s="48" t="str">
        <f>IFERROR(__xludf.DUMMYFUNCTION("IFERROR(TEXTJOIN(""/"",1,FILTER($B$57:$IV$57,$B$56:$IV$56=AS$97)),"" "")")," ")</f>
        <v> </v>
      </c>
      <c r="AT88" s="48" t="str">
        <f>IFERROR(__xludf.DUMMYFUNCTION("IFERROR(TEXTJOIN(""/"",1,FILTER($B$57:$IV$57,$B$56:$IV$56=AT$97)),"" "")")," ")</f>
        <v> </v>
      </c>
      <c r="AU88" s="48" t="str">
        <f>IFERROR(__xludf.DUMMYFUNCTION("IFERROR(TEXTJOIN(""/"",1,FILTER($B$57:$IV$57,$B$56:$IV$56=AU$97)),"" "")")," ")</f>
        <v> </v>
      </c>
      <c r="AV88" s="48" t="str">
        <f>IFERROR(__xludf.DUMMYFUNCTION("IFERROR(TEXTJOIN(""/"",1,FILTER($B$57:$IV$57,$B$56:$IV$56=AV$97)),"" "")")," ")</f>
        <v> </v>
      </c>
      <c r="AW88" s="48" t="str">
        <f>IFERROR(__xludf.DUMMYFUNCTION("IFERROR(TEXTJOIN(""/"",1,FILTER($B$57:$IV$57,$B$56:$IV$56=AW$97)),"" "")")," ")</f>
        <v> </v>
      </c>
      <c r="AX88" s="48" t="str">
        <f>IFERROR(__xludf.DUMMYFUNCTION("IFERROR(TEXTJOIN(""/"",1,FILTER($B$57:$IV$57,$B$56:$IV$56=AX$97)),"" "")")," ")</f>
        <v> </v>
      </c>
      <c r="AY88" s="48" t="str">
        <f>IFERROR(__xludf.DUMMYFUNCTION("IFERROR(TEXTJOIN(""/"",1,FILTER($B$57:$IV$57,$B$56:$IV$56=AY$97)),"" "")")," ")</f>
        <v> </v>
      </c>
      <c r="AZ88" s="48" t="str">
        <f>IFERROR(__xludf.DUMMYFUNCTION("IFERROR(TEXTJOIN(""/"",1,FILTER($B$57:$IV$57,$B$56:$IV$56=AZ$97)),"" "")")," ")</f>
        <v> </v>
      </c>
      <c r="BA88" s="48" t="str">
        <f>IFERROR(__xludf.DUMMYFUNCTION("IFERROR(TEXTJOIN(""/"",1,FILTER($B$57:$IV$57,$B$56:$IV$56=BA$97)),"" "")")," ")</f>
        <v> </v>
      </c>
      <c r="BB88" s="48" t="str">
        <f>IFERROR(__xludf.DUMMYFUNCTION("IFERROR(TEXTJOIN(""/"",1,FILTER($B$57:$IV$57,$B$56:$IV$56=BB$97)),"" "")")," ")</f>
        <v> </v>
      </c>
      <c r="BC88" s="48" t="str">
        <f>IFERROR(__xludf.DUMMYFUNCTION("IFERROR(TEXTJOIN(""/"",1,FILTER($B$57:$IV$57,$B$56:$IV$56=BC$97)),"" "")")," ")</f>
        <v> </v>
      </c>
      <c r="BD88" s="48" t="str">
        <f>IFERROR(__xludf.DUMMYFUNCTION("IFERROR(TEXTJOIN(""/"",1,FILTER($B$57:$IV$57,$B$56:$IV$56=BD$97)),"" "")")," ")</f>
        <v> </v>
      </c>
      <c r="BE88" s="48" t="str">
        <f>IFERROR(__xludf.DUMMYFUNCTION("IFERROR(TEXTJOIN(""/"",1,FILTER($B$57:$IV$57,$B$56:$IV$56=BE$97)),"" "")")," ")</f>
        <v> </v>
      </c>
      <c r="BF88" s="48" t="str">
        <f>IFERROR(__xludf.DUMMYFUNCTION("IFERROR(TEXTJOIN(""/"",1,FILTER($B$57:$IV$57,$B$56:$IV$56=BF$97)),"" "")")," ")</f>
        <v> </v>
      </c>
      <c r="BG88" s="48" t="str">
        <f>IFERROR(__xludf.DUMMYFUNCTION("IFERROR(TEXTJOIN(""/"",1,FILTER($B$57:$IV$57,$B$56:$IV$56=BG$97)),"" "")")," ")</f>
        <v> </v>
      </c>
      <c r="BH88" s="48" t="str">
        <f>IFERROR(__xludf.DUMMYFUNCTION("IFERROR(TEXTJOIN(""/"",1,FILTER($B$57:$IV$57,$B$56:$IV$56=BH$97)),"" "")")," ")</f>
        <v> </v>
      </c>
      <c r="BI88" s="48" t="str">
        <f>IFERROR(__xludf.DUMMYFUNCTION("IFERROR(TEXTJOIN(""/"",1,FILTER($B$57:$IV$57,$B$56:$IV$56=BI$97)),"" "")")," ")</f>
        <v> </v>
      </c>
      <c r="BJ88" s="48" t="str">
        <f>IFERROR(__xludf.DUMMYFUNCTION("IFERROR(TEXTJOIN(""/"",1,FILTER($B$57:$IV$57,$B$56:$IV$56=BJ$97)),"" "")")," ")</f>
        <v> </v>
      </c>
      <c r="BK88" s="48" t="str">
        <f>IFERROR(__xludf.DUMMYFUNCTION("IFERROR(TEXTJOIN(""/"",1,FILTER($B$57:$IV$57,$B$56:$IV$56=BK$97)),"" "")")," ")</f>
        <v> </v>
      </c>
      <c r="BL88" s="48" t="str">
        <f>IFERROR(__xludf.DUMMYFUNCTION("IFERROR(TEXTJOIN(""/"",1,FILTER($B$57:$IV$57,$B$56:$IV$56=BL$97)),"" "")")," ")</f>
        <v> </v>
      </c>
      <c r="BM88" s="48" t="str">
        <f>IFERROR(__xludf.DUMMYFUNCTION("IFERROR(TEXTJOIN(""/"",1,FILTER($B$57:$IV$57,$B$56:$IV$56=BM$97)),"" "")")," ")</f>
        <v> </v>
      </c>
      <c r="BN88" s="48" t="str">
        <f>IFERROR(__xludf.DUMMYFUNCTION("IFERROR(TEXTJOIN(""/"",1,FILTER($B$57:$IV$57,$B$56:$IV$56=BN$97)),"" "")")," ")</f>
        <v> </v>
      </c>
      <c r="BO88" s="48" t="str">
        <f>IFERROR(__xludf.DUMMYFUNCTION("IFERROR(TEXTJOIN(""/"",1,FILTER($B$57:$IV$57,$B$56:$IV$56=BO$97)),"" "")")," ")</f>
        <v> </v>
      </c>
      <c r="BP88" s="48" t="str">
        <f>IFERROR(__xludf.DUMMYFUNCTION("IFERROR(TEXTJOIN(""/"",1,FILTER($B$57:$IV$57,$B$56:$IV$56=BP$97)),"" "")")," ")</f>
        <v> </v>
      </c>
      <c r="BQ88" s="48" t="str">
        <f>IFERROR(__xludf.DUMMYFUNCTION("IFERROR(TEXTJOIN(""/"",1,FILTER($B$57:$IV$57,$B$56:$IV$56=BQ$97)),"" "")")," ")</f>
        <v> </v>
      </c>
      <c r="BR88" s="48" t="str">
        <f>IFERROR(__xludf.DUMMYFUNCTION("IFERROR(TEXTJOIN(""/"",1,FILTER($B$57:$IV$57,$B$56:$IV$56=BR$97)),"" "")")," ")</f>
        <v> </v>
      </c>
      <c r="BS88" s="48" t="str">
        <f>IFERROR(__xludf.DUMMYFUNCTION("IFERROR(TEXTJOIN(""/"",1,FILTER($B$57:$IV$57,$B$56:$IV$56=BS$97)),"" "")")," ")</f>
        <v> </v>
      </c>
      <c r="BT88" s="48" t="str">
        <f>IFERROR(__xludf.DUMMYFUNCTION("IFERROR(TEXTJOIN(""/"",1,FILTER($B$57:$IV$57,$B$56:$IV$56=BT$97)),"" "")")," ")</f>
        <v> </v>
      </c>
      <c r="BU88" s="48" t="str">
        <f>IFERROR(__xludf.DUMMYFUNCTION("IFERROR(TEXTJOIN(""/"",1,FILTER($B$57:$IV$57,$B$56:$IV$56=BU$97)),"" "")")," ")</f>
        <v> </v>
      </c>
      <c r="BV88" s="48" t="str">
        <f>IFERROR(__xludf.DUMMYFUNCTION("IFERROR(TEXTJOIN(""/"",1,FILTER($B$57:$IV$57,$B$56:$IV$56=BV$97)),"" "")")," ")</f>
        <v> </v>
      </c>
      <c r="BW88" s="48" t="str">
        <f>IFERROR(__xludf.DUMMYFUNCTION("IFERROR(TEXTJOIN(""/"",1,FILTER($B$57:$IV$57,$B$56:$IV$56=BW$97)),"" "")")," ")</f>
        <v> </v>
      </c>
      <c r="BX88" s="48" t="str">
        <f>IFERROR(__xludf.DUMMYFUNCTION("IFERROR(TEXTJOIN(""/"",1,FILTER($B$57:$IV$57,$B$56:$IV$56=BX$97)),"" "")")," ")</f>
        <v> </v>
      </c>
      <c r="BY88" s="48" t="str">
        <f>IFERROR(__xludf.DUMMYFUNCTION("IFERROR(TEXTJOIN(""/"",1,FILTER($B$57:$IV$57,$B$56:$IV$56=BY$97)),"" "")")," ")</f>
        <v> </v>
      </c>
      <c r="BZ88" s="48" t="str">
        <f>IFERROR(__xludf.DUMMYFUNCTION("IFERROR(TEXTJOIN(""/"",1,FILTER($B$57:$IV$57,$B$56:$IV$56=BZ$97)),"" "")")," ")</f>
        <v> </v>
      </c>
      <c r="CA88" s="48" t="str">
        <f>IFERROR(__xludf.DUMMYFUNCTION("IFERROR(TEXTJOIN(""/"",1,FILTER($B$57:$IV$57,$B$56:$IV$56=CA$97)),"" "")")," ")</f>
        <v> </v>
      </c>
      <c r="CB88" s="48" t="str">
        <f>IFERROR(__xludf.DUMMYFUNCTION("IFERROR(TEXTJOIN(""/"",1,FILTER($B$57:$IV$57,$B$56:$IV$56=CB$97)),"" "")")," ")</f>
        <v> </v>
      </c>
      <c r="CC88" s="48" t="str">
        <f>IFERROR(__xludf.DUMMYFUNCTION("IFERROR(TEXTJOIN(""/"",1,FILTER($B$57:$IV$57,$B$56:$IV$56=CC$97)),"" "")")," ")</f>
        <v> </v>
      </c>
      <c r="CD88" s="48" t="str">
        <f>IFERROR(__xludf.DUMMYFUNCTION("IFERROR(TEXTJOIN(""/"",1,FILTER($B$57:$IV$57,$B$56:$IV$56=CD$97)),"" "")")," ")</f>
        <v> </v>
      </c>
      <c r="CE88" s="48" t="str">
        <f>IFERROR(__xludf.DUMMYFUNCTION("IFERROR(TEXTJOIN(""/"",1,FILTER($B$57:$IV$57,$B$56:$IV$56=CE$97)),"" "")")," ")</f>
        <v> </v>
      </c>
      <c r="CF88" s="48" t="str">
        <f>IFERROR(__xludf.DUMMYFUNCTION("IFERROR(TEXTJOIN(""/"",1,FILTER($B$57:$IV$57,$B$56:$IV$56=CF$97)),"" "")")," ")</f>
        <v> </v>
      </c>
      <c r="CG88" s="48" t="str">
        <f>IFERROR(__xludf.DUMMYFUNCTION("IFERROR(TEXTJOIN(""/"",1,FILTER($B$57:$IV$57,$B$56:$IV$56=CG$97)),"" "")")," ")</f>
        <v> </v>
      </c>
      <c r="CH88" s="48" t="str">
        <f>IFERROR(__xludf.DUMMYFUNCTION("IFERROR(TEXTJOIN(""/"",1,FILTER($B$57:$IV$57,$B$56:$IV$56=CH$97)),"" "")")," ")</f>
        <v> </v>
      </c>
      <c r="CI88" s="48" t="str">
        <f>IFERROR(__xludf.DUMMYFUNCTION("IFERROR(TEXTJOIN(""/"",1,FILTER($B$57:$IV$57,$B$56:$IV$56=CI$97)),"" "")")," ")</f>
        <v> </v>
      </c>
      <c r="CJ88" s="48" t="str">
        <f>IFERROR(__xludf.DUMMYFUNCTION("IFERROR(TEXTJOIN(""/"",1,FILTER($B$57:$IV$57,$B$56:$IV$56=CJ$97)),"" "")")," ")</f>
        <v> </v>
      </c>
      <c r="CK88" s="48" t="str">
        <f>IFERROR(__xludf.DUMMYFUNCTION("IFERROR(TEXTJOIN(""/"",1,FILTER($B$57:$IV$57,$B$56:$IV$56=CK$97)),"" "")")," ")</f>
        <v> </v>
      </c>
      <c r="CL88" s="48" t="str">
        <f>IFERROR(__xludf.DUMMYFUNCTION("IFERROR(TEXTJOIN(""/"",1,FILTER($B$57:$IV$57,$B$56:$IV$56=CL$97)),"" "")")," ")</f>
        <v> </v>
      </c>
      <c r="CM88" s="48" t="str">
        <f>IFERROR(__xludf.DUMMYFUNCTION("IFERROR(TEXTJOIN(""/"",1,FILTER($B$57:$IV$57,$B$56:$IV$56=CM$97)),"" "")")," ")</f>
        <v> </v>
      </c>
      <c r="CN88" s="48" t="str">
        <f>IFERROR(__xludf.DUMMYFUNCTION("IFERROR(TEXTJOIN(""/"",1,FILTER($B$57:$IV$57,$B$56:$IV$56=CN$97)),"" "")")," ")</f>
        <v> </v>
      </c>
      <c r="CO88" s="48" t="str">
        <f>IFERROR(__xludf.DUMMYFUNCTION("IFERROR(TEXTJOIN(""/"",1,FILTER($B$57:$IV$57,$B$56:$IV$56=CO$97)),"" "")")," ")</f>
        <v> </v>
      </c>
      <c r="CP88" s="48" t="str">
        <f>IFERROR(__xludf.DUMMYFUNCTION("IFERROR(TEXTJOIN(""/"",1,FILTER($B$57:$IV$57,$B$56:$IV$56=CP$97)),"" "")")," ")</f>
        <v> </v>
      </c>
      <c r="CQ88" s="48" t="str">
        <f>IFERROR(__xludf.DUMMYFUNCTION("IFERROR(TEXTJOIN(""/"",1,FILTER($B$57:$IV$57,$B$56:$IV$56=CQ$97)),"" "")")," ")</f>
        <v> </v>
      </c>
      <c r="CR88" s="48" t="str">
        <f>IFERROR(__xludf.DUMMYFUNCTION("IFERROR(TEXTJOIN(""/"",1,FILTER($B$57:$IV$57,$B$56:$IV$56=CR$97)),"" "")")," ")</f>
        <v> </v>
      </c>
      <c r="CS88" s="48" t="str">
        <f>IFERROR(__xludf.DUMMYFUNCTION("IFERROR(TEXTJOIN(""/"",1,FILTER($B$57:$IV$57,$B$56:$IV$56=CS$97)),"" "")")," ")</f>
        <v> </v>
      </c>
      <c r="CT88" s="48" t="str">
        <f>IFERROR(__xludf.DUMMYFUNCTION("IFERROR(TEXTJOIN(""/"",1,FILTER($B$57:$IV$57,$B$56:$IV$56=CT$97)),"" "")")," ")</f>
        <v> </v>
      </c>
      <c r="CU88" s="48" t="str">
        <f>IFERROR(__xludf.DUMMYFUNCTION("IFERROR(TEXTJOIN(""/"",1,FILTER($B$57:$IV$57,$B$56:$IV$56=CU$97)),"" "")")," ")</f>
        <v> </v>
      </c>
      <c r="CV88" s="48" t="str">
        <f>IFERROR(__xludf.DUMMYFUNCTION("IFERROR(TEXTJOIN(""/"",1,FILTER($B$57:$IV$57,$B$56:$IV$56=CV$97)),"" "")")," ")</f>
        <v> </v>
      </c>
      <c r="CW88" s="48" t="str">
        <f>IFERROR(__xludf.DUMMYFUNCTION("IFERROR(TEXTJOIN(""/"",1,FILTER($B$57:$IV$57,$B$56:$IV$56=CW$97)),"" "")")," ")</f>
        <v> </v>
      </c>
      <c r="CX88" s="48" t="str">
        <f>IFERROR(__xludf.DUMMYFUNCTION("IFERROR(TEXTJOIN(""/"",1,FILTER($B$57:$IV$57,$B$56:$IV$56=CX$97)),"" "")")," ")</f>
        <v> </v>
      </c>
      <c r="CY88" s="48" t="str">
        <f>IFERROR(__xludf.DUMMYFUNCTION("IFERROR(TEXTJOIN(""/"",1,FILTER($B$57:$IV$57,$B$56:$IV$56=CY$97)),"" "")")," ")</f>
        <v> </v>
      </c>
      <c r="CZ88" s="48" t="str">
        <f>IFERROR(__xludf.DUMMYFUNCTION("IFERROR(TEXTJOIN(""/"",1,FILTER($B$57:$IV$57,$B$56:$IV$56=CZ$97)),"" "")")," ")</f>
        <v> </v>
      </c>
      <c r="DA88" s="48" t="str">
        <f>IFERROR(__xludf.DUMMYFUNCTION("IFERROR(TEXTJOIN(""/"",1,FILTER($B$57:$IV$57,$B$56:$IV$56=DA$97)),"" "")")," ")</f>
        <v> </v>
      </c>
      <c r="DB88" s="48" t="str">
        <f>IFERROR(__xludf.DUMMYFUNCTION("IFERROR(TEXTJOIN(""/"",1,FILTER($B$57:$IV$57,$B$56:$IV$56=DB$97)),"" "")")," ")</f>
        <v> </v>
      </c>
      <c r="DC88" s="48" t="str">
        <f>IFERROR(__xludf.DUMMYFUNCTION("IFERROR(TEXTJOIN(""/"",1,FILTER($B$57:$IV$57,$B$56:$IV$56=DC$97)),"" "")")," ")</f>
        <v> </v>
      </c>
      <c r="DD88" s="48" t="str">
        <f>IFERROR(__xludf.DUMMYFUNCTION("IFERROR(TEXTJOIN(""/"",1,FILTER($B$57:$IV$57,$B$56:$IV$56=DD$97)),"" "")")," ")</f>
        <v> </v>
      </c>
      <c r="DE88" s="48" t="str">
        <f>IFERROR(__xludf.DUMMYFUNCTION("IFERROR(TEXTJOIN(""/"",1,FILTER($B$57:$IV$57,$B$56:$IV$56=DE$97)),"" "")")," ")</f>
        <v> </v>
      </c>
      <c r="DF88" s="48" t="str">
        <f>IFERROR(__xludf.DUMMYFUNCTION("IFERROR(TEXTJOIN(""/"",1,FILTER($B$57:$IV$57,$B$56:$IV$56=DF$97)),"" "")")," ")</f>
        <v> </v>
      </c>
      <c r="DG88" s="48" t="str">
        <f>IFERROR(__xludf.DUMMYFUNCTION("IFERROR(TEXTJOIN(""/"",1,FILTER($B$57:$IV$57,$B$56:$IV$56=DG$97)),"" "")")," ")</f>
        <v> </v>
      </c>
      <c r="DH88" s="48" t="str">
        <f>IFERROR(__xludf.DUMMYFUNCTION("IFERROR(TEXTJOIN(""/"",1,FILTER($B$57:$IV$57,$B$56:$IV$56=DH$97)),"" "")")," ")</f>
        <v> </v>
      </c>
      <c r="DI88" s="48" t="str">
        <f>IFERROR(__xludf.DUMMYFUNCTION("IFERROR(TEXTJOIN(""/"",1,FILTER($B$57:$IV$57,$B$56:$IV$56=DI$97)),"" "")")," ")</f>
        <v> </v>
      </c>
      <c r="DJ88" s="48" t="str">
        <f>IFERROR(__xludf.DUMMYFUNCTION("IFERROR(TEXTJOIN(""/"",1,FILTER($B$57:$IV$57,$B$56:$IV$56=DJ$97)),"" "")")," ")</f>
        <v> </v>
      </c>
      <c r="DK88" s="48" t="str">
        <f>IFERROR(__xludf.DUMMYFUNCTION("IFERROR(TEXTJOIN(""/"",1,FILTER($B$57:$IV$57,$B$56:$IV$56=DK$97)),"" "")")," ")</f>
        <v> </v>
      </c>
      <c r="DL88" s="48" t="str">
        <f>IFERROR(__xludf.DUMMYFUNCTION("IFERROR(TEXTJOIN(""/"",1,FILTER($B$57:$IV$57,$B$56:$IV$56=DL$97)),"" "")")," ")</f>
        <v> </v>
      </c>
      <c r="DM88" s="48" t="str">
        <f>IFERROR(__xludf.DUMMYFUNCTION("IFERROR(TEXTJOIN(""/"",1,FILTER($B$57:$IV$57,$B$56:$IV$56=DM$97)),"" "")")," ")</f>
        <v> </v>
      </c>
      <c r="DN88" s="48" t="str">
        <f>IFERROR(__xludf.DUMMYFUNCTION("IFERROR(TEXTJOIN(""/"",1,FILTER($B$57:$IV$57,$B$56:$IV$56=DN$97)),"" "")")," ")</f>
        <v> </v>
      </c>
      <c r="DO88" s="48" t="str">
        <f>IFERROR(__xludf.DUMMYFUNCTION("IFERROR(TEXTJOIN(""/"",1,FILTER($B$57:$IV$57,$B$56:$IV$56=DO$97)),"" "")")," ")</f>
        <v> </v>
      </c>
      <c r="DP88" s="48" t="str">
        <f>IFERROR(__xludf.DUMMYFUNCTION("IFERROR(TEXTJOIN(""/"",1,FILTER($B$57:$IV$57,$B$56:$IV$56=DP$97)),"" "")")," ")</f>
        <v> </v>
      </c>
      <c r="DQ88" s="48" t="str">
        <f>IFERROR(__xludf.DUMMYFUNCTION("IFERROR(TEXTJOIN(""/"",1,FILTER($B$57:$IV$57,$B$56:$IV$56=DQ$97)),"" "")")," ")</f>
        <v> </v>
      </c>
      <c r="DR88" s="48" t="str">
        <f>IFERROR(__xludf.DUMMYFUNCTION("IFERROR(TEXTJOIN(""/"",1,FILTER($B$57:$IV$57,$B$56:$IV$56=DR$97)),"" "")")," ")</f>
        <v> </v>
      </c>
      <c r="DS88" s="48" t="str">
        <f>IFERROR(__xludf.DUMMYFUNCTION("IFERROR(TEXTJOIN(""/"",1,FILTER($B$57:$IV$57,$B$56:$IV$56=DS$97)),"" "")")," ")</f>
        <v> </v>
      </c>
      <c r="DT88" s="48" t="str">
        <f>IFERROR(__xludf.DUMMYFUNCTION("IFERROR(TEXTJOIN(""/"",1,FILTER($B$57:$IV$57,$B$56:$IV$56=DT$97)),"" "")")," ")</f>
        <v> </v>
      </c>
      <c r="DU88" s="48" t="str">
        <f>IFERROR(__xludf.DUMMYFUNCTION("IFERROR(TEXTJOIN(""/"",1,FILTER($B$57:$IV$57,$B$56:$IV$56=DU$97)),"" "")")," ")</f>
        <v> </v>
      </c>
      <c r="DV88" s="48" t="str">
        <f>IFERROR(__xludf.DUMMYFUNCTION("IFERROR(TEXTJOIN(""/"",1,FILTER($B$57:$IV$57,$B$56:$IV$56=DV$97)),"" "")")," ")</f>
        <v> </v>
      </c>
      <c r="DW88" s="48" t="str">
        <f>IFERROR(__xludf.DUMMYFUNCTION("IFERROR(TEXTJOIN(""/"",1,FILTER($B$57:$IV$57,$B$56:$IV$56=DW$97)),"" "")")," ")</f>
        <v> </v>
      </c>
      <c r="DX88" s="48" t="str">
        <f>IFERROR(__xludf.DUMMYFUNCTION("IFERROR(TEXTJOIN(""/"",1,FILTER($B$57:$IV$57,$B$56:$IV$56=DX$97)),"" "")")," ")</f>
        <v> </v>
      </c>
      <c r="DY88" s="48" t="str">
        <f>IFERROR(__xludf.DUMMYFUNCTION("IFERROR(TEXTJOIN(""/"",1,FILTER($B$57:$IV$57,$B$56:$IV$56=DY$97)),"" "")")," ")</f>
        <v> </v>
      </c>
      <c r="DZ88" s="48" t="str">
        <f>IFERROR(__xludf.DUMMYFUNCTION("IFERROR(TEXTJOIN(""/"",1,FILTER($B$57:$IV$57,$B$56:$IV$56=DZ$97)),"" "")")," ")</f>
        <v> </v>
      </c>
      <c r="EA88" s="48" t="str">
        <f>IFERROR(__xludf.DUMMYFUNCTION("IFERROR(TEXTJOIN(""/"",1,FILTER($B$57:$IV$57,$B$56:$IV$56=EA$97)),"" "")")," ")</f>
        <v> </v>
      </c>
      <c r="EB88" s="48" t="str">
        <f>IFERROR(__xludf.DUMMYFUNCTION("IFERROR(TEXTJOIN(""/"",1,FILTER($B$57:$IV$57,$B$56:$IV$56=EB$97)),"" "")")," ")</f>
        <v> </v>
      </c>
      <c r="EC88" s="48" t="str">
        <f>IFERROR(__xludf.DUMMYFUNCTION("IFERROR(TEXTJOIN(""/"",1,FILTER($B$57:$IV$57,$B$56:$IV$56=EC$97)),"" "")")," ")</f>
        <v> </v>
      </c>
      <c r="ED88" s="48" t="str">
        <f>IFERROR(__xludf.DUMMYFUNCTION("IFERROR(TEXTJOIN(""/"",1,FILTER($B$57:$IV$57,$B$56:$IV$56=ED$97)),"" "")")," ")</f>
        <v> </v>
      </c>
      <c r="EE88" s="48" t="str">
        <f>IFERROR(__xludf.DUMMYFUNCTION("IFERROR(TEXTJOIN(""/"",1,FILTER($B$57:$IV$57,$B$56:$IV$56=EE$97)),"" "")")," ")</f>
        <v> </v>
      </c>
      <c r="EF88" s="48" t="str">
        <f>IFERROR(__xludf.DUMMYFUNCTION("IFERROR(TEXTJOIN(""/"",1,FILTER($B$57:$IV$57,$B$56:$IV$56=EF$97)),"" "")")," ")</f>
        <v> </v>
      </c>
      <c r="EG88" s="48" t="str">
        <f>IFERROR(__xludf.DUMMYFUNCTION("IFERROR(TEXTJOIN(""/"",1,FILTER($B$57:$IV$57,$B$56:$IV$56=EG$97)),"" "")")," ")</f>
        <v> </v>
      </c>
      <c r="EH88" s="48" t="str">
        <f>IFERROR(__xludf.DUMMYFUNCTION("IFERROR(TEXTJOIN(""/"",1,FILTER($B$57:$IV$57,$B$56:$IV$56=EH$97)),"" "")")," ")</f>
        <v> </v>
      </c>
      <c r="EI88" s="48" t="str">
        <f>IFERROR(__xludf.DUMMYFUNCTION("IFERROR(TEXTJOIN(""/"",1,FILTER($B$57:$IV$57,$B$56:$IV$56=EI$97)),"" "")")," ")</f>
        <v> </v>
      </c>
      <c r="EJ88" s="48" t="str">
        <f>IFERROR(__xludf.DUMMYFUNCTION("IFERROR(TEXTJOIN(""/"",1,FILTER($B$57:$IV$57,$B$56:$IV$56=EJ$97)),"" "")")," ")</f>
        <v> </v>
      </c>
      <c r="EK88" s="48" t="str">
        <f>IFERROR(__xludf.DUMMYFUNCTION("IFERROR(TEXTJOIN(""/"",1,FILTER($B$57:$IV$57,$B$56:$IV$56=EK$97)),"" "")")," ")</f>
        <v> </v>
      </c>
      <c r="EL88" s="48" t="str">
        <f>IFERROR(__xludf.DUMMYFUNCTION("IFERROR(TEXTJOIN(""/"",1,FILTER($B$57:$IV$57,$B$56:$IV$56=EL$97)),"" "")")," ")</f>
        <v> </v>
      </c>
      <c r="EM88" s="48" t="str">
        <f>IFERROR(__xludf.DUMMYFUNCTION("IFERROR(TEXTJOIN(""/"",1,FILTER($B$57:$IV$57,$B$56:$IV$56=EM$97)),"" "")")," ")</f>
        <v> </v>
      </c>
      <c r="EN88" s="48" t="str">
        <f>IFERROR(__xludf.DUMMYFUNCTION("IFERROR(TEXTJOIN(""/"",1,FILTER($B$57:$IV$57,$B$56:$IV$56=EN$97)),"" "")")," ")</f>
        <v> </v>
      </c>
      <c r="EO88" s="48" t="str">
        <f>IFERROR(__xludf.DUMMYFUNCTION("IFERROR(TEXTJOIN(""/"",1,FILTER($B$57:$IV$57,$B$56:$IV$56=EO$97)),"" "")")," ")</f>
        <v> </v>
      </c>
      <c r="EP88" s="48" t="str">
        <f>IFERROR(__xludf.DUMMYFUNCTION("IFERROR(TEXTJOIN(""/"",1,FILTER($B$57:$IV$57,$B$56:$IV$56=EP$97)),"" "")")," ")</f>
        <v> </v>
      </c>
      <c r="EQ88" s="48" t="str">
        <f>IFERROR(__xludf.DUMMYFUNCTION("IFERROR(TEXTJOIN(""/"",1,FILTER($B$57:$IV$57,$B$56:$IV$56=EQ$97)),"" "")")," ")</f>
        <v> </v>
      </c>
      <c r="ER88" s="48" t="str">
        <f>IFERROR(__xludf.DUMMYFUNCTION("IFERROR(TEXTJOIN(""/"",1,FILTER($B$57:$IV$57,$B$56:$IV$56=ER$97)),"" "")")," ")</f>
        <v> </v>
      </c>
      <c r="ES88" s="48" t="str">
        <f>IFERROR(__xludf.DUMMYFUNCTION("IFERROR(TEXTJOIN(""/"",1,FILTER($B$57:$IV$57,$B$56:$IV$56=ES$97)),"" "")")," ")</f>
        <v> </v>
      </c>
      <c r="ET88" s="48" t="str">
        <f>IFERROR(__xludf.DUMMYFUNCTION("IFERROR(TEXTJOIN(""/"",1,FILTER($B$57:$IV$57,$B$56:$IV$56=ET$97)),"" "")")," ")</f>
        <v> </v>
      </c>
      <c r="EU88" s="48" t="str">
        <f>IFERROR(__xludf.DUMMYFUNCTION("IFERROR(TEXTJOIN(""/"",1,FILTER($B$57:$IV$57,$B$56:$IV$56=EU$97)),"" "")")," ")</f>
        <v> </v>
      </c>
      <c r="EV88" s="48" t="str">
        <f>IFERROR(__xludf.DUMMYFUNCTION("IFERROR(TEXTJOIN(""/"",1,FILTER($B$57:$IV$57,$B$56:$IV$56=EV$97)),"" "")")," ")</f>
        <v> </v>
      </c>
      <c r="EW88" s="48" t="str">
        <f>IFERROR(__xludf.DUMMYFUNCTION("IFERROR(TEXTJOIN(""/"",1,FILTER($B$57:$IV$57,$B$56:$IV$56=EW$97)),"" "")")," ")</f>
        <v> </v>
      </c>
      <c r="EX88" s="48" t="str">
        <f>IFERROR(__xludf.DUMMYFUNCTION("IFERROR(TEXTJOIN(""/"",1,FILTER($B$57:$IV$57,$B$56:$IV$56=EX$97)),"" "")")," ")</f>
        <v> </v>
      </c>
      <c r="EY88" s="48" t="str">
        <f>IFERROR(__xludf.DUMMYFUNCTION("IFERROR(TEXTJOIN(""/"",1,FILTER($B$57:$IV$57,$B$56:$IV$56=EY$97)),"" "")")," ")</f>
        <v> </v>
      </c>
      <c r="EZ88" s="48" t="str">
        <f>IFERROR(__xludf.DUMMYFUNCTION("IFERROR(TEXTJOIN(""/"",1,FILTER($B$57:$IV$57,$B$56:$IV$56=EZ$97)),"" "")")," ")</f>
        <v> </v>
      </c>
      <c r="FA88" s="48" t="str">
        <f>IFERROR(__xludf.DUMMYFUNCTION("IFERROR(TEXTJOIN(""/"",1,FILTER($B$57:$IV$57,$B$56:$IV$56=FA$97)),"" "")")," ")</f>
        <v> </v>
      </c>
      <c r="FB88" s="48" t="str">
        <f>IFERROR(__xludf.DUMMYFUNCTION("IFERROR(TEXTJOIN(""/"",1,FILTER($B$57:$IV$57,$B$56:$IV$56=FB$97)),"" "")")," ")</f>
        <v> </v>
      </c>
      <c r="FC88" s="48" t="str">
        <f>IFERROR(__xludf.DUMMYFUNCTION("IFERROR(TEXTJOIN(""/"",1,FILTER($B$57:$IV$57,$B$56:$IV$56=FC$97)),"" "")")," ")</f>
        <v> </v>
      </c>
      <c r="FD88" s="48" t="str">
        <f>IFERROR(__xludf.DUMMYFUNCTION("IFERROR(TEXTJOIN(""/"",1,FILTER($B$57:$IV$57,$B$56:$IV$56=FD$97)),"" "")")," ")</f>
        <v> </v>
      </c>
      <c r="FE88" s="48" t="str">
        <f>IFERROR(__xludf.DUMMYFUNCTION("IFERROR(TEXTJOIN(""/"",1,FILTER($B$57:$IV$57,$B$56:$IV$56=FE$97)),"" "")")," ")</f>
        <v> </v>
      </c>
      <c r="FF88" s="48" t="str">
        <f>IFERROR(__xludf.DUMMYFUNCTION("IFERROR(TEXTJOIN(""/"",1,FILTER($B$57:$IV$57,$B$56:$IV$56=FF$97)),"" "")")," ")</f>
        <v> </v>
      </c>
      <c r="FG88" s="48" t="str">
        <f>IFERROR(__xludf.DUMMYFUNCTION("IFERROR(TEXTJOIN(""/"",1,FILTER($B$57:$IV$57,$B$56:$IV$56=FG$97)),"" "")")," ")</f>
        <v> </v>
      </c>
      <c r="FH88" s="48" t="str">
        <f>IFERROR(__xludf.DUMMYFUNCTION("IFERROR(TEXTJOIN(""/"",1,FILTER($B$57:$IV$57,$B$56:$IV$56=FH$97)),"" "")")," ")</f>
        <v> </v>
      </c>
      <c r="FI88" s="48" t="str">
        <f>IFERROR(__xludf.DUMMYFUNCTION("IFERROR(TEXTJOIN(""/"",1,FILTER($B$57:$IV$57,$B$56:$IV$56=FI$97)),"" "")")," ")</f>
        <v> </v>
      </c>
      <c r="FJ88" s="48" t="str">
        <f>IFERROR(__xludf.DUMMYFUNCTION("IFERROR(TEXTJOIN(""/"",1,FILTER($B$57:$IV$57,$B$56:$IV$56=FJ$97)),"" "")")," ")</f>
        <v> </v>
      </c>
      <c r="FK88" s="48" t="str">
        <f>IFERROR(__xludf.DUMMYFUNCTION("IFERROR(TEXTJOIN(""/"",1,FILTER($B$57:$IV$57,$B$56:$IV$56=FK$97)),"" "")")," ")</f>
        <v> </v>
      </c>
      <c r="FL88" s="48" t="str">
        <f>IFERROR(__xludf.DUMMYFUNCTION("IFERROR(TEXTJOIN(""/"",1,FILTER($B$57:$IV$57,$B$56:$IV$56=FL$97)),"" "")")," ")</f>
        <v> </v>
      </c>
      <c r="FM88" s="48" t="str">
        <f>IFERROR(__xludf.DUMMYFUNCTION("IFERROR(TEXTJOIN(""/"",1,FILTER($B$57:$IV$57,$B$56:$IV$56=FM$97)),"" "")")," ")</f>
        <v> </v>
      </c>
      <c r="FN88" s="48" t="str">
        <f>IFERROR(__xludf.DUMMYFUNCTION("IFERROR(TEXTJOIN(""/"",1,FILTER($B$57:$IV$57,$B$56:$IV$56=FN$97)),"" "")")," ")</f>
        <v> </v>
      </c>
      <c r="FO88" s="48" t="str">
        <f>IFERROR(__xludf.DUMMYFUNCTION("IFERROR(TEXTJOIN(""/"",1,FILTER($B$57:$IV$57,$B$56:$IV$56=FO$97)),"" "")")," ")</f>
        <v> </v>
      </c>
      <c r="FP88" s="48" t="str">
        <f>IFERROR(__xludf.DUMMYFUNCTION("IFERROR(TEXTJOIN(""/"",1,FILTER($B$57:$IV$57,$B$56:$IV$56=FP$97)),"" "")")," ")</f>
        <v> </v>
      </c>
      <c r="FQ88" s="48" t="str">
        <f>IFERROR(__xludf.DUMMYFUNCTION("IFERROR(TEXTJOIN(""/"",1,FILTER($B$57:$IV$57,$B$56:$IV$56=FQ$97)),"" "")")," ")</f>
        <v> </v>
      </c>
      <c r="FR88" s="48" t="str">
        <f>IFERROR(__xludf.DUMMYFUNCTION("IFERROR(TEXTJOIN(""/"",1,FILTER($B$57:$IV$57,$B$56:$IV$56=FR$97)),"" "")")," ")</f>
        <v> </v>
      </c>
      <c r="FS88" s="48" t="str">
        <f>IFERROR(__xludf.DUMMYFUNCTION("IFERROR(TEXTJOIN(""/"",1,FILTER($B$57:$IV$57,$B$56:$IV$56=FS$97)),"" "")")," ")</f>
        <v> </v>
      </c>
      <c r="FT88" s="48" t="str">
        <f>IFERROR(__xludf.DUMMYFUNCTION("IFERROR(TEXTJOIN(""/"",1,FILTER($B$57:$IV$57,$B$56:$IV$56=FT$97)),"" "")")," ")</f>
        <v> </v>
      </c>
      <c r="FU88" s="48" t="str">
        <f>IFERROR(__xludf.DUMMYFUNCTION("IFERROR(TEXTJOIN(""/"",1,FILTER($B$57:$IV$57,$B$56:$IV$56=FU$97)),"" "")")," ")</f>
        <v> </v>
      </c>
      <c r="FV88" s="48" t="str">
        <f>IFERROR(__xludf.DUMMYFUNCTION("IFERROR(TEXTJOIN(""/"",1,FILTER($B$57:$IV$57,$B$56:$IV$56=FV$97)),"" "")")," ")</f>
        <v> </v>
      </c>
      <c r="FW88" s="48" t="str">
        <f>IFERROR(__xludf.DUMMYFUNCTION("IFERROR(TEXTJOIN(""/"",1,FILTER($B$57:$IV$57,$B$56:$IV$56=FW$97)),"" "")")," ")</f>
        <v> </v>
      </c>
      <c r="FX88" s="48" t="str">
        <f>IFERROR(__xludf.DUMMYFUNCTION("IFERROR(TEXTJOIN(""/"",1,FILTER($B$57:$IV$57,$B$56:$IV$56=FX$97)),"" "")")," ")</f>
        <v> </v>
      </c>
      <c r="FY88" s="48" t="str">
        <f>IFERROR(__xludf.DUMMYFUNCTION("IFERROR(TEXTJOIN(""/"",1,FILTER($B$57:$IV$57,$B$56:$IV$56=FY$97)),"" "")")," ")</f>
        <v> </v>
      </c>
      <c r="FZ88" s="48" t="str">
        <f>IFERROR(__xludf.DUMMYFUNCTION("IFERROR(TEXTJOIN(""/"",1,FILTER($B$57:$IV$57,$B$56:$IV$56=FZ$97)),"" "")")," ")</f>
        <v> </v>
      </c>
      <c r="GA88" s="48" t="str">
        <f>IFERROR(__xludf.DUMMYFUNCTION("IFERROR(TEXTJOIN(""/"",1,FILTER($B$57:$IV$57,$B$56:$IV$56=GA$97)),"" "")")," ")</f>
        <v> </v>
      </c>
      <c r="GB88" s="48" t="str">
        <f>IFERROR(__xludf.DUMMYFUNCTION("IFERROR(TEXTJOIN(""/"",1,FILTER($B$57:$IV$57,$B$56:$IV$56=GB$97)),"" "")")," ")</f>
        <v> </v>
      </c>
      <c r="GC88" s="48" t="str">
        <f>IFERROR(__xludf.DUMMYFUNCTION("IFERROR(TEXTJOIN(""/"",1,FILTER($B$57:$IV$57,$B$56:$IV$56=GC$97)),"" "")")," ")</f>
        <v> </v>
      </c>
      <c r="GD88" s="48" t="str">
        <f>IFERROR(__xludf.DUMMYFUNCTION("IFERROR(TEXTJOIN(""/"",1,FILTER($B$57:$IV$57,$B$56:$IV$56=GD$97)),"" "")")," ")</f>
        <v> </v>
      </c>
      <c r="GE88" s="48" t="str">
        <f>IFERROR(__xludf.DUMMYFUNCTION("IFERROR(TEXTJOIN(""/"",1,FILTER($B$57:$IV$57,$B$56:$IV$56=GE$97)),"" "")")," ")</f>
        <v> </v>
      </c>
      <c r="GF88" s="48" t="str">
        <f>IFERROR(__xludf.DUMMYFUNCTION("IFERROR(TEXTJOIN(""/"",1,FILTER($B$57:$IV$57,$B$56:$IV$56=GF$97)),"" "")")," ")</f>
        <v> </v>
      </c>
      <c r="GG88" s="48" t="str">
        <f>IFERROR(__xludf.DUMMYFUNCTION("IFERROR(TEXTJOIN(""/"",1,FILTER($B$57:$IV$57,$B$56:$IV$56=GG$97)),"" "")")," ")</f>
        <v> </v>
      </c>
      <c r="GH88" s="48" t="str">
        <f>IFERROR(__xludf.DUMMYFUNCTION("IFERROR(TEXTJOIN(""/"",1,FILTER($B$57:$IV$57,$B$56:$IV$56=GH$97)),"" "")")," ")</f>
        <v> </v>
      </c>
      <c r="GI88" s="48" t="str">
        <f>IFERROR(__xludf.DUMMYFUNCTION("IFERROR(TEXTJOIN(""/"",1,FILTER($B$57:$IV$57,$B$56:$IV$56=GI$97)),"" "")")," ")</f>
        <v> </v>
      </c>
      <c r="GJ88" s="48" t="str">
        <f>IFERROR(__xludf.DUMMYFUNCTION("IFERROR(TEXTJOIN(""/"",1,FILTER($B$57:$IV$57,$B$56:$IV$56=GJ$97)),"" "")")," ")</f>
        <v> </v>
      </c>
      <c r="GK88" s="48" t="str">
        <f>IFERROR(__xludf.DUMMYFUNCTION("IFERROR(TEXTJOIN(""/"",1,FILTER($B$57:$IV$57,$B$56:$IV$56=GK$97)),"" "")")," ")</f>
        <v> </v>
      </c>
      <c r="GL88" s="48" t="str">
        <f>IFERROR(__xludf.DUMMYFUNCTION("IFERROR(TEXTJOIN(""/"",1,FILTER($B$57:$IV$57,$B$56:$IV$56=GL$97)),"" "")")," ")</f>
        <v> </v>
      </c>
      <c r="GM88" s="48" t="str">
        <f>IFERROR(__xludf.DUMMYFUNCTION("IFERROR(TEXTJOIN(""/"",1,FILTER($B$57:$IV$57,$B$56:$IV$56=GM$97)),"" "")")," ")</f>
        <v> </v>
      </c>
      <c r="GN88" s="48" t="str">
        <f>IFERROR(__xludf.DUMMYFUNCTION("IFERROR(TEXTJOIN(""/"",1,FILTER($B$57:$IV$57,$B$56:$IV$56=GN$97)),"" "")")," ")</f>
        <v> </v>
      </c>
      <c r="GO88" s="48" t="str">
        <f>IFERROR(__xludf.DUMMYFUNCTION("IFERROR(TEXTJOIN(""/"",1,FILTER($B$57:$IV$57,$B$56:$IV$56=GO$97)),"" "")")," ")</f>
        <v> </v>
      </c>
      <c r="GP88" s="48" t="str">
        <f>IFERROR(__xludf.DUMMYFUNCTION("IFERROR(TEXTJOIN(""/"",1,FILTER($B$57:$IV$57,$B$56:$IV$56=GP$97)),"" "")")," ")</f>
        <v> </v>
      </c>
      <c r="GQ88" s="48" t="str">
        <f>IFERROR(__xludf.DUMMYFUNCTION("IFERROR(TEXTJOIN(""/"",1,FILTER($B$57:$IV$57,$B$56:$IV$56=GQ$97)),"" "")")," ")</f>
        <v> </v>
      </c>
      <c r="GR88" s="48" t="str">
        <f>IFERROR(__xludf.DUMMYFUNCTION("IFERROR(TEXTJOIN(""/"",1,FILTER($B$57:$IV$57,$B$56:$IV$56=GR$97)),"" "")")," ")</f>
        <v> </v>
      </c>
      <c r="GS88" s="48" t="str">
        <f>IFERROR(__xludf.DUMMYFUNCTION("IFERROR(TEXTJOIN(""/"",1,FILTER($B$57:$IV$57,$B$56:$IV$56=GS$97)),"" "")")," ")</f>
        <v> </v>
      </c>
      <c r="GT88" s="48" t="str">
        <f>IFERROR(__xludf.DUMMYFUNCTION("IFERROR(TEXTJOIN(""/"",1,FILTER($B$57:$IV$57,$B$56:$IV$56=GT$97)),"" "")")," ")</f>
        <v> </v>
      </c>
      <c r="GU88" s="48" t="str">
        <f>IFERROR(__xludf.DUMMYFUNCTION("IFERROR(TEXTJOIN(""/"",1,FILTER($B$57:$IV$57,$B$56:$IV$56=GU$97)),"" "")")," ")</f>
        <v> </v>
      </c>
      <c r="GV88" s="48" t="str">
        <f>IFERROR(__xludf.DUMMYFUNCTION("IFERROR(TEXTJOIN(""/"",1,FILTER($B$57:$IV$57,$B$56:$IV$56=GV$97)),"" "")")," ")</f>
        <v> </v>
      </c>
      <c r="GW88" s="48" t="str">
        <f>IFERROR(__xludf.DUMMYFUNCTION("IFERROR(TEXTJOIN(""/"",1,FILTER($B$57:$IV$57,$B$56:$IV$56=GW$97)),"" "")")," ")</f>
        <v> </v>
      </c>
      <c r="GX88" s="48" t="str">
        <f>IFERROR(__xludf.DUMMYFUNCTION("IFERROR(TEXTJOIN(""/"",1,FILTER($B$57:$IV$57,$B$56:$IV$56=GX$97)),"" "")")," ")</f>
        <v> </v>
      </c>
      <c r="GY88" s="48" t="str">
        <f>IFERROR(__xludf.DUMMYFUNCTION("IFERROR(TEXTJOIN(""/"",1,FILTER($B$57:$IV$57,$B$56:$IV$56=GY$97)),"" "")")," ")</f>
        <v> </v>
      </c>
      <c r="GZ88" s="48" t="str">
        <f>IFERROR(__xludf.DUMMYFUNCTION("IFERROR(TEXTJOIN(""/"",1,FILTER($B$57:$IV$57,$B$56:$IV$56=GZ$97)),"" "")")," ")</f>
        <v> </v>
      </c>
      <c r="HA88" s="48" t="str">
        <f>IFERROR(__xludf.DUMMYFUNCTION("IFERROR(TEXTJOIN(""/"",1,FILTER($B$57:$IV$57,$B$56:$IV$56=HA$97)),"" "")")," ")</f>
        <v> </v>
      </c>
      <c r="HB88" s="48" t="str">
        <f>IFERROR(__xludf.DUMMYFUNCTION("IFERROR(TEXTJOIN(""/"",1,FILTER($B$57:$IV$57,$B$56:$IV$56=HB$97)),"" "")")," ")</f>
        <v> </v>
      </c>
      <c r="HC88" s="48" t="str">
        <f>IFERROR(__xludf.DUMMYFUNCTION("IFERROR(TEXTJOIN(""/"",1,FILTER($B$57:$IV$57,$B$56:$IV$56=HC$97)),"" "")")," ")</f>
        <v> </v>
      </c>
      <c r="HD88" s="48" t="str">
        <f>IFERROR(__xludf.DUMMYFUNCTION("IFERROR(TEXTJOIN(""/"",1,FILTER($B$57:$IV$57,$B$56:$IV$56=HD$97)),"" "")")," ")</f>
        <v> </v>
      </c>
      <c r="HE88" s="48" t="str">
        <f>IFERROR(__xludf.DUMMYFUNCTION("IFERROR(TEXTJOIN(""/"",1,FILTER($B$57:$IV$57,$B$56:$IV$56=HE$97)),"" "")")," ")</f>
        <v> </v>
      </c>
      <c r="HF88" s="48" t="str">
        <f>IFERROR(__xludf.DUMMYFUNCTION("IFERROR(TEXTJOIN(""/"",1,FILTER($B$57:$IV$57,$B$56:$IV$56=HF$97)),"" "")")," ")</f>
        <v> </v>
      </c>
      <c r="HG88" s="48" t="str">
        <f>IFERROR(__xludf.DUMMYFUNCTION("IFERROR(TEXTJOIN(""/"",1,FILTER($B$57:$IV$57,$B$56:$IV$56=HG$97)),"" "")")," ")</f>
        <v> </v>
      </c>
      <c r="HH88" s="48" t="str">
        <f>IFERROR(__xludf.DUMMYFUNCTION("IFERROR(TEXTJOIN(""/"",1,FILTER($B$57:$IV$57,$B$56:$IV$56=HH$97)),"" "")")," ")</f>
        <v> </v>
      </c>
      <c r="HI88" s="48" t="str">
        <f>IFERROR(__xludf.DUMMYFUNCTION("IFERROR(TEXTJOIN(""/"",1,FILTER($B$57:$IV$57,$B$56:$IV$56=HI$97)),"" "")")," ")</f>
        <v> </v>
      </c>
      <c r="HJ88" s="48" t="str">
        <f>IFERROR(__xludf.DUMMYFUNCTION("IFERROR(TEXTJOIN(""/"",1,FILTER($B$57:$IV$57,$B$56:$IV$56=HJ$97)),"" "")")," ")</f>
        <v> </v>
      </c>
      <c r="HK88" s="48" t="str">
        <f>IFERROR(__xludf.DUMMYFUNCTION("IFERROR(TEXTJOIN(""/"",1,FILTER($B$57:$IV$57,$B$56:$IV$56=HK$97)),"" "")")," ")</f>
        <v> </v>
      </c>
      <c r="HL88" s="48" t="str">
        <f>IFERROR(__xludf.DUMMYFUNCTION("IFERROR(TEXTJOIN(""/"",1,FILTER($B$57:$IV$57,$B$56:$IV$56=HL$97)),"" "")")," ")</f>
        <v> </v>
      </c>
      <c r="HM88" s="48" t="str">
        <f>IFERROR(__xludf.DUMMYFUNCTION("IFERROR(TEXTJOIN(""/"",1,FILTER($B$57:$IV$57,$B$56:$IV$56=HM$97)),"" "")")," ")</f>
        <v> </v>
      </c>
      <c r="HN88" s="48" t="str">
        <f>IFERROR(__xludf.DUMMYFUNCTION("IFERROR(TEXTJOIN(""/"",1,FILTER($B$57:$IV$57,$B$56:$IV$56=HN$97)),"" "")")," ")</f>
        <v> </v>
      </c>
      <c r="HO88" s="48" t="str">
        <f>IFERROR(__xludf.DUMMYFUNCTION("IFERROR(TEXTJOIN(""/"",1,FILTER($B$57:$IV$57,$B$56:$IV$56=HO$97)),"" "")")," ")</f>
        <v> </v>
      </c>
      <c r="HP88" s="48" t="str">
        <f>IFERROR(__xludf.DUMMYFUNCTION("IFERROR(TEXTJOIN(""/"",1,FILTER($B$57:$IV$57,$B$56:$IV$56=HP$97)),"" "")")," ")</f>
        <v> </v>
      </c>
      <c r="HQ88" s="48" t="str">
        <f>IFERROR(__xludf.DUMMYFUNCTION("IFERROR(TEXTJOIN(""/"",1,FILTER($B$57:$IV$57,$B$56:$IV$56=HQ$97)),"" "")")," ")</f>
        <v> </v>
      </c>
      <c r="HR88" s="48" t="str">
        <f>IFERROR(__xludf.DUMMYFUNCTION("IFERROR(TEXTJOIN(""/"",1,FILTER($B$57:$IV$57,$B$56:$IV$56=HR$97)),"" "")")," ")</f>
        <v> </v>
      </c>
      <c r="HS88" s="48" t="str">
        <f>IFERROR(__xludf.DUMMYFUNCTION("IFERROR(TEXTJOIN(""/"",1,FILTER($B$57:$IV$57,$B$56:$IV$56=HS$97)),"" "")")," ")</f>
        <v> </v>
      </c>
      <c r="HT88" s="48" t="str">
        <f>IFERROR(__xludf.DUMMYFUNCTION("IFERROR(TEXTJOIN(""/"",1,FILTER($B$57:$IV$57,$B$56:$IV$56=HT$97)),"" "")")," ")</f>
        <v> </v>
      </c>
      <c r="HU88" s="48" t="str">
        <f>IFERROR(__xludf.DUMMYFUNCTION("IFERROR(TEXTJOIN(""/"",1,FILTER($B$57:$IV$57,$B$56:$IV$56=HU$97)),"" "")")," ")</f>
        <v> </v>
      </c>
      <c r="HV88" s="48" t="str">
        <f>IFERROR(__xludf.DUMMYFUNCTION("IFERROR(TEXTJOIN(""/"",1,FILTER($B$57:$IV$57,$B$56:$IV$56=HV$97)),"" "")")," ")</f>
        <v> </v>
      </c>
      <c r="HW88" s="48" t="str">
        <f>IFERROR(__xludf.DUMMYFUNCTION("IFERROR(TEXTJOIN(""/"",1,FILTER($B$57:$IV$57,$B$56:$IV$56=HW$97)),"" "")")," ")</f>
        <v> </v>
      </c>
      <c r="HX88" s="48" t="str">
        <f>IFERROR(__xludf.DUMMYFUNCTION("IFERROR(TEXTJOIN(""/"",1,FILTER($B$57:$IV$57,$B$56:$IV$56=HX$97)),"" "")")," ")</f>
        <v> </v>
      </c>
      <c r="HY88" s="48" t="str">
        <f>IFERROR(__xludf.DUMMYFUNCTION("IFERROR(TEXTJOIN(""/"",1,FILTER($B$57:$IV$57,$B$56:$IV$56=HY$97)),"" "")")," ")</f>
        <v> </v>
      </c>
      <c r="HZ88" s="48" t="str">
        <f>IFERROR(__xludf.DUMMYFUNCTION("IFERROR(TEXTJOIN(""/"",1,FILTER($B$57:$IV$57,$B$56:$IV$56=HZ$97)),"" "")")," ")</f>
        <v> </v>
      </c>
      <c r="IA88" s="48" t="str">
        <f>IFERROR(__xludf.DUMMYFUNCTION("IFERROR(TEXTJOIN(""/"",1,FILTER($B$57:$IV$57,$B$56:$IV$56=IA$97)),"" "")")," ")</f>
        <v> </v>
      </c>
      <c r="IB88" s="48" t="str">
        <f>IFERROR(__xludf.DUMMYFUNCTION("IFERROR(TEXTJOIN(""/"",1,FILTER($B$57:$IV$57,$B$56:$IV$56=IB$97)),"" "")")," ")</f>
        <v> </v>
      </c>
      <c r="IC88" s="48" t="str">
        <f>IFERROR(__xludf.DUMMYFUNCTION("IFERROR(TEXTJOIN(""/"",1,FILTER($B$57:$IV$57,$B$56:$IV$56=IC$97)),"" "")")," ")</f>
        <v> </v>
      </c>
      <c r="ID88" s="48" t="str">
        <f>IFERROR(__xludf.DUMMYFUNCTION("IFERROR(TEXTJOIN(""/"",1,FILTER($B$57:$IV$57,$B$56:$IV$56=ID$97)),"" "")")," ")</f>
        <v> </v>
      </c>
      <c r="IE88" s="48" t="str">
        <f>IFERROR(__xludf.DUMMYFUNCTION("IFERROR(TEXTJOIN(""/"",1,FILTER($B$57:$IV$57,$B$56:$IV$56=IE$97)),"" "")")," ")</f>
        <v> </v>
      </c>
      <c r="IF88" s="48" t="str">
        <f>IFERROR(__xludf.DUMMYFUNCTION("IFERROR(TEXTJOIN(""/"",1,FILTER($B$57:$IV$57,$B$56:$IV$56=IF$97)),"" "")")," ")</f>
        <v> </v>
      </c>
      <c r="IG88" s="48" t="str">
        <f>IFERROR(__xludf.DUMMYFUNCTION("IFERROR(TEXTJOIN(""/"",1,FILTER($B$57:$IV$57,$B$56:$IV$56=IG$97)),"" "")")," ")</f>
        <v> </v>
      </c>
      <c r="IH88" s="48" t="str">
        <f>IFERROR(__xludf.DUMMYFUNCTION("IFERROR(TEXTJOIN(""/"",1,FILTER($B$57:$IV$57,$B$56:$IV$56=IH$97)),"" "")")," ")</f>
        <v> </v>
      </c>
      <c r="II88" s="48" t="str">
        <f>IFERROR(__xludf.DUMMYFUNCTION("IFERROR(TEXTJOIN(""/"",1,FILTER($B$57:$IV$57,$B$56:$IV$56=II$97)),"" "")")," ")</f>
        <v> </v>
      </c>
      <c r="IJ88" s="48" t="str">
        <f>IFERROR(__xludf.DUMMYFUNCTION("IFERROR(TEXTJOIN(""/"",1,FILTER($B$57:$IV$57,$B$56:$IV$56=IJ$97)),"" "")")," ")</f>
        <v> </v>
      </c>
      <c r="IK88" s="48" t="str">
        <f>IFERROR(__xludf.DUMMYFUNCTION("IFERROR(TEXTJOIN(""/"",1,FILTER($B$57:$IV$57,$B$56:$IV$56=IK$97)),"" "")")," ")</f>
        <v> </v>
      </c>
      <c r="IL88" s="48" t="str">
        <f>IFERROR(__xludf.DUMMYFUNCTION("IFERROR(TEXTJOIN(""/"",1,FILTER($B$57:$IV$57,$B$56:$IV$56=IL$97)),"" "")")," ")</f>
        <v> </v>
      </c>
      <c r="IM88" s="48" t="str">
        <f>IFERROR(__xludf.DUMMYFUNCTION("IFERROR(TEXTJOIN(""/"",1,FILTER($B$57:$IV$57,$B$56:$IV$56=IM$97)),"" "")")," ")</f>
        <v> </v>
      </c>
      <c r="IN88" s="48" t="str">
        <f>IFERROR(__xludf.DUMMYFUNCTION("IFERROR(TEXTJOIN(""/"",1,FILTER($B$57:$IV$57,$B$56:$IV$56=IN$97)),"" "")")," ")</f>
        <v> </v>
      </c>
      <c r="IO88" s="48" t="str">
        <f>IFERROR(__xludf.DUMMYFUNCTION("IFERROR(TEXTJOIN(""/"",1,FILTER($B$57:$IV$57,$B$56:$IV$56=IO$97)),"" "")")," ")</f>
        <v> </v>
      </c>
      <c r="IP88" s="48" t="str">
        <f>IFERROR(__xludf.DUMMYFUNCTION("IFERROR(TEXTJOIN(""/"",1,FILTER($B$57:$IV$57,$B$56:$IV$56=IP$97)),"" "")")," ")</f>
        <v> </v>
      </c>
      <c r="IQ88" s="48" t="str">
        <f>IFERROR(__xludf.DUMMYFUNCTION("IFERROR(TEXTJOIN(""/"",1,FILTER($B$57:$IV$57,$B$56:$IV$56=IQ$97)),"" "")")," ")</f>
        <v> </v>
      </c>
      <c r="IR88" s="48" t="str">
        <f>IFERROR(__xludf.DUMMYFUNCTION("IFERROR(TEXTJOIN(""/"",1,FILTER($B$57:$IV$57,$B$56:$IV$56=IR$97)),"" "")")," ")</f>
        <v> </v>
      </c>
      <c r="IS88" s="48" t="str">
        <f>IFERROR(__xludf.DUMMYFUNCTION("IFERROR(TEXTJOIN(""/"",1,FILTER($B$57:$IV$57,$B$56:$IV$56=IS$97)),"" "")")," ")</f>
        <v> </v>
      </c>
      <c r="IT88" s="48" t="str">
        <f>IFERROR(__xludf.DUMMYFUNCTION("IFERROR(TEXTJOIN(""/"",1,FILTER($B$57:$IV$57,$B$56:$IV$56=IT$97)),"" "")")," ")</f>
        <v> </v>
      </c>
      <c r="IU88" s="48" t="str">
        <f>IFERROR(__xludf.DUMMYFUNCTION("IFERROR(TEXTJOIN(""/"",1,FILTER($B$57:$IV$57,$B$56:$IV$56=IU$97)),"" "")")," ")</f>
        <v> </v>
      </c>
      <c r="IV88" s="48" t="str">
        <f>IFERROR(__xludf.DUMMYFUNCTION("IFERROR(TEXTJOIN(""/"",1,FILTER($B$57:$IV$57,$B$56:$IV$56=IV$97)),"" "")")," ")</f>
        <v> </v>
      </c>
      <c r="IW88" s="48" t="str">
        <f>IFERROR(__xludf.DUMMYFUNCTION("IFERROR(TEXTJOIN(""/"",1,FILTER($B$57:$IV$57,$B$56:$IV$56=IW$97)),"" "")")," ")</f>
        <v> </v>
      </c>
      <c r="IX88" s="48" t="str">
        <f>IFERROR(__xludf.DUMMYFUNCTION("IFERROR(TEXTJOIN(""/"",1,FILTER($B$57:$IV$57,$B$56:$IV$56=IX$97)),"" "")")," ")</f>
        <v> </v>
      </c>
      <c r="IY88" s="48" t="str">
        <f>IFERROR(__xludf.DUMMYFUNCTION("IFERROR(TEXTJOIN(""/"",1,FILTER($B$57:$IV$57,$B$56:$IV$56=IY$97)),"" "")")," ")</f>
        <v> </v>
      </c>
      <c r="IZ88" s="48" t="str">
        <f>IFERROR(__xludf.DUMMYFUNCTION("IFERROR(TEXTJOIN(""/"",1,FILTER($B$57:$IV$57,$B$56:$IV$56=IZ$97)),"" "")")," ")</f>
        <v> </v>
      </c>
      <c r="JA88" s="48" t="str">
        <f>IFERROR(__xludf.DUMMYFUNCTION("IFERROR(TEXTJOIN(""/"",1,FILTER($B$57:$IV$57,$B$56:$IV$56=JA$97)),"" "")")," ")</f>
        <v> </v>
      </c>
      <c r="JB88" s="48" t="str">
        <f>IFERROR(__xludf.DUMMYFUNCTION("IFERROR(TEXTJOIN(""/"",1,FILTER($B$57:$IV$57,$B$56:$IV$56=JB$97)),"" "")")," ")</f>
        <v> </v>
      </c>
      <c r="JC88" s="48" t="str">
        <f>IFERROR(__xludf.DUMMYFUNCTION("IFERROR(TEXTJOIN(""/"",1,FILTER($B$57:$IV$57,$B$56:$IV$56=JC$97)),"" "")")," ")</f>
        <v> </v>
      </c>
      <c r="JD88" s="48" t="str">
        <f>IFERROR(__xludf.DUMMYFUNCTION("IFERROR(TEXTJOIN(""/"",1,FILTER($B$57:$IV$57,$B$56:$IV$56=JD$97)),"" "")")," ")</f>
        <v> </v>
      </c>
      <c r="JE88" s="48" t="str">
        <f>IFERROR(__xludf.DUMMYFUNCTION("IFERROR(TEXTJOIN(""/"",1,FILTER($B$57:$IV$57,$B$56:$IV$56=JE$97)),"" "")")," ")</f>
        <v> </v>
      </c>
    </row>
    <row r="89">
      <c r="A89" s="42"/>
      <c r="B89" s="48" t="str">
        <f>IFERROR(__xludf.DUMMYFUNCTION("IFERROR(TEXTJOIN(""/"",1,FILTER($B$60:$IV$60,$B$59:$IV$59=B$97)),"" "")")," ")</f>
        <v> </v>
      </c>
      <c r="C89" s="48" t="str">
        <f>IFERROR(__xludf.DUMMYFUNCTION("IFERROR(TEXTJOIN(""/"",1,FILTER($B$60:$IV$60,$B$59:$IV$59=C$97)),"" "")")," ")</f>
        <v> </v>
      </c>
      <c r="D89" s="48" t="str">
        <f>IFERROR(__xludf.DUMMYFUNCTION("IFERROR(TEXTJOIN(""/"",1,FILTER($B$60:$IV$60,$B$59:$IV$59=D$97)),"" "")")," ")</f>
        <v> </v>
      </c>
      <c r="E89" s="48" t="str">
        <f>IFERROR(__xludf.DUMMYFUNCTION("IFERROR(TEXTJOIN(""/"",1,FILTER($B$60:$IV$60,$B$59:$IV$59=E$97)),"" "")")," ")</f>
        <v> </v>
      </c>
      <c r="F89" s="48" t="str">
        <f>IFERROR(__xludf.DUMMYFUNCTION("IFERROR(TEXTJOIN(""/"",1,FILTER($B$60:$IV$60,$B$59:$IV$59=F$97)),"" "")")," ")</f>
        <v> </v>
      </c>
      <c r="G89" s="48" t="str">
        <f>IFERROR(__xludf.DUMMYFUNCTION("IFERROR(TEXTJOIN(""/"",1,FILTER($B$60:$IV$60,$B$59:$IV$59=G$97)),"" "")")," ")</f>
        <v> </v>
      </c>
      <c r="H89" s="48" t="str">
        <f>IFERROR(__xludf.DUMMYFUNCTION("IFERROR(TEXTJOIN(""/"",1,FILTER($B$60:$IV$60,$B$59:$IV$59=H$97)),"" "")")," ")</f>
        <v> </v>
      </c>
      <c r="I89" s="48" t="str">
        <f>IFERROR(__xludf.DUMMYFUNCTION("IFERROR(TEXTJOIN(""/"",1,FILTER($B$60:$IV$60,$B$59:$IV$59=I$97)),"" "")")," ")</f>
        <v> </v>
      </c>
      <c r="J89" s="48" t="str">
        <f>IFERROR(__xludf.DUMMYFUNCTION("IFERROR(TEXTJOIN(""/"",1,FILTER($B$60:$IV$60,$B$59:$IV$59=J$97)),"" "")")," ")</f>
        <v> </v>
      </c>
      <c r="K89" s="48" t="str">
        <f>IFERROR(__xludf.DUMMYFUNCTION("IFERROR(TEXTJOIN(""/"",1,FILTER($B$60:$IV$60,$B$59:$IV$59=K$97)),"" "")")," ")</f>
        <v> </v>
      </c>
      <c r="L89" s="48" t="str">
        <f>IFERROR(__xludf.DUMMYFUNCTION("IFERROR(TEXTJOIN(""/"",1,FILTER($B$60:$IV$60,$B$59:$IV$59=L$97)),"" "")")," ")</f>
        <v> </v>
      </c>
      <c r="M89" s="48" t="str">
        <f>IFERROR(__xludf.DUMMYFUNCTION("IFERROR(TEXTJOIN(""/"",1,FILTER($B$60:$IV$60,$B$59:$IV$59=M$97)),"" "")")," ")</f>
        <v> </v>
      </c>
      <c r="N89" s="48" t="str">
        <f>IFERROR(__xludf.DUMMYFUNCTION("IFERROR(TEXTJOIN(""/"",1,FILTER($B$60:$IV$60,$B$59:$IV$59=N$97)),"" "")")," ")</f>
        <v> </v>
      </c>
      <c r="O89" s="48" t="str">
        <f>IFERROR(__xludf.DUMMYFUNCTION("IFERROR(TEXTJOIN(""/"",1,FILTER($B$60:$IV$60,$B$59:$IV$59=O$97)),"" "")")," ")</f>
        <v> </v>
      </c>
      <c r="P89" s="48" t="str">
        <f>IFERROR(__xludf.DUMMYFUNCTION("IFERROR(TEXTJOIN(""/"",1,FILTER($B$60:$IV$60,$B$59:$IV$59=P$97)),"" "")")," ")</f>
        <v> </v>
      </c>
      <c r="Q89" s="48" t="str">
        <f>IFERROR(__xludf.DUMMYFUNCTION("IFERROR(TEXTJOIN(""/"",1,FILTER($B$60:$IV$60,$B$59:$IV$59=Q$97)),"" "")")," ")</f>
        <v> </v>
      </c>
      <c r="R89" s="48" t="str">
        <f>IFERROR(__xludf.DUMMYFUNCTION("IFERROR(TEXTJOIN(""/"",1,FILTER($B$60:$IV$60,$B$59:$IV$59=R$97)),"" "")")," ")</f>
        <v> </v>
      </c>
      <c r="S89" s="48" t="str">
        <f>IFERROR(__xludf.DUMMYFUNCTION("IFERROR(TEXTJOIN(""/"",1,FILTER($B$60:$IV$60,$B$59:$IV$59=S$97)),"" "")")," ")</f>
        <v> </v>
      </c>
      <c r="T89" s="48" t="str">
        <f>IFERROR(__xludf.DUMMYFUNCTION("IFERROR(TEXTJOIN(""/"",1,FILTER($B$60:$IV$60,$B$59:$IV$59=T$97)),"" "")")," ")</f>
        <v> </v>
      </c>
      <c r="U89" s="48" t="str">
        <f>IFERROR(__xludf.DUMMYFUNCTION("IFERROR(TEXTJOIN(""/"",1,FILTER($B$60:$IV$60,$B$59:$IV$59=U$97)),"" "")")," ")</f>
        <v> </v>
      </c>
      <c r="V89" s="48" t="str">
        <f>IFERROR(__xludf.DUMMYFUNCTION("IFERROR(TEXTJOIN(""/"",1,FILTER($B$60:$IV$60,$B$59:$IV$59=V$97)),"" "")")," ")</f>
        <v> </v>
      </c>
      <c r="W89" s="48" t="str">
        <f>IFERROR(__xludf.DUMMYFUNCTION("IFERROR(TEXTJOIN(""/"",1,FILTER($B$60:$IV$60,$B$59:$IV$59=W$97)),"" "")")," ")</f>
        <v> </v>
      </c>
      <c r="X89" s="48" t="str">
        <f>IFERROR(__xludf.DUMMYFUNCTION("IFERROR(TEXTJOIN(""/"",1,FILTER($B$60:$IV$60,$B$59:$IV$59=X$97)),"" "")")," ")</f>
        <v> </v>
      </c>
      <c r="Y89" s="48" t="str">
        <f>IFERROR(__xludf.DUMMYFUNCTION("IFERROR(TEXTJOIN(""/"",1,FILTER($B$60:$IV$60,$B$59:$IV$59=Y$97)),"" "")")," ")</f>
        <v> </v>
      </c>
      <c r="Z89" s="48" t="str">
        <f>IFERROR(__xludf.DUMMYFUNCTION("IFERROR(TEXTJOIN(""/"",1,FILTER($B$60:$IV$60,$B$59:$IV$59=Z$97)),"" "")")," ")</f>
        <v> </v>
      </c>
      <c r="AA89" s="48" t="str">
        <f>IFERROR(__xludf.DUMMYFUNCTION("IFERROR(TEXTJOIN(""/"",1,FILTER($B$60:$IV$60,$B$59:$IV$59=AA$97)),"" "")")," ")</f>
        <v> </v>
      </c>
      <c r="AB89" s="48" t="str">
        <f>IFERROR(__xludf.DUMMYFUNCTION("IFERROR(TEXTJOIN(""/"",1,FILTER($B$60:$IV$60,$B$59:$IV$59=AB$97)),"" "")")," ")</f>
        <v> </v>
      </c>
      <c r="AC89" s="48" t="str">
        <f>IFERROR(__xludf.DUMMYFUNCTION("IFERROR(TEXTJOIN(""/"",1,FILTER($B$60:$IV$60,$B$59:$IV$59=AC$97)),"" "")")," ")</f>
        <v> </v>
      </c>
      <c r="AD89" s="48" t="str">
        <f>IFERROR(__xludf.DUMMYFUNCTION("IFERROR(TEXTJOIN(""/"",1,FILTER($B$60:$IV$60,$B$59:$IV$59=AD$97)),"" "")")," ")</f>
        <v> </v>
      </c>
      <c r="AE89" s="48" t="str">
        <f>IFERROR(__xludf.DUMMYFUNCTION("IFERROR(TEXTJOIN(""/"",1,FILTER($B$60:$IV$60,$B$59:$IV$59=AE$97)),"" "")")," ")</f>
        <v> </v>
      </c>
      <c r="AF89" s="48" t="str">
        <f>IFERROR(__xludf.DUMMYFUNCTION("IFERROR(TEXTJOIN(""/"",1,FILTER($B$60:$IV$60,$B$59:$IV$59=AF$97)),"" "")")," ")</f>
        <v> </v>
      </c>
      <c r="AG89" s="48" t="str">
        <f>IFERROR(__xludf.DUMMYFUNCTION("IFERROR(TEXTJOIN(""/"",1,FILTER($B$60:$IV$60,$B$59:$IV$59=AG$97)),"" "")")," ")</f>
        <v> </v>
      </c>
      <c r="AH89" s="48" t="str">
        <f>IFERROR(__xludf.DUMMYFUNCTION("IFERROR(TEXTJOIN(""/"",1,FILTER($B$60:$IV$60,$B$59:$IV$59=AH$97)),"" "")")," ")</f>
        <v> </v>
      </c>
      <c r="AI89" s="48" t="str">
        <f>IFERROR(__xludf.DUMMYFUNCTION("IFERROR(TEXTJOIN(""/"",1,FILTER($B$60:$IV$60,$B$59:$IV$59=AI$97)),"" "")")," ")</f>
        <v> </v>
      </c>
      <c r="AJ89" s="48" t="str">
        <f>IFERROR(__xludf.DUMMYFUNCTION("IFERROR(TEXTJOIN(""/"",1,FILTER($B$60:$IV$60,$B$59:$IV$59=AJ$97)),"" "")")," ")</f>
        <v> </v>
      </c>
      <c r="AK89" s="48" t="str">
        <f>IFERROR(__xludf.DUMMYFUNCTION("IFERROR(TEXTJOIN(""/"",1,FILTER($B$60:$IV$60,$B$59:$IV$59=AK$97)),"" "")")," ")</f>
        <v> </v>
      </c>
      <c r="AL89" s="48" t="str">
        <f>IFERROR(__xludf.DUMMYFUNCTION("IFERROR(TEXTJOIN(""/"",1,FILTER($B$60:$IV$60,$B$59:$IV$59=AL$97)),"" "")")," ")</f>
        <v> </v>
      </c>
      <c r="AM89" s="48" t="str">
        <f>IFERROR(__xludf.DUMMYFUNCTION("IFERROR(TEXTJOIN(""/"",1,FILTER($B$60:$IV$60,$B$59:$IV$59=AM$97)),"" "")")," ")</f>
        <v> </v>
      </c>
      <c r="AN89" s="48" t="str">
        <f>IFERROR(__xludf.DUMMYFUNCTION("IFERROR(TEXTJOIN(""/"",1,FILTER($B$60:$IV$60,$B$59:$IV$59=AN$97)),"" "")")," ")</f>
        <v> </v>
      </c>
      <c r="AO89" s="48" t="str">
        <f>IFERROR(__xludf.DUMMYFUNCTION("IFERROR(TEXTJOIN(""/"",1,FILTER($B$60:$IV$60,$B$59:$IV$59=AO$97)),"" "")")," ")</f>
        <v> </v>
      </c>
      <c r="AP89" s="48" t="str">
        <f>IFERROR(__xludf.DUMMYFUNCTION("IFERROR(TEXTJOIN(""/"",1,FILTER($B$60:$IV$60,$B$59:$IV$59=AP$97)),"" "")")," ")</f>
        <v> </v>
      </c>
      <c r="AQ89" s="48" t="str">
        <f>IFERROR(__xludf.DUMMYFUNCTION("IFERROR(TEXTJOIN(""/"",1,FILTER($B$60:$IV$60,$B$59:$IV$59=AQ$97)),"" "")")," ")</f>
        <v> </v>
      </c>
      <c r="AR89" s="48" t="str">
        <f>IFERROR(__xludf.DUMMYFUNCTION("IFERROR(TEXTJOIN(""/"",1,FILTER($B$60:$IV$60,$B$59:$IV$59=AR$97)),"" "")")," ")</f>
        <v> </v>
      </c>
      <c r="AS89" s="48" t="str">
        <f>IFERROR(__xludf.DUMMYFUNCTION("IFERROR(TEXTJOIN(""/"",1,FILTER($B$60:$IV$60,$B$59:$IV$59=AS$97)),"" "")")," ")</f>
        <v> </v>
      </c>
      <c r="AT89" s="48" t="str">
        <f>IFERROR(__xludf.DUMMYFUNCTION("IFERROR(TEXTJOIN(""/"",1,FILTER($B$60:$IV$60,$B$59:$IV$59=AT$97)),"" "")")," ")</f>
        <v> </v>
      </c>
      <c r="AU89" s="48" t="str">
        <f>IFERROR(__xludf.DUMMYFUNCTION("IFERROR(TEXTJOIN(""/"",1,FILTER($B$60:$IV$60,$B$59:$IV$59=AU$97)),"" "")")," ")</f>
        <v> </v>
      </c>
      <c r="AV89" s="48" t="str">
        <f>IFERROR(__xludf.DUMMYFUNCTION("IFERROR(TEXTJOIN(""/"",1,FILTER($B$60:$IV$60,$B$59:$IV$59=AV$97)),"" "")")," ")</f>
        <v> </v>
      </c>
      <c r="AW89" s="48" t="str">
        <f>IFERROR(__xludf.DUMMYFUNCTION("IFERROR(TEXTJOIN(""/"",1,FILTER($B$60:$IV$60,$B$59:$IV$59=AW$97)),"" "")")," ")</f>
        <v> </v>
      </c>
      <c r="AX89" s="48" t="str">
        <f>IFERROR(__xludf.DUMMYFUNCTION("IFERROR(TEXTJOIN(""/"",1,FILTER($B$60:$IV$60,$B$59:$IV$59=AX$97)),"" "")")," ")</f>
        <v> </v>
      </c>
      <c r="AY89" s="48" t="str">
        <f>IFERROR(__xludf.DUMMYFUNCTION("IFERROR(TEXTJOIN(""/"",1,FILTER($B$60:$IV$60,$B$59:$IV$59=AY$97)),"" "")")," ")</f>
        <v> </v>
      </c>
      <c r="AZ89" s="48" t="str">
        <f>IFERROR(__xludf.DUMMYFUNCTION("IFERROR(TEXTJOIN(""/"",1,FILTER($B$60:$IV$60,$B$59:$IV$59=AZ$97)),"" "")")," ")</f>
        <v> </v>
      </c>
      <c r="BA89" s="48" t="str">
        <f>IFERROR(__xludf.DUMMYFUNCTION("IFERROR(TEXTJOIN(""/"",1,FILTER($B$60:$IV$60,$B$59:$IV$59=BA$97)),"" "")")," ")</f>
        <v> </v>
      </c>
      <c r="BB89" s="48" t="str">
        <f>IFERROR(__xludf.DUMMYFUNCTION("IFERROR(TEXTJOIN(""/"",1,FILTER($B$60:$IV$60,$B$59:$IV$59=BB$97)),"" "")")," ")</f>
        <v> </v>
      </c>
      <c r="BC89" s="48" t="str">
        <f>IFERROR(__xludf.DUMMYFUNCTION("IFERROR(TEXTJOIN(""/"",1,FILTER($B$60:$IV$60,$B$59:$IV$59=BC$97)),"" "")")," ")</f>
        <v> </v>
      </c>
      <c r="BD89" s="48" t="str">
        <f>IFERROR(__xludf.DUMMYFUNCTION("IFERROR(TEXTJOIN(""/"",1,FILTER($B$60:$IV$60,$B$59:$IV$59=BD$97)),"" "")")," ")</f>
        <v> </v>
      </c>
      <c r="BE89" s="48" t="str">
        <f>IFERROR(__xludf.DUMMYFUNCTION("IFERROR(TEXTJOIN(""/"",1,FILTER($B$60:$IV$60,$B$59:$IV$59=BE$97)),"" "")")," ")</f>
        <v> </v>
      </c>
      <c r="BF89" s="48" t="str">
        <f>IFERROR(__xludf.DUMMYFUNCTION("IFERROR(TEXTJOIN(""/"",1,FILTER($B$60:$IV$60,$B$59:$IV$59=BF$97)),"" "")")," ")</f>
        <v> </v>
      </c>
      <c r="BG89" s="48" t="str">
        <f>IFERROR(__xludf.DUMMYFUNCTION("IFERROR(TEXTJOIN(""/"",1,FILTER($B$60:$IV$60,$B$59:$IV$59=BG$97)),"" "")")," ")</f>
        <v> </v>
      </c>
      <c r="BH89" s="48" t="str">
        <f>IFERROR(__xludf.DUMMYFUNCTION("IFERROR(TEXTJOIN(""/"",1,FILTER($B$60:$IV$60,$B$59:$IV$59=BH$97)),"" "")")," ")</f>
        <v> </v>
      </c>
      <c r="BI89" s="48" t="str">
        <f>IFERROR(__xludf.DUMMYFUNCTION("IFERROR(TEXTJOIN(""/"",1,FILTER($B$60:$IV$60,$B$59:$IV$59=BI$97)),"" "")")," ")</f>
        <v> </v>
      </c>
      <c r="BJ89" s="48" t="str">
        <f>IFERROR(__xludf.DUMMYFUNCTION("IFERROR(TEXTJOIN(""/"",1,FILTER($B$60:$IV$60,$B$59:$IV$59=BJ$97)),"" "")")," ")</f>
        <v> </v>
      </c>
      <c r="BK89" s="48" t="str">
        <f>IFERROR(__xludf.DUMMYFUNCTION("IFERROR(TEXTJOIN(""/"",1,FILTER($B$60:$IV$60,$B$59:$IV$59=BK$97)),"" "")")," ")</f>
        <v> </v>
      </c>
      <c r="BL89" s="48" t="str">
        <f>IFERROR(__xludf.DUMMYFUNCTION("IFERROR(TEXTJOIN(""/"",1,FILTER($B$60:$IV$60,$B$59:$IV$59=BL$97)),"" "")")," ")</f>
        <v> </v>
      </c>
      <c r="BM89" s="48" t="str">
        <f>IFERROR(__xludf.DUMMYFUNCTION("IFERROR(TEXTJOIN(""/"",1,FILTER($B$60:$IV$60,$B$59:$IV$59=BM$97)),"" "")")," ")</f>
        <v> </v>
      </c>
      <c r="BN89" s="48" t="str">
        <f>IFERROR(__xludf.DUMMYFUNCTION("IFERROR(TEXTJOIN(""/"",1,FILTER($B$60:$IV$60,$B$59:$IV$59=BN$97)),"" "")")," ")</f>
        <v> </v>
      </c>
      <c r="BO89" s="48" t="str">
        <f>IFERROR(__xludf.DUMMYFUNCTION("IFERROR(TEXTJOIN(""/"",1,FILTER($B$60:$IV$60,$B$59:$IV$59=BO$97)),"" "")")," ")</f>
        <v> </v>
      </c>
      <c r="BP89" s="48" t="str">
        <f>IFERROR(__xludf.DUMMYFUNCTION("IFERROR(TEXTJOIN(""/"",1,FILTER($B$60:$IV$60,$B$59:$IV$59=BP$97)),"" "")")," ")</f>
        <v> </v>
      </c>
      <c r="BQ89" s="48" t="str">
        <f>IFERROR(__xludf.DUMMYFUNCTION("IFERROR(TEXTJOIN(""/"",1,FILTER($B$60:$IV$60,$B$59:$IV$59=BQ$97)),"" "")")," ")</f>
        <v> </v>
      </c>
      <c r="BR89" s="48" t="str">
        <f>IFERROR(__xludf.DUMMYFUNCTION("IFERROR(TEXTJOIN(""/"",1,FILTER($B$60:$IV$60,$B$59:$IV$59=BR$97)),"" "")")," ")</f>
        <v> </v>
      </c>
      <c r="BS89" s="48" t="str">
        <f>IFERROR(__xludf.DUMMYFUNCTION("IFERROR(TEXTJOIN(""/"",1,FILTER($B$60:$IV$60,$B$59:$IV$59=BS$97)),"" "")")," ")</f>
        <v> </v>
      </c>
      <c r="BT89" s="48" t="str">
        <f>IFERROR(__xludf.DUMMYFUNCTION("IFERROR(TEXTJOIN(""/"",1,FILTER($B$60:$IV$60,$B$59:$IV$59=BT$97)),"" "")")," ")</f>
        <v> </v>
      </c>
      <c r="BU89" s="48" t="str">
        <f>IFERROR(__xludf.DUMMYFUNCTION("IFERROR(TEXTJOIN(""/"",1,FILTER($B$60:$IV$60,$B$59:$IV$59=BU$97)),"" "")")," ")</f>
        <v> </v>
      </c>
      <c r="BV89" s="48" t="str">
        <f>IFERROR(__xludf.DUMMYFUNCTION("IFERROR(TEXTJOIN(""/"",1,FILTER($B$60:$IV$60,$B$59:$IV$59=BV$97)),"" "")")," ")</f>
        <v> </v>
      </c>
      <c r="BW89" s="48" t="str">
        <f>IFERROR(__xludf.DUMMYFUNCTION("IFERROR(TEXTJOIN(""/"",1,FILTER($B$60:$IV$60,$B$59:$IV$59=BW$97)),"" "")")," ")</f>
        <v> </v>
      </c>
      <c r="BX89" s="48" t="str">
        <f>IFERROR(__xludf.DUMMYFUNCTION("IFERROR(TEXTJOIN(""/"",1,FILTER($B$60:$IV$60,$B$59:$IV$59=BX$97)),"" "")")," ")</f>
        <v> </v>
      </c>
      <c r="BY89" s="48" t="str">
        <f>IFERROR(__xludf.DUMMYFUNCTION("IFERROR(TEXTJOIN(""/"",1,FILTER($B$60:$IV$60,$B$59:$IV$59=BY$97)),"" "")")," ")</f>
        <v> </v>
      </c>
      <c r="BZ89" s="48" t="str">
        <f>IFERROR(__xludf.DUMMYFUNCTION("IFERROR(TEXTJOIN(""/"",1,FILTER($B$60:$IV$60,$B$59:$IV$59=BZ$97)),"" "")")," ")</f>
        <v> </v>
      </c>
      <c r="CA89" s="48" t="str">
        <f>IFERROR(__xludf.DUMMYFUNCTION("IFERROR(TEXTJOIN(""/"",1,FILTER($B$60:$IV$60,$B$59:$IV$59=CA$97)),"" "")")," ")</f>
        <v> </v>
      </c>
      <c r="CB89" s="48" t="str">
        <f>IFERROR(__xludf.DUMMYFUNCTION("IFERROR(TEXTJOIN(""/"",1,FILTER($B$60:$IV$60,$B$59:$IV$59=CB$97)),"" "")")," ")</f>
        <v> </v>
      </c>
      <c r="CC89" s="48" t="str">
        <f>IFERROR(__xludf.DUMMYFUNCTION("IFERROR(TEXTJOIN(""/"",1,FILTER($B$60:$IV$60,$B$59:$IV$59=CC$97)),"" "")")," ")</f>
        <v> </v>
      </c>
      <c r="CD89" s="48" t="str">
        <f>IFERROR(__xludf.DUMMYFUNCTION("IFERROR(TEXTJOIN(""/"",1,FILTER($B$60:$IV$60,$B$59:$IV$59=CD$97)),"" "")")," ")</f>
        <v> </v>
      </c>
      <c r="CE89" s="48" t="str">
        <f>IFERROR(__xludf.DUMMYFUNCTION("IFERROR(TEXTJOIN(""/"",1,FILTER($B$60:$IV$60,$B$59:$IV$59=CE$97)),"" "")")," ")</f>
        <v> </v>
      </c>
      <c r="CF89" s="48" t="str">
        <f>IFERROR(__xludf.DUMMYFUNCTION("IFERROR(TEXTJOIN(""/"",1,FILTER($B$60:$IV$60,$B$59:$IV$59=CF$97)),"" "")")," ")</f>
        <v> </v>
      </c>
      <c r="CG89" s="48" t="str">
        <f>IFERROR(__xludf.DUMMYFUNCTION("IFERROR(TEXTJOIN(""/"",1,FILTER($B$60:$IV$60,$B$59:$IV$59=CG$97)),"" "")")," ")</f>
        <v> </v>
      </c>
      <c r="CH89" s="48" t="str">
        <f>IFERROR(__xludf.DUMMYFUNCTION("IFERROR(TEXTJOIN(""/"",1,FILTER($B$60:$IV$60,$B$59:$IV$59=CH$97)),"" "")")," ")</f>
        <v> </v>
      </c>
      <c r="CI89" s="48" t="str">
        <f>IFERROR(__xludf.DUMMYFUNCTION("IFERROR(TEXTJOIN(""/"",1,FILTER($B$60:$IV$60,$B$59:$IV$59=CI$97)),"" "")")," ")</f>
        <v> </v>
      </c>
      <c r="CJ89" s="48" t="str">
        <f>IFERROR(__xludf.DUMMYFUNCTION("IFERROR(TEXTJOIN(""/"",1,FILTER($B$60:$IV$60,$B$59:$IV$59=CJ$97)),"" "")")," ")</f>
        <v> </v>
      </c>
      <c r="CK89" s="48" t="str">
        <f>IFERROR(__xludf.DUMMYFUNCTION("IFERROR(TEXTJOIN(""/"",1,FILTER($B$60:$IV$60,$B$59:$IV$59=CK$97)),"" "")")," ")</f>
        <v> </v>
      </c>
      <c r="CL89" s="48" t="str">
        <f>IFERROR(__xludf.DUMMYFUNCTION("IFERROR(TEXTJOIN(""/"",1,FILTER($B$60:$IV$60,$B$59:$IV$59=CL$97)),"" "")")," ")</f>
        <v> </v>
      </c>
      <c r="CM89" s="48" t="str">
        <f>IFERROR(__xludf.DUMMYFUNCTION("IFERROR(TEXTJOIN(""/"",1,FILTER($B$60:$IV$60,$B$59:$IV$59=CM$97)),"" "")")," ")</f>
        <v> </v>
      </c>
      <c r="CN89" s="48" t="str">
        <f>IFERROR(__xludf.DUMMYFUNCTION("IFERROR(TEXTJOIN(""/"",1,FILTER($B$60:$IV$60,$B$59:$IV$59=CN$97)),"" "")")," ")</f>
        <v> </v>
      </c>
      <c r="CO89" s="48" t="str">
        <f>IFERROR(__xludf.DUMMYFUNCTION("IFERROR(TEXTJOIN(""/"",1,FILTER($B$60:$IV$60,$B$59:$IV$59=CO$97)),"" "")")," ")</f>
        <v> </v>
      </c>
      <c r="CP89" s="48" t="str">
        <f>IFERROR(__xludf.DUMMYFUNCTION("IFERROR(TEXTJOIN(""/"",1,FILTER($B$60:$IV$60,$B$59:$IV$59=CP$97)),"" "")")," ")</f>
        <v> </v>
      </c>
      <c r="CQ89" s="48" t="str">
        <f>IFERROR(__xludf.DUMMYFUNCTION("IFERROR(TEXTJOIN(""/"",1,FILTER($B$60:$IV$60,$B$59:$IV$59=CQ$97)),"" "")")," ")</f>
        <v> </v>
      </c>
      <c r="CR89" s="48" t="str">
        <f>IFERROR(__xludf.DUMMYFUNCTION("IFERROR(TEXTJOIN(""/"",1,FILTER($B$60:$IV$60,$B$59:$IV$59=CR$97)),"" "")")," ")</f>
        <v> </v>
      </c>
      <c r="CS89" s="48" t="str">
        <f>IFERROR(__xludf.DUMMYFUNCTION("IFERROR(TEXTJOIN(""/"",1,FILTER($B$60:$IV$60,$B$59:$IV$59=CS$97)),"" "")")," ")</f>
        <v> </v>
      </c>
      <c r="CT89" s="48" t="str">
        <f>IFERROR(__xludf.DUMMYFUNCTION("IFERROR(TEXTJOIN(""/"",1,FILTER($B$60:$IV$60,$B$59:$IV$59=CT$97)),"" "")")," ")</f>
        <v> </v>
      </c>
      <c r="CU89" s="48" t="str">
        <f>IFERROR(__xludf.DUMMYFUNCTION("IFERROR(TEXTJOIN(""/"",1,FILTER($B$60:$IV$60,$B$59:$IV$59=CU$97)),"" "")")," ")</f>
        <v> </v>
      </c>
      <c r="CV89" s="48" t="str">
        <f>IFERROR(__xludf.DUMMYFUNCTION("IFERROR(TEXTJOIN(""/"",1,FILTER($B$60:$IV$60,$B$59:$IV$59=CV$97)),"" "")")," ")</f>
        <v> </v>
      </c>
      <c r="CW89" s="48" t="str">
        <f>IFERROR(__xludf.DUMMYFUNCTION("IFERROR(TEXTJOIN(""/"",1,FILTER($B$60:$IV$60,$B$59:$IV$59=CW$97)),"" "")")," ")</f>
        <v> </v>
      </c>
      <c r="CX89" s="48" t="str">
        <f>IFERROR(__xludf.DUMMYFUNCTION("IFERROR(TEXTJOIN(""/"",1,FILTER($B$60:$IV$60,$B$59:$IV$59=CX$97)),"" "")")," ")</f>
        <v> </v>
      </c>
      <c r="CY89" s="48" t="str">
        <f>IFERROR(__xludf.DUMMYFUNCTION("IFERROR(TEXTJOIN(""/"",1,FILTER($B$60:$IV$60,$B$59:$IV$59=CY$97)),"" "")")," ")</f>
        <v> </v>
      </c>
      <c r="CZ89" s="48" t="str">
        <f>IFERROR(__xludf.DUMMYFUNCTION("IFERROR(TEXTJOIN(""/"",1,FILTER($B$60:$IV$60,$B$59:$IV$59=CZ$97)),"" "")")," ")</f>
        <v> </v>
      </c>
      <c r="DA89" s="48" t="str">
        <f>IFERROR(__xludf.DUMMYFUNCTION("IFERROR(TEXTJOIN(""/"",1,FILTER($B$60:$IV$60,$B$59:$IV$59=DA$97)),"" "")")," ")</f>
        <v> </v>
      </c>
      <c r="DB89" s="48" t="str">
        <f>IFERROR(__xludf.DUMMYFUNCTION("IFERROR(TEXTJOIN(""/"",1,FILTER($B$60:$IV$60,$B$59:$IV$59=DB$97)),"" "")")," ")</f>
        <v> </v>
      </c>
      <c r="DC89" s="48" t="str">
        <f>IFERROR(__xludf.DUMMYFUNCTION("IFERROR(TEXTJOIN(""/"",1,FILTER($B$60:$IV$60,$B$59:$IV$59=DC$97)),"" "")")," ")</f>
        <v> </v>
      </c>
      <c r="DD89" s="48" t="str">
        <f>IFERROR(__xludf.DUMMYFUNCTION("IFERROR(TEXTJOIN(""/"",1,FILTER($B$60:$IV$60,$B$59:$IV$59=DD$97)),"" "")")," ")</f>
        <v> </v>
      </c>
      <c r="DE89" s="48" t="str">
        <f>IFERROR(__xludf.DUMMYFUNCTION("IFERROR(TEXTJOIN(""/"",1,FILTER($B$60:$IV$60,$B$59:$IV$59=DE$97)),"" "")")," ")</f>
        <v> </v>
      </c>
      <c r="DF89" s="48" t="str">
        <f>IFERROR(__xludf.DUMMYFUNCTION("IFERROR(TEXTJOIN(""/"",1,FILTER($B$60:$IV$60,$B$59:$IV$59=DF$97)),"" "")")," ")</f>
        <v> </v>
      </c>
      <c r="DG89" s="48" t="str">
        <f>IFERROR(__xludf.DUMMYFUNCTION("IFERROR(TEXTJOIN(""/"",1,FILTER($B$60:$IV$60,$B$59:$IV$59=DG$97)),"" "")")," ")</f>
        <v> </v>
      </c>
      <c r="DH89" s="48" t="str">
        <f>IFERROR(__xludf.DUMMYFUNCTION("IFERROR(TEXTJOIN(""/"",1,FILTER($B$60:$IV$60,$B$59:$IV$59=DH$97)),"" "")")," ")</f>
        <v> </v>
      </c>
      <c r="DI89" s="48" t="str">
        <f>IFERROR(__xludf.DUMMYFUNCTION("IFERROR(TEXTJOIN(""/"",1,FILTER($B$60:$IV$60,$B$59:$IV$59=DI$97)),"" "")")," ")</f>
        <v> </v>
      </c>
      <c r="DJ89" s="48" t="str">
        <f>IFERROR(__xludf.DUMMYFUNCTION("IFERROR(TEXTJOIN(""/"",1,FILTER($B$60:$IV$60,$B$59:$IV$59=DJ$97)),"" "")")," ")</f>
        <v> </v>
      </c>
      <c r="DK89" s="48" t="str">
        <f>IFERROR(__xludf.DUMMYFUNCTION("IFERROR(TEXTJOIN(""/"",1,FILTER($B$60:$IV$60,$B$59:$IV$59=DK$97)),"" "")")," ")</f>
        <v> </v>
      </c>
      <c r="DL89" s="48" t="str">
        <f>IFERROR(__xludf.DUMMYFUNCTION("IFERROR(TEXTJOIN(""/"",1,FILTER($B$60:$IV$60,$B$59:$IV$59=DL$97)),"" "")")," ")</f>
        <v> </v>
      </c>
      <c r="DM89" s="48" t="str">
        <f>IFERROR(__xludf.DUMMYFUNCTION("IFERROR(TEXTJOIN(""/"",1,FILTER($B$60:$IV$60,$B$59:$IV$59=DM$97)),"" "")")," ")</f>
        <v> </v>
      </c>
      <c r="DN89" s="48" t="str">
        <f>IFERROR(__xludf.DUMMYFUNCTION("IFERROR(TEXTJOIN(""/"",1,FILTER($B$60:$IV$60,$B$59:$IV$59=DN$97)),"" "")")," ")</f>
        <v> </v>
      </c>
      <c r="DO89" s="48" t="str">
        <f>IFERROR(__xludf.DUMMYFUNCTION("IFERROR(TEXTJOIN(""/"",1,FILTER($B$60:$IV$60,$B$59:$IV$59=DO$97)),"" "")")," ")</f>
        <v> </v>
      </c>
      <c r="DP89" s="48" t="str">
        <f>IFERROR(__xludf.DUMMYFUNCTION("IFERROR(TEXTJOIN(""/"",1,FILTER($B$60:$IV$60,$B$59:$IV$59=DP$97)),"" "")")," ")</f>
        <v> </v>
      </c>
      <c r="DQ89" s="48" t="str">
        <f>IFERROR(__xludf.DUMMYFUNCTION("IFERROR(TEXTJOIN(""/"",1,FILTER($B$60:$IV$60,$B$59:$IV$59=DQ$97)),"" "")")," ")</f>
        <v> </v>
      </c>
      <c r="DR89" s="48" t="str">
        <f>IFERROR(__xludf.DUMMYFUNCTION("IFERROR(TEXTJOIN(""/"",1,FILTER($B$60:$IV$60,$B$59:$IV$59=DR$97)),"" "")")," ")</f>
        <v> </v>
      </c>
      <c r="DS89" s="48" t="str">
        <f>IFERROR(__xludf.DUMMYFUNCTION("IFERROR(TEXTJOIN(""/"",1,FILTER($B$60:$IV$60,$B$59:$IV$59=DS$97)),"" "")")," ")</f>
        <v> </v>
      </c>
      <c r="DT89" s="48" t="str">
        <f>IFERROR(__xludf.DUMMYFUNCTION("IFERROR(TEXTJOIN(""/"",1,FILTER($B$60:$IV$60,$B$59:$IV$59=DT$97)),"" "")")," ")</f>
        <v> </v>
      </c>
      <c r="DU89" s="48" t="str">
        <f>IFERROR(__xludf.DUMMYFUNCTION("IFERROR(TEXTJOIN(""/"",1,FILTER($B$60:$IV$60,$B$59:$IV$59=DU$97)),"" "")")," ")</f>
        <v> </v>
      </c>
      <c r="DV89" s="48" t="str">
        <f>IFERROR(__xludf.DUMMYFUNCTION("IFERROR(TEXTJOIN(""/"",1,FILTER($B$60:$IV$60,$B$59:$IV$59=DV$97)),"" "")")," ")</f>
        <v> </v>
      </c>
      <c r="DW89" s="48" t="str">
        <f>IFERROR(__xludf.DUMMYFUNCTION("IFERROR(TEXTJOIN(""/"",1,FILTER($B$60:$IV$60,$B$59:$IV$59=DW$97)),"" "")")," ")</f>
        <v> </v>
      </c>
      <c r="DX89" s="48" t="str">
        <f>IFERROR(__xludf.DUMMYFUNCTION("IFERROR(TEXTJOIN(""/"",1,FILTER($B$60:$IV$60,$B$59:$IV$59=DX$97)),"" "")")," ")</f>
        <v> </v>
      </c>
      <c r="DY89" s="48" t="str">
        <f>IFERROR(__xludf.DUMMYFUNCTION("IFERROR(TEXTJOIN(""/"",1,FILTER($B$60:$IV$60,$B$59:$IV$59=DY$97)),"" "")")," ")</f>
        <v> </v>
      </c>
      <c r="DZ89" s="48" t="str">
        <f>IFERROR(__xludf.DUMMYFUNCTION("IFERROR(TEXTJOIN(""/"",1,FILTER($B$60:$IV$60,$B$59:$IV$59=DZ$97)),"" "")")," ")</f>
        <v> </v>
      </c>
      <c r="EA89" s="48" t="str">
        <f>IFERROR(__xludf.DUMMYFUNCTION("IFERROR(TEXTJOIN(""/"",1,FILTER($B$60:$IV$60,$B$59:$IV$59=EA$97)),"" "")")," ")</f>
        <v> </v>
      </c>
      <c r="EB89" s="48" t="str">
        <f>IFERROR(__xludf.DUMMYFUNCTION("IFERROR(TEXTJOIN(""/"",1,FILTER($B$60:$IV$60,$B$59:$IV$59=EB$97)),"" "")")," ")</f>
        <v> </v>
      </c>
      <c r="EC89" s="48" t="str">
        <f>IFERROR(__xludf.DUMMYFUNCTION("IFERROR(TEXTJOIN(""/"",1,FILTER($B$60:$IV$60,$B$59:$IV$59=EC$97)),"" "")")," ")</f>
        <v> </v>
      </c>
      <c r="ED89" s="48" t="str">
        <f>IFERROR(__xludf.DUMMYFUNCTION("IFERROR(TEXTJOIN(""/"",1,FILTER($B$60:$IV$60,$B$59:$IV$59=ED$97)),"" "")")," ")</f>
        <v> </v>
      </c>
      <c r="EE89" s="48" t="str">
        <f>IFERROR(__xludf.DUMMYFUNCTION("IFERROR(TEXTJOIN(""/"",1,FILTER($B$60:$IV$60,$B$59:$IV$59=EE$97)),"" "")")," ")</f>
        <v> </v>
      </c>
      <c r="EF89" s="48" t="str">
        <f>IFERROR(__xludf.DUMMYFUNCTION("IFERROR(TEXTJOIN(""/"",1,FILTER($B$60:$IV$60,$B$59:$IV$59=EF$97)),"" "")")," ")</f>
        <v> </v>
      </c>
      <c r="EG89" s="48" t="str">
        <f>IFERROR(__xludf.DUMMYFUNCTION("IFERROR(TEXTJOIN(""/"",1,FILTER($B$60:$IV$60,$B$59:$IV$59=EG$97)),"" "")")," ")</f>
        <v> </v>
      </c>
      <c r="EH89" s="48" t="str">
        <f>IFERROR(__xludf.DUMMYFUNCTION("IFERROR(TEXTJOIN(""/"",1,FILTER($B$60:$IV$60,$B$59:$IV$59=EH$97)),"" "")")," ")</f>
        <v> </v>
      </c>
      <c r="EI89" s="48" t="str">
        <f>IFERROR(__xludf.DUMMYFUNCTION("IFERROR(TEXTJOIN(""/"",1,FILTER($B$60:$IV$60,$B$59:$IV$59=EI$97)),"" "")")," ")</f>
        <v> </v>
      </c>
      <c r="EJ89" s="48" t="str">
        <f>IFERROR(__xludf.DUMMYFUNCTION("IFERROR(TEXTJOIN(""/"",1,FILTER($B$60:$IV$60,$B$59:$IV$59=EJ$97)),"" "")")," ")</f>
        <v> </v>
      </c>
      <c r="EK89" s="48" t="str">
        <f>IFERROR(__xludf.DUMMYFUNCTION("IFERROR(TEXTJOIN(""/"",1,FILTER($B$60:$IV$60,$B$59:$IV$59=EK$97)),"" "")")," ")</f>
        <v> </v>
      </c>
      <c r="EL89" s="48" t="str">
        <f>IFERROR(__xludf.DUMMYFUNCTION("IFERROR(TEXTJOIN(""/"",1,FILTER($B$60:$IV$60,$B$59:$IV$59=EL$97)),"" "")")," ")</f>
        <v> </v>
      </c>
      <c r="EM89" s="48" t="str">
        <f>IFERROR(__xludf.DUMMYFUNCTION("IFERROR(TEXTJOIN(""/"",1,FILTER($B$60:$IV$60,$B$59:$IV$59=EM$97)),"" "")")," ")</f>
        <v> </v>
      </c>
      <c r="EN89" s="48" t="str">
        <f>IFERROR(__xludf.DUMMYFUNCTION("IFERROR(TEXTJOIN(""/"",1,FILTER($B$60:$IV$60,$B$59:$IV$59=EN$97)),"" "")")," ")</f>
        <v> </v>
      </c>
      <c r="EO89" s="48" t="str">
        <f>IFERROR(__xludf.DUMMYFUNCTION("IFERROR(TEXTJOIN(""/"",1,FILTER($B$60:$IV$60,$B$59:$IV$59=EO$97)),"" "")")," ")</f>
        <v> </v>
      </c>
      <c r="EP89" s="48" t="str">
        <f>IFERROR(__xludf.DUMMYFUNCTION("IFERROR(TEXTJOIN(""/"",1,FILTER($B$60:$IV$60,$B$59:$IV$59=EP$97)),"" "")")," ")</f>
        <v> </v>
      </c>
      <c r="EQ89" s="48" t="str">
        <f>IFERROR(__xludf.DUMMYFUNCTION("IFERROR(TEXTJOIN(""/"",1,FILTER($B$60:$IV$60,$B$59:$IV$59=EQ$97)),"" "")")," ")</f>
        <v> </v>
      </c>
      <c r="ER89" s="48" t="str">
        <f>IFERROR(__xludf.DUMMYFUNCTION("IFERROR(TEXTJOIN(""/"",1,FILTER($B$60:$IV$60,$B$59:$IV$59=ER$97)),"" "")")," ")</f>
        <v> </v>
      </c>
      <c r="ES89" s="48" t="str">
        <f>IFERROR(__xludf.DUMMYFUNCTION("IFERROR(TEXTJOIN(""/"",1,FILTER($B$60:$IV$60,$B$59:$IV$59=ES$97)),"" "")")," ")</f>
        <v> </v>
      </c>
      <c r="ET89" s="48" t="str">
        <f>IFERROR(__xludf.DUMMYFUNCTION("IFERROR(TEXTJOIN(""/"",1,FILTER($B$60:$IV$60,$B$59:$IV$59=ET$97)),"" "")")," ")</f>
        <v> </v>
      </c>
      <c r="EU89" s="48" t="str">
        <f>IFERROR(__xludf.DUMMYFUNCTION("IFERROR(TEXTJOIN(""/"",1,FILTER($B$60:$IV$60,$B$59:$IV$59=EU$97)),"" "")")," ")</f>
        <v> </v>
      </c>
      <c r="EV89" s="48" t="str">
        <f>IFERROR(__xludf.DUMMYFUNCTION("IFERROR(TEXTJOIN(""/"",1,FILTER($B$60:$IV$60,$B$59:$IV$59=EV$97)),"" "")")," ")</f>
        <v> </v>
      </c>
      <c r="EW89" s="48" t="str">
        <f>IFERROR(__xludf.DUMMYFUNCTION("IFERROR(TEXTJOIN(""/"",1,FILTER($B$60:$IV$60,$B$59:$IV$59=EW$97)),"" "")")," ")</f>
        <v> </v>
      </c>
      <c r="EX89" s="48" t="str">
        <f>IFERROR(__xludf.DUMMYFUNCTION("IFERROR(TEXTJOIN(""/"",1,FILTER($B$60:$IV$60,$B$59:$IV$59=EX$97)),"" "")")," ")</f>
        <v> </v>
      </c>
      <c r="EY89" s="48" t="str">
        <f>IFERROR(__xludf.DUMMYFUNCTION("IFERROR(TEXTJOIN(""/"",1,FILTER($B$60:$IV$60,$B$59:$IV$59=EY$97)),"" "")")," ")</f>
        <v> </v>
      </c>
      <c r="EZ89" s="48" t="str">
        <f>IFERROR(__xludf.DUMMYFUNCTION("IFERROR(TEXTJOIN(""/"",1,FILTER($B$60:$IV$60,$B$59:$IV$59=EZ$97)),"" "")")," ")</f>
        <v> </v>
      </c>
      <c r="FA89" s="48" t="str">
        <f>IFERROR(__xludf.DUMMYFUNCTION("IFERROR(TEXTJOIN(""/"",1,FILTER($B$60:$IV$60,$B$59:$IV$59=FA$97)),"" "")")," ")</f>
        <v> </v>
      </c>
      <c r="FB89" s="48" t="str">
        <f>IFERROR(__xludf.DUMMYFUNCTION("IFERROR(TEXTJOIN(""/"",1,FILTER($B$60:$IV$60,$B$59:$IV$59=FB$97)),"" "")")," ")</f>
        <v> </v>
      </c>
      <c r="FC89" s="48" t="str">
        <f>IFERROR(__xludf.DUMMYFUNCTION("IFERROR(TEXTJOIN(""/"",1,FILTER($B$60:$IV$60,$B$59:$IV$59=FC$97)),"" "")")," ")</f>
        <v> </v>
      </c>
      <c r="FD89" s="48" t="str">
        <f>IFERROR(__xludf.DUMMYFUNCTION("IFERROR(TEXTJOIN(""/"",1,FILTER($B$60:$IV$60,$B$59:$IV$59=FD$97)),"" "")")," ")</f>
        <v> </v>
      </c>
      <c r="FE89" s="48" t="str">
        <f>IFERROR(__xludf.DUMMYFUNCTION("IFERROR(TEXTJOIN(""/"",1,FILTER($B$60:$IV$60,$B$59:$IV$59=FE$97)),"" "")")," ")</f>
        <v> </v>
      </c>
      <c r="FF89" s="48" t="str">
        <f>IFERROR(__xludf.DUMMYFUNCTION("IFERROR(TEXTJOIN(""/"",1,FILTER($B$60:$IV$60,$B$59:$IV$59=FF$97)),"" "")")," ")</f>
        <v> </v>
      </c>
      <c r="FG89" s="48" t="str">
        <f>IFERROR(__xludf.DUMMYFUNCTION("IFERROR(TEXTJOIN(""/"",1,FILTER($B$60:$IV$60,$B$59:$IV$59=FG$97)),"" "")")," ")</f>
        <v> </v>
      </c>
      <c r="FH89" s="48" t="str">
        <f>IFERROR(__xludf.DUMMYFUNCTION("IFERROR(TEXTJOIN(""/"",1,FILTER($B$60:$IV$60,$B$59:$IV$59=FH$97)),"" "")")," ")</f>
        <v> </v>
      </c>
      <c r="FI89" s="48" t="str">
        <f>IFERROR(__xludf.DUMMYFUNCTION("IFERROR(TEXTJOIN(""/"",1,FILTER($B$60:$IV$60,$B$59:$IV$59=FI$97)),"" "")")," ")</f>
        <v> </v>
      </c>
      <c r="FJ89" s="48" t="str">
        <f>IFERROR(__xludf.DUMMYFUNCTION("IFERROR(TEXTJOIN(""/"",1,FILTER($B$60:$IV$60,$B$59:$IV$59=FJ$97)),"" "")")," ")</f>
        <v> </v>
      </c>
      <c r="FK89" s="48" t="str">
        <f>IFERROR(__xludf.DUMMYFUNCTION("IFERROR(TEXTJOIN(""/"",1,FILTER($B$60:$IV$60,$B$59:$IV$59=FK$97)),"" "")")," ")</f>
        <v> </v>
      </c>
      <c r="FL89" s="48" t="str">
        <f>IFERROR(__xludf.DUMMYFUNCTION("IFERROR(TEXTJOIN(""/"",1,FILTER($B$60:$IV$60,$B$59:$IV$59=FL$97)),"" "")")," ")</f>
        <v> </v>
      </c>
      <c r="FM89" s="48" t="str">
        <f>IFERROR(__xludf.DUMMYFUNCTION("IFERROR(TEXTJOIN(""/"",1,FILTER($B$60:$IV$60,$B$59:$IV$59=FM$97)),"" "")")," ")</f>
        <v> </v>
      </c>
      <c r="FN89" s="48" t="str">
        <f>IFERROR(__xludf.DUMMYFUNCTION("IFERROR(TEXTJOIN(""/"",1,FILTER($B$60:$IV$60,$B$59:$IV$59=FN$97)),"" "")")," ")</f>
        <v> </v>
      </c>
      <c r="FO89" s="48" t="str">
        <f>IFERROR(__xludf.DUMMYFUNCTION("IFERROR(TEXTJOIN(""/"",1,FILTER($B$60:$IV$60,$B$59:$IV$59=FO$97)),"" "")")," ")</f>
        <v> </v>
      </c>
      <c r="FP89" s="48" t="str">
        <f>IFERROR(__xludf.DUMMYFUNCTION("IFERROR(TEXTJOIN(""/"",1,FILTER($B$60:$IV$60,$B$59:$IV$59=FP$97)),"" "")")," ")</f>
        <v> </v>
      </c>
      <c r="FQ89" s="48" t="str">
        <f>IFERROR(__xludf.DUMMYFUNCTION("IFERROR(TEXTJOIN(""/"",1,FILTER($B$60:$IV$60,$B$59:$IV$59=FQ$97)),"" "")")," ")</f>
        <v> </v>
      </c>
      <c r="FR89" s="48" t="str">
        <f>IFERROR(__xludf.DUMMYFUNCTION("IFERROR(TEXTJOIN(""/"",1,FILTER($B$60:$IV$60,$B$59:$IV$59=FR$97)),"" "")")," ")</f>
        <v> </v>
      </c>
      <c r="FS89" s="48" t="str">
        <f>IFERROR(__xludf.DUMMYFUNCTION("IFERROR(TEXTJOIN(""/"",1,FILTER($B$60:$IV$60,$B$59:$IV$59=FS$97)),"" "")")," ")</f>
        <v> </v>
      </c>
      <c r="FT89" s="48" t="str">
        <f>IFERROR(__xludf.DUMMYFUNCTION("IFERROR(TEXTJOIN(""/"",1,FILTER($B$60:$IV$60,$B$59:$IV$59=FT$97)),"" "")")," ")</f>
        <v> </v>
      </c>
      <c r="FU89" s="48" t="str">
        <f>IFERROR(__xludf.DUMMYFUNCTION("IFERROR(TEXTJOIN(""/"",1,FILTER($B$60:$IV$60,$B$59:$IV$59=FU$97)),"" "")")," ")</f>
        <v> </v>
      </c>
      <c r="FV89" s="48" t="str">
        <f>IFERROR(__xludf.DUMMYFUNCTION("IFERROR(TEXTJOIN(""/"",1,FILTER($B$60:$IV$60,$B$59:$IV$59=FV$97)),"" "")")," ")</f>
        <v> </v>
      </c>
      <c r="FW89" s="48" t="str">
        <f>IFERROR(__xludf.DUMMYFUNCTION("IFERROR(TEXTJOIN(""/"",1,FILTER($B$60:$IV$60,$B$59:$IV$59=FW$97)),"" "")")," ")</f>
        <v> </v>
      </c>
      <c r="FX89" s="48" t="str">
        <f>IFERROR(__xludf.DUMMYFUNCTION("IFERROR(TEXTJOIN(""/"",1,FILTER($B$60:$IV$60,$B$59:$IV$59=FX$97)),"" "")")," ")</f>
        <v> </v>
      </c>
      <c r="FY89" s="48" t="str">
        <f>IFERROR(__xludf.DUMMYFUNCTION("IFERROR(TEXTJOIN(""/"",1,FILTER($B$60:$IV$60,$B$59:$IV$59=FY$97)),"" "")")," ")</f>
        <v> </v>
      </c>
      <c r="FZ89" s="48" t="str">
        <f>IFERROR(__xludf.DUMMYFUNCTION("IFERROR(TEXTJOIN(""/"",1,FILTER($B$60:$IV$60,$B$59:$IV$59=FZ$97)),"" "")")," ")</f>
        <v> </v>
      </c>
      <c r="GA89" s="48" t="str">
        <f>IFERROR(__xludf.DUMMYFUNCTION("IFERROR(TEXTJOIN(""/"",1,FILTER($B$60:$IV$60,$B$59:$IV$59=GA$97)),"" "")")," ")</f>
        <v> </v>
      </c>
      <c r="GB89" s="48" t="str">
        <f>IFERROR(__xludf.DUMMYFUNCTION("IFERROR(TEXTJOIN(""/"",1,FILTER($B$60:$IV$60,$B$59:$IV$59=GB$97)),"" "")")," ")</f>
        <v> </v>
      </c>
      <c r="GC89" s="48" t="str">
        <f>IFERROR(__xludf.DUMMYFUNCTION("IFERROR(TEXTJOIN(""/"",1,FILTER($B$60:$IV$60,$B$59:$IV$59=GC$97)),"" "")")," ")</f>
        <v> </v>
      </c>
      <c r="GD89" s="48" t="str">
        <f>IFERROR(__xludf.DUMMYFUNCTION("IFERROR(TEXTJOIN(""/"",1,FILTER($B$60:$IV$60,$B$59:$IV$59=GD$97)),"" "")")," ")</f>
        <v> </v>
      </c>
      <c r="GE89" s="48" t="str">
        <f>IFERROR(__xludf.DUMMYFUNCTION("IFERROR(TEXTJOIN(""/"",1,FILTER($B$60:$IV$60,$B$59:$IV$59=GE$97)),"" "")")," ")</f>
        <v> </v>
      </c>
      <c r="GF89" s="48" t="str">
        <f>IFERROR(__xludf.DUMMYFUNCTION("IFERROR(TEXTJOIN(""/"",1,FILTER($B$60:$IV$60,$B$59:$IV$59=GF$97)),"" "")")," ")</f>
        <v> </v>
      </c>
      <c r="GG89" s="48" t="str">
        <f>IFERROR(__xludf.DUMMYFUNCTION("IFERROR(TEXTJOIN(""/"",1,FILTER($B$60:$IV$60,$B$59:$IV$59=GG$97)),"" "")")," ")</f>
        <v> </v>
      </c>
      <c r="GH89" s="48" t="str">
        <f>IFERROR(__xludf.DUMMYFUNCTION("IFERROR(TEXTJOIN(""/"",1,FILTER($B$60:$IV$60,$B$59:$IV$59=GH$97)),"" "")")," ")</f>
        <v> </v>
      </c>
      <c r="GI89" s="48" t="str">
        <f>IFERROR(__xludf.DUMMYFUNCTION("IFERROR(TEXTJOIN(""/"",1,FILTER($B$60:$IV$60,$B$59:$IV$59=GI$97)),"" "")")," ")</f>
        <v> </v>
      </c>
      <c r="GJ89" s="48" t="str">
        <f>IFERROR(__xludf.DUMMYFUNCTION("IFERROR(TEXTJOIN(""/"",1,FILTER($B$60:$IV$60,$B$59:$IV$59=GJ$97)),"" "")")," ")</f>
        <v> </v>
      </c>
      <c r="GK89" s="48" t="str">
        <f>IFERROR(__xludf.DUMMYFUNCTION("IFERROR(TEXTJOIN(""/"",1,FILTER($B$60:$IV$60,$B$59:$IV$59=GK$97)),"" "")")," ")</f>
        <v> </v>
      </c>
      <c r="GL89" s="48" t="str">
        <f>IFERROR(__xludf.DUMMYFUNCTION("IFERROR(TEXTJOIN(""/"",1,FILTER($B$60:$IV$60,$B$59:$IV$59=GL$97)),"" "")")," ")</f>
        <v> </v>
      </c>
      <c r="GM89" s="48" t="str">
        <f>IFERROR(__xludf.DUMMYFUNCTION("IFERROR(TEXTJOIN(""/"",1,FILTER($B$60:$IV$60,$B$59:$IV$59=GM$97)),"" "")")," ")</f>
        <v> </v>
      </c>
      <c r="GN89" s="48" t="str">
        <f>IFERROR(__xludf.DUMMYFUNCTION("IFERROR(TEXTJOIN(""/"",1,FILTER($B$60:$IV$60,$B$59:$IV$59=GN$97)),"" "")")," ")</f>
        <v> </v>
      </c>
      <c r="GO89" s="48" t="str">
        <f>IFERROR(__xludf.DUMMYFUNCTION("IFERROR(TEXTJOIN(""/"",1,FILTER($B$60:$IV$60,$B$59:$IV$59=GO$97)),"" "")")," ")</f>
        <v> </v>
      </c>
      <c r="GP89" s="48" t="str">
        <f>IFERROR(__xludf.DUMMYFUNCTION("IFERROR(TEXTJOIN(""/"",1,FILTER($B$60:$IV$60,$B$59:$IV$59=GP$97)),"" "")")," ")</f>
        <v> </v>
      </c>
      <c r="GQ89" s="48" t="str">
        <f>IFERROR(__xludf.DUMMYFUNCTION("IFERROR(TEXTJOIN(""/"",1,FILTER($B$60:$IV$60,$B$59:$IV$59=GQ$97)),"" "")")," ")</f>
        <v> </v>
      </c>
      <c r="GR89" s="48" t="str">
        <f>IFERROR(__xludf.DUMMYFUNCTION("IFERROR(TEXTJOIN(""/"",1,FILTER($B$60:$IV$60,$B$59:$IV$59=GR$97)),"" "")")," ")</f>
        <v> </v>
      </c>
      <c r="GS89" s="48" t="str">
        <f>IFERROR(__xludf.DUMMYFUNCTION("IFERROR(TEXTJOIN(""/"",1,FILTER($B$60:$IV$60,$B$59:$IV$59=GS$97)),"" "")")," ")</f>
        <v> </v>
      </c>
      <c r="GT89" s="48" t="str">
        <f>IFERROR(__xludf.DUMMYFUNCTION("IFERROR(TEXTJOIN(""/"",1,FILTER($B$60:$IV$60,$B$59:$IV$59=GT$97)),"" "")")," ")</f>
        <v> </v>
      </c>
      <c r="GU89" s="48" t="str">
        <f>IFERROR(__xludf.DUMMYFUNCTION("IFERROR(TEXTJOIN(""/"",1,FILTER($B$60:$IV$60,$B$59:$IV$59=GU$97)),"" "")")," ")</f>
        <v> </v>
      </c>
      <c r="GV89" s="48" t="str">
        <f>IFERROR(__xludf.DUMMYFUNCTION("IFERROR(TEXTJOIN(""/"",1,FILTER($B$60:$IV$60,$B$59:$IV$59=GV$97)),"" "")")," ")</f>
        <v> </v>
      </c>
      <c r="GW89" s="48" t="str">
        <f>IFERROR(__xludf.DUMMYFUNCTION("IFERROR(TEXTJOIN(""/"",1,FILTER($B$60:$IV$60,$B$59:$IV$59=GW$97)),"" "")")," ")</f>
        <v> </v>
      </c>
      <c r="GX89" s="48" t="str">
        <f>IFERROR(__xludf.DUMMYFUNCTION("IFERROR(TEXTJOIN(""/"",1,FILTER($B$60:$IV$60,$B$59:$IV$59=GX$97)),"" "")")," ")</f>
        <v> </v>
      </c>
      <c r="GY89" s="48" t="str">
        <f>IFERROR(__xludf.DUMMYFUNCTION("IFERROR(TEXTJOIN(""/"",1,FILTER($B$60:$IV$60,$B$59:$IV$59=GY$97)),"" "")")," ")</f>
        <v> </v>
      </c>
      <c r="GZ89" s="48" t="str">
        <f>IFERROR(__xludf.DUMMYFUNCTION("IFERROR(TEXTJOIN(""/"",1,FILTER($B$60:$IV$60,$B$59:$IV$59=GZ$97)),"" "")")," ")</f>
        <v> </v>
      </c>
      <c r="HA89" s="48" t="str">
        <f>IFERROR(__xludf.DUMMYFUNCTION("IFERROR(TEXTJOIN(""/"",1,FILTER($B$60:$IV$60,$B$59:$IV$59=HA$97)),"" "")")," ")</f>
        <v> </v>
      </c>
      <c r="HB89" s="48" t="str">
        <f>IFERROR(__xludf.DUMMYFUNCTION("IFERROR(TEXTJOIN(""/"",1,FILTER($B$60:$IV$60,$B$59:$IV$59=HB$97)),"" "")")," ")</f>
        <v> </v>
      </c>
      <c r="HC89" s="48" t="str">
        <f>IFERROR(__xludf.DUMMYFUNCTION("IFERROR(TEXTJOIN(""/"",1,FILTER($B$60:$IV$60,$B$59:$IV$59=HC$97)),"" "")")," ")</f>
        <v> </v>
      </c>
      <c r="HD89" s="48" t="str">
        <f>IFERROR(__xludf.DUMMYFUNCTION("IFERROR(TEXTJOIN(""/"",1,FILTER($B$60:$IV$60,$B$59:$IV$59=HD$97)),"" "")")," ")</f>
        <v> </v>
      </c>
      <c r="HE89" s="48" t="str">
        <f>IFERROR(__xludf.DUMMYFUNCTION("IFERROR(TEXTJOIN(""/"",1,FILTER($B$60:$IV$60,$B$59:$IV$59=HE$97)),"" "")")," ")</f>
        <v> </v>
      </c>
      <c r="HF89" s="48" t="str">
        <f>IFERROR(__xludf.DUMMYFUNCTION("IFERROR(TEXTJOIN(""/"",1,FILTER($B$60:$IV$60,$B$59:$IV$59=HF$97)),"" "")")," ")</f>
        <v> </v>
      </c>
      <c r="HG89" s="48" t="str">
        <f>IFERROR(__xludf.DUMMYFUNCTION("IFERROR(TEXTJOIN(""/"",1,FILTER($B$60:$IV$60,$B$59:$IV$59=HG$97)),"" "")")," ")</f>
        <v> </v>
      </c>
      <c r="HH89" s="48" t="str">
        <f>IFERROR(__xludf.DUMMYFUNCTION("IFERROR(TEXTJOIN(""/"",1,FILTER($B$60:$IV$60,$B$59:$IV$59=HH$97)),"" "")")," ")</f>
        <v> </v>
      </c>
      <c r="HI89" s="48" t="str">
        <f>IFERROR(__xludf.DUMMYFUNCTION("IFERROR(TEXTJOIN(""/"",1,FILTER($B$60:$IV$60,$B$59:$IV$59=HI$97)),"" "")")," ")</f>
        <v> </v>
      </c>
      <c r="HJ89" s="48" t="str">
        <f>IFERROR(__xludf.DUMMYFUNCTION("IFERROR(TEXTJOIN(""/"",1,FILTER($B$60:$IV$60,$B$59:$IV$59=HJ$97)),"" "")")," ")</f>
        <v> </v>
      </c>
      <c r="HK89" s="48" t="str">
        <f>IFERROR(__xludf.DUMMYFUNCTION("IFERROR(TEXTJOIN(""/"",1,FILTER($B$60:$IV$60,$B$59:$IV$59=HK$97)),"" "")")," ")</f>
        <v> </v>
      </c>
      <c r="HL89" s="48" t="str">
        <f>IFERROR(__xludf.DUMMYFUNCTION("IFERROR(TEXTJOIN(""/"",1,FILTER($B$60:$IV$60,$B$59:$IV$59=HL$97)),"" "")")," ")</f>
        <v> </v>
      </c>
      <c r="HM89" s="48" t="str">
        <f>IFERROR(__xludf.DUMMYFUNCTION("IFERROR(TEXTJOIN(""/"",1,FILTER($B$60:$IV$60,$B$59:$IV$59=HM$97)),"" "")")," ")</f>
        <v> </v>
      </c>
      <c r="HN89" s="48" t="str">
        <f>IFERROR(__xludf.DUMMYFUNCTION("IFERROR(TEXTJOIN(""/"",1,FILTER($B$60:$IV$60,$B$59:$IV$59=HN$97)),"" "")")," ")</f>
        <v> </v>
      </c>
      <c r="HO89" s="48" t="str">
        <f>IFERROR(__xludf.DUMMYFUNCTION("IFERROR(TEXTJOIN(""/"",1,FILTER($B$60:$IV$60,$B$59:$IV$59=HO$97)),"" "")")," ")</f>
        <v> </v>
      </c>
      <c r="HP89" s="48" t="str">
        <f>IFERROR(__xludf.DUMMYFUNCTION("IFERROR(TEXTJOIN(""/"",1,FILTER($B$60:$IV$60,$B$59:$IV$59=HP$97)),"" "")")," ")</f>
        <v> </v>
      </c>
      <c r="HQ89" s="48" t="str">
        <f>IFERROR(__xludf.DUMMYFUNCTION("IFERROR(TEXTJOIN(""/"",1,FILTER($B$60:$IV$60,$B$59:$IV$59=HQ$97)),"" "")")," ")</f>
        <v> </v>
      </c>
      <c r="HR89" s="48" t="str">
        <f>IFERROR(__xludf.DUMMYFUNCTION("IFERROR(TEXTJOIN(""/"",1,FILTER($B$60:$IV$60,$B$59:$IV$59=HR$97)),"" "")")," ")</f>
        <v> </v>
      </c>
      <c r="HS89" s="48" t="str">
        <f>IFERROR(__xludf.DUMMYFUNCTION("IFERROR(TEXTJOIN(""/"",1,FILTER($B$60:$IV$60,$B$59:$IV$59=HS$97)),"" "")")," ")</f>
        <v> </v>
      </c>
      <c r="HT89" s="48" t="str">
        <f>IFERROR(__xludf.DUMMYFUNCTION("IFERROR(TEXTJOIN(""/"",1,FILTER($B$60:$IV$60,$B$59:$IV$59=HT$97)),"" "")")," ")</f>
        <v> </v>
      </c>
      <c r="HU89" s="48" t="str">
        <f>IFERROR(__xludf.DUMMYFUNCTION("IFERROR(TEXTJOIN(""/"",1,FILTER($B$60:$IV$60,$B$59:$IV$59=HU$97)),"" "")")," ")</f>
        <v> </v>
      </c>
      <c r="HV89" s="48" t="str">
        <f>IFERROR(__xludf.DUMMYFUNCTION("IFERROR(TEXTJOIN(""/"",1,FILTER($B$60:$IV$60,$B$59:$IV$59=HV$97)),"" "")")," ")</f>
        <v> </v>
      </c>
      <c r="HW89" s="48" t="str">
        <f>IFERROR(__xludf.DUMMYFUNCTION("IFERROR(TEXTJOIN(""/"",1,FILTER($B$60:$IV$60,$B$59:$IV$59=HW$97)),"" "")")," ")</f>
        <v> </v>
      </c>
      <c r="HX89" s="48" t="str">
        <f>IFERROR(__xludf.DUMMYFUNCTION("IFERROR(TEXTJOIN(""/"",1,FILTER($B$60:$IV$60,$B$59:$IV$59=HX$97)),"" "")")," ")</f>
        <v> </v>
      </c>
      <c r="HY89" s="48" t="str">
        <f>IFERROR(__xludf.DUMMYFUNCTION("IFERROR(TEXTJOIN(""/"",1,FILTER($B$60:$IV$60,$B$59:$IV$59=HY$97)),"" "")")," ")</f>
        <v> </v>
      </c>
      <c r="HZ89" s="48" t="str">
        <f>IFERROR(__xludf.DUMMYFUNCTION("IFERROR(TEXTJOIN(""/"",1,FILTER($B$60:$IV$60,$B$59:$IV$59=HZ$97)),"" "")")," ")</f>
        <v> </v>
      </c>
      <c r="IA89" s="48" t="str">
        <f>IFERROR(__xludf.DUMMYFUNCTION("IFERROR(TEXTJOIN(""/"",1,FILTER($B$60:$IV$60,$B$59:$IV$59=IA$97)),"" "")")," ")</f>
        <v> </v>
      </c>
      <c r="IB89" s="48" t="str">
        <f>IFERROR(__xludf.DUMMYFUNCTION("IFERROR(TEXTJOIN(""/"",1,FILTER($B$60:$IV$60,$B$59:$IV$59=IB$97)),"" "")")," ")</f>
        <v> </v>
      </c>
      <c r="IC89" s="48" t="str">
        <f>IFERROR(__xludf.DUMMYFUNCTION("IFERROR(TEXTJOIN(""/"",1,FILTER($B$60:$IV$60,$B$59:$IV$59=IC$97)),"" "")")," ")</f>
        <v> </v>
      </c>
      <c r="ID89" s="48" t="str">
        <f>IFERROR(__xludf.DUMMYFUNCTION("IFERROR(TEXTJOIN(""/"",1,FILTER($B$60:$IV$60,$B$59:$IV$59=ID$97)),"" "")")," ")</f>
        <v> </v>
      </c>
      <c r="IE89" s="48" t="str">
        <f>IFERROR(__xludf.DUMMYFUNCTION("IFERROR(TEXTJOIN(""/"",1,FILTER($B$60:$IV$60,$B$59:$IV$59=IE$97)),"" "")")," ")</f>
        <v> </v>
      </c>
      <c r="IF89" s="48" t="str">
        <f>IFERROR(__xludf.DUMMYFUNCTION("IFERROR(TEXTJOIN(""/"",1,FILTER($B$60:$IV$60,$B$59:$IV$59=IF$97)),"" "")")," ")</f>
        <v> </v>
      </c>
      <c r="IG89" s="48" t="str">
        <f>IFERROR(__xludf.DUMMYFUNCTION("IFERROR(TEXTJOIN(""/"",1,FILTER($B$60:$IV$60,$B$59:$IV$59=IG$97)),"" "")")," ")</f>
        <v> </v>
      </c>
      <c r="IH89" s="48" t="str">
        <f>IFERROR(__xludf.DUMMYFUNCTION("IFERROR(TEXTJOIN(""/"",1,FILTER($B$60:$IV$60,$B$59:$IV$59=IH$97)),"" "")")," ")</f>
        <v> </v>
      </c>
      <c r="II89" s="48" t="str">
        <f>IFERROR(__xludf.DUMMYFUNCTION("IFERROR(TEXTJOIN(""/"",1,FILTER($B$60:$IV$60,$B$59:$IV$59=II$97)),"" "")")," ")</f>
        <v> </v>
      </c>
      <c r="IJ89" s="48" t="str">
        <f>IFERROR(__xludf.DUMMYFUNCTION("IFERROR(TEXTJOIN(""/"",1,FILTER($B$60:$IV$60,$B$59:$IV$59=IJ$97)),"" "")")," ")</f>
        <v> </v>
      </c>
      <c r="IK89" s="48" t="str">
        <f>IFERROR(__xludf.DUMMYFUNCTION("IFERROR(TEXTJOIN(""/"",1,FILTER($B$60:$IV$60,$B$59:$IV$59=IK$97)),"" "")")," ")</f>
        <v> </v>
      </c>
      <c r="IL89" s="48" t="str">
        <f>IFERROR(__xludf.DUMMYFUNCTION("IFERROR(TEXTJOIN(""/"",1,FILTER($B$60:$IV$60,$B$59:$IV$59=IL$97)),"" "")")," ")</f>
        <v> </v>
      </c>
      <c r="IM89" s="48" t="str">
        <f>IFERROR(__xludf.DUMMYFUNCTION("IFERROR(TEXTJOIN(""/"",1,FILTER($B$60:$IV$60,$B$59:$IV$59=IM$97)),"" "")")," ")</f>
        <v> </v>
      </c>
      <c r="IN89" s="48" t="str">
        <f>IFERROR(__xludf.DUMMYFUNCTION("IFERROR(TEXTJOIN(""/"",1,FILTER($B$60:$IV$60,$B$59:$IV$59=IN$97)),"" "")")," ")</f>
        <v> </v>
      </c>
      <c r="IO89" s="48" t="str">
        <f>IFERROR(__xludf.DUMMYFUNCTION("IFERROR(TEXTJOIN(""/"",1,FILTER($B$60:$IV$60,$B$59:$IV$59=IO$97)),"" "")")," ")</f>
        <v> </v>
      </c>
      <c r="IP89" s="48" t="str">
        <f>IFERROR(__xludf.DUMMYFUNCTION("IFERROR(TEXTJOIN(""/"",1,FILTER($B$60:$IV$60,$B$59:$IV$59=IP$97)),"" "")")," ")</f>
        <v> </v>
      </c>
      <c r="IQ89" s="48" t="str">
        <f>IFERROR(__xludf.DUMMYFUNCTION("IFERROR(TEXTJOIN(""/"",1,FILTER($B$60:$IV$60,$B$59:$IV$59=IQ$97)),"" "")")," ")</f>
        <v> </v>
      </c>
      <c r="IR89" s="48" t="str">
        <f>IFERROR(__xludf.DUMMYFUNCTION("IFERROR(TEXTJOIN(""/"",1,FILTER($B$60:$IV$60,$B$59:$IV$59=IR$97)),"" "")")," ")</f>
        <v> </v>
      </c>
      <c r="IS89" s="48" t="str">
        <f>IFERROR(__xludf.DUMMYFUNCTION("IFERROR(TEXTJOIN(""/"",1,FILTER($B$60:$IV$60,$B$59:$IV$59=IS$97)),"" "")")," ")</f>
        <v> </v>
      </c>
      <c r="IT89" s="48" t="str">
        <f>IFERROR(__xludf.DUMMYFUNCTION("IFERROR(TEXTJOIN(""/"",1,FILTER($B$60:$IV$60,$B$59:$IV$59=IT$97)),"" "")")," ")</f>
        <v> </v>
      </c>
      <c r="IU89" s="48" t="str">
        <f>IFERROR(__xludf.DUMMYFUNCTION("IFERROR(TEXTJOIN(""/"",1,FILTER($B$60:$IV$60,$B$59:$IV$59=IU$97)),"" "")")," ")</f>
        <v> </v>
      </c>
      <c r="IV89" s="48" t="str">
        <f>IFERROR(__xludf.DUMMYFUNCTION("IFERROR(TEXTJOIN(""/"",1,FILTER($B$60:$IV$60,$B$59:$IV$59=IV$97)),"" "")")," ")</f>
        <v> </v>
      </c>
      <c r="IW89" s="48" t="str">
        <f>IFERROR(__xludf.DUMMYFUNCTION("IFERROR(TEXTJOIN(""/"",1,FILTER($B$60:$IV$60,$B$59:$IV$59=IW$97)),"" "")")," ")</f>
        <v> </v>
      </c>
      <c r="IX89" s="48" t="str">
        <f>IFERROR(__xludf.DUMMYFUNCTION("IFERROR(TEXTJOIN(""/"",1,FILTER($B$60:$IV$60,$B$59:$IV$59=IX$97)),"" "")")," ")</f>
        <v> </v>
      </c>
      <c r="IY89" s="48" t="str">
        <f>IFERROR(__xludf.DUMMYFUNCTION("IFERROR(TEXTJOIN(""/"",1,FILTER($B$60:$IV$60,$B$59:$IV$59=IY$97)),"" "")")," ")</f>
        <v> </v>
      </c>
      <c r="IZ89" s="48" t="str">
        <f>IFERROR(__xludf.DUMMYFUNCTION("IFERROR(TEXTJOIN(""/"",1,FILTER($B$60:$IV$60,$B$59:$IV$59=IZ$97)),"" "")")," ")</f>
        <v> </v>
      </c>
      <c r="JA89" s="48" t="str">
        <f>IFERROR(__xludf.DUMMYFUNCTION("IFERROR(TEXTJOIN(""/"",1,FILTER($B$60:$IV$60,$B$59:$IV$59=JA$97)),"" "")")," ")</f>
        <v> </v>
      </c>
      <c r="JB89" s="48" t="str">
        <f>IFERROR(__xludf.DUMMYFUNCTION("IFERROR(TEXTJOIN(""/"",1,FILTER($B$60:$IV$60,$B$59:$IV$59=JB$97)),"" "")")," ")</f>
        <v> </v>
      </c>
      <c r="JC89" s="48" t="str">
        <f>IFERROR(__xludf.DUMMYFUNCTION("IFERROR(TEXTJOIN(""/"",1,FILTER($B$60:$IV$60,$B$59:$IV$59=JC$97)),"" "")")," ")</f>
        <v> </v>
      </c>
      <c r="JD89" s="48" t="str">
        <f>IFERROR(__xludf.DUMMYFUNCTION("IFERROR(TEXTJOIN(""/"",1,FILTER($B$60:$IV$60,$B$59:$IV$59=JD$97)),"" "")")," ")</f>
        <v> </v>
      </c>
      <c r="JE89" s="48" t="str">
        <f>IFERROR(__xludf.DUMMYFUNCTION("IFERROR(TEXTJOIN(""/"",1,FILTER($B$60:$IV$60,$B$59:$IV$59=JE$97)),"" "")")," ")</f>
        <v> </v>
      </c>
    </row>
    <row r="90">
      <c r="A90" s="42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</row>
    <row r="91">
      <c r="A91" s="42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</row>
    <row r="92">
      <c r="A92" s="42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</row>
    <row r="93">
      <c r="A93" s="42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</row>
    <row r="94">
      <c r="A94" s="42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</row>
    <row r="95">
      <c r="A95" s="42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</row>
    <row r="96">
      <c r="A96" s="42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</row>
    <row r="97">
      <c r="A97" s="42"/>
      <c r="B97" s="52">
        <v>45902.0</v>
      </c>
      <c r="C97" s="52">
        <v>45903.0</v>
      </c>
      <c r="D97" s="52">
        <v>45904.0</v>
      </c>
      <c r="E97" s="52">
        <v>45905.0</v>
      </c>
      <c r="F97" s="52">
        <v>45906.0</v>
      </c>
      <c r="G97" s="52">
        <v>45907.0</v>
      </c>
      <c r="H97" s="52">
        <v>45908.0</v>
      </c>
      <c r="I97" s="52">
        <v>45909.0</v>
      </c>
      <c r="J97" s="52">
        <v>45910.0</v>
      </c>
      <c r="K97" s="52">
        <v>45911.0</v>
      </c>
      <c r="L97" s="52">
        <v>45912.0</v>
      </c>
      <c r="M97" s="52">
        <v>45913.0</v>
      </c>
      <c r="N97" s="52">
        <v>45914.0</v>
      </c>
      <c r="O97" s="52">
        <v>45915.0</v>
      </c>
      <c r="P97" s="52">
        <v>45916.0</v>
      </c>
      <c r="Q97" s="52">
        <v>45917.0</v>
      </c>
      <c r="R97" s="52">
        <v>45918.0</v>
      </c>
      <c r="S97" s="52">
        <v>45919.0</v>
      </c>
      <c r="T97" s="52">
        <v>45920.0</v>
      </c>
      <c r="U97" s="52">
        <v>45921.0</v>
      </c>
      <c r="V97" s="52">
        <v>45922.0</v>
      </c>
      <c r="W97" s="52">
        <v>45923.0</v>
      </c>
      <c r="X97" s="52">
        <v>45924.0</v>
      </c>
      <c r="Y97" s="52">
        <v>45925.0</v>
      </c>
      <c r="Z97" s="52">
        <v>45926.0</v>
      </c>
      <c r="AA97" s="52">
        <v>45927.0</v>
      </c>
      <c r="AB97" s="52">
        <v>45928.0</v>
      </c>
      <c r="AC97" s="52">
        <v>45929.0</v>
      </c>
      <c r="AD97" s="52">
        <v>45930.0</v>
      </c>
      <c r="AE97" s="52">
        <v>45931.0</v>
      </c>
      <c r="AF97" s="52">
        <v>45932.0</v>
      </c>
      <c r="AG97" s="52">
        <v>45933.0</v>
      </c>
      <c r="AH97" s="52">
        <v>45934.0</v>
      </c>
      <c r="AI97" s="52">
        <v>45935.0</v>
      </c>
      <c r="AJ97" s="52">
        <v>45936.0</v>
      </c>
      <c r="AK97" s="52">
        <v>45937.0</v>
      </c>
      <c r="AL97" s="52">
        <v>45938.0</v>
      </c>
      <c r="AM97" s="52">
        <v>45939.0</v>
      </c>
      <c r="AN97" s="52">
        <v>45940.0</v>
      </c>
      <c r="AO97" s="52">
        <v>45941.0</v>
      </c>
      <c r="AP97" s="52">
        <v>45942.0</v>
      </c>
      <c r="AQ97" s="52">
        <v>45943.0</v>
      </c>
      <c r="AR97" s="52">
        <v>45944.0</v>
      </c>
      <c r="AS97" s="52">
        <v>45945.0</v>
      </c>
      <c r="AT97" s="52">
        <v>45946.0</v>
      </c>
      <c r="AU97" s="52">
        <v>45947.0</v>
      </c>
      <c r="AV97" s="52">
        <v>45948.0</v>
      </c>
      <c r="AW97" s="52">
        <v>45949.0</v>
      </c>
      <c r="AX97" s="52">
        <v>45950.0</v>
      </c>
      <c r="AY97" s="52">
        <v>45951.0</v>
      </c>
      <c r="AZ97" s="52">
        <v>45952.0</v>
      </c>
      <c r="BA97" s="52">
        <v>45953.0</v>
      </c>
      <c r="BB97" s="52">
        <v>45954.0</v>
      </c>
      <c r="BC97" s="52">
        <v>45955.0</v>
      </c>
      <c r="BD97" s="52">
        <v>45956.0</v>
      </c>
      <c r="BE97" s="52">
        <v>45957.0</v>
      </c>
      <c r="BF97" s="52">
        <v>45958.0</v>
      </c>
      <c r="BG97" s="52">
        <v>45959.0</v>
      </c>
      <c r="BH97" s="52">
        <v>45960.0</v>
      </c>
      <c r="BI97" s="52">
        <v>45961.0</v>
      </c>
      <c r="BJ97" s="52">
        <v>45962.0</v>
      </c>
      <c r="BK97" s="52">
        <v>45963.0</v>
      </c>
      <c r="BL97" s="52">
        <v>45964.0</v>
      </c>
      <c r="BM97" s="52">
        <v>45965.0</v>
      </c>
      <c r="BN97" s="52">
        <v>45966.0</v>
      </c>
      <c r="BO97" s="52">
        <v>45967.0</v>
      </c>
      <c r="BP97" s="52">
        <v>45968.0</v>
      </c>
      <c r="BQ97" s="52">
        <v>45969.0</v>
      </c>
      <c r="BR97" s="52">
        <v>45970.0</v>
      </c>
      <c r="BS97" s="52">
        <v>45971.0</v>
      </c>
      <c r="BT97" s="52">
        <v>45972.0</v>
      </c>
      <c r="BU97" s="52">
        <v>45973.0</v>
      </c>
      <c r="BV97" s="52">
        <v>45974.0</v>
      </c>
      <c r="BW97" s="52">
        <v>45975.0</v>
      </c>
      <c r="BX97" s="52">
        <v>45976.0</v>
      </c>
      <c r="BY97" s="52">
        <v>45977.0</v>
      </c>
      <c r="BZ97" s="52">
        <v>45978.0</v>
      </c>
      <c r="CA97" s="52">
        <v>45979.0</v>
      </c>
      <c r="CB97" s="52">
        <v>45980.0</v>
      </c>
      <c r="CC97" s="52">
        <v>45981.0</v>
      </c>
      <c r="CD97" s="52">
        <v>45982.0</v>
      </c>
      <c r="CE97" s="52">
        <v>45983.0</v>
      </c>
      <c r="CF97" s="52">
        <v>45984.0</v>
      </c>
      <c r="CG97" s="52">
        <v>45985.0</v>
      </c>
      <c r="CH97" s="52">
        <v>45986.0</v>
      </c>
      <c r="CI97" s="52">
        <v>45987.0</v>
      </c>
      <c r="CJ97" s="52">
        <v>45988.0</v>
      </c>
      <c r="CK97" s="52">
        <v>45989.0</v>
      </c>
      <c r="CL97" s="52">
        <v>45990.0</v>
      </c>
      <c r="CM97" s="52">
        <v>45991.0</v>
      </c>
      <c r="CN97" s="52">
        <v>45992.0</v>
      </c>
      <c r="CO97" s="52">
        <v>45993.0</v>
      </c>
      <c r="CP97" s="52">
        <v>45994.0</v>
      </c>
      <c r="CQ97" s="52">
        <v>45995.0</v>
      </c>
      <c r="CR97" s="52">
        <v>45996.0</v>
      </c>
      <c r="CS97" s="52">
        <v>45997.0</v>
      </c>
      <c r="CT97" s="52">
        <v>45998.0</v>
      </c>
      <c r="CU97" s="52">
        <v>45999.0</v>
      </c>
      <c r="CV97" s="52">
        <v>46000.0</v>
      </c>
      <c r="CW97" s="52">
        <v>46001.0</v>
      </c>
      <c r="CX97" s="52">
        <v>46002.0</v>
      </c>
      <c r="CY97" s="52">
        <v>46003.0</v>
      </c>
      <c r="CZ97" s="52">
        <v>46004.0</v>
      </c>
      <c r="DA97" s="52">
        <v>46005.0</v>
      </c>
      <c r="DB97" s="52">
        <v>46006.0</v>
      </c>
      <c r="DC97" s="52">
        <v>46007.0</v>
      </c>
      <c r="DD97" s="52">
        <v>46008.0</v>
      </c>
      <c r="DE97" s="52">
        <v>46009.0</v>
      </c>
      <c r="DF97" s="52">
        <v>46010.0</v>
      </c>
      <c r="DG97" s="52">
        <v>46011.0</v>
      </c>
      <c r="DH97" s="52">
        <v>46012.0</v>
      </c>
      <c r="DI97" s="52">
        <v>46013.0</v>
      </c>
      <c r="DJ97" s="52">
        <v>46014.0</v>
      </c>
      <c r="DK97" s="52">
        <v>46015.0</v>
      </c>
      <c r="DL97" s="52">
        <v>46016.0</v>
      </c>
      <c r="DM97" s="52">
        <v>46017.0</v>
      </c>
      <c r="DN97" s="52">
        <v>46018.0</v>
      </c>
      <c r="DO97" s="52">
        <v>46019.0</v>
      </c>
      <c r="DP97" s="52">
        <v>46020.0</v>
      </c>
      <c r="DQ97" s="52">
        <v>46021.0</v>
      </c>
      <c r="DR97" s="52">
        <v>46022.0</v>
      </c>
      <c r="DS97" s="52">
        <v>46023.0</v>
      </c>
      <c r="DT97" s="52">
        <v>46024.0</v>
      </c>
      <c r="DU97" s="52">
        <v>46025.0</v>
      </c>
      <c r="DV97" s="52">
        <v>46026.0</v>
      </c>
      <c r="DW97" s="52">
        <v>46027.0</v>
      </c>
      <c r="DX97" s="52">
        <v>46028.0</v>
      </c>
      <c r="DY97" s="52">
        <v>46029.0</v>
      </c>
      <c r="DZ97" s="52">
        <v>46030.0</v>
      </c>
      <c r="EA97" s="52">
        <v>46031.0</v>
      </c>
      <c r="EB97" s="52">
        <v>46032.0</v>
      </c>
      <c r="EC97" s="52">
        <v>46033.0</v>
      </c>
      <c r="ED97" s="52">
        <v>46034.0</v>
      </c>
      <c r="EE97" s="52">
        <v>46035.0</v>
      </c>
      <c r="EF97" s="52">
        <v>46036.0</v>
      </c>
      <c r="EG97" s="52">
        <v>46037.0</v>
      </c>
      <c r="EH97" s="52">
        <v>46038.0</v>
      </c>
      <c r="EI97" s="52">
        <v>46039.0</v>
      </c>
      <c r="EJ97" s="52">
        <v>46040.0</v>
      </c>
      <c r="EK97" s="52">
        <v>46041.0</v>
      </c>
      <c r="EL97" s="52">
        <v>46042.0</v>
      </c>
      <c r="EM97" s="52">
        <v>46043.0</v>
      </c>
      <c r="EN97" s="52">
        <v>46044.0</v>
      </c>
      <c r="EO97" s="52">
        <v>46045.0</v>
      </c>
      <c r="EP97" s="52">
        <v>46046.0</v>
      </c>
      <c r="EQ97" s="52">
        <v>46047.0</v>
      </c>
      <c r="ER97" s="52">
        <v>46048.0</v>
      </c>
      <c r="ES97" s="52">
        <v>46049.0</v>
      </c>
      <c r="ET97" s="52">
        <v>46050.0</v>
      </c>
      <c r="EU97" s="52">
        <v>46051.0</v>
      </c>
      <c r="EV97" s="52">
        <v>46052.0</v>
      </c>
      <c r="EW97" s="52">
        <v>46053.0</v>
      </c>
      <c r="EX97" s="52">
        <v>46054.0</v>
      </c>
      <c r="EY97" s="52">
        <v>46055.0</v>
      </c>
      <c r="EZ97" s="52">
        <v>46056.0</v>
      </c>
      <c r="FA97" s="52">
        <v>46057.0</v>
      </c>
      <c r="FB97" s="52">
        <v>46058.0</v>
      </c>
      <c r="FC97" s="52">
        <v>46059.0</v>
      </c>
      <c r="FD97" s="52">
        <v>46060.0</v>
      </c>
      <c r="FE97" s="52">
        <v>46061.0</v>
      </c>
      <c r="FF97" s="52">
        <v>46062.0</v>
      </c>
      <c r="FG97" s="52">
        <v>46063.0</v>
      </c>
      <c r="FH97" s="52">
        <v>46064.0</v>
      </c>
      <c r="FI97" s="52">
        <v>46065.0</v>
      </c>
      <c r="FJ97" s="52">
        <v>46066.0</v>
      </c>
      <c r="FK97" s="52">
        <v>46067.0</v>
      </c>
      <c r="FL97" s="52">
        <v>46068.0</v>
      </c>
      <c r="FM97" s="52">
        <v>46069.0</v>
      </c>
      <c r="FN97" s="52">
        <v>46070.0</v>
      </c>
      <c r="FO97" s="52">
        <v>46071.0</v>
      </c>
      <c r="FP97" s="52">
        <v>46072.0</v>
      </c>
      <c r="FQ97" s="52">
        <v>46073.0</v>
      </c>
      <c r="FR97" s="52">
        <v>46074.0</v>
      </c>
      <c r="FS97" s="52">
        <v>46075.0</v>
      </c>
      <c r="FT97" s="52">
        <v>46076.0</v>
      </c>
      <c r="FU97" s="52">
        <v>46077.0</v>
      </c>
      <c r="FV97" s="52">
        <v>46078.0</v>
      </c>
      <c r="FW97" s="52">
        <v>46079.0</v>
      </c>
      <c r="FX97" s="52">
        <v>46080.0</v>
      </c>
      <c r="FY97" s="52">
        <v>46081.0</v>
      </c>
      <c r="FZ97" s="52">
        <v>46082.0</v>
      </c>
      <c r="GA97" s="52">
        <v>46083.0</v>
      </c>
      <c r="GB97" s="52">
        <v>46084.0</v>
      </c>
      <c r="GC97" s="52">
        <v>46085.0</v>
      </c>
      <c r="GD97" s="52">
        <v>46086.0</v>
      </c>
      <c r="GE97" s="52">
        <v>46087.0</v>
      </c>
      <c r="GF97" s="52">
        <v>46088.0</v>
      </c>
      <c r="GG97" s="52">
        <v>46089.0</v>
      </c>
      <c r="GH97" s="52">
        <v>46090.0</v>
      </c>
      <c r="GI97" s="52">
        <v>46091.0</v>
      </c>
      <c r="GJ97" s="52">
        <v>46092.0</v>
      </c>
      <c r="GK97" s="52">
        <v>46093.0</v>
      </c>
      <c r="GL97" s="52">
        <v>46094.0</v>
      </c>
      <c r="GM97" s="52">
        <v>46095.0</v>
      </c>
      <c r="GN97" s="52">
        <v>46096.0</v>
      </c>
      <c r="GO97" s="52">
        <v>46097.0</v>
      </c>
      <c r="GP97" s="52">
        <v>46098.0</v>
      </c>
      <c r="GQ97" s="52">
        <v>46099.0</v>
      </c>
      <c r="GR97" s="52">
        <v>46100.0</v>
      </c>
      <c r="GS97" s="52">
        <v>46101.0</v>
      </c>
      <c r="GT97" s="52">
        <v>46102.0</v>
      </c>
      <c r="GU97" s="52">
        <v>46103.0</v>
      </c>
      <c r="GV97" s="52">
        <v>46104.0</v>
      </c>
      <c r="GW97" s="52">
        <v>46105.0</v>
      </c>
      <c r="GX97" s="52">
        <v>46106.0</v>
      </c>
      <c r="GY97" s="52">
        <v>46107.0</v>
      </c>
      <c r="GZ97" s="52">
        <v>46108.0</v>
      </c>
      <c r="HA97" s="52">
        <v>46109.0</v>
      </c>
      <c r="HB97" s="52">
        <v>46110.0</v>
      </c>
      <c r="HC97" s="52">
        <v>46111.0</v>
      </c>
      <c r="HD97" s="52">
        <v>46112.0</v>
      </c>
      <c r="HE97" s="52">
        <v>46113.0</v>
      </c>
      <c r="HF97" s="52">
        <v>46114.0</v>
      </c>
      <c r="HG97" s="52">
        <v>46115.0</v>
      </c>
      <c r="HH97" s="52">
        <v>46116.0</v>
      </c>
      <c r="HI97" s="52">
        <v>46117.0</v>
      </c>
      <c r="HJ97" s="52">
        <v>46118.0</v>
      </c>
      <c r="HK97" s="52">
        <v>46119.0</v>
      </c>
      <c r="HL97" s="52">
        <v>46120.0</v>
      </c>
      <c r="HM97" s="52">
        <v>46121.0</v>
      </c>
      <c r="HN97" s="52">
        <v>46122.0</v>
      </c>
      <c r="HO97" s="52">
        <v>46123.0</v>
      </c>
      <c r="HP97" s="52">
        <v>46124.0</v>
      </c>
      <c r="HQ97" s="52">
        <v>46125.0</v>
      </c>
      <c r="HR97" s="52">
        <v>46126.0</v>
      </c>
      <c r="HS97" s="52">
        <v>46127.0</v>
      </c>
      <c r="HT97" s="52">
        <v>46128.0</v>
      </c>
      <c r="HU97" s="52">
        <v>46129.0</v>
      </c>
      <c r="HV97" s="52">
        <v>46130.0</v>
      </c>
      <c r="HW97" s="52">
        <v>46131.0</v>
      </c>
      <c r="HX97" s="52">
        <v>46132.0</v>
      </c>
      <c r="HY97" s="52">
        <v>46133.0</v>
      </c>
      <c r="HZ97" s="52">
        <v>46134.0</v>
      </c>
      <c r="IA97" s="52">
        <v>46135.0</v>
      </c>
      <c r="IB97" s="52">
        <v>46136.0</v>
      </c>
      <c r="IC97" s="52">
        <v>46137.0</v>
      </c>
      <c r="ID97" s="52">
        <v>46138.0</v>
      </c>
      <c r="IE97" s="52">
        <v>46139.0</v>
      </c>
      <c r="IF97" s="52">
        <v>46140.0</v>
      </c>
      <c r="IG97" s="52">
        <v>46141.0</v>
      </c>
      <c r="IH97" s="52">
        <v>46142.0</v>
      </c>
      <c r="II97" s="52">
        <v>46143.0</v>
      </c>
      <c r="IJ97" s="52">
        <v>46144.0</v>
      </c>
      <c r="IK97" s="52">
        <v>46145.0</v>
      </c>
      <c r="IL97" s="52">
        <v>46146.0</v>
      </c>
      <c r="IM97" s="52">
        <v>46147.0</v>
      </c>
      <c r="IN97" s="52">
        <v>46148.0</v>
      </c>
      <c r="IO97" s="52">
        <v>46149.0</v>
      </c>
      <c r="IP97" s="52">
        <v>46150.0</v>
      </c>
      <c r="IQ97" s="52">
        <v>46151.0</v>
      </c>
      <c r="IR97" s="52">
        <v>46152.0</v>
      </c>
      <c r="IS97" s="52">
        <v>46153.0</v>
      </c>
      <c r="IT97" s="52">
        <v>46154.0</v>
      </c>
      <c r="IU97" s="52">
        <v>46155.0</v>
      </c>
      <c r="IV97" s="52">
        <v>46156.0</v>
      </c>
      <c r="IW97" s="52">
        <v>46157.0</v>
      </c>
      <c r="IX97" s="52">
        <v>46158.0</v>
      </c>
      <c r="IY97" s="52">
        <v>46159.0</v>
      </c>
      <c r="IZ97" s="52">
        <v>46160.0</v>
      </c>
      <c r="JA97" s="52">
        <v>46161.0</v>
      </c>
      <c r="JB97" s="52">
        <v>46162.0</v>
      </c>
      <c r="JC97" s="52">
        <v>46163.0</v>
      </c>
      <c r="JD97" s="52">
        <v>46164.0</v>
      </c>
      <c r="JE97" s="52">
        <v>46165.0</v>
      </c>
    </row>
    <row r="98">
      <c r="A98" s="42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</row>
    <row r="99">
      <c r="A99" s="42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</row>
    <row r="100">
      <c r="A100" s="42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</row>
    <row r="101">
      <c r="A101" s="42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</row>
    <row r="102">
      <c r="A102" s="42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</row>
    <row r="103">
      <c r="A103" s="42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</row>
    <row r="104">
      <c r="A104" s="42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</row>
    <row r="105">
      <c r="A105" s="42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</row>
    <row r="106">
      <c r="A106" s="42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</row>
    <row r="107">
      <c r="A107" s="42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</row>
    <row r="108">
      <c r="A108" s="42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</row>
    <row r="109">
      <c r="A109" s="42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</row>
    <row r="110">
      <c r="A110" s="42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</row>
    <row r="111">
      <c r="A111" s="42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</row>
    <row r="112">
      <c r="A112" s="42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</row>
    <row r="113">
      <c r="A113" s="42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</row>
    <row r="114">
      <c r="A114" s="42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</row>
    <row r="115">
      <c r="A115" s="42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</row>
    <row r="116">
      <c r="A116" s="42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</row>
    <row r="117">
      <c r="A117" s="42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</row>
    <row r="118">
      <c r="A118" s="42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</row>
    <row r="119">
      <c r="A119" s="42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</row>
    <row r="120">
      <c r="A120" s="42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</row>
    <row r="121">
      <c r="A121" s="42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</row>
    <row r="122">
      <c r="A122" s="42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</row>
    <row r="123">
      <c r="A123" s="42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</row>
    <row r="124">
      <c r="A124" s="42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</row>
    <row r="125">
      <c r="A125" s="42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</row>
    <row r="126">
      <c r="A126" s="42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</row>
    <row r="127">
      <c r="A127" s="42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</row>
    <row r="128">
      <c r="A128" s="42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</row>
    <row r="129">
      <c r="A129" s="42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</row>
    <row r="130">
      <c r="A130" s="42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</row>
    <row r="131">
      <c r="A131" s="42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</row>
    <row r="132">
      <c r="A132" s="42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</row>
    <row r="133">
      <c r="A133" s="42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</row>
    <row r="134">
      <c r="A134" s="42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5"/>
      <c r="HE134" s="35"/>
      <c r="HF134" s="35"/>
      <c r="HG134" s="35"/>
      <c r="HH134" s="35"/>
      <c r="HI134" s="35"/>
      <c r="HJ134" s="35"/>
      <c r="HK134" s="35"/>
      <c r="HL134" s="35"/>
      <c r="HM134" s="35"/>
      <c r="HN134" s="35"/>
      <c r="HO134" s="35"/>
      <c r="HP134" s="35"/>
      <c r="HQ134" s="35"/>
      <c r="HR134" s="35"/>
      <c r="HS134" s="35"/>
      <c r="HT134" s="35"/>
      <c r="HU134" s="35"/>
      <c r="HV134" s="35"/>
      <c r="HW134" s="35"/>
      <c r="HX134" s="35"/>
      <c r="HY134" s="35"/>
      <c r="HZ134" s="35"/>
      <c r="IA134" s="35"/>
      <c r="IB134" s="35"/>
      <c r="IC134" s="35"/>
      <c r="ID134" s="35"/>
      <c r="IE134" s="35"/>
      <c r="IF134" s="35"/>
      <c r="IG134" s="35"/>
      <c r="IH134" s="35"/>
      <c r="II134" s="35"/>
      <c r="IJ134" s="35"/>
      <c r="IK134" s="35"/>
      <c r="IL134" s="35"/>
      <c r="IM134" s="35"/>
      <c r="IN134" s="35"/>
      <c r="IO134" s="35"/>
      <c r="IP134" s="35"/>
      <c r="IQ134" s="35"/>
      <c r="IR134" s="35"/>
      <c r="IS134" s="35"/>
      <c r="IT134" s="35"/>
      <c r="IU134" s="35"/>
      <c r="IV134" s="35"/>
      <c r="IW134" s="35"/>
      <c r="IX134" s="35"/>
      <c r="IY134" s="35"/>
      <c r="IZ134" s="35"/>
      <c r="JA134" s="35"/>
      <c r="JB134" s="35"/>
      <c r="JC134" s="35"/>
      <c r="JD134" s="35"/>
      <c r="JE134" s="35"/>
    </row>
    <row r="135">
      <c r="A135" s="42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5"/>
      <c r="HE135" s="35"/>
      <c r="HF135" s="35"/>
      <c r="HG135" s="35"/>
      <c r="HH135" s="35"/>
      <c r="HI135" s="35"/>
      <c r="HJ135" s="35"/>
      <c r="HK135" s="35"/>
      <c r="HL135" s="35"/>
      <c r="HM135" s="35"/>
      <c r="HN135" s="35"/>
      <c r="HO135" s="35"/>
      <c r="HP135" s="35"/>
      <c r="HQ135" s="35"/>
      <c r="HR135" s="35"/>
      <c r="HS135" s="35"/>
      <c r="HT135" s="35"/>
      <c r="HU135" s="35"/>
      <c r="HV135" s="35"/>
      <c r="HW135" s="35"/>
      <c r="HX135" s="35"/>
      <c r="HY135" s="35"/>
      <c r="HZ135" s="35"/>
      <c r="IA135" s="35"/>
      <c r="IB135" s="35"/>
      <c r="IC135" s="35"/>
      <c r="ID135" s="35"/>
      <c r="IE135" s="35"/>
      <c r="IF135" s="35"/>
      <c r="IG135" s="35"/>
      <c r="IH135" s="35"/>
      <c r="II135" s="35"/>
      <c r="IJ135" s="35"/>
      <c r="IK135" s="35"/>
      <c r="IL135" s="35"/>
      <c r="IM135" s="35"/>
      <c r="IN135" s="35"/>
      <c r="IO135" s="35"/>
      <c r="IP135" s="35"/>
      <c r="IQ135" s="35"/>
      <c r="IR135" s="35"/>
      <c r="IS135" s="35"/>
      <c r="IT135" s="35"/>
      <c r="IU135" s="35"/>
      <c r="IV135" s="35"/>
      <c r="IW135" s="35"/>
      <c r="IX135" s="35"/>
      <c r="IY135" s="35"/>
      <c r="IZ135" s="35"/>
      <c r="JA135" s="35"/>
      <c r="JB135" s="35"/>
      <c r="JC135" s="35"/>
      <c r="JD135" s="35"/>
      <c r="JE135" s="35"/>
    </row>
    <row r="136">
      <c r="A136" s="42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5"/>
      <c r="HE136" s="35"/>
      <c r="HF136" s="35"/>
      <c r="HG136" s="35"/>
      <c r="HH136" s="35"/>
      <c r="HI136" s="35"/>
      <c r="HJ136" s="35"/>
      <c r="HK136" s="35"/>
      <c r="HL136" s="35"/>
      <c r="HM136" s="35"/>
      <c r="HN136" s="35"/>
      <c r="HO136" s="35"/>
      <c r="HP136" s="35"/>
      <c r="HQ136" s="35"/>
      <c r="HR136" s="35"/>
      <c r="HS136" s="35"/>
      <c r="HT136" s="35"/>
      <c r="HU136" s="35"/>
      <c r="HV136" s="35"/>
      <c r="HW136" s="35"/>
      <c r="HX136" s="35"/>
      <c r="HY136" s="35"/>
      <c r="HZ136" s="35"/>
      <c r="IA136" s="35"/>
      <c r="IB136" s="35"/>
      <c r="IC136" s="35"/>
      <c r="ID136" s="35"/>
      <c r="IE136" s="35"/>
      <c r="IF136" s="35"/>
      <c r="IG136" s="35"/>
      <c r="IH136" s="35"/>
      <c r="II136" s="35"/>
      <c r="IJ136" s="35"/>
      <c r="IK136" s="35"/>
      <c r="IL136" s="35"/>
      <c r="IM136" s="35"/>
      <c r="IN136" s="35"/>
      <c r="IO136" s="35"/>
      <c r="IP136" s="35"/>
      <c r="IQ136" s="35"/>
      <c r="IR136" s="35"/>
      <c r="IS136" s="35"/>
      <c r="IT136" s="35"/>
      <c r="IU136" s="35"/>
      <c r="IV136" s="35"/>
      <c r="IW136" s="35"/>
      <c r="IX136" s="35"/>
      <c r="IY136" s="35"/>
      <c r="IZ136" s="35"/>
      <c r="JA136" s="35"/>
      <c r="JB136" s="35"/>
      <c r="JC136" s="35"/>
      <c r="JD136" s="35"/>
      <c r="JE136" s="35"/>
    </row>
    <row r="137">
      <c r="A137" s="42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5"/>
      <c r="HE137" s="35"/>
      <c r="HF137" s="35"/>
      <c r="HG137" s="35"/>
      <c r="HH137" s="35"/>
      <c r="HI137" s="35"/>
      <c r="HJ137" s="35"/>
      <c r="HK137" s="35"/>
      <c r="HL137" s="35"/>
      <c r="HM137" s="35"/>
      <c r="HN137" s="35"/>
      <c r="HO137" s="35"/>
      <c r="HP137" s="35"/>
      <c r="HQ137" s="35"/>
      <c r="HR137" s="35"/>
      <c r="HS137" s="35"/>
      <c r="HT137" s="35"/>
      <c r="HU137" s="35"/>
      <c r="HV137" s="35"/>
      <c r="HW137" s="35"/>
      <c r="HX137" s="35"/>
      <c r="HY137" s="35"/>
      <c r="HZ137" s="35"/>
      <c r="IA137" s="35"/>
      <c r="IB137" s="35"/>
      <c r="IC137" s="35"/>
      <c r="ID137" s="35"/>
      <c r="IE137" s="35"/>
      <c r="IF137" s="35"/>
      <c r="IG137" s="35"/>
      <c r="IH137" s="35"/>
      <c r="II137" s="35"/>
      <c r="IJ137" s="35"/>
      <c r="IK137" s="35"/>
      <c r="IL137" s="35"/>
      <c r="IM137" s="35"/>
      <c r="IN137" s="35"/>
      <c r="IO137" s="35"/>
      <c r="IP137" s="35"/>
      <c r="IQ137" s="35"/>
      <c r="IR137" s="35"/>
      <c r="IS137" s="35"/>
      <c r="IT137" s="35"/>
      <c r="IU137" s="35"/>
      <c r="IV137" s="35"/>
      <c r="IW137" s="35"/>
      <c r="IX137" s="35"/>
      <c r="IY137" s="35"/>
      <c r="IZ137" s="35"/>
      <c r="JA137" s="35"/>
      <c r="JB137" s="35"/>
      <c r="JC137" s="35"/>
      <c r="JD137" s="35"/>
      <c r="JE137" s="35"/>
    </row>
    <row r="138">
      <c r="A138" s="42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5"/>
      <c r="HE138" s="35"/>
      <c r="HF138" s="35"/>
      <c r="HG138" s="35"/>
      <c r="HH138" s="35"/>
      <c r="HI138" s="35"/>
      <c r="HJ138" s="35"/>
      <c r="HK138" s="35"/>
      <c r="HL138" s="35"/>
      <c r="HM138" s="35"/>
      <c r="HN138" s="35"/>
      <c r="HO138" s="35"/>
      <c r="HP138" s="35"/>
      <c r="HQ138" s="35"/>
      <c r="HR138" s="35"/>
      <c r="HS138" s="35"/>
      <c r="HT138" s="35"/>
      <c r="HU138" s="35"/>
      <c r="HV138" s="35"/>
      <c r="HW138" s="35"/>
      <c r="HX138" s="35"/>
      <c r="HY138" s="35"/>
      <c r="HZ138" s="35"/>
      <c r="IA138" s="35"/>
      <c r="IB138" s="35"/>
      <c r="IC138" s="35"/>
      <c r="ID138" s="35"/>
      <c r="IE138" s="35"/>
      <c r="IF138" s="35"/>
      <c r="IG138" s="35"/>
      <c r="IH138" s="35"/>
      <c r="II138" s="35"/>
      <c r="IJ138" s="35"/>
      <c r="IK138" s="35"/>
      <c r="IL138" s="35"/>
      <c r="IM138" s="35"/>
      <c r="IN138" s="35"/>
      <c r="IO138" s="35"/>
      <c r="IP138" s="35"/>
      <c r="IQ138" s="35"/>
      <c r="IR138" s="35"/>
      <c r="IS138" s="35"/>
      <c r="IT138" s="35"/>
      <c r="IU138" s="35"/>
      <c r="IV138" s="35"/>
      <c r="IW138" s="35"/>
      <c r="IX138" s="35"/>
      <c r="IY138" s="35"/>
      <c r="IZ138" s="35"/>
      <c r="JA138" s="35"/>
      <c r="JB138" s="35"/>
      <c r="JC138" s="35"/>
      <c r="JD138" s="35"/>
      <c r="JE138" s="35"/>
    </row>
    <row r="139">
      <c r="A139" s="42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35"/>
      <c r="EA139" s="35"/>
      <c r="EB139" s="35"/>
      <c r="EC139" s="35"/>
      <c r="ED139" s="35"/>
      <c r="EE139" s="35"/>
      <c r="EF139" s="35"/>
      <c r="EG139" s="35"/>
      <c r="EH139" s="35"/>
      <c r="EI139" s="35"/>
      <c r="EJ139" s="35"/>
      <c r="EK139" s="35"/>
      <c r="EL139" s="35"/>
      <c r="EM139" s="35"/>
      <c r="EN139" s="35"/>
      <c r="EO139" s="35"/>
      <c r="EP139" s="35"/>
      <c r="EQ139" s="35"/>
      <c r="ER139" s="35"/>
      <c r="ES139" s="35"/>
      <c r="ET139" s="35"/>
      <c r="EU139" s="35"/>
      <c r="EV139" s="35"/>
      <c r="EW139" s="35"/>
      <c r="EX139" s="35"/>
      <c r="EY139" s="35"/>
      <c r="EZ139" s="35"/>
      <c r="FA139" s="35"/>
      <c r="FB139" s="35"/>
      <c r="FC139" s="35"/>
      <c r="FD139" s="35"/>
      <c r="FE139" s="35"/>
      <c r="FF139" s="35"/>
      <c r="FG139" s="35"/>
      <c r="FH139" s="35"/>
      <c r="FI139" s="35"/>
      <c r="FJ139" s="35"/>
      <c r="FK139" s="35"/>
      <c r="FL139" s="35"/>
      <c r="FM139" s="35"/>
      <c r="FN139" s="35"/>
      <c r="FO139" s="35"/>
      <c r="FP139" s="35"/>
      <c r="FQ139" s="35"/>
      <c r="FR139" s="35"/>
      <c r="FS139" s="35"/>
      <c r="FT139" s="35"/>
      <c r="FU139" s="35"/>
      <c r="FV139" s="35"/>
      <c r="FW139" s="35"/>
      <c r="FX139" s="35"/>
      <c r="FY139" s="35"/>
      <c r="FZ139" s="35"/>
      <c r="GA139" s="35"/>
      <c r="GB139" s="35"/>
      <c r="GC139" s="35"/>
      <c r="GD139" s="35"/>
      <c r="GE139" s="35"/>
      <c r="GF139" s="35"/>
      <c r="GG139" s="35"/>
      <c r="GH139" s="35"/>
      <c r="GI139" s="35"/>
      <c r="GJ139" s="35"/>
      <c r="GK139" s="35"/>
      <c r="GL139" s="35"/>
      <c r="GM139" s="35"/>
      <c r="GN139" s="35"/>
      <c r="GO139" s="35"/>
      <c r="GP139" s="35"/>
      <c r="GQ139" s="35"/>
      <c r="GR139" s="35"/>
      <c r="GS139" s="35"/>
      <c r="GT139" s="35"/>
      <c r="GU139" s="35"/>
      <c r="GV139" s="35"/>
      <c r="GW139" s="35"/>
      <c r="GX139" s="35"/>
      <c r="GY139" s="35"/>
      <c r="GZ139" s="35"/>
      <c r="HA139" s="35"/>
      <c r="HB139" s="35"/>
      <c r="HC139" s="35"/>
      <c r="HD139" s="35"/>
      <c r="HE139" s="35"/>
      <c r="HF139" s="35"/>
      <c r="HG139" s="35"/>
      <c r="HH139" s="35"/>
      <c r="HI139" s="35"/>
      <c r="HJ139" s="35"/>
      <c r="HK139" s="35"/>
      <c r="HL139" s="35"/>
      <c r="HM139" s="35"/>
      <c r="HN139" s="35"/>
      <c r="HO139" s="35"/>
      <c r="HP139" s="35"/>
      <c r="HQ139" s="35"/>
      <c r="HR139" s="35"/>
      <c r="HS139" s="35"/>
      <c r="HT139" s="35"/>
      <c r="HU139" s="35"/>
      <c r="HV139" s="35"/>
      <c r="HW139" s="35"/>
      <c r="HX139" s="35"/>
      <c r="HY139" s="35"/>
      <c r="HZ139" s="35"/>
      <c r="IA139" s="35"/>
      <c r="IB139" s="35"/>
      <c r="IC139" s="35"/>
      <c r="ID139" s="35"/>
      <c r="IE139" s="35"/>
      <c r="IF139" s="35"/>
      <c r="IG139" s="35"/>
      <c r="IH139" s="35"/>
      <c r="II139" s="35"/>
      <c r="IJ139" s="35"/>
      <c r="IK139" s="35"/>
      <c r="IL139" s="35"/>
      <c r="IM139" s="35"/>
      <c r="IN139" s="35"/>
      <c r="IO139" s="35"/>
      <c r="IP139" s="35"/>
      <c r="IQ139" s="35"/>
      <c r="IR139" s="35"/>
      <c r="IS139" s="35"/>
      <c r="IT139" s="35"/>
      <c r="IU139" s="35"/>
      <c r="IV139" s="35"/>
      <c r="IW139" s="35"/>
      <c r="IX139" s="35"/>
      <c r="IY139" s="35"/>
      <c r="IZ139" s="35"/>
      <c r="JA139" s="35"/>
      <c r="JB139" s="35"/>
      <c r="JC139" s="35"/>
      <c r="JD139" s="35"/>
      <c r="JE139" s="35"/>
    </row>
    <row r="140">
      <c r="A140" s="42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  <c r="CZ140" s="35"/>
      <c r="DA140" s="35"/>
      <c r="DB140" s="35"/>
      <c r="DC140" s="35"/>
      <c r="DD140" s="35"/>
      <c r="DE140" s="35"/>
      <c r="DF140" s="35"/>
      <c r="DG140" s="35"/>
      <c r="DH140" s="35"/>
      <c r="DI140" s="35"/>
      <c r="DJ140" s="35"/>
      <c r="DK140" s="35"/>
      <c r="DL140" s="35"/>
      <c r="DM140" s="35"/>
      <c r="DN140" s="35"/>
      <c r="DO140" s="35"/>
      <c r="DP140" s="35"/>
      <c r="DQ140" s="35"/>
      <c r="DR140" s="35"/>
      <c r="DS140" s="35"/>
      <c r="DT140" s="35"/>
      <c r="DU140" s="35"/>
      <c r="DV140" s="35"/>
      <c r="DW140" s="35"/>
      <c r="DX140" s="35"/>
      <c r="DY140" s="35"/>
      <c r="DZ140" s="35"/>
      <c r="EA140" s="35"/>
      <c r="EB140" s="35"/>
      <c r="EC140" s="35"/>
      <c r="ED140" s="35"/>
      <c r="EE140" s="35"/>
      <c r="EF140" s="35"/>
      <c r="EG140" s="35"/>
      <c r="EH140" s="35"/>
      <c r="EI140" s="35"/>
      <c r="EJ140" s="35"/>
      <c r="EK140" s="35"/>
      <c r="EL140" s="35"/>
      <c r="EM140" s="35"/>
      <c r="EN140" s="35"/>
      <c r="EO140" s="35"/>
      <c r="EP140" s="35"/>
      <c r="EQ140" s="35"/>
      <c r="ER140" s="35"/>
      <c r="ES140" s="35"/>
      <c r="ET140" s="35"/>
      <c r="EU140" s="35"/>
      <c r="EV140" s="35"/>
      <c r="EW140" s="35"/>
      <c r="EX140" s="35"/>
      <c r="EY140" s="35"/>
      <c r="EZ140" s="35"/>
      <c r="FA140" s="35"/>
      <c r="FB140" s="35"/>
      <c r="FC140" s="35"/>
      <c r="FD140" s="35"/>
      <c r="FE140" s="35"/>
      <c r="FF140" s="35"/>
      <c r="FG140" s="35"/>
      <c r="FH140" s="35"/>
      <c r="FI140" s="35"/>
      <c r="FJ140" s="35"/>
      <c r="FK140" s="35"/>
      <c r="FL140" s="35"/>
      <c r="FM140" s="35"/>
      <c r="FN140" s="35"/>
      <c r="FO140" s="35"/>
      <c r="FP140" s="35"/>
      <c r="FQ140" s="35"/>
      <c r="FR140" s="35"/>
      <c r="FS140" s="35"/>
      <c r="FT140" s="35"/>
      <c r="FU140" s="35"/>
      <c r="FV140" s="35"/>
      <c r="FW140" s="35"/>
      <c r="FX140" s="35"/>
      <c r="FY140" s="35"/>
      <c r="FZ140" s="35"/>
      <c r="GA140" s="35"/>
      <c r="GB140" s="35"/>
      <c r="GC140" s="35"/>
      <c r="GD140" s="35"/>
      <c r="GE140" s="35"/>
      <c r="GF140" s="35"/>
      <c r="GG140" s="35"/>
      <c r="GH140" s="35"/>
      <c r="GI140" s="35"/>
      <c r="GJ140" s="35"/>
      <c r="GK140" s="35"/>
      <c r="GL140" s="35"/>
      <c r="GM140" s="35"/>
      <c r="GN140" s="35"/>
      <c r="GO140" s="35"/>
      <c r="GP140" s="35"/>
      <c r="GQ140" s="35"/>
      <c r="GR140" s="35"/>
      <c r="GS140" s="35"/>
      <c r="GT140" s="35"/>
      <c r="GU140" s="35"/>
      <c r="GV140" s="35"/>
      <c r="GW140" s="35"/>
      <c r="GX140" s="35"/>
      <c r="GY140" s="35"/>
      <c r="GZ140" s="35"/>
      <c r="HA140" s="35"/>
      <c r="HB140" s="35"/>
      <c r="HC140" s="35"/>
      <c r="HD140" s="35"/>
      <c r="HE140" s="35"/>
      <c r="HF140" s="35"/>
      <c r="HG140" s="35"/>
      <c r="HH140" s="35"/>
      <c r="HI140" s="35"/>
      <c r="HJ140" s="35"/>
      <c r="HK140" s="35"/>
      <c r="HL140" s="35"/>
      <c r="HM140" s="35"/>
      <c r="HN140" s="35"/>
      <c r="HO140" s="35"/>
      <c r="HP140" s="35"/>
      <c r="HQ140" s="35"/>
      <c r="HR140" s="35"/>
      <c r="HS140" s="35"/>
      <c r="HT140" s="35"/>
      <c r="HU140" s="35"/>
      <c r="HV140" s="35"/>
      <c r="HW140" s="35"/>
      <c r="HX140" s="35"/>
      <c r="HY140" s="35"/>
      <c r="HZ140" s="35"/>
      <c r="IA140" s="35"/>
      <c r="IB140" s="35"/>
      <c r="IC140" s="35"/>
      <c r="ID140" s="35"/>
      <c r="IE140" s="35"/>
      <c r="IF140" s="35"/>
      <c r="IG140" s="35"/>
      <c r="IH140" s="35"/>
      <c r="II140" s="35"/>
      <c r="IJ140" s="35"/>
      <c r="IK140" s="35"/>
      <c r="IL140" s="35"/>
      <c r="IM140" s="35"/>
      <c r="IN140" s="35"/>
      <c r="IO140" s="35"/>
      <c r="IP140" s="35"/>
      <c r="IQ140" s="35"/>
      <c r="IR140" s="35"/>
      <c r="IS140" s="35"/>
      <c r="IT140" s="35"/>
      <c r="IU140" s="35"/>
      <c r="IV140" s="35"/>
      <c r="IW140" s="35"/>
      <c r="IX140" s="35"/>
      <c r="IY140" s="35"/>
      <c r="IZ140" s="35"/>
      <c r="JA140" s="35"/>
      <c r="JB140" s="35"/>
      <c r="JC140" s="35"/>
      <c r="JD140" s="35"/>
      <c r="JE140" s="35"/>
    </row>
    <row r="141">
      <c r="A141" s="42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  <c r="DL141" s="35"/>
      <c r="DM141" s="35"/>
      <c r="DN141" s="35"/>
      <c r="DO141" s="35"/>
      <c r="DP141" s="35"/>
      <c r="DQ141" s="35"/>
      <c r="DR141" s="35"/>
      <c r="DS141" s="35"/>
      <c r="DT141" s="35"/>
      <c r="DU141" s="35"/>
      <c r="DV141" s="35"/>
      <c r="DW141" s="35"/>
      <c r="DX141" s="35"/>
      <c r="DY141" s="35"/>
      <c r="DZ141" s="35"/>
      <c r="EA141" s="35"/>
      <c r="EB141" s="35"/>
      <c r="EC141" s="35"/>
      <c r="ED141" s="35"/>
      <c r="EE141" s="35"/>
      <c r="EF141" s="35"/>
      <c r="EG141" s="35"/>
      <c r="EH141" s="35"/>
      <c r="EI141" s="35"/>
      <c r="EJ141" s="35"/>
      <c r="EK141" s="35"/>
      <c r="EL141" s="35"/>
      <c r="EM141" s="35"/>
      <c r="EN141" s="35"/>
      <c r="EO141" s="35"/>
      <c r="EP141" s="35"/>
      <c r="EQ141" s="35"/>
      <c r="ER141" s="35"/>
      <c r="ES141" s="35"/>
      <c r="ET141" s="35"/>
      <c r="EU141" s="35"/>
      <c r="EV141" s="35"/>
      <c r="EW141" s="35"/>
      <c r="EX141" s="35"/>
      <c r="EY141" s="35"/>
      <c r="EZ141" s="35"/>
      <c r="FA141" s="35"/>
      <c r="FB141" s="35"/>
      <c r="FC141" s="35"/>
      <c r="FD141" s="35"/>
      <c r="FE141" s="35"/>
      <c r="FF141" s="35"/>
      <c r="FG141" s="35"/>
      <c r="FH141" s="35"/>
      <c r="FI141" s="35"/>
      <c r="FJ141" s="35"/>
      <c r="FK141" s="35"/>
      <c r="FL141" s="35"/>
      <c r="FM141" s="35"/>
      <c r="FN141" s="35"/>
      <c r="FO141" s="35"/>
      <c r="FP141" s="35"/>
      <c r="FQ141" s="35"/>
      <c r="FR141" s="35"/>
      <c r="FS141" s="35"/>
      <c r="FT141" s="35"/>
      <c r="FU141" s="35"/>
      <c r="FV141" s="35"/>
      <c r="FW141" s="35"/>
      <c r="FX141" s="35"/>
      <c r="FY141" s="35"/>
      <c r="FZ141" s="35"/>
      <c r="GA141" s="35"/>
      <c r="GB141" s="35"/>
      <c r="GC141" s="35"/>
      <c r="GD141" s="35"/>
      <c r="GE141" s="35"/>
      <c r="GF141" s="35"/>
      <c r="GG141" s="35"/>
      <c r="GH141" s="35"/>
      <c r="GI141" s="35"/>
      <c r="GJ141" s="35"/>
      <c r="GK141" s="35"/>
      <c r="GL141" s="35"/>
      <c r="GM141" s="35"/>
      <c r="GN141" s="35"/>
      <c r="GO141" s="35"/>
      <c r="GP141" s="35"/>
      <c r="GQ141" s="35"/>
      <c r="GR141" s="35"/>
      <c r="GS141" s="35"/>
      <c r="GT141" s="35"/>
      <c r="GU141" s="35"/>
      <c r="GV141" s="35"/>
      <c r="GW141" s="35"/>
      <c r="GX141" s="35"/>
      <c r="GY141" s="35"/>
      <c r="GZ141" s="35"/>
      <c r="HA141" s="35"/>
      <c r="HB141" s="35"/>
      <c r="HC141" s="35"/>
      <c r="HD141" s="35"/>
      <c r="HE141" s="35"/>
      <c r="HF141" s="35"/>
      <c r="HG141" s="35"/>
      <c r="HH141" s="35"/>
      <c r="HI141" s="35"/>
      <c r="HJ141" s="35"/>
      <c r="HK141" s="35"/>
      <c r="HL141" s="35"/>
      <c r="HM141" s="35"/>
      <c r="HN141" s="35"/>
      <c r="HO141" s="35"/>
      <c r="HP141" s="35"/>
      <c r="HQ141" s="35"/>
      <c r="HR141" s="35"/>
      <c r="HS141" s="35"/>
      <c r="HT141" s="35"/>
      <c r="HU141" s="35"/>
      <c r="HV141" s="35"/>
      <c r="HW141" s="35"/>
      <c r="HX141" s="35"/>
      <c r="HY141" s="35"/>
      <c r="HZ141" s="35"/>
      <c r="IA141" s="35"/>
      <c r="IB141" s="35"/>
      <c r="IC141" s="35"/>
      <c r="ID141" s="35"/>
      <c r="IE141" s="35"/>
      <c r="IF141" s="35"/>
      <c r="IG141" s="35"/>
      <c r="IH141" s="35"/>
      <c r="II141" s="35"/>
      <c r="IJ141" s="35"/>
      <c r="IK141" s="35"/>
      <c r="IL141" s="35"/>
      <c r="IM141" s="35"/>
      <c r="IN141" s="35"/>
      <c r="IO141" s="35"/>
      <c r="IP141" s="35"/>
      <c r="IQ141" s="35"/>
      <c r="IR141" s="35"/>
      <c r="IS141" s="35"/>
      <c r="IT141" s="35"/>
      <c r="IU141" s="35"/>
      <c r="IV141" s="35"/>
      <c r="IW141" s="35"/>
      <c r="IX141" s="35"/>
      <c r="IY141" s="35"/>
      <c r="IZ141" s="35"/>
      <c r="JA141" s="35"/>
      <c r="JB141" s="35"/>
      <c r="JC141" s="35"/>
      <c r="JD141" s="35"/>
      <c r="JE141" s="35"/>
    </row>
    <row r="142">
      <c r="A142" s="42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  <c r="DL142" s="35"/>
      <c r="DM142" s="35"/>
      <c r="DN142" s="35"/>
      <c r="DO142" s="35"/>
      <c r="DP142" s="35"/>
      <c r="DQ142" s="35"/>
      <c r="DR142" s="35"/>
      <c r="DS142" s="35"/>
      <c r="DT142" s="35"/>
      <c r="DU142" s="35"/>
      <c r="DV142" s="35"/>
      <c r="DW142" s="35"/>
      <c r="DX142" s="35"/>
      <c r="DY142" s="35"/>
      <c r="DZ142" s="35"/>
      <c r="EA142" s="35"/>
      <c r="EB142" s="35"/>
      <c r="EC142" s="35"/>
      <c r="ED142" s="35"/>
      <c r="EE142" s="35"/>
      <c r="EF142" s="35"/>
      <c r="EG142" s="35"/>
      <c r="EH142" s="35"/>
      <c r="EI142" s="35"/>
      <c r="EJ142" s="35"/>
      <c r="EK142" s="35"/>
      <c r="EL142" s="35"/>
      <c r="EM142" s="35"/>
      <c r="EN142" s="35"/>
      <c r="EO142" s="35"/>
      <c r="EP142" s="35"/>
      <c r="EQ142" s="35"/>
      <c r="ER142" s="35"/>
      <c r="ES142" s="35"/>
      <c r="ET142" s="35"/>
      <c r="EU142" s="35"/>
      <c r="EV142" s="35"/>
      <c r="EW142" s="35"/>
      <c r="EX142" s="35"/>
      <c r="EY142" s="35"/>
      <c r="EZ142" s="35"/>
      <c r="FA142" s="35"/>
      <c r="FB142" s="35"/>
      <c r="FC142" s="35"/>
      <c r="FD142" s="35"/>
      <c r="FE142" s="35"/>
      <c r="FF142" s="35"/>
      <c r="FG142" s="35"/>
      <c r="FH142" s="35"/>
      <c r="FI142" s="35"/>
      <c r="FJ142" s="35"/>
      <c r="FK142" s="35"/>
      <c r="FL142" s="35"/>
      <c r="FM142" s="35"/>
      <c r="FN142" s="35"/>
      <c r="FO142" s="35"/>
      <c r="FP142" s="35"/>
      <c r="FQ142" s="35"/>
      <c r="FR142" s="35"/>
      <c r="FS142" s="35"/>
      <c r="FT142" s="35"/>
      <c r="FU142" s="35"/>
      <c r="FV142" s="35"/>
      <c r="FW142" s="35"/>
      <c r="FX142" s="35"/>
      <c r="FY142" s="35"/>
      <c r="FZ142" s="35"/>
      <c r="GA142" s="35"/>
      <c r="GB142" s="35"/>
      <c r="GC142" s="35"/>
      <c r="GD142" s="35"/>
      <c r="GE142" s="35"/>
      <c r="GF142" s="35"/>
      <c r="GG142" s="35"/>
      <c r="GH142" s="35"/>
      <c r="GI142" s="35"/>
      <c r="GJ142" s="35"/>
      <c r="GK142" s="35"/>
      <c r="GL142" s="35"/>
      <c r="GM142" s="35"/>
      <c r="GN142" s="35"/>
      <c r="GO142" s="35"/>
      <c r="GP142" s="35"/>
      <c r="GQ142" s="35"/>
      <c r="GR142" s="35"/>
      <c r="GS142" s="35"/>
      <c r="GT142" s="35"/>
      <c r="GU142" s="35"/>
      <c r="GV142" s="35"/>
      <c r="GW142" s="35"/>
      <c r="GX142" s="35"/>
      <c r="GY142" s="35"/>
      <c r="GZ142" s="35"/>
      <c r="HA142" s="35"/>
      <c r="HB142" s="35"/>
      <c r="HC142" s="35"/>
      <c r="HD142" s="35"/>
      <c r="HE142" s="35"/>
      <c r="HF142" s="35"/>
      <c r="HG142" s="35"/>
      <c r="HH142" s="35"/>
      <c r="HI142" s="35"/>
      <c r="HJ142" s="35"/>
      <c r="HK142" s="35"/>
      <c r="HL142" s="35"/>
      <c r="HM142" s="35"/>
      <c r="HN142" s="35"/>
      <c r="HO142" s="35"/>
      <c r="HP142" s="35"/>
      <c r="HQ142" s="35"/>
      <c r="HR142" s="35"/>
      <c r="HS142" s="35"/>
      <c r="HT142" s="35"/>
      <c r="HU142" s="35"/>
      <c r="HV142" s="35"/>
      <c r="HW142" s="35"/>
      <c r="HX142" s="35"/>
      <c r="HY142" s="35"/>
      <c r="HZ142" s="35"/>
      <c r="IA142" s="35"/>
      <c r="IB142" s="35"/>
      <c r="IC142" s="35"/>
      <c r="ID142" s="35"/>
      <c r="IE142" s="35"/>
      <c r="IF142" s="35"/>
      <c r="IG142" s="35"/>
      <c r="IH142" s="35"/>
      <c r="II142" s="35"/>
      <c r="IJ142" s="35"/>
      <c r="IK142" s="35"/>
      <c r="IL142" s="35"/>
      <c r="IM142" s="35"/>
      <c r="IN142" s="35"/>
      <c r="IO142" s="35"/>
      <c r="IP142" s="35"/>
      <c r="IQ142" s="35"/>
      <c r="IR142" s="35"/>
      <c r="IS142" s="35"/>
      <c r="IT142" s="35"/>
      <c r="IU142" s="35"/>
      <c r="IV142" s="35"/>
      <c r="IW142" s="35"/>
      <c r="IX142" s="35"/>
      <c r="IY142" s="35"/>
      <c r="IZ142" s="35"/>
      <c r="JA142" s="35"/>
      <c r="JB142" s="35"/>
      <c r="JC142" s="35"/>
      <c r="JD142" s="35"/>
      <c r="JE142" s="35"/>
    </row>
    <row r="143">
      <c r="A143" s="42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35"/>
      <c r="DR143" s="35"/>
      <c r="DS143" s="35"/>
      <c r="DT143" s="35"/>
      <c r="DU143" s="35"/>
      <c r="DV143" s="35"/>
      <c r="DW143" s="35"/>
      <c r="DX143" s="35"/>
      <c r="DY143" s="35"/>
      <c r="DZ143" s="35"/>
      <c r="EA143" s="35"/>
      <c r="EB143" s="35"/>
      <c r="EC143" s="35"/>
      <c r="ED143" s="35"/>
      <c r="EE143" s="35"/>
      <c r="EF143" s="35"/>
      <c r="EG143" s="35"/>
      <c r="EH143" s="35"/>
      <c r="EI143" s="35"/>
      <c r="EJ143" s="35"/>
      <c r="EK143" s="35"/>
      <c r="EL143" s="35"/>
      <c r="EM143" s="35"/>
      <c r="EN143" s="35"/>
      <c r="EO143" s="35"/>
      <c r="EP143" s="35"/>
      <c r="EQ143" s="35"/>
      <c r="ER143" s="35"/>
      <c r="ES143" s="35"/>
      <c r="ET143" s="35"/>
      <c r="EU143" s="35"/>
      <c r="EV143" s="35"/>
      <c r="EW143" s="35"/>
      <c r="EX143" s="35"/>
      <c r="EY143" s="35"/>
      <c r="EZ143" s="35"/>
      <c r="FA143" s="35"/>
      <c r="FB143" s="35"/>
      <c r="FC143" s="35"/>
      <c r="FD143" s="35"/>
      <c r="FE143" s="35"/>
      <c r="FF143" s="35"/>
      <c r="FG143" s="35"/>
      <c r="FH143" s="35"/>
      <c r="FI143" s="35"/>
      <c r="FJ143" s="35"/>
      <c r="FK143" s="35"/>
      <c r="FL143" s="35"/>
      <c r="FM143" s="35"/>
      <c r="FN143" s="35"/>
      <c r="FO143" s="35"/>
      <c r="FP143" s="35"/>
      <c r="FQ143" s="35"/>
      <c r="FR143" s="35"/>
      <c r="FS143" s="35"/>
      <c r="FT143" s="35"/>
      <c r="FU143" s="35"/>
      <c r="FV143" s="35"/>
      <c r="FW143" s="35"/>
      <c r="FX143" s="35"/>
      <c r="FY143" s="35"/>
      <c r="FZ143" s="35"/>
      <c r="GA143" s="35"/>
      <c r="GB143" s="35"/>
      <c r="GC143" s="35"/>
      <c r="GD143" s="35"/>
      <c r="GE143" s="35"/>
      <c r="GF143" s="35"/>
      <c r="GG143" s="35"/>
      <c r="GH143" s="35"/>
      <c r="GI143" s="35"/>
      <c r="GJ143" s="35"/>
      <c r="GK143" s="35"/>
      <c r="GL143" s="35"/>
      <c r="GM143" s="35"/>
      <c r="GN143" s="35"/>
      <c r="GO143" s="35"/>
      <c r="GP143" s="35"/>
      <c r="GQ143" s="35"/>
      <c r="GR143" s="35"/>
      <c r="GS143" s="35"/>
      <c r="GT143" s="35"/>
      <c r="GU143" s="35"/>
      <c r="GV143" s="35"/>
      <c r="GW143" s="35"/>
      <c r="GX143" s="35"/>
      <c r="GY143" s="35"/>
      <c r="GZ143" s="35"/>
      <c r="HA143" s="35"/>
      <c r="HB143" s="35"/>
      <c r="HC143" s="35"/>
      <c r="HD143" s="35"/>
      <c r="HE143" s="35"/>
      <c r="HF143" s="35"/>
      <c r="HG143" s="35"/>
      <c r="HH143" s="35"/>
      <c r="HI143" s="35"/>
      <c r="HJ143" s="35"/>
      <c r="HK143" s="35"/>
      <c r="HL143" s="35"/>
      <c r="HM143" s="35"/>
      <c r="HN143" s="35"/>
      <c r="HO143" s="35"/>
      <c r="HP143" s="35"/>
      <c r="HQ143" s="35"/>
      <c r="HR143" s="35"/>
      <c r="HS143" s="35"/>
      <c r="HT143" s="35"/>
      <c r="HU143" s="35"/>
      <c r="HV143" s="35"/>
      <c r="HW143" s="35"/>
      <c r="HX143" s="35"/>
      <c r="HY143" s="35"/>
      <c r="HZ143" s="35"/>
      <c r="IA143" s="35"/>
      <c r="IB143" s="35"/>
      <c r="IC143" s="35"/>
      <c r="ID143" s="35"/>
      <c r="IE143" s="35"/>
      <c r="IF143" s="35"/>
      <c r="IG143" s="35"/>
      <c r="IH143" s="35"/>
      <c r="II143" s="35"/>
      <c r="IJ143" s="35"/>
      <c r="IK143" s="35"/>
      <c r="IL143" s="35"/>
      <c r="IM143" s="35"/>
      <c r="IN143" s="35"/>
      <c r="IO143" s="35"/>
      <c r="IP143" s="35"/>
      <c r="IQ143" s="35"/>
      <c r="IR143" s="35"/>
      <c r="IS143" s="35"/>
      <c r="IT143" s="35"/>
      <c r="IU143" s="35"/>
      <c r="IV143" s="35"/>
      <c r="IW143" s="35"/>
      <c r="IX143" s="35"/>
      <c r="IY143" s="35"/>
      <c r="IZ143" s="35"/>
      <c r="JA143" s="35"/>
      <c r="JB143" s="35"/>
      <c r="JC143" s="35"/>
      <c r="JD143" s="35"/>
      <c r="JE143" s="35"/>
    </row>
    <row r="144">
      <c r="A144" s="42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35"/>
      <c r="DR144" s="35"/>
      <c r="DS144" s="35"/>
      <c r="DT144" s="35"/>
      <c r="DU144" s="35"/>
      <c r="DV144" s="35"/>
      <c r="DW144" s="35"/>
      <c r="DX144" s="35"/>
      <c r="DY144" s="35"/>
      <c r="DZ144" s="35"/>
      <c r="EA144" s="35"/>
      <c r="EB144" s="35"/>
      <c r="EC144" s="35"/>
      <c r="ED144" s="35"/>
      <c r="EE144" s="35"/>
      <c r="EF144" s="35"/>
      <c r="EG144" s="35"/>
      <c r="EH144" s="35"/>
      <c r="EI144" s="35"/>
      <c r="EJ144" s="35"/>
      <c r="EK144" s="35"/>
      <c r="EL144" s="35"/>
      <c r="EM144" s="35"/>
      <c r="EN144" s="35"/>
      <c r="EO144" s="35"/>
      <c r="EP144" s="35"/>
      <c r="EQ144" s="35"/>
      <c r="ER144" s="35"/>
      <c r="ES144" s="35"/>
      <c r="ET144" s="35"/>
      <c r="EU144" s="35"/>
      <c r="EV144" s="35"/>
      <c r="EW144" s="35"/>
      <c r="EX144" s="35"/>
      <c r="EY144" s="35"/>
      <c r="EZ144" s="35"/>
      <c r="FA144" s="35"/>
      <c r="FB144" s="35"/>
      <c r="FC144" s="35"/>
      <c r="FD144" s="35"/>
      <c r="FE144" s="35"/>
      <c r="FF144" s="35"/>
      <c r="FG144" s="35"/>
      <c r="FH144" s="35"/>
      <c r="FI144" s="35"/>
      <c r="FJ144" s="35"/>
      <c r="FK144" s="35"/>
      <c r="FL144" s="35"/>
      <c r="FM144" s="35"/>
      <c r="FN144" s="35"/>
      <c r="FO144" s="35"/>
      <c r="FP144" s="35"/>
      <c r="FQ144" s="35"/>
      <c r="FR144" s="35"/>
      <c r="FS144" s="35"/>
      <c r="FT144" s="35"/>
      <c r="FU144" s="35"/>
      <c r="FV144" s="35"/>
      <c r="FW144" s="35"/>
      <c r="FX144" s="35"/>
      <c r="FY144" s="35"/>
      <c r="FZ144" s="35"/>
      <c r="GA144" s="35"/>
      <c r="GB144" s="35"/>
      <c r="GC144" s="35"/>
      <c r="GD144" s="35"/>
      <c r="GE144" s="35"/>
      <c r="GF144" s="35"/>
      <c r="GG144" s="35"/>
      <c r="GH144" s="35"/>
      <c r="GI144" s="35"/>
      <c r="GJ144" s="35"/>
      <c r="GK144" s="35"/>
      <c r="GL144" s="35"/>
      <c r="GM144" s="35"/>
      <c r="GN144" s="35"/>
      <c r="GO144" s="35"/>
      <c r="GP144" s="35"/>
      <c r="GQ144" s="35"/>
      <c r="GR144" s="35"/>
      <c r="GS144" s="35"/>
      <c r="GT144" s="35"/>
      <c r="GU144" s="35"/>
      <c r="GV144" s="35"/>
      <c r="GW144" s="35"/>
      <c r="GX144" s="35"/>
      <c r="GY144" s="35"/>
      <c r="GZ144" s="35"/>
      <c r="HA144" s="35"/>
      <c r="HB144" s="35"/>
      <c r="HC144" s="35"/>
      <c r="HD144" s="35"/>
      <c r="HE144" s="35"/>
      <c r="HF144" s="35"/>
      <c r="HG144" s="35"/>
      <c r="HH144" s="35"/>
      <c r="HI144" s="35"/>
      <c r="HJ144" s="35"/>
      <c r="HK144" s="35"/>
      <c r="HL144" s="35"/>
      <c r="HM144" s="35"/>
      <c r="HN144" s="35"/>
      <c r="HO144" s="35"/>
      <c r="HP144" s="35"/>
      <c r="HQ144" s="35"/>
      <c r="HR144" s="35"/>
      <c r="HS144" s="35"/>
      <c r="HT144" s="35"/>
      <c r="HU144" s="35"/>
      <c r="HV144" s="35"/>
      <c r="HW144" s="35"/>
      <c r="HX144" s="35"/>
      <c r="HY144" s="35"/>
      <c r="HZ144" s="35"/>
      <c r="IA144" s="35"/>
      <c r="IB144" s="35"/>
      <c r="IC144" s="35"/>
      <c r="ID144" s="35"/>
      <c r="IE144" s="35"/>
      <c r="IF144" s="35"/>
      <c r="IG144" s="35"/>
      <c r="IH144" s="35"/>
      <c r="II144" s="35"/>
      <c r="IJ144" s="35"/>
      <c r="IK144" s="35"/>
      <c r="IL144" s="35"/>
      <c r="IM144" s="35"/>
      <c r="IN144" s="35"/>
      <c r="IO144" s="35"/>
      <c r="IP144" s="35"/>
      <c r="IQ144" s="35"/>
      <c r="IR144" s="35"/>
      <c r="IS144" s="35"/>
      <c r="IT144" s="35"/>
      <c r="IU144" s="35"/>
      <c r="IV144" s="35"/>
      <c r="IW144" s="35"/>
      <c r="IX144" s="35"/>
      <c r="IY144" s="35"/>
      <c r="IZ144" s="35"/>
      <c r="JA144" s="35"/>
      <c r="JB144" s="35"/>
      <c r="JC144" s="35"/>
      <c r="JD144" s="35"/>
      <c r="JE144" s="35"/>
    </row>
    <row r="145">
      <c r="A145" s="42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35"/>
      <c r="DK145" s="35"/>
      <c r="DL145" s="35"/>
      <c r="DM145" s="35"/>
      <c r="DN145" s="35"/>
      <c r="DO145" s="35"/>
      <c r="DP145" s="35"/>
      <c r="DQ145" s="35"/>
      <c r="DR145" s="35"/>
      <c r="DS145" s="35"/>
      <c r="DT145" s="35"/>
      <c r="DU145" s="35"/>
      <c r="DV145" s="35"/>
      <c r="DW145" s="35"/>
      <c r="DX145" s="35"/>
      <c r="DY145" s="35"/>
      <c r="DZ145" s="35"/>
      <c r="EA145" s="35"/>
      <c r="EB145" s="35"/>
      <c r="EC145" s="35"/>
      <c r="ED145" s="35"/>
      <c r="EE145" s="35"/>
      <c r="EF145" s="35"/>
      <c r="EG145" s="35"/>
      <c r="EH145" s="35"/>
      <c r="EI145" s="35"/>
      <c r="EJ145" s="35"/>
      <c r="EK145" s="35"/>
      <c r="EL145" s="35"/>
      <c r="EM145" s="35"/>
      <c r="EN145" s="35"/>
      <c r="EO145" s="35"/>
      <c r="EP145" s="35"/>
      <c r="EQ145" s="35"/>
      <c r="ER145" s="35"/>
      <c r="ES145" s="35"/>
      <c r="ET145" s="35"/>
      <c r="EU145" s="35"/>
      <c r="EV145" s="35"/>
      <c r="EW145" s="35"/>
      <c r="EX145" s="35"/>
      <c r="EY145" s="35"/>
      <c r="EZ145" s="35"/>
      <c r="FA145" s="35"/>
      <c r="FB145" s="35"/>
      <c r="FC145" s="35"/>
      <c r="FD145" s="35"/>
      <c r="FE145" s="35"/>
      <c r="FF145" s="35"/>
      <c r="FG145" s="35"/>
      <c r="FH145" s="35"/>
      <c r="FI145" s="35"/>
      <c r="FJ145" s="35"/>
      <c r="FK145" s="35"/>
      <c r="FL145" s="35"/>
      <c r="FM145" s="35"/>
      <c r="FN145" s="35"/>
      <c r="FO145" s="35"/>
      <c r="FP145" s="35"/>
      <c r="FQ145" s="35"/>
      <c r="FR145" s="35"/>
      <c r="FS145" s="35"/>
      <c r="FT145" s="35"/>
      <c r="FU145" s="35"/>
      <c r="FV145" s="35"/>
      <c r="FW145" s="35"/>
      <c r="FX145" s="35"/>
      <c r="FY145" s="35"/>
      <c r="FZ145" s="35"/>
      <c r="GA145" s="35"/>
      <c r="GB145" s="35"/>
      <c r="GC145" s="35"/>
      <c r="GD145" s="35"/>
      <c r="GE145" s="35"/>
      <c r="GF145" s="35"/>
      <c r="GG145" s="35"/>
      <c r="GH145" s="35"/>
      <c r="GI145" s="35"/>
      <c r="GJ145" s="35"/>
      <c r="GK145" s="35"/>
      <c r="GL145" s="35"/>
      <c r="GM145" s="35"/>
      <c r="GN145" s="35"/>
      <c r="GO145" s="35"/>
      <c r="GP145" s="35"/>
      <c r="GQ145" s="35"/>
      <c r="GR145" s="35"/>
      <c r="GS145" s="35"/>
      <c r="GT145" s="35"/>
      <c r="GU145" s="35"/>
      <c r="GV145" s="35"/>
      <c r="GW145" s="35"/>
      <c r="GX145" s="35"/>
      <c r="GY145" s="35"/>
      <c r="GZ145" s="35"/>
      <c r="HA145" s="35"/>
      <c r="HB145" s="35"/>
      <c r="HC145" s="35"/>
      <c r="HD145" s="35"/>
      <c r="HE145" s="35"/>
      <c r="HF145" s="35"/>
      <c r="HG145" s="35"/>
      <c r="HH145" s="35"/>
      <c r="HI145" s="35"/>
      <c r="HJ145" s="35"/>
      <c r="HK145" s="35"/>
      <c r="HL145" s="35"/>
      <c r="HM145" s="35"/>
      <c r="HN145" s="35"/>
      <c r="HO145" s="35"/>
      <c r="HP145" s="35"/>
      <c r="HQ145" s="35"/>
      <c r="HR145" s="35"/>
      <c r="HS145" s="35"/>
      <c r="HT145" s="35"/>
      <c r="HU145" s="35"/>
      <c r="HV145" s="35"/>
      <c r="HW145" s="35"/>
      <c r="HX145" s="35"/>
      <c r="HY145" s="35"/>
      <c r="HZ145" s="35"/>
      <c r="IA145" s="35"/>
      <c r="IB145" s="35"/>
      <c r="IC145" s="35"/>
      <c r="ID145" s="35"/>
      <c r="IE145" s="35"/>
      <c r="IF145" s="35"/>
      <c r="IG145" s="35"/>
      <c r="IH145" s="35"/>
      <c r="II145" s="35"/>
      <c r="IJ145" s="35"/>
      <c r="IK145" s="35"/>
      <c r="IL145" s="35"/>
      <c r="IM145" s="35"/>
      <c r="IN145" s="35"/>
      <c r="IO145" s="35"/>
      <c r="IP145" s="35"/>
      <c r="IQ145" s="35"/>
      <c r="IR145" s="35"/>
      <c r="IS145" s="35"/>
      <c r="IT145" s="35"/>
      <c r="IU145" s="35"/>
      <c r="IV145" s="35"/>
      <c r="IW145" s="35"/>
      <c r="IX145" s="35"/>
      <c r="IY145" s="35"/>
      <c r="IZ145" s="35"/>
      <c r="JA145" s="35"/>
      <c r="JB145" s="35"/>
      <c r="JC145" s="35"/>
      <c r="JD145" s="35"/>
      <c r="JE145" s="35"/>
    </row>
    <row r="146">
      <c r="A146" s="42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  <c r="DL146" s="35"/>
      <c r="DM146" s="35"/>
      <c r="DN146" s="35"/>
      <c r="DO146" s="35"/>
      <c r="DP146" s="35"/>
      <c r="DQ146" s="35"/>
      <c r="DR146" s="35"/>
      <c r="DS146" s="35"/>
      <c r="DT146" s="35"/>
      <c r="DU146" s="35"/>
      <c r="DV146" s="35"/>
      <c r="DW146" s="35"/>
      <c r="DX146" s="35"/>
      <c r="DY146" s="35"/>
      <c r="DZ146" s="35"/>
      <c r="EA146" s="35"/>
      <c r="EB146" s="35"/>
      <c r="EC146" s="35"/>
      <c r="ED146" s="35"/>
      <c r="EE146" s="35"/>
      <c r="EF146" s="35"/>
      <c r="EG146" s="35"/>
      <c r="EH146" s="35"/>
      <c r="EI146" s="35"/>
      <c r="EJ146" s="35"/>
      <c r="EK146" s="35"/>
      <c r="EL146" s="35"/>
      <c r="EM146" s="35"/>
      <c r="EN146" s="35"/>
      <c r="EO146" s="35"/>
      <c r="EP146" s="35"/>
      <c r="EQ146" s="35"/>
      <c r="ER146" s="35"/>
      <c r="ES146" s="35"/>
      <c r="ET146" s="35"/>
      <c r="EU146" s="35"/>
      <c r="EV146" s="35"/>
      <c r="EW146" s="35"/>
      <c r="EX146" s="35"/>
      <c r="EY146" s="35"/>
      <c r="EZ146" s="35"/>
      <c r="FA146" s="35"/>
      <c r="FB146" s="35"/>
      <c r="FC146" s="35"/>
      <c r="FD146" s="35"/>
      <c r="FE146" s="35"/>
      <c r="FF146" s="35"/>
      <c r="FG146" s="35"/>
      <c r="FH146" s="35"/>
      <c r="FI146" s="35"/>
      <c r="FJ146" s="35"/>
      <c r="FK146" s="35"/>
      <c r="FL146" s="35"/>
      <c r="FM146" s="35"/>
      <c r="FN146" s="35"/>
      <c r="FO146" s="35"/>
      <c r="FP146" s="35"/>
      <c r="FQ146" s="35"/>
      <c r="FR146" s="35"/>
      <c r="FS146" s="35"/>
      <c r="FT146" s="35"/>
      <c r="FU146" s="35"/>
      <c r="FV146" s="35"/>
      <c r="FW146" s="35"/>
      <c r="FX146" s="35"/>
      <c r="FY146" s="35"/>
      <c r="FZ146" s="35"/>
      <c r="GA146" s="35"/>
      <c r="GB146" s="35"/>
      <c r="GC146" s="35"/>
      <c r="GD146" s="35"/>
      <c r="GE146" s="35"/>
      <c r="GF146" s="35"/>
      <c r="GG146" s="35"/>
      <c r="GH146" s="35"/>
      <c r="GI146" s="35"/>
      <c r="GJ146" s="35"/>
      <c r="GK146" s="35"/>
      <c r="GL146" s="35"/>
      <c r="GM146" s="35"/>
      <c r="GN146" s="35"/>
      <c r="GO146" s="35"/>
      <c r="GP146" s="35"/>
      <c r="GQ146" s="35"/>
      <c r="GR146" s="35"/>
      <c r="GS146" s="35"/>
      <c r="GT146" s="35"/>
      <c r="GU146" s="35"/>
      <c r="GV146" s="35"/>
      <c r="GW146" s="35"/>
      <c r="GX146" s="35"/>
      <c r="GY146" s="35"/>
      <c r="GZ146" s="35"/>
      <c r="HA146" s="35"/>
      <c r="HB146" s="35"/>
      <c r="HC146" s="35"/>
      <c r="HD146" s="35"/>
      <c r="HE146" s="35"/>
      <c r="HF146" s="35"/>
      <c r="HG146" s="35"/>
      <c r="HH146" s="35"/>
      <c r="HI146" s="35"/>
      <c r="HJ146" s="35"/>
      <c r="HK146" s="35"/>
      <c r="HL146" s="35"/>
      <c r="HM146" s="35"/>
      <c r="HN146" s="35"/>
      <c r="HO146" s="35"/>
      <c r="HP146" s="35"/>
      <c r="HQ146" s="35"/>
      <c r="HR146" s="35"/>
      <c r="HS146" s="35"/>
      <c r="HT146" s="35"/>
      <c r="HU146" s="35"/>
      <c r="HV146" s="35"/>
      <c r="HW146" s="35"/>
      <c r="HX146" s="35"/>
      <c r="HY146" s="35"/>
      <c r="HZ146" s="35"/>
      <c r="IA146" s="35"/>
      <c r="IB146" s="35"/>
      <c r="IC146" s="35"/>
      <c r="ID146" s="35"/>
      <c r="IE146" s="35"/>
      <c r="IF146" s="35"/>
      <c r="IG146" s="35"/>
      <c r="IH146" s="35"/>
      <c r="II146" s="35"/>
      <c r="IJ146" s="35"/>
      <c r="IK146" s="35"/>
      <c r="IL146" s="35"/>
      <c r="IM146" s="35"/>
      <c r="IN146" s="35"/>
      <c r="IO146" s="35"/>
      <c r="IP146" s="35"/>
      <c r="IQ146" s="35"/>
      <c r="IR146" s="35"/>
      <c r="IS146" s="35"/>
      <c r="IT146" s="35"/>
      <c r="IU146" s="35"/>
      <c r="IV146" s="35"/>
      <c r="IW146" s="35"/>
      <c r="IX146" s="35"/>
      <c r="IY146" s="35"/>
      <c r="IZ146" s="35"/>
      <c r="JA146" s="35"/>
      <c r="JB146" s="35"/>
      <c r="JC146" s="35"/>
      <c r="JD146" s="35"/>
      <c r="JE146" s="35"/>
    </row>
    <row r="147">
      <c r="A147" s="42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  <c r="DL147" s="35"/>
      <c r="DM147" s="35"/>
      <c r="DN147" s="35"/>
      <c r="DO147" s="35"/>
      <c r="DP147" s="35"/>
      <c r="DQ147" s="35"/>
      <c r="DR147" s="35"/>
      <c r="DS147" s="35"/>
      <c r="DT147" s="35"/>
      <c r="DU147" s="35"/>
      <c r="DV147" s="35"/>
      <c r="DW147" s="35"/>
      <c r="DX147" s="35"/>
      <c r="DY147" s="35"/>
      <c r="DZ147" s="35"/>
      <c r="EA147" s="35"/>
      <c r="EB147" s="35"/>
      <c r="EC147" s="35"/>
      <c r="ED147" s="35"/>
      <c r="EE147" s="35"/>
      <c r="EF147" s="35"/>
      <c r="EG147" s="35"/>
      <c r="EH147" s="35"/>
      <c r="EI147" s="35"/>
      <c r="EJ147" s="35"/>
      <c r="EK147" s="35"/>
      <c r="EL147" s="35"/>
      <c r="EM147" s="35"/>
      <c r="EN147" s="35"/>
      <c r="EO147" s="35"/>
      <c r="EP147" s="35"/>
      <c r="EQ147" s="35"/>
      <c r="ER147" s="35"/>
      <c r="ES147" s="35"/>
      <c r="ET147" s="35"/>
      <c r="EU147" s="35"/>
      <c r="EV147" s="35"/>
      <c r="EW147" s="35"/>
      <c r="EX147" s="35"/>
      <c r="EY147" s="35"/>
      <c r="EZ147" s="35"/>
      <c r="FA147" s="35"/>
      <c r="FB147" s="35"/>
      <c r="FC147" s="35"/>
      <c r="FD147" s="35"/>
      <c r="FE147" s="35"/>
      <c r="FF147" s="35"/>
      <c r="FG147" s="35"/>
      <c r="FH147" s="35"/>
      <c r="FI147" s="35"/>
      <c r="FJ147" s="35"/>
      <c r="FK147" s="35"/>
      <c r="FL147" s="35"/>
      <c r="FM147" s="35"/>
      <c r="FN147" s="35"/>
      <c r="FO147" s="35"/>
      <c r="FP147" s="35"/>
      <c r="FQ147" s="35"/>
      <c r="FR147" s="35"/>
      <c r="FS147" s="35"/>
      <c r="FT147" s="35"/>
      <c r="FU147" s="35"/>
      <c r="FV147" s="35"/>
      <c r="FW147" s="35"/>
      <c r="FX147" s="35"/>
      <c r="FY147" s="35"/>
      <c r="FZ147" s="35"/>
      <c r="GA147" s="35"/>
      <c r="GB147" s="35"/>
      <c r="GC147" s="35"/>
      <c r="GD147" s="35"/>
      <c r="GE147" s="35"/>
      <c r="GF147" s="35"/>
      <c r="GG147" s="35"/>
      <c r="GH147" s="35"/>
      <c r="GI147" s="35"/>
      <c r="GJ147" s="35"/>
      <c r="GK147" s="35"/>
      <c r="GL147" s="35"/>
      <c r="GM147" s="35"/>
      <c r="GN147" s="35"/>
      <c r="GO147" s="35"/>
      <c r="GP147" s="35"/>
      <c r="GQ147" s="35"/>
      <c r="GR147" s="35"/>
      <c r="GS147" s="35"/>
      <c r="GT147" s="35"/>
      <c r="GU147" s="35"/>
      <c r="GV147" s="35"/>
      <c r="GW147" s="35"/>
      <c r="GX147" s="35"/>
      <c r="GY147" s="35"/>
      <c r="GZ147" s="35"/>
      <c r="HA147" s="35"/>
      <c r="HB147" s="35"/>
      <c r="HC147" s="35"/>
      <c r="HD147" s="35"/>
      <c r="HE147" s="35"/>
      <c r="HF147" s="35"/>
      <c r="HG147" s="35"/>
      <c r="HH147" s="35"/>
      <c r="HI147" s="35"/>
      <c r="HJ147" s="35"/>
      <c r="HK147" s="35"/>
      <c r="HL147" s="35"/>
      <c r="HM147" s="35"/>
      <c r="HN147" s="35"/>
      <c r="HO147" s="35"/>
      <c r="HP147" s="35"/>
      <c r="HQ147" s="35"/>
      <c r="HR147" s="35"/>
      <c r="HS147" s="35"/>
      <c r="HT147" s="35"/>
      <c r="HU147" s="35"/>
      <c r="HV147" s="35"/>
      <c r="HW147" s="35"/>
      <c r="HX147" s="35"/>
      <c r="HY147" s="35"/>
      <c r="HZ147" s="35"/>
      <c r="IA147" s="35"/>
      <c r="IB147" s="35"/>
      <c r="IC147" s="35"/>
      <c r="ID147" s="35"/>
      <c r="IE147" s="35"/>
      <c r="IF147" s="35"/>
      <c r="IG147" s="35"/>
      <c r="IH147" s="35"/>
      <c r="II147" s="35"/>
      <c r="IJ147" s="35"/>
      <c r="IK147" s="35"/>
      <c r="IL147" s="35"/>
      <c r="IM147" s="35"/>
      <c r="IN147" s="35"/>
      <c r="IO147" s="35"/>
      <c r="IP147" s="35"/>
      <c r="IQ147" s="35"/>
      <c r="IR147" s="35"/>
      <c r="IS147" s="35"/>
      <c r="IT147" s="35"/>
      <c r="IU147" s="35"/>
      <c r="IV147" s="35"/>
      <c r="IW147" s="35"/>
      <c r="IX147" s="35"/>
      <c r="IY147" s="35"/>
      <c r="IZ147" s="35"/>
      <c r="JA147" s="35"/>
      <c r="JB147" s="35"/>
      <c r="JC147" s="35"/>
      <c r="JD147" s="35"/>
      <c r="JE147" s="35"/>
    </row>
    <row r="148">
      <c r="A148" s="42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  <c r="DL148" s="35"/>
      <c r="DM148" s="35"/>
      <c r="DN148" s="35"/>
      <c r="DO148" s="35"/>
      <c r="DP148" s="35"/>
      <c r="DQ148" s="35"/>
      <c r="DR148" s="35"/>
      <c r="DS148" s="35"/>
      <c r="DT148" s="35"/>
      <c r="DU148" s="35"/>
      <c r="DV148" s="35"/>
      <c r="DW148" s="35"/>
      <c r="DX148" s="35"/>
      <c r="DY148" s="35"/>
      <c r="DZ148" s="35"/>
      <c r="EA148" s="35"/>
      <c r="EB148" s="35"/>
      <c r="EC148" s="35"/>
      <c r="ED148" s="35"/>
      <c r="EE148" s="35"/>
      <c r="EF148" s="35"/>
      <c r="EG148" s="35"/>
      <c r="EH148" s="35"/>
      <c r="EI148" s="35"/>
      <c r="EJ148" s="35"/>
      <c r="EK148" s="35"/>
      <c r="EL148" s="35"/>
      <c r="EM148" s="35"/>
      <c r="EN148" s="35"/>
      <c r="EO148" s="35"/>
      <c r="EP148" s="35"/>
      <c r="EQ148" s="35"/>
      <c r="ER148" s="35"/>
      <c r="ES148" s="35"/>
      <c r="ET148" s="35"/>
      <c r="EU148" s="35"/>
      <c r="EV148" s="35"/>
      <c r="EW148" s="35"/>
      <c r="EX148" s="35"/>
      <c r="EY148" s="35"/>
      <c r="EZ148" s="35"/>
      <c r="FA148" s="35"/>
      <c r="FB148" s="35"/>
      <c r="FC148" s="35"/>
      <c r="FD148" s="35"/>
      <c r="FE148" s="35"/>
      <c r="FF148" s="35"/>
      <c r="FG148" s="35"/>
      <c r="FH148" s="35"/>
      <c r="FI148" s="35"/>
      <c r="FJ148" s="35"/>
      <c r="FK148" s="35"/>
      <c r="FL148" s="35"/>
      <c r="FM148" s="35"/>
      <c r="FN148" s="35"/>
      <c r="FO148" s="35"/>
      <c r="FP148" s="35"/>
      <c r="FQ148" s="35"/>
      <c r="FR148" s="35"/>
      <c r="FS148" s="35"/>
      <c r="FT148" s="35"/>
      <c r="FU148" s="35"/>
      <c r="FV148" s="35"/>
      <c r="FW148" s="35"/>
      <c r="FX148" s="35"/>
      <c r="FY148" s="35"/>
      <c r="FZ148" s="35"/>
      <c r="GA148" s="35"/>
      <c r="GB148" s="35"/>
      <c r="GC148" s="35"/>
      <c r="GD148" s="35"/>
      <c r="GE148" s="35"/>
      <c r="GF148" s="35"/>
      <c r="GG148" s="35"/>
      <c r="GH148" s="35"/>
      <c r="GI148" s="35"/>
      <c r="GJ148" s="35"/>
      <c r="GK148" s="35"/>
      <c r="GL148" s="35"/>
      <c r="GM148" s="35"/>
      <c r="GN148" s="35"/>
      <c r="GO148" s="35"/>
      <c r="GP148" s="35"/>
      <c r="GQ148" s="35"/>
      <c r="GR148" s="35"/>
      <c r="GS148" s="35"/>
      <c r="GT148" s="35"/>
      <c r="GU148" s="35"/>
      <c r="GV148" s="35"/>
      <c r="GW148" s="35"/>
      <c r="GX148" s="35"/>
      <c r="GY148" s="35"/>
      <c r="GZ148" s="35"/>
      <c r="HA148" s="35"/>
      <c r="HB148" s="35"/>
      <c r="HC148" s="35"/>
      <c r="HD148" s="35"/>
      <c r="HE148" s="35"/>
      <c r="HF148" s="35"/>
      <c r="HG148" s="35"/>
      <c r="HH148" s="35"/>
      <c r="HI148" s="35"/>
      <c r="HJ148" s="35"/>
      <c r="HK148" s="35"/>
      <c r="HL148" s="35"/>
      <c r="HM148" s="35"/>
      <c r="HN148" s="35"/>
      <c r="HO148" s="35"/>
      <c r="HP148" s="35"/>
      <c r="HQ148" s="35"/>
      <c r="HR148" s="35"/>
      <c r="HS148" s="35"/>
      <c r="HT148" s="35"/>
      <c r="HU148" s="35"/>
      <c r="HV148" s="35"/>
      <c r="HW148" s="35"/>
      <c r="HX148" s="35"/>
      <c r="HY148" s="35"/>
      <c r="HZ148" s="35"/>
      <c r="IA148" s="35"/>
      <c r="IB148" s="35"/>
      <c r="IC148" s="35"/>
      <c r="ID148" s="35"/>
      <c r="IE148" s="35"/>
      <c r="IF148" s="35"/>
      <c r="IG148" s="35"/>
      <c r="IH148" s="35"/>
      <c r="II148" s="35"/>
      <c r="IJ148" s="35"/>
      <c r="IK148" s="35"/>
      <c r="IL148" s="35"/>
      <c r="IM148" s="35"/>
      <c r="IN148" s="35"/>
      <c r="IO148" s="35"/>
      <c r="IP148" s="35"/>
      <c r="IQ148" s="35"/>
      <c r="IR148" s="35"/>
      <c r="IS148" s="35"/>
      <c r="IT148" s="35"/>
      <c r="IU148" s="35"/>
      <c r="IV148" s="35"/>
      <c r="IW148" s="35"/>
      <c r="IX148" s="35"/>
      <c r="IY148" s="35"/>
      <c r="IZ148" s="35"/>
      <c r="JA148" s="35"/>
      <c r="JB148" s="35"/>
      <c r="JC148" s="35"/>
      <c r="JD148" s="35"/>
      <c r="JE148" s="35"/>
    </row>
    <row r="149">
      <c r="A149" s="42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  <c r="DO149" s="35"/>
      <c r="DP149" s="35"/>
      <c r="DQ149" s="35"/>
      <c r="DR149" s="35"/>
      <c r="DS149" s="35"/>
      <c r="DT149" s="35"/>
      <c r="DU149" s="35"/>
      <c r="DV149" s="35"/>
      <c r="DW149" s="35"/>
      <c r="DX149" s="35"/>
      <c r="DY149" s="35"/>
      <c r="DZ149" s="35"/>
      <c r="EA149" s="35"/>
      <c r="EB149" s="35"/>
      <c r="EC149" s="35"/>
      <c r="ED149" s="35"/>
      <c r="EE149" s="35"/>
      <c r="EF149" s="35"/>
      <c r="EG149" s="35"/>
      <c r="EH149" s="35"/>
      <c r="EI149" s="35"/>
      <c r="EJ149" s="35"/>
      <c r="EK149" s="35"/>
      <c r="EL149" s="35"/>
      <c r="EM149" s="35"/>
      <c r="EN149" s="35"/>
      <c r="EO149" s="35"/>
      <c r="EP149" s="35"/>
      <c r="EQ149" s="35"/>
      <c r="ER149" s="35"/>
      <c r="ES149" s="35"/>
      <c r="ET149" s="35"/>
      <c r="EU149" s="35"/>
      <c r="EV149" s="35"/>
      <c r="EW149" s="35"/>
      <c r="EX149" s="35"/>
      <c r="EY149" s="35"/>
      <c r="EZ149" s="35"/>
      <c r="FA149" s="35"/>
      <c r="FB149" s="35"/>
      <c r="FC149" s="35"/>
      <c r="FD149" s="35"/>
      <c r="FE149" s="35"/>
      <c r="FF149" s="35"/>
      <c r="FG149" s="35"/>
      <c r="FH149" s="35"/>
      <c r="FI149" s="35"/>
      <c r="FJ149" s="35"/>
      <c r="FK149" s="35"/>
      <c r="FL149" s="35"/>
      <c r="FM149" s="35"/>
      <c r="FN149" s="35"/>
      <c r="FO149" s="35"/>
      <c r="FP149" s="35"/>
      <c r="FQ149" s="35"/>
      <c r="FR149" s="35"/>
      <c r="FS149" s="35"/>
      <c r="FT149" s="35"/>
      <c r="FU149" s="35"/>
      <c r="FV149" s="35"/>
      <c r="FW149" s="35"/>
      <c r="FX149" s="35"/>
      <c r="FY149" s="35"/>
      <c r="FZ149" s="35"/>
      <c r="GA149" s="35"/>
      <c r="GB149" s="35"/>
      <c r="GC149" s="35"/>
      <c r="GD149" s="35"/>
      <c r="GE149" s="35"/>
      <c r="GF149" s="35"/>
      <c r="GG149" s="35"/>
      <c r="GH149" s="35"/>
      <c r="GI149" s="35"/>
      <c r="GJ149" s="35"/>
      <c r="GK149" s="35"/>
      <c r="GL149" s="35"/>
      <c r="GM149" s="35"/>
      <c r="GN149" s="35"/>
      <c r="GO149" s="35"/>
      <c r="GP149" s="35"/>
      <c r="GQ149" s="35"/>
      <c r="GR149" s="35"/>
      <c r="GS149" s="35"/>
      <c r="GT149" s="35"/>
      <c r="GU149" s="35"/>
      <c r="GV149" s="35"/>
      <c r="GW149" s="35"/>
      <c r="GX149" s="35"/>
      <c r="GY149" s="35"/>
      <c r="GZ149" s="35"/>
      <c r="HA149" s="35"/>
      <c r="HB149" s="35"/>
      <c r="HC149" s="35"/>
      <c r="HD149" s="35"/>
      <c r="HE149" s="35"/>
      <c r="HF149" s="35"/>
      <c r="HG149" s="35"/>
      <c r="HH149" s="35"/>
      <c r="HI149" s="35"/>
      <c r="HJ149" s="35"/>
      <c r="HK149" s="35"/>
      <c r="HL149" s="35"/>
      <c r="HM149" s="35"/>
      <c r="HN149" s="35"/>
      <c r="HO149" s="35"/>
      <c r="HP149" s="35"/>
      <c r="HQ149" s="35"/>
      <c r="HR149" s="35"/>
      <c r="HS149" s="35"/>
      <c r="HT149" s="35"/>
      <c r="HU149" s="35"/>
      <c r="HV149" s="35"/>
      <c r="HW149" s="35"/>
      <c r="HX149" s="35"/>
      <c r="HY149" s="35"/>
      <c r="HZ149" s="35"/>
      <c r="IA149" s="35"/>
      <c r="IB149" s="35"/>
      <c r="IC149" s="35"/>
      <c r="ID149" s="35"/>
      <c r="IE149" s="35"/>
      <c r="IF149" s="35"/>
      <c r="IG149" s="35"/>
      <c r="IH149" s="35"/>
      <c r="II149" s="35"/>
      <c r="IJ149" s="35"/>
      <c r="IK149" s="35"/>
      <c r="IL149" s="35"/>
      <c r="IM149" s="35"/>
      <c r="IN149" s="35"/>
      <c r="IO149" s="35"/>
      <c r="IP149" s="35"/>
      <c r="IQ149" s="35"/>
      <c r="IR149" s="35"/>
      <c r="IS149" s="35"/>
      <c r="IT149" s="35"/>
      <c r="IU149" s="35"/>
      <c r="IV149" s="35"/>
      <c r="IW149" s="35"/>
      <c r="IX149" s="35"/>
      <c r="IY149" s="35"/>
      <c r="IZ149" s="35"/>
      <c r="JA149" s="35"/>
      <c r="JB149" s="35"/>
      <c r="JC149" s="35"/>
      <c r="JD149" s="35"/>
      <c r="JE149" s="35"/>
    </row>
    <row r="150">
      <c r="A150" s="42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  <c r="DQ150" s="35"/>
      <c r="DR150" s="35"/>
      <c r="DS150" s="35"/>
      <c r="DT150" s="35"/>
      <c r="DU150" s="35"/>
      <c r="DV150" s="35"/>
      <c r="DW150" s="35"/>
      <c r="DX150" s="35"/>
      <c r="DY150" s="35"/>
      <c r="DZ150" s="35"/>
      <c r="EA150" s="35"/>
      <c r="EB150" s="35"/>
      <c r="EC150" s="35"/>
      <c r="ED150" s="35"/>
      <c r="EE150" s="35"/>
      <c r="EF150" s="35"/>
      <c r="EG150" s="35"/>
      <c r="EH150" s="35"/>
      <c r="EI150" s="35"/>
      <c r="EJ150" s="35"/>
      <c r="EK150" s="35"/>
      <c r="EL150" s="35"/>
      <c r="EM150" s="35"/>
      <c r="EN150" s="35"/>
      <c r="EO150" s="35"/>
      <c r="EP150" s="35"/>
      <c r="EQ150" s="35"/>
      <c r="ER150" s="35"/>
      <c r="ES150" s="35"/>
      <c r="ET150" s="35"/>
      <c r="EU150" s="35"/>
      <c r="EV150" s="35"/>
      <c r="EW150" s="35"/>
      <c r="EX150" s="35"/>
      <c r="EY150" s="35"/>
      <c r="EZ150" s="35"/>
      <c r="FA150" s="35"/>
      <c r="FB150" s="35"/>
      <c r="FC150" s="35"/>
      <c r="FD150" s="35"/>
      <c r="FE150" s="35"/>
      <c r="FF150" s="35"/>
      <c r="FG150" s="35"/>
      <c r="FH150" s="35"/>
      <c r="FI150" s="35"/>
      <c r="FJ150" s="35"/>
      <c r="FK150" s="35"/>
      <c r="FL150" s="35"/>
      <c r="FM150" s="35"/>
      <c r="FN150" s="35"/>
      <c r="FO150" s="35"/>
      <c r="FP150" s="35"/>
      <c r="FQ150" s="35"/>
      <c r="FR150" s="35"/>
      <c r="FS150" s="35"/>
      <c r="FT150" s="35"/>
      <c r="FU150" s="35"/>
      <c r="FV150" s="35"/>
      <c r="FW150" s="35"/>
      <c r="FX150" s="35"/>
      <c r="FY150" s="35"/>
      <c r="FZ150" s="35"/>
      <c r="GA150" s="35"/>
      <c r="GB150" s="35"/>
      <c r="GC150" s="35"/>
      <c r="GD150" s="35"/>
      <c r="GE150" s="35"/>
      <c r="GF150" s="35"/>
      <c r="GG150" s="35"/>
      <c r="GH150" s="35"/>
      <c r="GI150" s="35"/>
      <c r="GJ150" s="35"/>
      <c r="GK150" s="35"/>
      <c r="GL150" s="35"/>
      <c r="GM150" s="35"/>
      <c r="GN150" s="35"/>
      <c r="GO150" s="35"/>
      <c r="GP150" s="35"/>
      <c r="GQ150" s="35"/>
      <c r="GR150" s="35"/>
      <c r="GS150" s="35"/>
      <c r="GT150" s="35"/>
      <c r="GU150" s="35"/>
      <c r="GV150" s="35"/>
      <c r="GW150" s="35"/>
      <c r="GX150" s="35"/>
      <c r="GY150" s="35"/>
      <c r="GZ150" s="35"/>
      <c r="HA150" s="35"/>
      <c r="HB150" s="35"/>
      <c r="HC150" s="35"/>
      <c r="HD150" s="35"/>
      <c r="HE150" s="35"/>
      <c r="HF150" s="35"/>
      <c r="HG150" s="35"/>
      <c r="HH150" s="35"/>
      <c r="HI150" s="35"/>
      <c r="HJ150" s="35"/>
      <c r="HK150" s="35"/>
      <c r="HL150" s="35"/>
      <c r="HM150" s="35"/>
      <c r="HN150" s="35"/>
      <c r="HO150" s="35"/>
      <c r="HP150" s="35"/>
      <c r="HQ150" s="35"/>
      <c r="HR150" s="35"/>
      <c r="HS150" s="35"/>
      <c r="HT150" s="35"/>
      <c r="HU150" s="35"/>
      <c r="HV150" s="35"/>
      <c r="HW150" s="35"/>
      <c r="HX150" s="35"/>
      <c r="HY150" s="35"/>
      <c r="HZ150" s="35"/>
      <c r="IA150" s="35"/>
      <c r="IB150" s="35"/>
      <c r="IC150" s="35"/>
      <c r="ID150" s="35"/>
      <c r="IE150" s="35"/>
      <c r="IF150" s="35"/>
      <c r="IG150" s="35"/>
      <c r="IH150" s="35"/>
      <c r="II150" s="35"/>
      <c r="IJ150" s="35"/>
      <c r="IK150" s="35"/>
      <c r="IL150" s="35"/>
      <c r="IM150" s="35"/>
      <c r="IN150" s="35"/>
      <c r="IO150" s="35"/>
      <c r="IP150" s="35"/>
      <c r="IQ150" s="35"/>
      <c r="IR150" s="35"/>
      <c r="IS150" s="35"/>
      <c r="IT150" s="35"/>
      <c r="IU150" s="35"/>
      <c r="IV150" s="35"/>
      <c r="IW150" s="35"/>
      <c r="IX150" s="35"/>
      <c r="IY150" s="35"/>
      <c r="IZ150" s="35"/>
      <c r="JA150" s="35"/>
      <c r="JB150" s="35"/>
      <c r="JC150" s="35"/>
      <c r="JD150" s="35"/>
      <c r="JE150" s="35"/>
    </row>
    <row r="151">
      <c r="A151" s="42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  <c r="DL151" s="35"/>
      <c r="DM151" s="35"/>
      <c r="DN151" s="35"/>
      <c r="DO151" s="35"/>
      <c r="DP151" s="35"/>
      <c r="DQ151" s="35"/>
      <c r="DR151" s="35"/>
      <c r="DS151" s="35"/>
      <c r="DT151" s="35"/>
      <c r="DU151" s="35"/>
      <c r="DV151" s="35"/>
      <c r="DW151" s="35"/>
      <c r="DX151" s="35"/>
      <c r="DY151" s="35"/>
      <c r="DZ151" s="35"/>
      <c r="EA151" s="35"/>
      <c r="EB151" s="35"/>
      <c r="EC151" s="35"/>
      <c r="ED151" s="35"/>
      <c r="EE151" s="35"/>
      <c r="EF151" s="35"/>
      <c r="EG151" s="35"/>
      <c r="EH151" s="35"/>
      <c r="EI151" s="35"/>
      <c r="EJ151" s="35"/>
      <c r="EK151" s="35"/>
      <c r="EL151" s="35"/>
      <c r="EM151" s="35"/>
      <c r="EN151" s="35"/>
      <c r="EO151" s="35"/>
      <c r="EP151" s="35"/>
      <c r="EQ151" s="35"/>
      <c r="ER151" s="35"/>
      <c r="ES151" s="35"/>
      <c r="ET151" s="35"/>
      <c r="EU151" s="35"/>
      <c r="EV151" s="35"/>
      <c r="EW151" s="35"/>
      <c r="EX151" s="35"/>
      <c r="EY151" s="35"/>
      <c r="EZ151" s="35"/>
      <c r="FA151" s="35"/>
      <c r="FB151" s="35"/>
      <c r="FC151" s="35"/>
      <c r="FD151" s="35"/>
      <c r="FE151" s="35"/>
      <c r="FF151" s="35"/>
      <c r="FG151" s="35"/>
      <c r="FH151" s="35"/>
      <c r="FI151" s="35"/>
      <c r="FJ151" s="35"/>
      <c r="FK151" s="35"/>
      <c r="FL151" s="35"/>
      <c r="FM151" s="35"/>
      <c r="FN151" s="35"/>
      <c r="FO151" s="35"/>
      <c r="FP151" s="35"/>
      <c r="FQ151" s="35"/>
      <c r="FR151" s="35"/>
      <c r="FS151" s="35"/>
      <c r="FT151" s="35"/>
      <c r="FU151" s="35"/>
      <c r="FV151" s="35"/>
      <c r="FW151" s="35"/>
      <c r="FX151" s="35"/>
      <c r="FY151" s="35"/>
      <c r="FZ151" s="35"/>
      <c r="GA151" s="35"/>
      <c r="GB151" s="35"/>
      <c r="GC151" s="35"/>
      <c r="GD151" s="35"/>
      <c r="GE151" s="35"/>
      <c r="GF151" s="35"/>
      <c r="GG151" s="35"/>
      <c r="GH151" s="35"/>
      <c r="GI151" s="35"/>
      <c r="GJ151" s="35"/>
      <c r="GK151" s="35"/>
      <c r="GL151" s="35"/>
      <c r="GM151" s="35"/>
      <c r="GN151" s="35"/>
      <c r="GO151" s="35"/>
      <c r="GP151" s="35"/>
      <c r="GQ151" s="35"/>
      <c r="GR151" s="35"/>
      <c r="GS151" s="35"/>
      <c r="GT151" s="35"/>
      <c r="GU151" s="35"/>
      <c r="GV151" s="35"/>
      <c r="GW151" s="35"/>
      <c r="GX151" s="35"/>
      <c r="GY151" s="35"/>
      <c r="GZ151" s="35"/>
      <c r="HA151" s="35"/>
      <c r="HB151" s="35"/>
      <c r="HC151" s="35"/>
      <c r="HD151" s="35"/>
      <c r="HE151" s="35"/>
      <c r="HF151" s="35"/>
      <c r="HG151" s="35"/>
      <c r="HH151" s="35"/>
      <c r="HI151" s="35"/>
      <c r="HJ151" s="35"/>
      <c r="HK151" s="35"/>
      <c r="HL151" s="35"/>
      <c r="HM151" s="35"/>
      <c r="HN151" s="35"/>
      <c r="HO151" s="35"/>
      <c r="HP151" s="35"/>
      <c r="HQ151" s="35"/>
      <c r="HR151" s="35"/>
      <c r="HS151" s="35"/>
      <c r="HT151" s="35"/>
      <c r="HU151" s="35"/>
      <c r="HV151" s="35"/>
      <c r="HW151" s="35"/>
      <c r="HX151" s="35"/>
      <c r="HY151" s="35"/>
      <c r="HZ151" s="35"/>
      <c r="IA151" s="35"/>
      <c r="IB151" s="35"/>
      <c r="IC151" s="35"/>
      <c r="ID151" s="35"/>
      <c r="IE151" s="35"/>
      <c r="IF151" s="35"/>
      <c r="IG151" s="35"/>
      <c r="IH151" s="35"/>
      <c r="II151" s="35"/>
      <c r="IJ151" s="35"/>
      <c r="IK151" s="35"/>
      <c r="IL151" s="35"/>
      <c r="IM151" s="35"/>
      <c r="IN151" s="35"/>
      <c r="IO151" s="35"/>
      <c r="IP151" s="35"/>
      <c r="IQ151" s="35"/>
      <c r="IR151" s="35"/>
      <c r="IS151" s="35"/>
      <c r="IT151" s="35"/>
      <c r="IU151" s="35"/>
      <c r="IV151" s="35"/>
      <c r="IW151" s="35"/>
      <c r="IX151" s="35"/>
      <c r="IY151" s="35"/>
      <c r="IZ151" s="35"/>
      <c r="JA151" s="35"/>
      <c r="JB151" s="35"/>
      <c r="JC151" s="35"/>
      <c r="JD151" s="35"/>
      <c r="JE151" s="35"/>
    </row>
    <row r="152">
      <c r="A152" s="42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35"/>
      <c r="DR152" s="35"/>
      <c r="DS152" s="35"/>
      <c r="DT152" s="35"/>
      <c r="DU152" s="35"/>
      <c r="DV152" s="35"/>
      <c r="DW152" s="35"/>
      <c r="DX152" s="35"/>
      <c r="DY152" s="35"/>
      <c r="DZ152" s="35"/>
      <c r="EA152" s="35"/>
      <c r="EB152" s="35"/>
      <c r="EC152" s="35"/>
      <c r="ED152" s="35"/>
      <c r="EE152" s="35"/>
      <c r="EF152" s="35"/>
      <c r="EG152" s="35"/>
      <c r="EH152" s="35"/>
      <c r="EI152" s="35"/>
      <c r="EJ152" s="35"/>
      <c r="EK152" s="35"/>
      <c r="EL152" s="35"/>
      <c r="EM152" s="35"/>
      <c r="EN152" s="35"/>
      <c r="EO152" s="35"/>
      <c r="EP152" s="35"/>
      <c r="EQ152" s="35"/>
      <c r="ER152" s="35"/>
      <c r="ES152" s="35"/>
      <c r="ET152" s="35"/>
      <c r="EU152" s="35"/>
      <c r="EV152" s="35"/>
      <c r="EW152" s="35"/>
      <c r="EX152" s="35"/>
      <c r="EY152" s="35"/>
      <c r="EZ152" s="35"/>
      <c r="FA152" s="35"/>
      <c r="FB152" s="35"/>
      <c r="FC152" s="35"/>
      <c r="FD152" s="35"/>
      <c r="FE152" s="35"/>
      <c r="FF152" s="35"/>
      <c r="FG152" s="35"/>
      <c r="FH152" s="35"/>
      <c r="FI152" s="35"/>
      <c r="FJ152" s="35"/>
      <c r="FK152" s="35"/>
      <c r="FL152" s="35"/>
      <c r="FM152" s="35"/>
      <c r="FN152" s="35"/>
      <c r="FO152" s="35"/>
      <c r="FP152" s="35"/>
      <c r="FQ152" s="35"/>
      <c r="FR152" s="35"/>
      <c r="FS152" s="35"/>
      <c r="FT152" s="35"/>
      <c r="FU152" s="35"/>
      <c r="FV152" s="35"/>
      <c r="FW152" s="35"/>
      <c r="FX152" s="35"/>
      <c r="FY152" s="35"/>
      <c r="FZ152" s="35"/>
      <c r="GA152" s="35"/>
      <c r="GB152" s="35"/>
      <c r="GC152" s="35"/>
      <c r="GD152" s="35"/>
      <c r="GE152" s="35"/>
      <c r="GF152" s="35"/>
      <c r="GG152" s="35"/>
      <c r="GH152" s="35"/>
      <c r="GI152" s="35"/>
      <c r="GJ152" s="35"/>
      <c r="GK152" s="35"/>
      <c r="GL152" s="35"/>
      <c r="GM152" s="35"/>
      <c r="GN152" s="35"/>
      <c r="GO152" s="35"/>
      <c r="GP152" s="35"/>
      <c r="GQ152" s="35"/>
      <c r="GR152" s="35"/>
      <c r="GS152" s="35"/>
      <c r="GT152" s="35"/>
      <c r="GU152" s="35"/>
      <c r="GV152" s="35"/>
      <c r="GW152" s="35"/>
      <c r="GX152" s="35"/>
      <c r="GY152" s="35"/>
      <c r="GZ152" s="35"/>
      <c r="HA152" s="35"/>
      <c r="HB152" s="35"/>
      <c r="HC152" s="35"/>
      <c r="HD152" s="35"/>
      <c r="HE152" s="35"/>
      <c r="HF152" s="35"/>
      <c r="HG152" s="35"/>
      <c r="HH152" s="35"/>
      <c r="HI152" s="35"/>
      <c r="HJ152" s="35"/>
      <c r="HK152" s="35"/>
      <c r="HL152" s="35"/>
      <c r="HM152" s="35"/>
      <c r="HN152" s="35"/>
      <c r="HO152" s="35"/>
      <c r="HP152" s="35"/>
      <c r="HQ152" s="35"/>
      <c r="HR152" s="35"/>
      <c r="HS152" s="35"/>
      <c r="HT152" s="35"/>
      <c r="HU152" s="35"/>
      <c r="HV152" s="35"/>
      <c r="HW152" s="35"/>
      <c r="HX152" s="35"/>
      <c r="HY152" s="35"/>
      <c r="HZ152" s="35"/>
      <c r="IA152" s="35"/>
      <c r="IB152" s="35"/>
      <c r="IC152" s="35"/>
      <c r="ID152" s="35"/>
      <c r="IE152" s="35"/>
      <c r="IF152" s="35"/>
      <c r="IG152" s="35"/>
      <c r="IH152" s="35"/>
      <c r="II152" s="35"/>
      <c r="IJ152" s="35"/>
      <c r="IK152" s="35"/>
      <c r="IL152" s="35"/>
      <c r="IM152" s="35"/>
      <c r="IN152" s="35"/>
      <c r="IO152" s="35"/>
      <c r="IP152" s="35"/>
      <c r="IQ152" s="35"/>
      <c r="IR152" s="35"/>
      <c r="IS152" s="35"/>
      <c r="IT152" s="35"/>
      <c r="IU152" s="35"/>
      <c r="IV152" s="35"/>
      <c r="IW152" s="35"/>
      <c r="IX152" s="35"/>
      <c r="IY152" s="35"/>
      <c r="IZ152" s="35"/>
      <c r="JA152" s="35"/>
      <c r="JB152" s="35"/>
      <c r="JC152" s="35"/>
      <c r="JD152" s="35"/>
      <c r="JE152" s="35"/>
    </row>
    <row r="153">
      <c r="A153" s="42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/>
      <c r="DM153" s="35"/>
      <c r="DN153" s="35"/>
      <c r="DO153" s="35"/>
      <c r="DP153" s="35"/>
      <c r="DQ153" s="35"/>
      <c r="DR153" s="35"/>
      <c r="DS153" s="35"/>
      <c r="DT153" s="35"/>
      <c r="DU153" s="35"/>
      <c r="DV153" s="35"/>
      <c r="DW153" s="35"/>
      <c r="DX153" s="35"/>
      <c r="DY153" s="35"/>
      <c r="DZ153" s="35"/>
      <c r="EA153" s="35"/>
      <c r="EB153" s="35"/>
      <c r="EC153" s="35"/>
      <c r="ED153" s="35"/>
      <c r="EE153" s="35"/>
      <c r="EF153" s="35"/>
      <c r="EG153" s="35"/>
      <c r="EH153" s="35"/>
      <c r="EI153" s="35"/>
      <c r="EJ153" s="35"/>
      <c r="EK153" s="35"/>
      <c r="EL153" s="35"/>
      <c r="EM153" s="35"/>
      <c r="EN153" s="35"/>
      <c r="EO153" s="35"/>
      <c r="EP153" s="35"/>
      <c r="EQ153" s="35"/>
      <c r="ER153" s="35"/>
      <c r="ES153" s="35"/>
      <c r="ET153" s="35"/>
      <c r="EU153" s="35"/>
      <c r="EV153" s="35"/>
      <c r="EW153" s="35"/>
      <c r="EX153" s="35"/>
      <c r="EY153" s="35"/>
      <c r="EZ153" s="35"/>
      <c r="FA153" s="35"/>
      <c r="FB153" s="35"/>
      <c r="FC153" s="35"/>
      <c r="FD153" s="35"/>
      <c r="FE153" s="35"/>
      <c r="FF153" s="35"/>
      <c r="FG153" s="35"/>
      <c r="FH153" s="35"/>
      <c r="FI153" s="35"/>
      <c r="FJ153" s="35"/>
      <c r="FK153" s="35"/>
      <c r="FL153" s="35"/>
      <c r="FM153" s="35"/>
      <c r="FN153" s="35"/>
      <c r="FO153" s="35"/>
      <c r="FP153" s="35"/>
      <c r="FQ153" s="35"/>
      <c r="FR153" s="35"/>
      <c r="FS153" s="35"/>
      <c r="FT153" s="35"/>
      <c r="FU153" s="35"/>
      <c r="FV153" s="35"/>
      <c r="FW153" s="35"/>
      <c r="FX153" s="35"/>
      <c r="FY153" s="35"/>
      <c r="FZ153" s="35"/>
      <c r="GA153" s="35"/>
      <c r="GB153" s="35"/>
      <c r="GC153" s="35"/>
      <c r="GD153" s="35"/>
      <c r="GE153" s="35"/>
      <c r="GF153" s="35"/>
      <c r="GG153" s="35"/>
      <c r="GH153" s="35"/>
      <c r="GI153" s="35"/>
      <c r="GJ153" s="35"/>
      <c r="GK153" s="35"/>
      <c r="GL153" s="35"/>
      <c r="GM153" s="35"/>
      <c r="GN153" s="35"/>
      <c r="GO153" s="35"/>
      <c r="GP153" s="35"/>
      <c r="GQ153" s="35"/>
      <c r="GR153" s="35"/>
      <c r="GS153" s="35"/>
      <c r="GT153" s="35"/>
      <c r="GU153" s="35"/>
      <c r="GV153" s="35"/>
      <c r="GW153" s="35"/>
      <c r="GX153" s="35"/>
      <c r="GY153" s="35"/>
      <c r="GZ153" s="35"/>
      <c r="HA153" s="35"/>
      <c r="HB153" s="35"/>
      <c r="HC153" s="35"/>
      <c r="HD153" s="35"/>
      <c r="HE153" s="35"/>
      <c r="HF153" s="35"/>
      <c r="HG153" s="35"/>
      <c r="HH153" s="35"/>
      <c r="HI153" s="35"/>
      <c r="HJ153" s="35"/>
      <c r="HK153" s="35"/>
      <c r="HL153" s="35"/>
      <c r="HM153" s="35"/>
      <c r="HN153" s="35"/>
      <c r="HO153" s="35"/>
      <c r="HP153" s="35"/>
      <c r="HQ153" s="35"/>
      <c r="HR153" s="35"/>
      <c r="HS153" s="35"/>
      <c r="HT153" s="35"/>
      <c r="HU153" s="35"/>
      <c r="HV153" s="35"/>
      <c r="HW153" s="35"/>
      <c r="HX153" s="35"/>
      <c r="HY153" s="35"/>
      <c r="HZ153" s="35"/>
      <c r="IA153" s="35"/>
      <c r="IB153" s="35"/>
      <c r="IC153" s="35"/>
      <c r="ID153" s="35"/>
      <c r="IE153" s="35"/>
      <c r="IF153" s="35"/>
      <c r="IG153" s="35"/>
      <c r="IH153" s="35"/>
      <c r="II153" s="35"/>
      <c r="IJ153" s="35"/>
      <c r="IK153" s="35"/>
      <c r="IL153" s="35"/>
      <c r="IM153" s="35"/>
      <c r="IN153" s="35"/>
      <c r="IO153" s="35"/>
      <c r="IP153" s="35"/>
      <c r="IQ153" s="35"/>
      <c r="IR153" s="35"/>
      <c r="IS153" s="35"/>
      <c r="IT153" s="35"/>
      <c r="IU153" s="35"/>
      <c r="IV153" s="35"/>
      <c r="IW153" s="35"/>
      <c r="IX153" s="35"/>
      <c r="IY153" s="35"/>
      <c r="IZ153" s="35"/>
      <c r="JA153" s="35"/>
      <c r="JB153" s="35"/>
      <c r="JC153" s="35"/>
      <c r="JD153" s="35"/>
      <c r="JE153" s="35"/>
    </row>
    <row r="154">
      <c r="A154" s="42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  <c r="DO154" s="35"/>
      <c r="DP154" s="35"/>
      <c r="DQ154" s="35"/>
      <c r="DR154" s="35"/>
      <c r="DS154" s="35"/>
      <c r="DT154" s="35"/>
      <c r="DU154" s="35"/>
      <c r="DV154" s="35"/>
      <c r="DW154" s="35"/>
      <c r="DX154" s="35"/>
      <c r="DY154" s="35"/>
      <c r="DZ154" s="35"/>
      <c r="EA154" s="35"/>
      <c r="EB154" s="35"/>
      <c r="EC154" s="35"/>
      <c r="ED154" s="35"/>
      <c r="EE154" s="35"/>
      <c r="EF154" s="35"/>
      <c r="EG154" s="35"/>
      <c r="EH154" s="35"/>
      <c r="EI154" s="35"/>
      <c r="EJ154" s="35"/>
      <c r="EK154" s="35"/>
      <c r="EL154" s="35"/>
      <c r="EM154" s="35"/>
      <c r="EN154" s="35"/>
      <c r="EO154" s="35"/>
      <c r="EP154" s="35"/>
      <c r="EQ154" s="35"/>
      <c r="ER154" s="35"/>
      <c r="ES154" s="35"/>
      <c r="ET154" s="35"/>
      <c r="EU154" s="35"/>
      <c r="EV154" s="35"/>
      <c r="EW154" s="35"/>
      <c r="EX154" s="35"/>
      <c r="EY154" s="35"/>
      <c r="EZ154" s="35"/>
      <c r="FA154" s="35"/>
      <c r="FB154" s="35"/>
      <c r="FC154" s="35"/>
      <c r="FD154" s="35"/>
      <c r="FE154" s="35"/>
      <c r="FF154" s="35"/>
      <c r="FG154" s="35"/>
      <c r="FH154" s="35"/>
      <c r="FI154" s="35"/>
      <c r="FJ154" s="35"/>
      <c r="FK154" s="35"/>
      <c r="FL154" s="35"/>
      <c r="FM154" s="35"/>
      <c r="FN154" s="35"/>
      <c r="FO154" s="35"/>
      <c r="FP154" s="35"/>
      <c r="FQ154" s="35"/>
      <c r="FR154" s="35"/>
      <c r="FS154" s="35"/>
      <c r="FT154" s="35"/>
      <c r="FU154" s="35"/>
      <c r="FV154" s="35"/>
      <c r="FW154" s="35"/>
      <c r="FX154" s="35"/>
      <c r="FY154" s="35"/>
      <c r="FZ154" s="35"/>
      <c r="GA154" s="35"/>
      <c r="GB154" s="35"/>
      <c r="GC154" s="35"/>
      <c r="GD154" s="35"/>
      <c r="GE154" s="35"/>
      <c r="GF154" s="35"/>
      <c r="GG154" s="35"/>
      <c r="GH154" s="35"/>
      <c r="GI154" s="35"/>
      <c r="GJ154" s="35"/>
      <c r="GK154" s="35"/>
      <c r="GL154" s="35"/>
      <c r="GM154" s="35"/>
      <c r="GN154" s="35"/>
      <c r="GO154" s="35"/>
      <c r="GP154" s="35"/>
      <c r="GQ154" s="35"/>
      <c r="GR154" s="35"/>
      <c r="GS154" s="35"/>
      <c r="GT154" s="35"/>
      <c r="GU154" s="35"/>
      <c r="GV154" s="35"/>
      <c r="GW154" s="35"/>
      <c r="GX154" s="35"/>
      <c r="GY154" s="35"/>
      <c r="GZ154" s="35"/>
      <c r="HA154" s="35"/>
      <c r="HB154" s="35"/>
      <c r="HC154" s="35"/>
      <c r="HD154" s="35"/>
      <c r="HE154" s="35"/>
      <c r="HF154" s="35"/>
      <c r="HG154" s="35"/>
      <c r="HH154" s="35"/>
      <c r="HI154" s="35"/>
      <c r="HJ154" s="35"/>
      <c r="HK154" s="35"/>
      <c r="HL154" s="35"/>
      <c r="HM154" s="35"/>
      <c r="HN154" s="35"/>
      <c r="HO154" s="35"/>
      <c r="HP154" s="35"/>
      <c r="HQ154" s="35"/>
      <c r="HR154" s="35"/>
      <c r="HS154" s="35"/>
      <c r="HT154" s="35"/>
      <c r="HU154" s="35"/>
      <c r="HV154" s="35"/>
      <c r="HW154" s="35"/>
      <c r="HX154" s="35"/>
      <c r="HY154" s="35"/>
      <c r="HZ154" s="35"/>
      <c r="IA154" s="35"/>
      <c r="IB154" s="35"/>
      <c r="IC154" s="35"/>
      <c r="ID154" s="35"/>
      <c r="IE154" s="35"/>
      <c r="IF154" s="35"/>
      <c r="IG154" s="35"/>
      <c r="IH154" s="35"/>
      <c r="II154" s="35"/>
      <c r="IJ154" s="35"/>
      <c r="IK154" s="35"/>
      <c r="IL154" s="35"/>
      <c r="IM154" s="35"/>
      <c r="IN154" s="35"/>
      <c r="IO154" s="35"/>
      <c r="IP154" s="35"/>
      <c r="IQ154" s="35"/>
      <c r="IR154" s="35"/>
      <c r="IS154" s="35"/>
      <c r="IT154" s="35"/>
      <c r="IU154" s="35"/>
      <c r="IV154" s="35"/>
      <c r="IW154" s="35"/>
      <c r="IX154" s="35"/>
      <c r="IY154" s="35"/>
      <c r="IZ154" s="35"/>
      <c r="JA154" s="35"/>
      <c r="JB154" s="35"/>
      <c r="JC154" s="35"/>
      <c r="JD154" s="35"/>
      <c r="JE154" s="35"/>
    </row>
    <row r="155">
      <c r="A155" s="42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  <c r="DL155" s="35"/>
      <c r="DM155" s="35"/>
      <c r="DN155" s="35"/>
      <c r="DO155" s="35"/>
      <c r="DP155" s="35"/>
      <c r="DQ155" s="35"/>
      <c r="DR155" s="35"/>
      <c r="DS155" s="35"/>
      <c r="DT155" s="35"/>
      <c r="DU155" s="35"/>
      <c r="DV155" s="35"/>
      <c r="DW155" s="35"/>
      <c r="DX155" s="35"/>
      <c r="DY155" s="35"/>
      <c r="DZ155" s="35"/>
      <c r="EA155" s="35"/>
      <c r="EB155" s="35"/>
      <c r="EC155" s="35"/>
      <c r="ED155" s="35"/>
      <c r="EE155" s="35"/>
      <c r="EF155" s="35"/>
      <c r="EG155" s="35"/>
      <c r="EH155" s="35"/>
      <c r="EI155" s="35"/>
      <c r="EJ155" s="35"/>
      <c r="EK155" s="35"/>
      <c r="EL155" s="35"/>
      <c r="EM155" s="35"/>
      <c r="EN155" s="35"/>
      <c r="EO155" s="35"/>
      <c r="EP155" s="35"/>
      <c r="EQ155" s="35"/>
      <c r="ER155" s="35"/>
      <c r="ES155" s="35"/>
      <c r="ET155" s="35"/>
      <c r="EU155" s="35"/>
      <c r="EV155" s="35"/>
      <c r="EW155" s="35"/>
      <c r="EX155" s="35"/>
      <c r="EY155" s="35"/>
      <c r="EZ155" s="35"/>
      <c r="FA155" s="35"/>
      <c r="FB155" s="35"/>
      <c r="FC155" s="35"/>
      <c r="FD155" s="35"/>
      <c r="FE155" s="35"/>
      <c r="FF155" s="35"/>
      <c r="FG155" s="35"/>
      <c r="FH155" s="35"/>
      <c r="FI155" s="35"/>
      <c r="FJ155" s="35"/>
      <c r="FK155" s="35"/>
      <c r="FL155" s="35"/>
      <c r="FM155" s="35"/>
      <c r="FN155" s="35"/>
      <c r="FO155" s="35"/>
      <c r="FP155" s="35"/>
      <c r="FQ155" s="35"/>
      <c r="FR155" s="35"/>
      <c r="FS155" s="35"/>
      <c r="FT155" s="35"/>
      <c r="FU155" s="35"/>
      <c r="FV155" s="35"/>
      <c r="FW155" s="35"/>
      <c r="FX155" s="35"/>
      <c r="FY155" s="35"/>
      <c r="FZ155" s="35"/>
      <c r="GA155" s="35"/>
      <c r="GB155" s="35"/>
      <c r="GC155" s="35"/>
      <c r="GD155" s="35"/>
      <c r="GE155" s="35"/>
      <c r="GF155" s="35"/>
      <c r="GG155" s="35"/>
      <c r="GH155" s="35"/>
      <c r="GI155" s="35"/>
      <c r="GJ155" s="35"/>
      <c r="GK155" s="35"/>
      <c r="GL155" s="35"/>
      <c r="GM155" s="35"/>
      <c r="GN155" s="35"/>
      <c r="GO155" s="35"/>
      <c r="GP155" s="35"/>
      <c r="GQ155" s="35"/>
      <c r="GR155" s="35"/>
      <c r="GS155" s="35"/>
      <c r="GT155" s="35"/>
      <c r="GU155" s="35"/>
      <c r="GV155" s="35"/>
      <c r="GW155" s="35"/>
      <c r="GX155" s="35"/>
      <c r="GY155" s="35"/>
      <c r="GZ155" s="35"/>
      <c r="HA155" s="35"/>
      <c r="HB155" s="35"/>
      <c r="HC155" s="35"/>
      <c r="HD155" s="35"/>
      <c r="HE155" s="35"/>
      <c r="HF155" s="35"/>
      <c r="HG155" s="35"/>
      <c r="HH155" s="35"/>
      <c r="HI155" s="35"/>
      <c r="HJ155" s="35"/>
      <c r="HK155" s="35"/>
      <c r="HL155" s="35"/>
      <c r="HM155" s="35"/>
      <c r="HN155" s="35"/>
      <c r="HO155" s="35"/>
      <c r="HP155" s="35"/>
      <c r="HQ155" s="35"/>
      <c r="HR155" s="35"/>
      <c r="HS155" s="35"/>
      <c r="HT155" s="35"/>
      <c r="HU155" s="35"/>
      <c r="HV155" s="35"/>
      <c r="HW155" s="35"/>
      <c r="HX155" s="35"/>
      <c r="HY155" s="35"/>
      <c r="HZ155" s="35"/>
      <c r="IA155" s="35"/>
      <c r="IB155" s="35"/>
      <c r="IC155" s="35"/>
      <c r="ID155" s="35"/>
      <c r="IE155" s="35"/>
      <c r="IF155" s="35"/>
      <c r="IG155" s="35"/>
      <c r="IH155" s="35"/>
      <c r="II155" s="35"/>
      <c r="IJ155" s="35"/>
      <c r="IK155" s="35"/>
      <c r="IL155" s="35"/>
      <c r="IM155" s="35"/>
      <c r="IN155" s="35"/>
      <c r="IO155" s="35"/>
      <c r="IP155" s="35"/>
      <c r="IQ155" s="35"/>
      <c r="IR155" s="35"/>
      <c r="IS155" s="35"/>
      <c r="IT155" s="35"/>
      <c r="IU155" s="35"/>
      <c r="IV155" s="35"/>
      <c r="IW155" s="35"/>
      <c r="IX155" s="35"/>
      <c r="IY155" s="35"/>
      <c r="IZ155" s="35"/>
      <c r="JA155" s="35"/>
      <c r="JB155" s="35"/>
      <c r="JC155" s="35"/>
      <c r="JD155" s="35"/>
      <c r="JE155" s="35"/>
    </row>
    <row r="156">
      <c r="A156" s="42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35"/>
      <c r="DR156" s="35"/>
      <c r="DS156" s="35"/>
      <c r="DT156" s="35"/>
      <c r="DU156" s="35"/>
      <c r="DV156" s="35"/>
      <c r="DW156" s="35"/>
      <c r="DX156" s="35"/>
      <c r="DY156" s="35"/>
      <c r="DZ156" s="35"/>
      <c r="EA156" s="35"/>
      <c r="EB156" s="35"/>
      <c r="EC156" s="35"/>
      <c r="ED156" s="35"/>
      <c r="EE156" s="35"/>
      <c r="EF156" s="35"/>
      <c r="EG156" s="35"/>
      <c r="EH156" s="35"/>
      <c r="EI156" s="35"/>
      <c r="EJ156" s="35"/>
      <c r="EK156" s="35"/>
      <c r="EL156" s="35"/>
      <c r="EM156" s="35"/>
      <c r="EN156" s="35"/>
      <c r="EO156" s="35"/>
      <c r="EP156" s="35"/>
      <c r="EQ156" s="35"/>
      <c r="ER156" s="35"/>
      <c r="ES156" s="35"/>
      <c r="ET156" s="35"/>
      <c r="EU156" s="35"/>
      <c r="EV156" s="35"/>
      <c r="EW156" s="35"/>
      <c r="EX156" s="35"/>
      <c r="EY156" s="35"/>
      <c r="EZ156" s="35"/>
      <c r="FA156" s="35"/>
      <c r="FB156" s="35"/>
      <c r="FC156" s="35"/>
      <c r="FD156" s="35"/>
      <c r="FE156" s="35"/>
      <c r="FF156" s="35"/>
      <c r="FG156" s="35"/>
      <c r="FH156" s="35"/>
      <c r="FI156" s="35"/>
      <c r="FJ156" s="35"/>
      <c r="FK156" s="35"/>
      <c r="FL156" s="35"/>
      <c r="FM156" s="35"/>
      <c r="FN156" s="35"/>
      <c r="FO156" s="35"/>
      <c r="FP156" s="35"/>
      <c r="FQ156" s="35"/>
      <c r="FR156" s="35"/>
      <c r="FS156" s="35"/>
      <c r="FT156" s="35"/>
      <c r="FU156" s="35"/>
      <c r="FV156" s="35"/>
      <c r="FW156" s="35"/>
      <c r="FX156" s="35"/>
      <c r="FY156" s="35"/>
      <c r="FZ156" s="35"/>
      <c r="GA156" s="35"/>
      <c r="GB156" s="35"/>
      <c r="GC156" s="35"/>
      <c r="GD156" s="35"/>
      <c r="GE156" s="35"/>
      <c r="GF156" s="35"/>
      <c r="GG156" s="35"/>
      <c r="GH156" s="35"/>
      <c r="GI156" s="35"/>
      <c r="GJ156" s="35"/>
      <c r="GK156" s="35"/>
      <c r="GL156" s="35"/>
      <c r="GM156" s="35"/>
      <c r="GN156" s="35"/>
      <c r="GO156" s="35"/>
      <c r="GP156" s="35"/>
      <c r="GQ156" s="35"/>
      <c r="GR156" s="35"/>
      <c r="GS156" s="35"/>
      <c r="GT156" s="35"/>
      <c r="GU156" s="35"/>
      <c r="GV156" s="35"/>
      <c r="GW156" s="35"/>
      <c r="GX156" s="35"/>
      <c r="GY156" s="35"/>
      <c r="GZ156" s="35"/>
      <c r="HA156" s="35"/>
      <c r="HB156" s="35"/>
      <c r="HC156" s="35"/>
      <c r="HD156" s="35"/>
      <c r="HE156" s="35"/>
      <c r="HF156" s="35"/>
      <c r="HG156" s="35"/>
      <c r="HH156" s="35"/>
      <c r="HI156" s="35"/>
      <c r="HJ156" s="35"/>
      <c r="HK156" s="35"/>
      <c r="HL156" s="35"/>
      <c r="HM156" s="35"/>
      <c r="HN156" s="35"/>
      <c r="HO156" s="35"/>
      <c r="HP156" s="35"/>
      <c r="HQ156" s="35"/>
      <c r="HR156" s="35"/>
      <c r="HS156" s="35"/>
      <c r="HT156" s="35"/>
      <c r="HU156" s="35"/>
      <c r="HV156" s="35"/>
      <c r="HW156" s="35"/>
      <c r="HX156" s="35"/>
      <c r="HY156" s="35"/>
      <c r="HZ156" s="35"/>
      <c r="IA156" s="35"/>
      <c r="IB156" s="35"/>
      <c r="IC156" s="35"/>
      <c r="ID156" s="35"/>
      <c r="IE156" s="35"/>
      <c r="IF156" s="35"/>
      <c r="IG156" s="35"/>
      <c r="IH156" s="35"/>
      <c r="II156" s="35"/>
      <c r="IJ156" s="35"/>
      <c r="IK156" s="35"/>
      <c r="IL156" s="35"/>
      <c r="IM156" s="35"/>
      <c r="IN156" s="35"/>
      <c r="IO156" s="35"/>
      <c r="IP156" s="35"/>
      <c r="IQ156" s="35"/>
      <c r="IR156" s="35"/>
      <c r="IS156" s="35"/>
      <c r="IT156" s="35"/>
      <c r="IU156" s="35"/>
      <c r="IV156" s="35"/>
      <c r="IW156" s="35"/>
      <c r="IX156" s="35"/>
      <c r="IY156" s="35"/>
      <c r="IZ156" s="35"/>
      <c r="JA156" s="35"/>
      <c r="JB156" s="35"/>
      <c r="JC156" s="35"/>
      <c r="JD156" s="35"/>
      <c r="JE156" s="35"/>
    </row>
    <row r="157">
      <c r="A157" s="42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  <c r="DL157" s="35"/>
      <c r="DM157" s="35"/>
      <c r="DN157" s="35"/>
      <c r="DO157" s="35"/>
      <c r="DP157" s="35"/>
      <c r="DQ157" s="35"/>
      <c r="DR157" s="35"/>
      <c r="DS157" s="35"/>
      <c r="DT157" s="35"/>
      <c r="DU157" s="35"/>
      <c r="DV157" s="35"/>
      <c r="DW157" s="35"/>
      <c r="DX157" s="35"/>
      <c r="DY157" s="35"/>
      <c r="DZ157" s="35"/>
      <c r="EA157" s="35"/>
      <c r="EB157" s="35"/>
      <c r="EC157" s="35"/>
      <c r="ED157" s="35"/>
      <c r="EE157" s="35"/>
      <c r="EF157" s="35"/>
      <c r="EG157" s="35"/>
      <c r="EH157" s="35"/>
      <c r="EI157" s="35"/>
      <c r="EJ157" s="35"/>
      <c r="EK157" s="35"/>
      <c r="EL157" s="35"/>
      <c r="EM157" s="35"/>
      <c r="EN157" s="35"/>
      <c r="EO157" s="35"/>
      <c r="EP157" s="35"/>
      <c r="EQ157" s="35"/>
      <c r="ER157" s="35"/>
      <c r="ES157" s="35"/>
      <c r="ET157" s="35"/>
      <c r="EU157" s="35"/>
      <c r="EV157" s="35"/>
      <c r="EW157" s="35"/>
      <c r="EX157" s="35"/>
      <c r="EY157" s="35"/>
      <c r="EZ157" s="35"/>
      <c r="FA157" s="35"/>
      <c r="FB157" s="35"/>
      <c r="FC157" s="35"/>
      <c r="FD157" s="35"/>
      <c r="FE157" s="35"/>
      <c r="FF157" s="35"/>
      <c r="FG157" s="35"/>
      <c r="FH157" s="35"/>
      <c r="FI157" s="35"/>
      <c r="FJ157" s="35"/>
      <c r="FK157" s="35"/>
      <c r="FL157" s="35"/>
      <c r="FM157" s="35"/>
      <c r="FN157" s="35"/>
      <c r="FO157" s="35"/>
      <c r="FP157" s="35"/>
      <c r="FQ157" s="35"/>
      <c r="FR157" s="35"/>
      <c r="FS157" s="35"/>
      <c r="FT157" s="35"/>
      <c r="FU157" s="35"/>
      <c r="FV157" s="35"/>
      <c r="FW157" s="35"/>
      <c r="FX157" s="35"/>
      <c r="FY157" s="35"/>
      <c r="FZ157" s="35"/>
      <c r="GA157" s="35"/>
      <c r="GB157" s="35"/>
      <c r="GC157" s="35"/>
      <c r="GD157" s="35"/>
      <c r="GE157" s="35"/>
      <c r="GF157" s="35"/>
      <c r="GG157" s="35"/>
      <c r="GH157" s="35"/>
      <c r="GI157" s="35"/>
      <c r="GJ157" s="35"/>
      <c r="GK157" s="35"/>
      <c r="GL157" s="35"/>
      <c r="GM157" s="35"/>
      <c r="GN157" s="35"/>
      <c r="GO157" s="35"/>
      <c r="GP157" s="35"/>
      <c r="GQ157" s="35"/>
      <c r="GR157" s="35"/>
      <c r="GS157" s="35"/>
      <c r="GT157" s="35"/>
      <c r="GU157" s="35"/>
      <c r="GV157" s="35"/>
      <c r="GW157" s="35"/>
      <c r="GX157" s="35"/>
      <c r="GY157" s="35"/>
      <c r="GZ157" s="35"/>
      <c r="HA157" s="35"/>
      <c r="HB157" s="35"/>
      <c r="HC157" s="35"/>
      <c r="HD157" s="35"/>
      <c r="HE157" s="35"/>
      <c r="HF157" s="35"/>
      <c r="HG157" s="35"/>
      <c r="HH157" s="35"/>
      <c r="HI157" s="35"/>
      <c r="HJ157" s="35"/>
      <c r="HK157" s="35"/>
      <c r="HL157" s="35"/>
      <c r="HM157" s="35"/>
      <c r="HN157" s="35"/>
      <c r="HO157" s="35"/>
      <c r="HP157" s="35"/>
      <c r="HQ157" s="35"/>
      <c r="HR157" s="35"/>
      <c r="HS157" s="35"/>
      <c r="HT157" s="35"/>
      <c r="HU157" s="35"/>
      <c r="HV157" s="35"/>
      <c r="HW157" s="35"/>
      <c r="HX157" s="35"/>
      <c r="HY157" s="35"/>
      <c r="HZ157" s="35"/>
      <c r="IA157" s="35"/>
      <c r="IB157" s="35"/>
      <c r="IC157" s="35"/>
      <c r="ID157" s="35"/>
      <c r="IE157" s="35"/>
      <c r="IF157" s="35"/>
      <c r="IG157" s="35"/>
      <c r="IH157" s="35"/>
      <c r="II157" s="35"/>
      <c r="IJ157" s="35"/>
      <c r="IK157" s="35"/>
      <c r="IL157" s="35"/>
      <c r="IM157" s="35"/>
      <c r="IN157" s="35"/>
      <c r="IO157" s="35"/>
      <c r="IP157" s="35"/>
      <c r="IQ157" s="35"/>
      <c r="IR157" s="35"/>
      <c r="IS157" s="35"/>
      <c r="IT157" s="35"/>
      <c r="IU157" s="35"/>
      <c r="IV157" s="35"/>
      <c r="IW157" s="35"/>
      <c r="IX157" s="35"/>
      <c r="IY157" s="35"/>
      <c r="IZ157" s="35"/>
      <c r="JA157" s="35"/>
      <c r="JB157" s="35"/>
      <c r="JC157" s="35"/>
      <c r="JD157" s="35"/>
      <c r="JE157" s="35"/>
    </row>
    <row r="158">
      <c r="A158" s="42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  <c r="DL158" s="35"/>
      <c r="DM158" s="35"/>
      <c r="DN158" s="35"/>
      <c r="DO158" s="35"/>
      <c r="DP158" s="35"/>
      <c r="DQ158" s="35"/>
      <c r="DR158" s="35"/>
      <c r="DS158" s="35"/>
      <c r="DT158" s="35"/>
      <c r="DU158" s="35"/>
      <c r="DV158" s="35"/>
      <c r="DW158" s="35"/>
      <c r="DX158" s="35"/>
      <c r="DY158" s="35"/>
      <c r="DZ158" s="35"/>
      <c r="EA158" s="35"/>
      <c r="EB158" s="35"/>
      <c r="EC158" s="35"/>
      <c r="ED158" s="35"/>
      <c r="EE158" s="35"/>
      <c r="EF158" s="35"/>
      <c r="EG158" s="35"/>
      <c r="EH158" s="35"/>
      <c r="EI158" s="35"/>
      <c r="EJ158" s="35"/>
      <c r="EK158" s="35"/>
      <c r="EL158" s="35"/>
      <c r="EM158" s="35"/>
      <c r="EN158" s="35"/>
      <c r="EO158" s="35"/>
      <c r="EP158" s="35"/>
      <c r="EQ158" s="35"/>
      <c r="ER158" s="35"/>
      <c r="ES158" s="35"/>
      <c r="ET158" s="35"/>
      <c r="EU158" s="35"/>
      <c r="EV158" s="35"/>
      <c r="EW158" s="35"/>
      <c r="EX158" s="35"/>
      <c r="EY158" s="35"/>
      <c r="EZ158" s="35"/>
      <c r="FA158" s="35"/>
      <c r="FB158" s="35"/>
      <c r="FC158" s="35"/>
      <c r="FD158" s="35"/>
      <c r="FE158" s="35"/>
      <c r="FF158" s="35"/>
      <c r="FG158" s="35"/>
      <c r="FH158" s="35"/>
      <c r="FI158" s="35"/>
      <c r="FJ158" s="35"/>
      <c r="FK158" s="35"/>
      <c r="FL158" s="35"/>
      <c r="FM158" s="35"/>
      <c r="FN158" s="35"/>
      <c r="FO158" s="35"/>
      <c r="FP158" s="35"/>
      <c r="FQ158" s="35"/>
      <c r="FR158" s="35"/>
      <c r="FS158" s="35"/>
      <c r="FT158" s="35"/>
      <c r="FU158" s="35"/>
      <c r="FV158" s="35"/>
      <c r="FW158" s="35"/>
      <c r="FX158" s="35"/>
      <c r="FY158" s="35"/>
      <c r="FZ158" s="35"/>
      <c r="GA158" s="35"/>
      <c r="GB158" s="35"/>
      <c r="GC158" s="35"/>
      <c r="GD158" s="35"/>
      <c r="GE158" s="35"/>
      <c r="GF158" s="35"/>
      <c r="GG158" s="35"/>
      <c r="GH158" s="35"/>
      <c r="GI158" s="35"/>
      <c r="GJ158" s="35"/>
      <c r="GK158" s="35"/>
      <c r="GL158" s="35"/>
      <c r="GM158" s="35"/>
      <c r="GN158" s="35"/>
      <c r="GO158" s="35"/>
      <c r="GP158" s="35"/>
      <c r="GQ158" s="35"/>
      <c r="GR158" s="35"/>
      <c r="GS158" s="35"/>
      <c r="GT158" s="35"/>
      <c r="GU158" s="35"/>
      <c r="GV158" s="35"/>
      <c r="GW158" s="35"/>
      <c r="GX158" s="35"/>
      <c r="GY158" s="35"/>
      <c r="GZ158" s="35"/>
      <c r="HA158" s="35"/>
      <c r="HB158" s="35"/>
      <c r="HC158" s="35"/>
      <c r="HD158" s="35"/>
      <c r="HE158" s="35"/>
      <c r="HF158" s="35"/>
      <c r="HG158" s="35"/>
      <c r="HH158" s="35"/>
      <c r="HI158" s="35"/>
      <c r="HJ158" s="35"/>
      <c r="HK158" s="35"/>
      <c r="HL158" s="35"/>
      <c r="HM158" s="35"/>
      <c r="HN158" s="35"/>
      <c r="HO158" s="35"/>
      <c r="HP158" s="35"/>
      <c r="HQ158" s="35"/>
      <c r="HR158" s="35"/>
      <c r="HS158" s="35"/>
      <c r="HT158" s="35"/>
      <c r="HU158" s="35"/>
      <c r="HV158" s="35"/>
      <c r="HW158" s="35"/>
      <c r="HX158" s="35"/>
      <c r="HY158" s="35"/>
      <c r="HZ158" s="35"/>
      <c r="IA158" s="35"/>
      <c r="IB158" s="35"/>
      <c r="IC158" s="35"/>
      <c r="ID158" s="35"/>
      <c r="IE158" s="35"/>
      <c r="IF158" s="35"/>
      <c r="IG158" s="35"/>
      <c r="IH158" s="35"/>
      <c r="II158" s="35"/>
      <c r="IJ158" s="35"/>
      <c r="IK158" s="35"/>
      <c r="IL158" s="35"/>
      <c r="IM158" s="35"/>
      <c r="IN158" s="35"/>
      <c r="IO158" s="35"/>
      <c r="IP158" s="35"/>
      <c r="IQ158" s="35"/>
      <c r="IR158" s="35"/>
      <c r="IS158" s="35"/>
      <c r="IT158" s="35"/>
      <c r="IU158" s="35"/>
      <c r="IV158" s="35"/>
      <c r="IW158" s="35"/>
      <c r="IX158" s="35"/>
      <c r="IY158" s="35"/>
      <c r="IZ158" s="35"/>
      <c r="JA158" s="35"/>
      <c r="JB158" s="35"/>
      <c r="JC158" s="35"/>
      <c r="JD158" s="35"/>
      <c r="JE158" s="35"/>
    </row>
    <row r="159">
      <c r="A159" s="42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  <c r="DL159" s="35"/>
      <c r="DM159" s="35"/>
      <c r="DN159" s="35"/>
      <c r="DO159" s="35"/>
      <c r="DP159" s="35"/>
      <c r="DQ159" s="35"/>
      <c r="DR159" s="35"/>
      <c r="DS159" s="35"/>
      <c r="DT159" s="35"/>
      <c r="DU159" s="35"/>
      <c r="DV159" s="35"/>
      <c r="DW159" s="35"/>
      <c r="DX159" s="35"/>
      <c r="DY159" s="35"/>
      <c r="DZ159" s="35"/>
      <c r="EA159" s="35"/>
      <c r="EB159" s="35"/>
      <c r="EC159" s="35"/>
      <c r="ED159" s="35"/>
      <c r="EE159" s="35"/>
      <c r="EF159" s="35"/>
      <c r="EG159" s="35"/>
      <c r="EH159" s="35"/>
      <c r="EI159" s="35"/>
      <c r="EJ159" s="35"/>
      <c r="EK159" s="35"/>
      <c r="EL159" s="35"/>
      <c r="EM159" s="35"/>
      <c r="EN159" s="35"/>
      <c r="EO159" s="35"/>
      <c r="EP159" s="35"/>
      <c r="EQ159" s="35"/>
      <c r="ER159" s="35"/>
      <c r="ES159" s="35"/>
      <c r="ET159" s="35"/>
      <c r="EU159" s="35"/>
      <c r="EV159" s="35"/>
      <c r="EW159" s="35"/>
      <c r="EX159" s="35"/>
      <c r="EY159" s="35"/>
      <c r="EZ159" s="35"/>
      <c r="FA159" s="35"/>
      <c r="FB159" s="35"/>
      <c r="FC159" s="35"/>
      <c r="FD159" s="35"/>
      <c r="FE159" s="35"/>
      <c r="FF159" s="35"/>
      <c r="FG159" s="35"/>
      <c r="FH159" s="35"/>
      <c r="FI159" s="35"/>
      <c r="FJ159" s="35"/>
      <c r="FK159" s="35"/>
      <c r="FL159" s="35"/>
      <c r="FM159" s="35"/>
      <c r="FN159" s="35"/>
      <c r="FO159" s="35"/>
      <c r="FP159" s="35"/>
      <c r="FQ159" s="35"/>
      <c r="FR159" s="35"/>
      <c r="FS159" s="35"/>
      <c r="FT159" s="35"/>
      <c r="FU159" s="35"/>
      <c r="FV159" s="35"/>
      <c r="FW159" s="35"/>
      <c r="FX159" s="35"/>
      <c r="FY159" s="35"/>
      <c r="FZ159" s="35"/>
      <c r="GA159" s="35"/>
      <c r="GB159" s="35"/>
      <c r="GC159" s="35"/>
      <c r="GD159" s="35"/>
      <c r="GE159" s="35"/>
      <c r="GF159" s="35"/>
      <c r="GG159" s="35"/>
      <c r="GH159" s="35"/>
      <c r="GI159" s="35"/>
      <c r="GJ159" s="35"/>
      <c r="GK159" s="35"/>
      <c r="GL159" s="35"/>
      <c r="GM159" s="35"/>
      <c r="GN159" s="35"/>
      <c r="GO159" s="35"/>
      <c r="GP159" s="35"/>
      <c r="GQ159" s="35"/>
      <c r="GR159" s="35"/>
      <c r="GS159" s="35"/>
      <c r="GT159" s="35"/>
      <c r="GU159" s="35"/>
      <c r="GV159" s="35"/>
      <c r="GW159" s="35"/>
      <c r="GX159" s="35"/>
      <c r="GY159" s="35"/>
      <c r="GZ159" s="35"/>
      <c r="HA159" s="35"/>
      <c r="HB159" s="35"/>
      <c r="HC159" s="35"/>
      <c r="HD159" s="35"/>
      <c r="HE159" s="35"/>
      <c r="HF159" s="35"/>
      <c r="HG159" s="35"/>
      <c r="HH159" s="35"/>
      <c r="HI159" s="35"/>
      <c r="HJ159" s="35"/>
      <c r="HK159" s="35"/>
      <c r="HL159" s="35"/>
      <c r="HM159" s="35"/>
      <c r="HN159" s="35"/>
      <c r="HO159" s="35"/>
      <c r="HP159" s="35"/>
      <c r="HQ159" s="35"/>
      <c r="HR159" s="35"/>
      <c r="HS159" s="35"/>
      <c r="HT159" s="35"/>
      <c r="HU159" s="35"/>
      <c r="HV159" s="35"/>
      <c r="HW159" s="35"/>
      <c r="HX159" s="35"/>
      <c r="HY159" s="35"/>
      <c r="HZ159" s="35"/>
      <c r="IA159" s="35"/>
      <c r="IB159" s="35"/>
      <c r="IC159" s="35"/>
      <c r="ID159" s="35"/>
      <c r="IE159" s="35"/>
      <c r="IF159" s="35"/>
      <c r="IG159" s="35"/>
      <c r="IH159" s="35"/>
      <c r="II159" s="35"/>
      <c r="IJ159" s="35"/>
      <c r="IK159" s="35"/>
      <c r="IL159" s="35"/>
      <c r="IM159" s="35"/>
      <c r="IN159" s="35"/>
      <c r="IO159" s="35"/>
      <c r="IP159" s="35"/>
      <c r="IQ159" s="35"/>
      <c r="IR159" s="35"/>
      <c r="IS159" s="35"/>
      <c r="IT159" s="35"/>
      <c r="IU159" s="35"/>
      <c r="IV159" s="35"/>
      <c r="IW159" s="35"/>
      <c r="IX159" s="35"/>
      <c r="IY159" s="35"/>
      <c r="IZ159" s="35"/>
      <c r="JA159" s="35"/>
      <c r="JB159" s="35"/>
      <c r="JC159" s="35"/>
      <c r="JD159" s="35"/>
      <c r="JE159" s="35"/>
    </row>
    <row r="160">
      <c r="A160" s="42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  <c r="CZ160" s="35"/>
      <c r="DA160" s="35"/>
      <c r="DB160" s="35"/>
      <c r="DC160" s="35"/>
      <c r="DD160" s="35"/>
      <c r="DE160" s="35"/>
      <c r="DF160" s="35"/>
      <c r="DG160" s="35"/>
      <c r="DH160" s="35"/>
      <c r="DI160" s="35"/>
      <c r="DJ160" s="35"/>
      <c r="DK160" s="35"/>
      <c r="DL160" s="35"/>
      <c r="DM160" s="35"/>
      <c r="DN160" s="35"/>
      <c r="DO160" s="35"/>
      <c r="DP160" s="35"/>
      <c r="DQ160" s="35"/>
      <c r="DR160" s="35"/>
      <c r="DS160" s="35"/>
      <c r="DT160" s="35"/>
      <c r="DU160" s="35"/>
      <c r="DV160" s="35"/>
      <c r="DW160" s="35"/>
      <c r="DX160" s="35"/>
      <c r="DY160" s="35"/>
      <c r="DZ160" s="35"/>
      <c r="EA160" s="35"/>
      <c r="EB160" s="35"/>
      <c r="EC160" s="35"/>
      <c r="ED160" s="35"/>
      <c r="EE160" s="35"/>
      <c r="EF160" s="35"/>
      <c r="EG160" s="35"/>
      <c r="EH160" s="35"/>
      <c r="EI160" s="35"/>
      <c r="EJ160" s="35"/>
      <c r="EK160" s="35"/>
      <c r="EL160" s="35"/>
      <c r="EM160" s="35"/>
      <c r="EN160" s="35"/>
      <c r="EO160" s="35"/>
      <c r="EP160" s="35"/>
      <c r="EQ160" s="35"/>
      <c r="ER160" s="35"/>
      <c r="ES160" s="35"/>
      <c r="ET160" s="35"/>
      <c r="EU160" s="35"/>
      <c r="EV160" s="35"/>
      <c r="EW160" s="35"/>
      <c r="EX160" s="35"/>
      <c r="EY160" s="35"/>
      <c r="EZ160" s="35"/>
      <c r="FA160" s="35"/>
      <c r="FB160" s="35"/>
      <c r="FC160" s="35"/>
      <c r="FD160" s="35"/>
      <c r="FE160" s="35"/>
      <c r="FF160" s="35"/>
      <c r="FG160" s="35"/>
      <c r="FH160" s="35"/>
      <c r="FI160" s="35"/>
      <c r="FJ160" s="35"/>
      <c r="FK160" s="35"/>
      <c r="FL160" s="35"/>
      <c r="FM160" s="35"/>
      <c r="FN160" s="35"/>
      <c r="FO160" s="35"/>
      <c r="FP160" s="35"/>
      <c r="FQ160" s="35"/>
      <c r="FR160" s="35"/>
      <c r="FS160" s="35"/>
      <c r="FT160" s="35"/>
      <c r="FU160" s="35"/>
      <c r="FV160" s="35"/>
      <c r="FW160" s="35"/>
      <c r="FX160" s="35"/>
      <c r="FY160" s="35"/>
      <c r="FZ160" s="35"/>
      <c r="GA160" s="35"/>
      <c r="GB160" s="35"/>
      <c r="GC160" s="35"/>
      <c r="GD160" s="35"/>
      <c r="GE160" s="35"/>
      <c r="GF160" s="35"/>
      <c r="GG160" s="35"/>
      <c r="GH160" s="35"/>
      <c r="GI160" s="35"/>
      <c r="GJ160" s="35"/>
      <c r="GK160" s="35"/>
      <c r="GL160" s="35"/>
      <c r="GM160" s="35"/>
      <c r="GN160" s="35"/>
      <c r="GO160" s="35"/>
      <c r="GP160" s="35"/>
      <c r="GQ160" s="35"/>
      <c r="GR160" s="35"/>
      <c r="GS160" s="35"/>
      <c r="GT160" s="35"/>
      <c r="GU160" s="35"/>
      <c r="GV160" s="35"/>
      <c r="GW160" s="35"/>
      <c r="GX160" s="35"/>
      <c r="GY160" s="35"/>
      <c r="GZ160" s="35"/>
      <c r="HA160" s="35"/>
      <c r="HB160" s="35"/>
      <c r="HC160" s="35"/>
      <c r="HD160" s="35"/>
      <c r="HE160" s="35"/>
      <c r="HF160" s="35"/>
      <c r="HG160" s="35"/>
      <c r="HH160" s="35"/>
      <c r="HI160" s="35"/>
      <c r="HJ160" s="35"/>
      <c r="HK160" s="35"/>
      <c r="HL160" s="35"/>
      <c r="HM160" s="35"/>
      <c r="HN160" s="35"/>
      <c r="HO160" s="35"/>
      <c r="HP160" s="35"/>
      <c r="HQ160" s="35"/>
      <c r="HR160" s="35"/>
      <c r="HS160" s="35"/>
      <c r="HT160" s="35"/>
      <c r="HU160" s="35"/>
      <c r="HV160" s="35"/>
      <c r="HW160" s="35"/>
      <c r="HX160" s="35"/>
      <c r="HY160" s="35"/>
      <c r="HZ160" s="35"/>
      <c r="IA160" s="35"/>
      <c r="IB160" s="35"/>
      <c r="IC160" s="35"/>
      <c r="ID160" s="35"/>
      <c r="IE160" s="35"/>
      <c r="IF160" s="35"/>
      <c r="IG160" s="35"/>
      <c r="IH160" s="35"/>
      <c r="II160" s="35"/>
      <c r="IJ160" s="35"/>
      <c r="IK160" s="35"/>
      <c r="IL160" s="35"/>
      <c r="IM160" s="35"/>
      <c r="IN160" s="35"/>
      <c r="IO160" s="35"/>
      <c r="IP160" s="35"/>
      <c r="IQ160" s="35"/>
      <c r="IR160" s="35"/>
      <c r="IS160" s="35"/>
      <c r="IT160" s="35"/>
      <c r="IU160" s="35"/>
      <c r="IV160" s="35"/>
      <c r="IW160" s="35"/>
      <c r="IX160" s="35"/>
      <c r="IY160" s="35"/>
      <c r="IZ160" s="35"/>
      <c r="JA160" s="35"/>
      <c r="JB160" s="35"/>
      <c r="JC160" s="35"/>
      <c r="JD160" s="35"/>
      <c r="JE160" s="35"/>
    </row>
    <row r="161">
      <c r="A161" s="42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  <c r="CX161" s="35"/>
      <c r="CY161" s="35"/>
      <c r="CZ161" s="35"/>
      <c r="DA161" s="35"/>
      <c r="DB161" s="35"/>
      <c r="DC161" s="35"/>
      <c r="DD161" s="35"/>
      <c r="DE161" s="35"/>
      <c r="DF161" s="35"/>
      <c r="DG161" s="35"/>
      <c r="DH161" s="35"/>
      <c r="DI161" s="35"/>
      <c r="DJ161" s="35"/>
      <c r="DK161" s="35"/>
      <c r="DL161" s="35"/>
      <c r="DM161" s="35"/>
      <c r="DN161" s="35"/>
      <c r="DO161" s="35"/>
      <c r="DP161" s="35"/>
      <c r="DQ161" s="35"/>
      <c r="DR161" s="35"/>
      <c r="DS161" s="35"/>
      <c r="DT161" s="35"/>
      <c r="DU161" s="35"/>
      <c r="DV161" s="35"/>
      <c r="DW161" s="35"/>
      <c r="DX161" s="35"/>
      <c r="DY161" s="35"/>
      <c r="DZ161" s="35"/>
      <c r="EA161" s="35"/>
      <c r="EB161" s="35"/>
      <c r="EC161" s="35"/>
      <c r="ED161" s="35"/>
      <c r="EE161" s="35"/>
      <c r="EF161" s="35"/>
      <c r="EG161" s="35"/>
      <c r="EH161" s="35"/>
      <c r="EI161" s="35"/>
      <c r="EJ161" s="35"/>
      <c r="EK161" s="35"/>
      <c r="EL161" s="35"/>
      <c r="EM161" s="35"/>
      <c r="EN161" s="35"/>
      <c r="EO161" s="35"/>
      <c r="EP161" s="35"/>
      <c r="EQ161" s="35"/>
      <c r="ER161" s="35"/>
      <c r="ES161" s="35"/>
      <c r="ET161" s="35"/>
      <c r="EU161" s="35"/>
      <c r="EV161" s="35"/>
      <c r="EW161" s="35"/>
      <c r="EX161" s="35"/>
      <c r="EY161" s="35"/>
      <c r="EZ161" s="35"/>
      <c r="FA161" s="35"/>
      <c r="FB161" s="35"/>
      <c r="FC161" s="35"/>
      <c r="FD161" s="35"/>
      <c r="FE161" s="35"/>
      <c r="FF161" s="35"/>
      <c r="FG161" s="35"/>
      <c r="FH161" s="35"/>
      <c r="FI161" s="35"/>
      <c r="FJ161" s="35"/>
      <c r="FK161" s="35"/>
      <c r="FL161" s="35"/>
      <c r="FM161" s="35"/>
      <c r="FN161" s="35"/>
      <c r="FO161" s="35"/>
      <c r="FP161" s="35"/>
      <c r="FQ161" s="35"/>
      <c r="FR161" s="35"/>
      <c r="FS161" s="35"/>
      <c r="FT161" s="35"/>
      <c r="FU161" s="35"/>
      <c r="FV161" s="35"/>
      <c r="FW161" s="35"/>
      <c r="FX161" s="35"/>
      <c r="FY161" s="35"/>
      <c r="FZ161" s="35"/>
      <c r="GA161" s="35"/>
      <c r="GB161" s="35"/>
      <c r="GC161" s="35"/>
      <c r="GD161" s="35"/>
      <c r="GE161" s="35"/>
      <c r="GF161" s="35"/>
      <c r="GG161" s="35"/>
      <c r="GH161" s="35"/>
      <c r="GI161" s="35"/>
      <c r="GJ161" s="35"/>
      <c r="GK161" s="35"/>
      <c r="GL161" s="35"/>
      <c r="GM161" s="35"/>
      <c r="GN161" s="35"/>
      <c r="GO161" s="35"/>
      <c r="GP161" s="35"/>
      <c r="GQ161" s="35"/>
      <c r="GR161" s="35"/>
      <c r="GS161" s="35"/>
      <c r="GT161" s="35"/>
      <c r="GU161" s="35"/>
      <c r="GV161" s="35"/>
      <c r="GW161" s="35"/>
      <c r="GX161" s="35"/>
      <c r="GY161" s="35"/>
      <c r="GZ161" s="35"/>
      <c r="HA161" s="35"/>
      <c r="HB161" s="35"/>
      <c r="HC161" s="35"/>
      <c r="HD161" s="35"/>
      <c r="HE161" s="35"/>
      <c r="HF161" s="35"/>
      <c r="HG161" s="35"/>
      <c r="HH161" s="35"/>
      <c r="HI161" s="35"/>
      <c r="HJ161" s="35"/>
      <c r="HK161" s="35"/>
      <c r="HL161" s="35"/>
      <c r="HM161" s="35"/>
      <c r="HN161" s="35"/>
      <c r="HO161" s="35"/>
      <c r="HP161" s="35"/>
      <c r="HQ161" s="35"/>
      <c r="HR161" s="35"/>
      <c r="HS161" s="35"/>
      <c r="HT161" s="35"/>
      <c r="HU161" s="35"/>
      <c r="HV161" s="35"/>
      <c r="HW161" s="35"/>
      <c r="HX161" s="35"/>
      <c r="HY161" s="35"/>
      <c r="HZ161" s="35"/>
      <c r="IA161" s="35"/>
      <c r="IB161" s="35"/>
      <c r="IC161" s="35"/>
      <c r="ID161" s="35"/>
      <c r="IE161" s="35"/>
      <c r="IF161" s="35"/>
      <c r="IG161" s="35"/>
      <c r="IH161" s="35"/>
      <c r="II161" s="35"/>
      <c r="IJ161" s="35"/>
      <c r="IK161" s="35"/>
      <c r="IL161" s="35"/>
      <c r="IM161" s="35"/>
      <c r="IN161" s="35"/>
      <c r="IO161" s="35"/>
      <c r="IP161" s="35"/>
      <c r="IQ161" s="35"/>
      <c r="IR161" s="35"/>
      <c r="IS161" s="35"/>
      <c r="IT161" s="35"/>
      <c r="IU161" s="35"/>
      <c r="IV161" s="35"/>
      <c r="IW161" s="35"/>
      <c r="IX161" s="35"/>
      <c r="IY161" s="35"/>
      <c r="IZ161" s="35"/>
      <c r="JA161" s="35"/>
      <c r="JB161" s="35"/>
      <c r="JC161" s="35"/>
      <c r="JD161" s="35"/>
      <c r="JE161" s="35"/>
    </row>
    <row r="162">
      <c r="A162" s="42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/>
      <c r="DC162" s="35"/>
      <c r="DD162" s="35"/>
      <c r="DE162" s="35"/>
      <c r="DF162" s="35"/>
      <c r="DG162" s="35"/>
      <c r="DH162" s="35"/>
      <c r="DI162" s="35"/>
      <c r="DJ162" s="35"/>
      <c r="DK162" s="35"/>
      <c r="DL162" s="35"/>
      <c r="DM162" s="35"/>
      <c r="DN162" s="35"/>
      <c r="DO162" s="35"/>
      <c r="DP162" s="35"/>
      <c r="DQ162" s="35"/>
      <c r="DR162" s="35"/>
      <c r="DS162" s="35"/>
      <c r="DT162" s="35"/>
      <c r="DU162" s="35"/>
      <c r="DV162" s="35"/>
      <c r="DW162" s="35"/>
      <c r="DX162" s="35"/>
      <c r="DY162" s="35"/>
      <c r="DZ162" s="35"/>
      <c r="EA162" s="35"/>
      <c r="EB162" s="35"/>
      <c r="EC162" s="35"/>
      <c r="ED162" s="35"/>
      <c r="EE162" s="35"/>
      <c r="EF162" s="35"/>
      <c r="EG162" s="35"/>
      <c r="EH162" s="35"/>
      <c r="EI162" s="35"/>
      <c r="EJ162" s="35"/>
      <c r="EK162" s="35"/>
      <c r="EL162" s="35"/>
      <c r="EM162" s="35"/>
      <c r="EN162" s="35"/>
      <c r="EO162" s="35"/>
      <c r="EP162" s="35"/>
      <c r="EQ162" s="35"/>
      <c r="ER162" s="35"/>
      <c r="ES162" s="35"/>
      <c r="ET162" s="35"/>
      <c r="EU162" s="35"/>
      <c r="EV162" s="35"/>
      <c r="EW162" s="35"/>
      <c r="EX162" s="35"/>
      <c r="EY162" s="35"/>
      <c r="EZ162" s="35"/>
      <c r="FA162" s="35"/>
      <c r="FB162" s="35"/>
      <c r="FC162" s="35"/>
      <c r="FD162" s="35"/>
      <c r="FE162" s="35"/>
      <c r="FF162" s="35"/>
      <c r="FG162" s="35"/>
      <c r="FH162" s="35"/>
      <c r="FI162" s="35"/>
      <c r="FJ162" s="35"/>
      <c r="FK162" s="35"/>
      <c r="FL162" s="35"/>
      <c r="FM162" s="35"/>
      <c r="FN162" s="35"/>
      <c r="FO162" s="35"/>
      <c r="FP162" s="35"/>
      <c r="FQ162" s="35"/>
      <c r="FR162" s="35"/>
      <c r="FS162" s="35"/>
      <c r="FT162" s="35"/>
      <c r="FU162" s="35"/>
      <c r="FV162" s="35"/>
      <c r="FW162" s="35"/>
      <c r="FX162" s="35"/>
      <c r="FY162" s="35"/>
      <c r="FZ162" s="35"/>
      <c r="GA162" s="35"/>
      <c r="GB162" s="35"/>
      <c r="GC162" s="35"/>
      <c r="GD162" s="35"/>
      <c r="GE162" s="35"/>
      <c r="GF162" s="35"/>
      <c r="GG162" s="35"/>
      <c r="GH162" s="35"/>
      <c r="GI162" s="35"/>
      <c r="GJ162" s="35"/>
      <c r="GK162" s="35"/>
      <c r="GL162" s="35"/>
      <c r="GM162" s="35"/>
      <c r="GN162" s="35"/>
      <c r="GO162" s="35"/>
      <c r="GP162" s="35"/>
      <c r="GQ162" s="35"/>
      <c r="GR162" s="35"/>
      <c r="GS162" s="35"/>
      <c r="GT162" s="35"/>
      <c r="GU162" s="35"/>
      <c r="GV162" s="35"/>
      <c r="GW162" s="35"/>
      <c r="GX162" s="35"/>
      <c r="GY162" s="35"/>
      <c r="GZ162" s="35"/>
      <c r="HA162" s="35"/>
      <c r="HB162" s="35"/>
      <c r="HC162" s="35"/>
      <c r="HD162" s="35"/>
      <c r="HE162" s="35"/>
      <c r="HF162" s="35"/>
      <c r="HG162" s="35"/>
      <c r="HH162" s="35"/>
      <c r="HI162" s="35"/>
      <c r="HJ162" s="35"/>
      <c r="HK162" s="35"/>
      <c r="HL162" s="35"/>
      <c r="HM162" s="35"/>
      <c r="HN162" s="35"/>
      <c r="HO162" s="35"/>
      <c r="HP162" s="35"/>
      <c r="HQ162" s="35"/>
      <c r="HR162" s="35"/>
      <c r="HS162" s="35"/>
      <c r="HT162" s="35"/>
      <c r="HU162" s="35"/>
      <c r="HV162" s="35"/>
      <c r="HW162" s="35"/>
      <c r="HX162" s="35"/>
      <c r="HY162" s="35"/>
      <c r="HZ162" s="35"/>
      <c r="IA162" s="35"/>
      <c r="IB162" s="35"/>
      <c r="IC162" s="35"/>
      <c r="ID162" s="35"/>
      <c r="IE162" s="35"/>
      <c r="IF162" s="35"/>
      <c r="IG162" s="35"/>
      <c r="IH162" s="35"/>
      <c r="II162" s="35"/>
      <c r="IJ162" s="35"/>
      <c r="IK162" s="35"/>
      <c r="IL162" s="35"/>
      <c r="IM162" s="35"/>
      <c r="IN162" s="35"/>
      <c r="IO162" s="35"/>
      <c r="IP162" s="35"/>
      <c r="IQ162" s="35"/>
      <c r="IR162" s="35"/>
      <c r="IS162" s="35"/>
      <c r="IT162" s="35"/>
      <c r="IU162" s="35"/>
      <c r="IV162" s="35"/>
      <c r="IW162" s="35"/>
      <c r="IX162" s="35"/>
      <c r="IY162" s="35"/>
      <c r="IZ162" s="35"/>
      <c r="JA162" s="35"/>
      <c r="JB162" s="35"/>
      <c r="JC162" s="35"/>
      <c r="JD162" s="35"/>
      <c r="JE162" s="35"/>
    </row>
    <row r="163">
      <c r="A163" s="42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  <c r="CX163" s="35"/>
      <c r="CY163" s="35"/>
      <c r="CZ163" s="35"/>
      <c r="DA163" s="35"/>
      <c r="DB163" s="35"/>
      <c r="DC163" s="35"/>
      <c r="DD163" s="35"/>
      <c r="DE163" s="35"/>
      <c r="DF163" s="35"/>
      <c r="DG163" s="35"/>
      <c r="DH163" s="35"/>
      <c r="DI163" s="35"/>
      <c r="DJ163" s="35"/>
      <c r="DK163" s="35"/>
      <c r="DL163" s="35"/>
      <c r="DM163" s="35"/>
      <c r="DN163" s="35"/>
      <c r="DO163" s="35"/>
      <c r="DP163" s="35"/>
      <c r="DQ163" s="35"/>
      <c r="DR163" s="35"/>
      <c r="DS163" s="35"/>
      <c r="DT163" s="35"/>
      <c r="DU163" s="35"/>
      <c r="DV163" s="35"/>
      <c r="DW163" s="35"/>
      <c r="DX163" s="35"/>
      <c r="DY163" s="35"/>
      <c r="DZ163" s="35"/>
      <c r="EA163" s="35"/>
      <c r="EB163" s="35"/>
      <c r="EC163" s="35"/>
      <c r="ED163" s="35"/>
      <c r="EE163" s="35"/>
      <c r="EF163" s="35"/>
      <c r="EG163" s="35"/>
      <c r="EH163" s="35"/>
      <c r="EI163" s="35"/>
      <c r="EJ163" s="35"/>
      <c r="EK163" s="35"/>
      <c r="EL163" s="35"/>
      <c r="EM163" s="35"/>
      <c r="EN163" s="35"/>
      <c r="EO163" s="35"/>
      <c r="EP163" s="35"/>
      <c r="EQ163" s="35"/>
      <c r="ER163" s="35"/>
      <c r="ES163" s="35"/>
      <c r="ET163" s="35"/>
      <c r="EU163" s="35"/>
      <c r="EV163" s="35"/>
      <c r="EW163" s="35"/>
      <c r="EX163" s="35"/>
      <c r="EY163" s="35"/>
      <c r="EZ163" s="35"/>
      <c r="FA163" s="35"/>
      <c r="FB163" s="35"/>
      <c r="FC163" s="35"/>
      <c r="FD163" s="35"/>
      <c r="FE163" s="35"/>
      <c r="FF163" s="35"/>
      <c r="FG163" s="35"/>
      <c r="FH163" s="35"/>
      <c r="FI163" s="35"/>
      <c r="FJ163" s="35"/>
      <c r="FK163" s="35"/>
      <c r="FL163" s="35"/>
      <c r="FM163" s="35"/>
      <c r="FN163" s="35"/>
      <c r="FO163" s="35"/>
      <c r="FP163" s="35"/>
      <c r="FQ163" s="35"/>
      <c r="FR163" s="35"/>
      <c r="FS163" s="35"/>
      <c r="FT163" s="35"/>
      <c r="FU163" s="35"/>
      <c r="FV163" s="35"/>
      <c r="FW163" s="35"/>
      <c r="FX163" s="35"/>
      <c r="FY163" s="35"/>
      <c r="FZ163" s="35"/>
      <c r="GA163" s="35"/>
      <c r="GB163" s="35"/>
      <c r="GC163" s="35"/>
      <c r="GD163" s="35"/>
      <c r="GE163" s="35"/>
      <c r="GF163" s="35"/>
      <c r="GG163" s="35"/>
      <c r="GH163" s="35"/>
      <c r="GI163" s="35"/>
      <c r="GJ163" s="35"/>
      <c r="GK163" s="35"/>
      <c r="GL163" s="35"/>
      <c r="GM163" s="35"/>
      <c r="GN163" s="35"/>
      <c r="GO163" s="35"/>
      <c r="GP163" s="35"/>
      <c r="GQ163" s="35"/>
      <c r="GR163" s="35"/>
      <c r="GS163" s="35"/>
      <c r="GT163" s="35"/>
      <c r="GU163" s="35"/>
      <c r="GV163" s="35"/>
      <c r="GW163" s="35"/>
      <c r="GX163" s="35"/>
      <c r="GY163" s="35"/>
      <c r="GZ163" s="35"/>
      <c r="HA163" s="35"/>
      <c r="HB163" s="35"/>
      <c r="HC163" s="35"/>
      <c r="HD163" s="35"/>
      <c r="HE163" s="35"/>
      <c r="HF163" s="35"/>
      <c r="HG163" s="35"/>
      <c r="HH163" s="35"/>
      <c r="HI163" s="35"/>
      <c r="HJ163" s="35"/>
      <c r="HK163" s="35"/>
      <c r="HL163" s="35"/>
      <c r="HM163" s="35"/>
      <c r="HN163" s="35"/>
      <c r="HO163" s="35"/>
      <c r="HP163" s="35"/>
      <c r="HQ163" s="35"/>
      <c r="HR163" s="35"/>
      <c r="HS163" s="35"/>
      <c r="HT163" s="35"/>
      <c r="HU163" s="35"/>
      <c r="HV163" s="35"/>
      <c r="HW163" s="35"/>
      <c r="HX163" s="35"/>
      <c r="HY163" s="35"/>
      <c r="HZ163" s="35"/>
      <c r="IA163" s="35"/>
      <c r="IB163" s="35"/>
      <c r="IC163" s="35"/>
      <c r="ID163" s="35"/>
      <c r="IE163" s="35"/>
      <c r="IF163" s="35"/>
      <c r="IG163" s="35"/>
      <c r="IH163" s="35"/>
      <c r="II163" s="35"/>
      <c r="IJ163" s="35"/>
      <c r="IK163" s="35"/>
      <c r="IL163" s="35"/>
      <c r="IM163" s="35"/>
      <c r="IN163" s="35"/>
      <c r="IO163" s="35"/>
      <c r="IP163" s="35"/>
      <c r="IQ163" s="35"/>
      <c r="IR163" s="35"/>
      <c r="IS163" s="35"/>
      <c r="IT163" s="35"/>
      <c r="IU163" s="35"/>
      <c r="IV163" s="35"/>
      <c r="IW163" s="35"/>
      <c r="IX163" s="35"/>
      <c r="IY163" s="35"/>
      <c r="IZ163" s="35"/>
      <c r="JA163" s="35"/>
      <c r="JB163" s="35"/>
      <c r="JC163" s="35"/>
      <c r="JD163" s="35"/>
      <c r="JE163" s="35"/>
    </row>
    <row r="164">
      <c r="A164" s="42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  <c r="CX164" s="35"/>
      <c r="CY164" s="35"/>
      <c r="CZ164" s="35"/>
      <c r="DA164" s="35"/>
      <c r="DB164" s="35"/>
      <c r="DC164" s="35"/>
      <c r="DD164" s="35"/>
      <c r="DE164" s="35"/>
      <c r="DF164" s="35"/>
      <c r="DG164" s="35"/>
      <c r="DH164" s="35"/>
      <c r="DI164" s="35"/>
      <c r="DJ164" s="35"/>
      <c r="DK164" s="35"/>
      <c r="DL164" s="35"/>
      <c r="DM164" s="35"/>
      <c r="DN164" s="35"/>
      <c r="DO164" s="35"/>
      <c r="DP164" s="35"/>
      <c r="DQ164" s="35"/>
      <c r="DR164" s="35"/>
      <c r="DS164" s="35"/>
      <c r="DT164" s="35"/>
      <c r="DU164" s="35"/>
      <c r="DV164" s="35"/>
      <c r="DW164" s="35"/>
      <c r="DX164" s="35"/>
      <c r="DY164" s="35"/>
      <c r="DZ164" s="35"/>
      <c r="EA164" s="35"/>
      <c r="EB164" s="35"/>
      <c r="EC164" s="35"/>
      <c r="ED164" s="35"/>
      <c r="EE164" s="35"/>
      <c r="EF164" s="35"/>
      <c r="EG164" s="35"/>
      <c r="EH164" s="35"/>
      <c r="EI164" s="35"/>
      <c r="EJ164" s="35"/>
      <c r="EK164" s="35"/>
      <c r="EL164" s="35"/>
      <c r="EM164" s="35"/>
      <c r="EN164" s="35"/>
      <c r="EO164" s="35"/>
      <c r="EP164" s="35"/>
      <c r="EQ164" s="35"/>
      <c r="ER164" s="35"/>
      <c r="ES164" s="35"/>
      <c r="ET164" s="35"/>
      <c r="EU164" s="35"/>
      <c r="EV164" s="35"/>
      <c r="EW164" s="35"/>
      <c r="EX164" s="35"/>
      <c r="EY164" s="35"/>
      <c r="EZ164" s="35"/>
      <c r="FA164" s="35"/>
      <c r="FB164" s="35"/>
      <c r="FC164" s="35"/>
      <c r="FD164" s="35"/>
      <c r="FE164" s="35"/>
      <c r="FF164" s="35"/>
      <c r="FG164" s="35"/>
      <c r="FH164" s="35"/>
      <c r="FI164" s="35"/>
      <c r="FJ164" s="35"/>
      <c r="FK164" s="35"/>
      <c r="FL164" s="35"/>
      <c r="FM164" s="35"/>
      <c r="FN164" s="35"/>
      <c r="FO164" s="35"/>
      <c r="FP164" s="35"/>
      <c r="FQ164" s="35"/>
      <c r="FR164" s="35"/>
      <c r="FS164" s="35"/>
      <c r="FT164" s="35"/>
      <c r="FU164" s="35"/>
      <c r="FV164" s="35"/>
      <c r="FW164" s="35"/>
      <c r="FX164" s="35"/>
      <c r="FY164" s="35"/>
      <c r="FZ164" s="35"/>
      <c r="GA164" s="35"/>
      <c r="GB164" s="35"/>
      <c r="GC164" s="35"/>
      <c r="GD164" s="35"/>
      <c r="GE164" s="35"/>
      <c r="GF164" s="35"/>
      <c r="GG164" s="35"/>
      <c r="GH164" s="35"/>
      <c r="GI164" s="35"/>
      <c r="GJ164" s="35"/>
      <c r="GK164" s="35"/>
      <c r="GL164" s="35"/>
      <c r="GM164" s="35"/>
      <c r="GN164" s="35"/>
      <c r="GO164" s="35"/>
      <c r="GP164" s="35"/>
      <c r="GQ164" s="35"/>
      <c r="GR164" s="35"/>
      <c r="GS164" s="35"/>
      <c r="GT164" s="35"/>
      <c r="GU164" s="35"/>
      <c r="GV164" s="35"/>
      <c r="GW164" s="35"/>
      <c r="GX164" s="35"/>
      <c r="GY164" s="35"/>
      <c r="GZ164" s="35"/>
      <c r="HA164" s="35"/>
      <c r="HB164" s="35"/>
      <c r="HC164" s="35"/>
      <c r="HD164" s="35"/>
      <c r="HE164" s="35"/>
      <c r="HF164" s="35"/>
      <c r="HG164" s="35"/>
      <c r="HH164" s="35"/>
      <c r="HI164" s="35"/>
      <c r="HJ164" s="35"/>
      <c r="HK164" s="35"/>
      <c r="HL164" s="35"/>
      <c r="HM164" s="35"/>
      <c r="HN164" s="35"/>
      <c r="HO164" s="35"/>
      <c r="HP164" s="35"/>
      <c r="HQ164" s="35"/>
      <c r="HR164" s="35"/>
      <c r="HS164" s="35"/>
      <c r="HT164" s="35"/>
      <c r="HU164" s="35"/>
      <c r="HV164" s="35"/>
      <c r="HW164" s="35"/>
      <c r="HX164" s="35"/>
      <c r="HY164" s="35"/>
      <c r="HZ164" s="35"/>
      <c r="IA164" s="35"/>
      <c r="IB164" s="35"/>
      <c r="IC164" s="35"/>
      <c r="ID164" s="35"/>
      <c r="IE164" s="35"/>
      <c r="IF164" s="35"/>
      <c r="IG164" s="35"/>
      <c r="IH164" s="35"/>
      <c r="II164" s="35"/>
      <c r="IJ164" s="35"/>
      <c r="IK164" s="35"/>
      <c r="IL164" s="35"/>
      <c r="IM164" s="35"/>
      <c r="IN164" s="35"/>
      <c r="IO164" s="35"/>
      <c r="IP164" s="35"/>
      <c r="IQ164" s="35"/>
      <c r="IR164" s="35"/>
      <c r="IS164" s="35"/>
      <c r="IT164" s="35"/>
      <c r="IU164" s="35"/>
      <c r="IV164" s="35"/>
      <c r="IW164" s="35"/>
      <c r="IX164" s="35"/>
      <c r="IY164" s="35"/>
      <c r="IZ164" s="35"/>
      <c r="JA164" s="35"/>
      <c r="JB164" s="35"/>
      <c r="JC164" s="35"/>
      <c r="JD164" s="35"/>
      <c r="JE164" s="35"/>
    </row>
    <row r="165">
      <c r="A165" s="42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  <c r="CX165" s="35"/>
      <c r="CY165" s="35"/>
      <c r="CZ165" s="35"/>
      <c r="DA165" s="35"/>
      <c r="DB165" s="35"/>
      <c r="DC165" s="35"/>
      <c r="DD165" s="35"/>
      <c r="DE165" s="35"/>
      <c r="DF165" s="35"/>
      <c r="DG165" s="35"/>
      <c r="DH165" s="35"/>
      <c r="DI165" s="35"/>
      <c r="DJ165" s="35"/>
      <c r="DK165" s="35"/>
      <c r="DL165" s="35"/>
      <c r="DM165" s="35"/>
      <c r="DN165" s="35"/>
      <c r="DO165" s="35"/>
      <c r="DP165" s="35"/>
      <c r="DQ165" s="35"/>
      <c r="DR165" s="35"/>
      <c r="DS165" s="35"/>
      <c r="DT165" s="35"/>
      <c r="DU165" s="35"/>
      <c r="DV165" s="35"/>
      <c r="DW165" s="35"/>
      <c r="DX165" s="35"/>
      <c r="DY165" s="35"/>
      <c r="DZ165" s="35"/>
      <c r="EA165" s="35"/>
      <c r="EB165" s="35"/>
      <c r="EC165" s="35"/>
      <c r="ED165" s="35"/>
      <c r="EE165" s="35"/>
      <c r="EF165" s="35"/>
      <c r="EG165" s="35"/>
      <c r="EH165" s="35"/>
      <c r="EI165" s="35"/>
      <c r="EJ165" s="35"/>
      <c r="EK165" s="35"/>
      <c r="EL165" s="35"/>
      <c r="EM165" s="35"/>
      <c r="EN165" s="35"/>
      <c r="EO165" s="35"/>
      <c r="EP165" s="35"/>
      <c r="EQ165" s="35"/>
      <c r="ER165" s="35"/>
      <c r="ES165" s="35"/>
      <c r="ET165" s="35"/>
      <c r="EU165" s="35"/>
      <c r="EV165" s="35"/>
      <c r="EW165" s="35"/>
      <c r="EX165" s="35"/>
      <c r="EY165" s="35"/>
      <c r="EZ165" s="35"/>
      <c r="FA165" s="35"/>
      <c r="FB165" s="35"/>
      <c r="FC165" s="35"/>
      <c r="FD165" s="35"/>
      <c r="FE165" s="35"/>
      <c r="FF165" s="35"/>
      <c r="FG165" s="35"/>
      <c r="FH165" s="35"/>
      <c r="FI165" s="35"/>
      <c r="FJ165" s="35"/>
      <c r="FK165" s="35"/>
      <c r="FL165" s="35"/>
      <c r="FM165" s="35"/>
      <c r="FN165" s="35"/>
      <c r="FO165" s="35"/>
      <c r="FP165" s="35"/>
      <c r="FQ165" s="35"/>
      <c r="FR165" s="35"/>
      <c r="FS165" s="35"/>
      <c r="FT165" s="35"/>
      <c r="FU165" s="35"/>
      <c r="FV165" s="35"/>
      <c r="FW165" s="35"/>
      <c r="FX165" s="35"/>
      <c r="FY165" s="35"/>
      <c r="FZ165" s="35"/>
      <c r="GA165" s="35"/>
      <c r="GB165" s="35"/>
      <c r="GC165" s="35"/>
      <c r="GD165" s="35"/>
      <c r="GE165" s="35"/>
      <c r="GF165" s="35"/>
      <c r="GG165" s="35"/>
      <c r="GH165" s="35"/>
      <c r="GI165" s="35"/>
      <c r="GJ165" s="35"/>
      <c r="GK165" s="35"/>
      <c r="GL165" s="35"/>
      <c r="GM165" s="35"/>
      <c r="GN165" s="35"/>
      <c r="GO165" s="35"/>
      <c r="GP165" s="35"/>
      <c r="GQ165" s="35"/>
      <c r="GR165" s="35"/>
      <c r="GS165" s="35"/>
      <c r="GT165" s="35"/>
      <c r="GU165" s="35"/>
      <c r="GV165" s="35"/>
      <c r="GW165" s="35"/>
      <c r="GX165" s="35"/>
      <c r="GY165" s="35"/>
      <c r="GZ165" s="35"/>
      <c r="HA165" s="35"/>
      <c r="HB165" s="35"/>
      <c r="HC165" s="35"/>
      <c r="HD165" s="35"/>
      <c r="HE165" s="35"/>
      <c r="HF165" s="35"/>
      <c r="HG165" s="35"/>
      <c r="HH165" s="35"/>
      <c r="HI165" s="35"/>
      <c r="HJ165" s="35"/>
      <c r="HK165" s="35"/>
      <c r="HL165" s="35"/>
      <c r="HM165" s="35"/>
      <c r="HN165" s="35"/>
      <c r="HO165" s="35"/>
      <c r="HP165" s="35"/>
      <c r="HQ165" s="35"/>
      <c r="HR165" s="35"/>
      <c r="HS165" s="35"/>
      <c r="HT165" s="35"/>
      <c r="HU165" s="35"/>
      <c r="HV165" s="35"/>
      <c r="HW165" s="35"/>
      <c r="HX165" s="35"/>
      <c r="HY165" s="35"/>
      <c r="HZ165" s="35"/>
      <c r="IA165" s="35"/>
      <c r="IB165" s="35"/>
      <c r="IC165" s="35"/>
      <c r="ID165" s="35"/>
      <c r="IE165" s="35"/>
      <c r="IF165" s="35"/>
      <c r="IG165" s="35"/>
      <c r="IH165" s="35"/>
      <c r="II165" s="35"/>
      <c r="IJ165" s="35"/>
      <c r="IK165" s="35"/>
      <c r="IL165" s="35"/>
      <c r="IM165" s="35"/>
      <c r="IN165" s="35"/>
      <c r="IO165" s="35"/>
      <c r="IP165" s="35"/>
      <c r="IQ165" s="35"/>
      <c r="IR165" s="35"/>
      <c r="IS165" s="35"/>
      <c r="IT165" s="35"/>
      <c r="IU165" s="35"/>
      <c r="IV165" s="35"/>
      <c r="IW165" s="35"/>
      <c r="IX165" s="35"/>
      <c r="IY165" s="35"/>
      <c r="IZ165" s="35"/>
      <c r="JA165" s="35"/>
      <c r="JB165" s="35"/>
      <c r="JC165" s="35"/>
      <c r="JD165" s="35"/>
      <c r="JE165" s="35"/>
    </row>
    <row r="166">
      <c r="A166" s="42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  <c r="DL166" s="35"/>
      <c r="DM166" s="35"/>
      <c r="DN166" s="35"/>
      <c r="DO166" s="35"/>
      <c r="DP166" s="35"/>
      <c r="DQ166" s="35"/>
      <c r="DR166" s="35"/>
      <c r="DS166" s="35"/>
      <c r="DT166" s="35"/>
      <c r="DU166" s="35"/>
      <c r="DV166" s="35"/>
      <c r="DW166" s="35"/>
      <c r="DX166" s="35"/>
      <c r="DY166" s="35"/>
      <c r="DZ166" s="35"/>
      <c r="EA166" s="35"/>
      <c r="EB166" s="35"/>
      <c r="EC166" s="35"/>
      <c r="ED166" s="35"/>
      <c r="EE166" s="35"/>
      <c r="EF166" s="35"/>
      <c r="EG166" s="35"/>
      <c r="EH166" s="35"/>
      <c r="EI166" s="35"/>
      <c r="EJ166" s="35"/>
      <c r="EK166" s="35"/>
      <c r="EL166" s="35"/>
      <c r="EM166" s="35"/>
      <c r="EN166" s="35"/>
      <c r="EO166" s="35"/>
      <c r="EP166" s="35"/>
      <c r="EQ166" s="35"/>
      <c r="ER166" s="35"/>
      <c r="ES166" s="35"/>
      <c r="ET166" s="35"/>
      <c r="EU166" s="35"/>
      <c r="EV166" s="35"/>
      <c r="EW166" s="35"/>
      <c r="EX166" s="35"/>
      <c r="EY166" s="35"/>
      <c r="EZ166" s="35"/>
      <c r="FA166" s="35"/>
      <c r="FB166" s="35"/>
      <c r="FC166" s="35"/>
      <c r="FD166" s="35"/>
      <c r="FE166" s="35"/>
      <c r="FF166" s="35"/>
      <c r="FG166" s="35"/>
      <c r="FH166" s="35"/>
      <c r="FI166" s="35"/>
      <c r="FJ166" s="35"/>
      <c r="FK166" s="35"/>
      <c r="FL166" s="35"/>
      <c r="FM166" s="35"/>
      <c r="FN166" s="35"/>
      <c r="FO166" s="35"/>
      <c r="FP166" s="35"/>
      <c r="FQ166" s="35"/>
      <c r="FR166" s="35"/>
      <c r="FS166" s="35"/>
      <c r="FT166" s="35"/>
      <c r="FU166" s="35"/>
      <c r="FV166" s="35"/>
      <c r="FW166" s="35"/>
      <c r="FX166" s="35"/>
      <c r="FY166" s="35"/>
      <c r="FZ166" s="35"/>
      <c r="GA166" s="35"/>
      <c r="GB166" s="35"/>
      <c r="GC166" s="35"/>
      <c r="GD166" s="35"/>
      <c r="GE166" s="35"/>
      <c r="GF166" s="35"/>
      <c r="GG166" s="35"/>
      <c r="GH166" s="35"/>
      <c r="GI166" s="35"/>
      <c r="GJ166" s="35"/>
      <c r="GK166" s="35"/>
      <c r="GL166" s="35"/>
      <c r="GM166" s="35"/>
      <c r="GN166" s="35"/>
      <c r="GO166" s="35"/>
      <c r="GP166" s="35"/>
      <c r="GQ166" s="35"/>
      <c r="GR166" s="35"/>
      <c r="GS166" s="35"/>
      <c r="GT166" s="35"/>
      <c r="GU166" s="35"/>
      <c r="GV166" s="35"/>
      <c r="GW166" s="35"/>
      <c r="GX166" s="35"/>
      <c r="GY166" s="35"/>
      <c r="GZ166" s="35"/>
      <c r="HA166" s="35"/>
      <c r="HB166" s="35"/>
      <c r="HC166" s="35"/>
      <c r="HD166" s="35"/>
      <c r="HE166" s="35"/>
      <c r="HF166" s="35"/>
      <c r="HG166" s="35"/>
      <c r="HH166" s="35"/>
      <c r="HI166" s="35"/>
      <c r="HJ166" s="35"/>
      <c r="HK166" s="35"/>
      <c r="HL166" s="35"/>
      <c r="HM166" s="35"/>
      <c r="HN166" s="35"/>
      <c r="HO166" s="35"/>
      <c r="HP166" s="35"/>
      <c r="HQ166" s="35"/>
      <c r="HR166" s="35"/>
      <c r="HS166" s="35"/>
      <c r="HT166" s="35"/>
      <c r="HU166" s="35"/>
      <c r="HV166" s="35"/>
      <c r="HW166" s="35"/>
      <c r="HX166" s="35"/>
      <c r="HY166" s="35"/>
      <c r="HZ166" s="35"/>
      <c r="IA166" s="35"/>
      <c r="IB166" s="35"/>
      <c r="IC166" s="35"/>
      <c r="ID166" s="35"/>
      <c r="IE166" s="35"/>
      <c r="IF166" s="35"/>
      <c r="IG166" s="35"/>
      <c r="IH166" s="35"/>
      <c r="II166" s="35"/>
      <c r="IJ166" s="35"/>
      <c r="IK166" s="35"/>
      <c r="IL166" s="35"/>
      <c r="IM166" s="35"/>
      <c r="IN166" s="35"/>
      <c r="IO166" s="35"/>
      <c r="IP166" s="35"/>
      <c r="IQ166" s="35"/>
      <c r="IR166" s="35"/>
      <c r="IS166" s="35"/>
      <c r="IT166" s="35"/>
      <c r="IU166" s="35"/>
      <c r="IV166" s="35"/>
      <c r="IW166" s="35"/>
      <c r="IX166" s="35"/>
      <c r="IY166" s="35"/>
      <c r="IZ166" s="35"/>
      <c r="JA166" s="35"/>
      <c r="JB166" s="35"/>
      <c r="JC166" s="35"/>
      <c r="JD166" s="35"/>
      <c r="JE166" s="35"/>
    </row>
    <row r="167">
      <c r="A167" s="42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  <c r="DI167" s="35"/>
      <c r="DJ167" s="35"/>
      <c r="DK167" s="35"/>
      <c r="DL167" s="35"/>
      <c r="DM167" s="35"/>
      <c r="DN167" s="35"/>
      <c r="DO167" s="35"/>
      <c r="DP167" s="35"/>
      <c r="DQ167" s="35"/>
      <c r="DR167" s="35"/>
      <c r="DS167" s="35"/>
      <c r="DT167" s="35"/>
      <c r="DU167" s="35"/>
      <c r="DV167" s="35"/>
      <c r="DW167" s="35"/>
      <c r="DX167" s="35"/>
      <c r="DY167" s="35"/>
      <c r="DZ167" s="35"/>
      <c r="EA167" s="35"/>
      <c r="EB167" s="35"/>
      <c r="EC167" s="35"/>
      <c r="ED167" s="35"/>
      <c r="EE167" s="35"/>
      <c r="EF167" s="35"/>
      <c r="EG167" s="35"/>
      <c r="EH167" s="35"/>
      <c r="EI167" s="35"/>
      <c r="EJ167" s="35"/>
      <c r="EK167" s="35"/>
      <c r="EL167" s="35"/>
      <c r="EM167" s="35"/>
      <c r="EN167" s="35"/>
      <c r="EO167" s="35"/>
      <c r="EP167" s="35"/>
      <c r="EQ167" s="35"/>
      <c r="ER167" s="35"/>
      <c r="ES167" s="35"/>
      <c r="ET167" s="35"/>
      <c r="EU167" s="35"/>
      <c r="EV167" s="35"/>
      <c r="EW167" s="35"/>
      <c r="EX167" s="35"/>
      <c r="EY167" s="35"/>
      <c r="EZ167" s="35"/>
      <c r="FA167" s="35"/>
      <c r="FB167" s="35"/>
      <c r="FC167" s="35"/>
      <c r="FD167" s="35"/>
      <c r="FE167" s="35"/>
      <c r="FF167" s="35"/>
      <c r="FG167" s="35"/>
      <c r="FH167" s="35"/>
      <c r="FI167" s="35"/>
      <c r="FJ167" s="35"/>
      <c r="FK167" s="35"/>
      <c r="FL167" s="35"/>
      <c r="FM167" s="35"/>
      <c r="FN167" s="35"/>
      <c r="FO167" s="35"/>
      <c r="FP167" s="35"/>
      <c r="FQ167" s="35"/>
      <c r="FR167" s="35"/>
      <c r="FS167" s="35"/>
      <c r="FT167" s="35"/>
      <c r="FU167" s="35"/>
      <c r="FV167" s="35"/>
      <c r="FW167" s="35"/>
      <c r="FX167" s="35"/>
      <c r="FY167" s="35"/>
      <c r="FZ167" s="35"/>
      <c r="GA167" s="35"/>
      <c r="GB167" s="35"/>
      <c r="GC167" s="35"/>
      <c r="GD167" s="35"/>
      <c r="GE167" s="35"/>
      <c r="GF167" s="35"/>
      <c r="GG167" s="35"/>
      <c r="GH167" s="35"/>
      <c r="GI167" s="35"/>
      <c r="GJ167" s="35"/>
      <c r="GK167" s="35"/>
      <c r="GL167" s="35"/>
      <c r="GM167" s="35"/>
      <c r="GN167" s="35"/>
      <c r="GO167" s="35"/>
      <c r="GP167" s="35"/>
      <c r="GQ167" s="35"/>
      <c r="GR167" s="35"/>
      <c r="GS167" s="35"/>
      <c r="GT167" s="35"/>
      <c r="GU167" s="35"/>
      <c r="GV167" s="35"/>
      <c r="GW167" s="35"/>
      <c r="GX167" s="35"/>
      <c r="GY167" s="35"/>
      <c r="GZ167" s="35"/>
      <c r="HA167" s="35"/>
      <c r="HB167" s="35"/>
      <c r="HC167" s="35"/>
      <c r="HD167" s="35"/>
      <c r="HE167" s="35"/>
      <c r="HF167" s="35"/>
      <c r="HG167" s="35"/>
      <c r="HH167" s="35"/>
      <c r="HI167" s="35"/>
      <c r="HJ167" s="35"/>
      <c r="HK167" s="35"/>
      <c r="HL167" s="35"/>
      <c r="HM167" s="35"/>
      <c r="HN167" s="35"/>
      <c r="HO167" s="35"/>
      <c r="HP167" s="35"/>
      <c r="HQ167" s="35"/>
      <c r="HR167" s="35"/>
      <c r="HS167" s="35"/>
      <c r="HT167" s="35"/>
      <c r="HU167" s="35"/>
      <c r="HV167" s="35"/>
      <c r="HW167" s="35"/>
      <c r="HX167" s="35"/>
      <c r="HY167" s="35"/>
      <c r="HZ167" s="35"/>
      <c r="IA167" s="35"/>
      <c r="IB167" s="35"/>
      <c r="IC167" s="35"/>
      <c r="ID167" s="35"/>
      <c r="IE167" s="35"/>
      <c r="IF167" s="35"/>
      <c r="IG167" s="35"/>
      <c r="IH167" s="35"/>
      <c r="II167" s="35"/>
      <c r="IJ167" s="35"/>
      <c r="IK167" s="35"/>
      <c r="IL167" s="35"/>
      <c r="IM167" s="35"/>
      <c r="IN167" s="35"/>
      <c r="IO167" s="35"/>
      <c r="IP167" s="35"/>
      <c r="IQ167" s="35"/>
      <c r="IR167" s="35"/>
      <c r="IS167" s="35"/>
      <c r="IT167" s="35"/>
      <c r="IU167" s="35"/>
      <c r="IV167" s="35"/>
      <c r="IW167" s="35"/>
      <c r="IX167" s="35"/>
      <c r="IY167" s="35"/>
      <c r="IZ167" s="35"/>
      <c r="JA167" s="35"/>
      <c r="JB167" s="35"/>
      <c r="JC167" s="35"/>
      <c r="JD167" s="35"/>
      <c r="JE167" s="35"/>
    </row>
    <row r="168">
      <c r="A168" s="42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  <c r="DL168" s="35"/>
      <c r="DM168" s="35"/>
      <c r="DN168" s="35"/>
      <c r="DO168" s="35"/>
      <c r="DP168" s="35"/>
      <c r="DQ168" s="35"/>
      <c r="DR168" s="35"/>
      <c r="DS168" s="35"/>
      <c r="DT168" s="35"/>
      <c r="DU168" s="35"/>
      <c r="DV168" s="35"/>
      <c r="DW168" s="35"/>
      <c r="DX168" s="35"/>
      <c r="DY168" s="35"/>
      <c r="DZ168" s="35"/>
      <c r="EA168" s="35"/>
      <c r="EB168" s="35"/>
      <c r="EC168" s="35"/>
      <c r="ED168" s="35"/>
      <c r="EE168" s="35"/>
      <c r="EF168" s="35"/>
      <c r="EG168" s="35"/>
      <c r="EH168" s="35"/>
      <c r="EI168" s="35"/>
      <c r="EJ168" s="35"/>
      <c r="EK168" s="35"/>
      <c r="EL168" s="35"/>
      <c r="EM168" s="35"/>
      <c r="EN168" s="35"/>
      <c r="EO168" s="35"/>
      <c r="EP168" s="35"/>
      <c r="EQ168" s="35"/>
      <c r="ER168" s="35"/>
      <c r="ES168" s="35"/>
      <c r="ET168" s="35"/>
      <c r="EU168" s="35"/>
      <c r="EV168" s="35"/>
      <c r="EW168" s="35"/>
      <c r="EX168" s="35"/>
      <c r="EY168" s="35"/>
      <c r="EZ168" s="35"/>
      <c r="FA168" s="35"/>
      <c r="FB168" s="35"/>
      <c r="FC168" s="35"/>
      <c r="FD168" s="35"/>
      <c r="FE168" s="35"/>
      <c r="FF168" s="35"/>
      <c r="FG168" s="35"/>
      <c r="FH168" s="35"/>
      <c r="FI168" s="35"/>
      <c r="FJ168" s="35"/>
      <c r="FK168" s="35"/>
      <c r="FL168" s="35"/>
      <c r="FM168" s="35"/>
      <c r="FN168" s="35"/>
      <c r="FO168" s="35"/>
      <c r="FP168" s="35"/>
      <c r="FQ168" s="35"/>
      <c r="FR168" s="35"/>
      <c r="FS168" s="35"/>
      <c r="FT168" s="35"/>
      <c r="FU168" s="35"/>
      <c r="FV168" s="35"/>
      <c r="FW168" s="35"/>
      <c r="FX168" s="35"/>
      <c r="FY168" s="35"/>
      <c r="FZ168" s="35"/>
      <c r="GA168" s="35"/>
      <c r="GB168" s="35"/>
      <c r="GC168" s="35"/>
      <c r="GD168" s="35"/>
      <c r="GE168" s="35"/>
      <c r="GF168" s="35"/>
      <c r="GG168" s="35"/>
      <c r="GH168" s="35"/>
      <c r="GI168" s="35"/>
      <c r="GJ168" s="35"/>
      <c r="GK168" s="35"/>
      <c r="GL168" s="35"/>
      <c r="GM168" s="35"/>
      <c r="GN168" s="35"/>
      <c r="GO168" s="35"/>
      <c r="GP168" s="35"/>
      <c r="GQ168" s="35"/>
      <c r="GR168" s="35"/>
      <c r="GS168" s="35"/>
      <c r="GT168" s="35"/>
      <c r="GU168" s="35"/>
      <c r="GV168" s="35"/>
      <c r="GW168" s="35"/>
      <c r="GX168" s="35"/>
      <c r="GY168" s="35"/>
      <c r="GZ168" s="35"/>
      <c r="HA168" s="35"/>
      <c r="HB168" s="35"/>
      <c r="HC168" s="35"/>
      <c r="HD168" s="35"/>
      <c r="HE168" s="35"/>
      <c r="HF168" s="35"/>
      <c r="HG168" s="35"/>
      <c r="HH168" s="35"/>
      <c r="HI168" s="35"/>
      <c r="HJ168" s="35"/>
      <c r="HK168" s="35"/>
      <c r="HL168" s="35"/>
      <c r="HM168" s="35"/>
      <c r="HN168" s="35"/>
      <c r="HO168" s="35"/>
      <c r="HP168" s="35"/>
      <c r="HQ168" s="35"/>
      <c r="HR168" s="35"/>
      <c r="HS168" s="35"/>
      <c r="HT168" s="35"/>
      <c r="HU168" s="35"/>
      <c r="HV168" s="35"/>
      <c r="HW168" s="35"/>
      <c r="HX168" s="35"/>
      <c r="HY168" s="35"/>
      <c r="HZ168" s="35"/>
      <c r="IA168" s="35"/>
      <c r="IB168" s="35"/>
      <c r="IC168" s="35"/>
      <c r="ID168" s="35"/>
      <c r="IE168" s="35"/>
      <c r="IF168" s="35"/>
      <c r="IG168" s="35"/>
      <c r="IH168" s="35"/>
      <c r="II168" s="35"/>
      <c r="IJ168" s="35"/>
      <c r="IK168" s="35"/>
      <c r="IL168" s="35"/>
      <c r="IM168" s="35"/>
      <c r="IN168" s="35"/>
      <c r="IO168" s="35"/>
      <c r="IP168" s="35"/>
      <c r="IQ168" s="35"/>
      <c r="IR168" s="35"/>
      <c r="IS168" s="35"/>
      <c r="IT168" s="35"/>
      <c r="IU168" s="35"/>
      <c r="IV168" s="35"/>
      <c r="IW168" s="35"/>
      <c r="IX168" s="35"/>
      <c r="IY168" s="35"/>
      <c r="IZ168" s="35"/>
      <c r="JA168" s="35"/>
      <c r="JB168" s="35"/>
      <c r="JC168" s="35"/>
      <c r="JD168" s="35"/>
      <c r="JE168" s="35"/>
    </row>
    <row r="169">
      <c r="A169" s="42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  <c r="CO169" s="35"/>
      <c r="CP169" s="35"/>
      <c r="CQ169" s="35"/>
      <c r="CR169" s="35"/>
      <c r="CS169" s="35"/>
      <c r="CT169" s="35"/>
      <c r="CU169" s="35"/>
      <c r="CV169" s="35"/>
      <c r="CW169" s="35"/>
      <c r="CX169" s="35"/>
      <c r="CY169" s="35"/>
      <c r="CZ169" s="35"/>
      <c r="DA169" s="35"/>
      <c r="DB169" s="35"/>
      <c r="DC169" s="35"/>
      <c r="DD169" s="35"/>
      <c r="DE169" s="35"/>
      <c r="DF169" s="35"/>
      <c r="DG169" s="35"/>
      <c r="DH169" s="35"/>
      <c r="DI169" s="35"/>
      <c r="DJ169" s="35"/>
      <c r="DK169" s="35"/>
      <c r="DL169" s="35"/>
      <c r="DM169" s="35"/>
      <c r="DN169" s="35"/>
      <c r="DO169" s="35"/>
      <c r="DP169" s="35"/>
      <c r="DQ169" s="35"/>
      <c r="DR169" s="35"/>
      <c r="DS169" s="35"/>
      <c r="DT169" s="35"/>
      <c r="DU169" s="35"/>
      <c r="DV169" s="35"/>
      <c r="DW169" s="35"/>
      <c r="DX169" s="35"/>
      <c r="DY169" s="35"/>
      <c r="DZ169" s="35"/>
      <c r="EA169" s="35"/>
      <c r="EB169" s="35"/>
      <c r="EC169" s="35"/>
      <c r="ED169" s="35"/>
      <c r="EE169" s="35"/>
      <c r="EF169" s="35"/>
      <c r="EG169" s="35"/>
      <c r="EH169" s="35"/>
      <c r="EI169" s="35"/>
      <c r="EJ169" s="35"/>
      <c r="EK169" s="35"/>
      <c r="EL169" s="35"/>
      <c r="EM169" s="35"/>
      <c r="EN169" s="35"/>
      <c r="EO169" s="35"/>
      <c r="EP169" s="35"/>
      <c r="EQ169" s="35"/>
      <c r="ER169" s="35"/>
      <c r="ES169" s="35"/>
      <c r="ET169" s="35"/>
      <c r="EU169" s="35"/>
      <c r="EV169" s="35"/>
      <c r="EW169" s="35"/>
      <c r="EX169" s="35"/>
      <c r="EY169" s="35"/>
      <c r="EZ169" s="35"/>
      <c r="FA169" s="35"/>
      <c r="FB169" s="35"/>
      <c r="FC169" s="35"/>
      <c r="FD169" s="35"/>
      <c r="FE169" s="35"/>
      <c r="FF169" s="35"/>
      <c r="FG169" s="35"/>
      <c r="FH169" s="35"/>
      <c r="FI169" s="35"/>
      <c r="FJ169" s="35"/>
      <c r="FK169" s="35"/>
      <c r="FL169" s="35"/>
      <c r="FM169" s="35"/>
      <c r="FN169" s="35"/>
      <c r="FO169" s="35"/>
      <c r="FP169" s="35"/>
      <c r="FQ169" s="35"/>
      <c r="FR169" s="35"/>
      <c r="FS169" s="35"/>
      <c r="FT169" s="35"/>
      <c r="FU169" s="35"/>
      <c r="FV169" s="35"/>
      <c r="FW169" s="35"/>
      <c r="FX169" s="35"/>
      <c r="FY169" s="35"/>
      <c r="FZ169" s="35"/>
      <c r="GA169" s="35"/>
      <c r="GB169" s="35"/>
      <c r="GC169" s="35"/>
      <c r="GD169" s="35"/>
      <c r="GE169" s="35"/>
      <c r="GF169" s="35"/>
      <c r="GG169" s="35"/>
      <c r="GH169" s="35"/>
      <c r="GI169" s="35"/>
      <c r="GJ169" s="35"/>
      <c r="GK169" s="35"/>
      <c r="GL169" s="35"/>
      <c r="GM169" s="35"/>
      <c r="GN169" s="35"/>
      <c r="GO169" s="35"/>
      <c r="GP169" s="35"/>
      <c r="GQ169" s="35"/>
      <c r="GR169" s="35"/>
      <c r="GS169" s="35"/>
      <c r="GT169" s="35"/>
      <c r="GU169" s="35"/>
      <c r="GV169" s="35"/>
      <c r="GW169" s="35"/>
      <c r="GX169" s="35"/>
      <c r="GY169" s="35"/>
      <c r="GZ169" s="35"/>
      <c r="HA169" s="35"/>
      <c r="HB169" s="35"/>
      <c r="HC169" s="35"/>
      <c r="HD169" s="35"/>
      <c r="HE169" s="35"/>
      <c r="HF169" s="35"/>
      <c r="HG169" s="35"/>
      <c r="HH169" s="35"/>
      <c r="HI169" s="35"/>
      <c r="HJ169" s="35"/>
      <c r="HK169" s="35"/>
      <c r="HL169" s="35"/>
      <c r="HM169" s="35"/>
      <c r="HN169" s="35"/>
      <c r="HO169" s="35"/>
      <c r="HP169" s="35"/>
      <c r="HQ169" s="35"/>
      <c r="HR169" s="35"/>
      <c r="HS169" s="35"/>
      <c r="HT169" s="35"/>
      <c r="HU169" s="35"/>
      <c r="HV169" s="35"/>
      <c r="HW169" s="35"/>
      <c r="HX169" s="35"/>
      <c r="HY169" s="35"/>
      <c r="HZ169" s="35"/>
      <c r="IA169" s="35"/>
      <c r="IB169" s="35"/>
      <c r="IC169" s="35"/>
      <c r="ID169" s="35"/>
      <c r="IE169" s="35"/>
      <c r="IF169" s="35"/>
      <c r="IG169" s="35"/>
      <c r="IH169" s="35"/>
      <c r="II169" s="35"/>
      <c r="IJ169" s="35"/>
      <c r="IK169" s="35"/>
      <c r="IL169" s="35"/>
      <c r="IM169" s="35"/>
      <c r="IN169" s="35"/>
      <c r="IO169" s="35"/>
      <c r="IP169" s="35"/>
      <c r="IQ169" s="35"/>
      <c r="IR169" s="35"/>
      <c r="IS169" s="35"/>
      <c r="IT169" s="35"/>
      <c r="IU169" s="35"/>
      <c r="IV169" s="35"/>
      <c r="IW169" s="35"/>
      <c r="IX169" s="35"/>
      <c r="IY169" s="35"/>
      <c r="IZ169" s="35"/>
      <c r="JA169" s="35"/>
      <c r="JB169" s="35"/>
      <c r="JC169" s="35"/>
      <c r="JD169" s="35"/>
      <c r="JE169" s="35"/>
    </row>
    <row r="170">
      <c r="A170" s="42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  <c r="CZ170" s="35"/>
      <c r="DA170" s="35"/>
      <c r="DB170" s="35"/>
      <c r="DC170" s="35"/>
      <c r="DD170" s="35"/>
      <c r="DE170" s="35"/>
      <c r="DF170" s="35"/>
      <c r="DG170" s="35"/>
      <c r="DH170" s="35"/>
      <c r="DI170" s="35"/>
      <c r="DJ170" s="35"/>
      <c r="DK170" s="35"/>
      <c r="DL170" s="35"/>
      <c r="DM170" s="35"/>
      <c r="DN170" s="35"/>
      <c r="DO170" s="35"/>
      <c r="DP170" s="35"/>
      <c r="DQ170" s="35"/>
      <c r="DR170" s="35"/>
      <c r="DS170" s="35"/>
      <c r="DT170" s="35"/>
      <c r="DU170" s="35"/>
      <c r="DV170" s="35"/>
      <c r="DW170" s="35"/>
      <c r="DX170" s="35"/>
      <c r="DY170" s="35"/>
      <c r="DZ170" s="35"/>
      <c r="EA170" s="35"/>
      <c r="EB170" s="35"/>
      <c r="EC170" s="35"/>
      <c r="ED170" s="35"/>
      <c r="EE170" s="35"/>
      <c r="EF170" s="35"/>
      <c r="EG170" s="35"/>
      <c r="EH170" s="35"/>
      <c r="EI170" s="35"/>
      <c r="EJ170" s="35"/>
      <c r="EK170" s="35"/>
      <c r="EL170" s="35"/>
      <c r="EM170" s="35"/>
      <c r="EN170" s="35"/>
      <c r="EO170" s="35"/>
      <c r="EP170" s="35"/>
      <c r="EQ170" s="35"/>
      <c r="ER170" s="35"/>
      <c r="ES170" s="35"/>
      <c r="ET170" s="35"/>
      <c r="EU170" s="35"/>
      <c r="EV170" s="35"/>
      <c r="EW170" s="35"/>
      <c r="EX170" s="35"/>
      <c r="EY170" s="35"/>
      <c r="EZ170" s="35"/>
      <c r="FA170" s="35"/>
      <c r="FB170" s="35"/>
      <c r="FC170" s="35"/>
      <c r="FD170" s="35"/>
      <c r="FE170" s="35"/>
      <c r="FF170" s="35"/>
      <c r="FG170" s="35"/>
      <c r="FH170" s="35"/>
      <c r="FI170" s="35"/>
      <c r="FJ170" s="35"/>
      <c r="FK170" s="35"/>
      <c r="FL170" s="35"/>
      <c r="FM170" s="35"/>
      <c r="FN170" s="35"/>
      <c r="FO170" s="35"/>
      <c r="FP170" s="35"/>
      <c r="FQ170" s="35"/>
      <c r="FR170" s="35"/>
      <c r="FS170" s="35"/>
      <c r="FT170" s="35"/>
      <c r="FU170" s="35"/>
      <c r="FV170" s="35"/>
      <c r="FW170" s="35"/>
      <c r="FX170" s="35"/>
      <c r="FY170" s="35"/>
      <c r="FZ170" s="35"/>
      <c r="GA170" s="35"/>
      <c r="GB170" s="35"/>
      <c r="GC170" s="35"/>
      <c r="GD170" s="35"/>
      <c r="GE170" s="35"/>
      <c r="GF170" s="35"/>
      <c r="GG170" s="35"/>
      <c r="GH170" s="35"/>
      <c r="GI170" s="35"/>
      <c r="GJ170" s="35"/>
      <c r="GK170" s="35"/>
      <c r="GL170" s="35"/>
      <c r="GM170" s="35"/>
      <c r="GN170" s="35"/>
      <c r="GO170" s="35"/>
      <c r="GP170" s="35"/>
      <c r="GQ170" s="35"/>
      <c r="GR170" s="35"/>
      <c r="GS170" s="35"/>
      <c r="GT170" s="35"/>
      <c r="GU170" s="35"/>
      <c r="GV170" s="35"/>
      <c r="GW170" s="35"/>
      <c r="GX170" s="35"/>
      <c r="GY170" s="35"/>
      <c r="GZ170" s="35"/>
      <c r="HA170" s="35"/>
      <c r="HB170" s="35"/>
      <c r="HC170" s="35"/>
      <c r="HD170" s="35"/>
      <c r="HE170" s="35"/>
      <c r="HF170" s="35"/>
      <c r="HG170" s="35"/>
      <c r="HH170" s="35"/>
      <c r="HI170" s="35"/>
      <c r="HJ170" s="35"/>
      <c r="HK170" s="35"/>
      <c r="HL170" s="35"/>
      <c r="HM170" s="35"/>
      <c r="HN170" s="35"/>
      <c r="HO170" s="35"/>
      <c r="HP170" s="35"/>
      <c r="HQ170" s="35"/>
      <c r="HR170" s="35"/>
      <c r="HS170" s="35"/>
      <c r="HT170" s="35"/>
      <c r="HU170" s="35"/>
      <c r="HV170" s="35"/>
      <c r="HW170" s="35"/>
      <c r="HX170" s="35"/>
      <c r="HY170" s="35"/>
      <c r="HZ170" s="35"/>
      <c r="IA170" s="35"/>
      <c r="IB170" s="35"/>
      <c r="IC170" s="35"/>
      <c r="ID170" s="35"/>
      <c r="IE170" s="35"/>
      <c r="IF170" s="35"/>
      <c r="IG170" s="35"/>
      <c r="IH170" s="35"/>
      <c r="II170" s="35"/>
      <c r="IJ170" s="35"/>
      <c r="IK170" s="35"/>
      <c r="IL170" s="35"/>
      <c r="IM170" s="35"/>
      <c r="IN170" s="35"/>
      <c r="IO170" s="35"/>
      <c r="IP170" s="35"/>
      <c r="IQ170" s="35"/>
      <c r="IR170" s="35"/>
      <c r="IS170" s="35"/>
      <c r="IT170" s="35"/>
      <c r="IU170" s="35"/>
      <c r="IV170" s="35"/>
      <c r="IW170" s="35"/>
      <c r="IX170" s="35"/>
      <c r="IY170" s="35"/>
      <c r="IZ170" s="35"/>
      <c r="JA170" s="35"/>
      <c r="JB170" s="35"/>
      <c r="JC170" s="35"/>
      <c r="JD170" s="35"/>
      <c r="JE170" s="35"/>
    </row>
    <row r="171">
      <c r="A171" s="42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35"/>
      <c r="BW171" s="35"/>
      <c r="BX171" s="35"/>
      <c r="BY171" s="35"/>
      <c r="BZ171" s="35"/>
      <c r="CA171" s="35"/>
      <c r="CB171" s="35"/>
      <c r="CC171" s="35"/>
      <c r="CD171" s="35"/>
      <c r="CE171" s="35"/>
      <c r="CF171" s="35"/>
      <c r="CG171" s="35"/>
      <c r="CH171" s="35"/>
      <c r="CI171" s="35"/>
      <c r="CJ171" s="35"/>
      <c r="CK171" s="35"/>
      <c r="CL171" s="35"/>
      <c r="CM171" s="35"/>
      <c r="CN171" s="35"/>
      <c r="CO171" s="35"/>
      <c r="CP171" s="35"/>
      <c r="CQ171" s="35"/>
      <c r="CR171" s="35"/>
      <c r="CS171" s="35"/>
      <c r="CT171" s="35"/>
      <c r="CU171" s="35"/>
      <c r="CV171" s="35"/>
      <c r="CW171" s="35"/>
      <c r="CX171" s="35"/>
      <c r="CY171" s="35"/>
      <c r="CZ171" s="35"/>
      <c r="DA171" s="35"/>
      <c r="DB171" s="35"/>
      <c r="DC171" s="35"/>
      <c r="DD171" s="35"/>
      <c r="DE171" s="35"/>
      <c r="DF171" s="35"/>
      <c r="DG171" s="35"/>
      <c r="DH171" s="35"/>
      <c r="DI171" s="35"/>
      <c r="DJ171" s="35"/>
      <c r="DK171" s="35"/>
      <c r="DL171" s="35"/>
      <c r="DM171" s="35"/>
      <c r="DN171" s="35"/>
      <c r="DO171" s="35"/>
      <c r="DP171" s="35"/>
      <c r="DQ171" s="35"/>
      <c r="DR171" s="35"/>
      <c r="DS171" s="35"/>
      <c r="DT171" s="35"/>
      <c r="DU171" s="35"/>
      <c r="DV171" s="35"/>
      <c r="DW171" s="35"/>
      <c r="DX171" s="35"/>
      <c r="DY171" s="35"/>
      <c r="DZ171" s="35"/>
      <c r="EA171" s="35"/>
      <c r="EB171" s="35"/>
      <c r="EC171" s="35"/>
      <c r="ED171" s="35"/>
      <c r="EE171" s="35"/>
      <c r="EF171" s="35"/>
      <c r="EG171" s="35"/>
      <c r="EH171" s="35"/>
      <c r="EI171" s="35"/>
      <c r="EJ171" s="35"/>
      <c r="EK171" s="35"/>
      <c r="EL171" s="35"/>
      <c r="EM171" s="35"/>
      <c r="EN171" s="35"/>
      <c r="EO171" s="35"/>
      <c r="EP171" s="35"/>
      <c r="EQ171" s="35"/>
      <c r="ER171" s="35"/>
      <c r="ES171" s="35"/>
      <c r="ET171" s="35"/>
      <c r="EU171" s="35"/>
      <c r="EV171" s="35"/>
      <c r="EW171" s="35"/>
      <c r="EX171" s="35"/>
      <c r="EY171" s="35"/>
      <c r="EZ171" s="35"/>
      <c r="FA171" s="35"/>
      <c r="FB171" s="35"/>
      <c r="FC171" s="35"/>
      <c r="FD171" s="35"/>
      <c r="FE171" s="35"/>
      <c r="FF171" s="35"/>
      <c r="FG171" s="35"/>
      <c r="FH171" s="35"/>
      <c r="FI171" s="35"/>
      <c r="FJ171" s="35"/>
      <c r="FK171" s="35"/>
      <c r="FL171" s="35"/>
      <c r="FM171" s="35"/>
      <c r="FN171" s="35"/>
      <c r="FO171" s="35"/>
      <c r="FP171" s="35"/>
      <c r="FQ171" s="35"/>
      <c r="FR171" s="35"/>
      <c r="FS171" s="35"/>
      <c r="FT171" s="35"/>
      <c r="FU171" s="35"/>
      <c r="FV171" s="35"/>
      <c r="FW171" s="35"/>
      <c r="FX171" s="35"/>
      <c r="FY171" s="35"/>
      <c r="FZ171" s="35"/>
      <c r="GA171" s="35"/>
      <c r="GB171" s="35"/>
      <c r="GC171" s="35"/>
      <c r="GD171" s="35"/>
      <c r="GE171" s="35"/>
      <c r="GF171" s="35"/>
      <c r="GG171" s="35"/>
      <c r="GH171" s="35"/>
      <c r="GI171" s="35"/>
      <c r="GJ171" s="35"/>
      <c r="GK171" s="35"/>
      <c r="GL171" s="35"/>
      <c r="GM171" s="35"/>
      <c r="GN171" s="35"/>
      <c r="GO171" s="35"/>
      <c r="GP171" s="35"/>
      <c r="GQ171" s="35"/>
      <c r="GR171" s="35"/>
      <c r="GS171" s="35"/>
      <c r="GT171" s="35"/>
      <c r="GU171" s="35"/>
      <c r="GV171" s="35"/>
      <c r="GW171" s="35"/>
      <c r="GX171" s="35"/>
      <c r="GY171" s="35"/>
      <c r="GZ171" s="35"/>
      <c r="HA171" s="35"/>
      <c r="HB171" s="35"/>
      <c r="HC171" s="35"/>
      <c r="HD171" s="35"/>
      <c r="HE171" s="35"/>
      <c r="HF171" s="35"/>
      <c r="HG171" s="35"/>
      <c r="HH171" s="35"/>
      <c r="HI171" s="35"/>
      <c r="HJ171" s="35"/>
      <c r="HK171" s="35"/>
      <c r="HL171" s="35"/>
      <c r="HM171" s="35"/>
      <c r="HN171" s="35"/>
      <c r="HO171" s="35"/>
      <c r="HP171" s="35"/>
      <c r="HQ171" s="35"/>
      <c r="HR171" s="35"/>
      <c r="HS171" s="35"/>
      <c r="HT171" s="35"/>
      <c r="HU171" s="35"/>
      <c r="HV171" s="35"/>
      <c r="HW171" s="35"/>
      <c r="HX171" s="35"/>
      <c r="HY171" s="35"/>
      <c r="HZ171" s="35"/>
      <c r="IA171" s="35"/>
      <c r="IB171" s="35"/>
      <c r="IC171" s="35"/>
      <c r="ID171" s="35"/>
      <c r="IE171" s="35"/>
      <c r="IF171" s="35"/>
      <c r="IG171" s="35"/>
      <c r="IH171" s="35"/>
      <c r="II171" s="35"/>
      <c r="IJ171" s="35"/>
      <c r="IK171" s="35"/>
      <c r="IL171" s="35"/>
      <c r="IM171" s="35"/>
      <c r="IN171" s="35"/>
      <c r="IO171" s="35"/>
      <c r="IP171" s="35"/>
      <c r="IQ171" s="35"/>
      <c r="IR171" s="35"/>
      <c r="IS171" s="35"/>
      <c r="IT171" s="35"/>
      <c r="IU171" s="35"/>
      <c r="IV171" s="35"/>
      <c r="IW171" s="35"/>
      <c r="IX171" s="35"/>
      <c r="IY171" s="35"/>
      <c r="IZ171" s="35"/>
      <c r="JA171" s="35"/>
      <c r="JB171" s="35"/>
      <c r="JC171" s="35"/>
      <c r="JD171" s="35"/>
      <c r="JE171" s="35"/>
    </row>
    <row r="172">
      <c r="A172" s="42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  <c r="BW172" s="35"/>
      <c r="BX172" s="35"/>
      <c r="BY172" s="35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5"/>
      <c r="CM172" s="35"/>
      <c r="CN172" s="35"/>
      <c r="CO172" s="35"/>
      <c r="CP172" s="35"/>
      <c r="CQ172" s="35"/>
      <c r="CR172" s="35"/>
      <c r="CS172" s="35"/>
      <c r="CT172" s="35"/>
      <c r="CU172" s="35"/>
      <c r="CV172" s="35"/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  <c r="DI172" s="35"/>
      <c r="DJ172" s="35"/>
      <c r="DK172" s="35"/>
      <c r="DL172" s="35"/>
      <c r="DM172" s="35"/>
      <c r="DN172" s="35"/>
      <c r="DO172" s="35"/>
      <c r="DP172" s="35"/>
      <c r="DQ172" s="35"/>
      <c r="DR172" s="35"/>
      <c r="DS172" s="35"/>
      <c r="DT172" s="35"/>
      <c r="DU172" s="35"/>
      <c r="DV172" s="35"/>
      <c r="DW172" s="35"/>
      <c r="DX172" s="35"/>
      <c r="DY172" s="35"/>
      <c r="DZ172" s="35"/>
      <c r="EA172" s="35"/>
      <c r="EB172" s="35"/>
      <c r="EC172" s="35"/>
      <c r="ED172" s="35"/>
      <c r="EE172" s="35"/>
      <c r="EF172" s="35"/>
      <c r="EG172" s="35"/>
      <c r="EH172" s="35"/>
      <c r="EI172" s="35"/>
      <c r="EJ172" s="35"/>
      <c r="EK172" s="35"/>
      <c r="EL172" s="35"/>
      <c r="EM172" s="35"/>
      <c r="EN172" s="35"/>
      <c r="EO172" s="35"/>
      <c r="EP172" s="35"/>
      <c r="EQ172" s="35"/>
      <c r="ER172" s="35"/>
      <c r="ES172" s="35"/>
      <c r="ET172" s="35"/>
      <c r="EU172" s="35"/>
      <c r="EV172" s="35"/>
      <c r="EW172" s="35"/>
      <c r="EX172" s="35"/>
      <c r="EY172" s="35"/>
      <c r="EZ172" s="35"/>
      <c r="FA172" s="35"/>
      <c r="FB172" s="35"/>
      <c r="FC172" s="35"/>
      <c r="FD172" s="35"/>
      <c r="FE172" s="35"/>
      <c r="FF172" s="35"/>
      <c r="FG172" s="35"/>
      <c r="FH172" s="35"/>
      <c r="FI172" s="35"/>
      <c r="FJ172" s="35"/>
      <c r="FK172" s="35"/>
      <c r="FL172" s="35"/>
      <c r="FM172" s="35"/>
      <c r="FN172" s="35"/>
      <c r="FO172" s="35"/>
      <c r="FP172" s="35"/>
      <c r="FQ172" s="35"/>
      <c r="FR172" s="35"/>
      <c r="FS172" s="35"/>
      <c r="FT172" s="35"/>
      <c r="FU172" s="35"/>
      <c r="FV172" s="35"/>
      <c r="FW172" s="35"/>
      <c r="FX172" s="35"/>
      <c r="FY172" s="35"/>
      <c r="FZ172" s="35"/>
      <c r="GA172" s="35"/>
      <c r="GB172" s="35"/>
      <c r="GC172" s="35"/>
      <c r="GD172" s="35"/>
      <c r="GE172" s="35"/>
      <c r="GF172" s="35"/>
      <c r="GG172" s="35"/>
      <c r="GH172" s="35"/>
      <c r="GI172" s="35"/>
      <c r="GJ172" s="35"/>
      <c r="GK172" s="35"/>
      <c r="GL172" s="35"/>
      <c r="GM172" s="35"/>
      <c r="GN172" s="35"/>
      <c r="GO172" s="35"/>
      <c r="GP172" s="35"/>
      <c r="GQ172" s="35"/>
      <c r="GR172" s="35"/>
      <c r="GS172" s="35"/>
      <c r="GT172" s="35"/>
      <c r="GU172" s="35"/>
      <c r="GV172" s="35"/>
      <c r="GW172" s="35"/>
      <c r="GX172" s="35"/>
      <c r="GY172" s="35"/>
      <c r="GZ172" s="35"/>
      <c r="HA172" s="35"/>
      <c r="HB172" s="35"/>
      <c r="HC172" s="35"/>
      <c r="HD172" s="35"/>
      <c r="HE172" s="35"/>
      <c r="HF172" s="35"/>
      <c r="HG172" s="35"/>
      <c r="HH172" s="35"/>
      <c r="HI172" s="35"/>
      <c r="HJ172" s="35"/>
      <c r="HK172" s="35"/>
      <c r="HL172" s="35"/>
      <c r="HM172" s="35"/>
      <c r="HN172" s="35"/>
      <c r="HO172" s="35"/>
      <c r="HP172" s="35"/>
      <c r="HQ172" s="35"/>
      <c r="HR172" s="35"/>
      <c r="HS172" s="35"/>
      <c r="HT172" s="35"/>
      <c r="HU172" s="35"/>
      <c r="HV172" s="35"/>
      <c r="HW172" s="35"/>
      <c r="HX172" s="35"/>
      <c r="HY172" s="35"/>
      <c r="HZ172" s="35"/>
      <c r="IA172" s="35"/>
      <c r="IB172" s="35"/>
      <c r="IC172" s="35"/>
      <c r="ID172" s="35"/>
      <c r="IE172" s="35"/>
      <c r="IF172" s="35"/>
      <c r="IG172" s="35"/>
      <c r="IH172" s="35"/>
      <c r="II172" s="35"/>
      <c r="IJ172" s="35"/>
      <c r="IK172" s="35"/>
      <c r="IL172" s="35"/>
      <c r="IM172" s="35"/>
      <c r="IN172" s="35"/>
      <c r="IO172" s="35"/>
      <c r="IP172" s="35"/>
      <c r="IQ172" s="35"/>
      <c r="IR172" s="35"/>
      <c r="IS172" s="35"/>
      <c r="IT172" s="35"/>
      <c r="IU172" s="35"/>
      <c r="IV172" s="35"/>
      <c r="IW172" s="35"/>
      <c r="IX172" s="35"/>
      <c r="IY172" s="35"/>
      <c r="IZ172" s="35"/>
      <c r="JA172" s="35"/>
      <c r="JB172" s="35"/>
      <c r="JC172" s="35"/>
      <c r="JD172" s="35"/>
      <c r="JE172" s="35"/>
    </row>
    <row r="173">
      <c r="A173" s="42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/>
      <c r="CA173" s="35"/>
      <c r="CB173" s="35"/>
      <c r="CC173" s="35"/>
      <c r="CD173" s="35"/>
      <c r="CE173" s="35"/>
      <c r="CF173" s="35"/>
      <c r="CG173" s="35"/>
      <c r="CH173" s="35"/>
      <c r="CI173" s="35"/>
      <c r="CJ173" s="35"/>
      <c r="CK173" s="35"/>
      <c r="CL173" s="35"/>
      <c r="CM173" s="35"/>
      <c r="CN173" s="35"/>
      <c r="CO173" s="35"/>
      <c r="CP173" s="35"/>
      <c r="CQ173" s="35"/>
      <c r="CR173" s="35"/>
      <c r="CS173" s="35"/>
      <c r="CT173" s="35"/>
      <c r="CU173" s="35"/>
      <c r="CV173" s="35"/>
      <c r="CW173" s="35"/>
      <c r="CX173" s="35"/>
      <c r="CY173" s="35"/>
      <c r="CZ173" s="35"/>
      <c r="DA173" s="35"/>
      <c r="DB173" s="35"/>
      <c r="DC173" s="35"/>
      <c r="DD173" s="35"/>
      <c r="DE173" s="35"/>
      <c r="DF173" s="35"/>
      <c r="DG173" s="35"/>
      <c r="DH173" s="35"/>
      <c r="DI173" s="35"/>
      <c r="DJ173" s="35"/>
      <c r="DK173" s="35"/>
      <c r="DL173" s="35"/>
      <c r="DM173" s="35"/>
      <c r="DN173" s="35"/>
      <c r="DO173" s="35"/>
      <c r="DP173" s="35"/>
      <c r="DQ173" s="35"/>
      <c r="DR173" s="35"/>
      <c r="DS173" s="35"/>
      <c r="DT173" s="35"/>
      <c r="DU173" s="35"/>
      <c r="DV173" s="35"/>
      <c r="DW173" s="35"/>
      <c r="DX173" s="35"/>
      <c r="DY173" s="35"/>
      <c r="DZ173" s="35"/>
      <c r="EA173" s="35"/>
      <c r="EB173" s="35"/>
      <c r="EC173" s="35"/>
      <c r="ED173" s="35"/>
      <c r="EE173" s="35"/>
      <c r="EF173" s="35"/>
      <c r="EG173" s="35"/>
      <c r="EH173" s="35"/>
      <c r="EI173" s="35"/>
      <c r="EJ173" s="35"/>
      <c r="EK173" s="35"/>
      <c r="EL173" s="35"/>
      <c r="EM173" s="35"/>
      <c r="EN173" s="35"/>
      <c r="EO173" s="35"/>
      <c r="EP173" s="35"/>
      <c r="EQ173" s="35"/>
      <c r="ER173" s="35"/>
      <c r="ES173" s="35"/>
      <c r="ET173" s="35"/>
      <c r="EU173" s="35"/>
      <c r="EV173" s="35"/>
      <c r="EW173" s="35"/>
      <c r="EX173" s="35"/>
      <c r="EY173" s="35"/>
      <c r="EZ173" s="35"/>
      <c r="FA173" s="35"/>
      <c r="FB173" s="35"/>
      <c r="FC173" s="35"/>
      <c r="FD173" s="35"/>
      <c r="FE173" s="35"/>
      <c r="FF173" s="35"/>
      <c r="FG173" s="35"/>
      <c r="FH173" s="35"/>
      <c r="FI173" s="35"/>
      <c r="FJ173" s="35"/>
      <c r="FK173" s="35"/>
      <c r="FL173" s="35"/>
      <c r="FM173" s="35"/>
      <c r="FN173" s="35"/>
      <c r="FO173" s="35"/>
      <c r="FP173" s="35"/>
      <c r="FQ173" s="35"/>
      <c r="FR173" s="35"/>
      <c r="FS173" s="35"/>
      <c r="FT173" s="35"/>
      <c r="FU173" s="35"/>
      <c r="FV173" s="35"/>
      <c r="FW173" s="35"/>
      <c r="FX173" s="35"/>
      <c r="FY173" s="35"/>
      <c r="FZ173" s="35"/>
      <c r="GA173" s="35"/>
      <c r="GB173" s="35"/>
      <c r="GC173" s="35"/>
      <c r="GD173" s="35"/>
      <c r="GE173" s="35"/>
      <c r="GF173" s="35"/>
      <c r="GG173" s="35"/>
      <c r="GH173" s="35"/>
      <c r="GI173" s="35"/>
      <c r="GJ173" s="35"/>
      <c r="GK173" s="35"/>
      <c r="GL173" s="35"/>
      <c r="GM173" s="35"/>
      <c r="GN173" s="35"/>
      <c r="GO173" s="35"/>
      <c r="GP173" s="35"/>
      <c r="GQ173" s="35"/>
      <c r="GR173" s="35"/>
      <c r="GS173" s="35"/>
      <c r="GT173" s="35"/>
      <c r="GU173" s="35"/>
      <c r="GV173" s="35"/>
      <c r="GW173" s="35"/>
      <c r="GX173" s="35"/>
      <c r="GY173" s="35"/>
      <c r="GZ173" s="35"/>
      <c r="HA173" s="35"/>
      <c r="HB173" s="35"/>
      <c r="HC173" s="35"/>
      <c r="HD173" s="35"/>
      <c r="HE173" s="35"/>
      <c r="HF173" s="35"/>
      <c r="HG173" s="35"/>
      <c r="HH173" s="35"/>
      <c r="HI173" s="35"/>
      <c r="HJ173" s="35"/>
      <c r="HK173" s="35"/>
      <c r="HL173" s="35"/>
      <c r="HM173" s="35"/>
      <c r="HN173" s="35"/>
      <c r="HO173" s="35"/>
      <c r="HP173" s="35"/>
      <c r="HQ173" s="35"/>
      <c r="HR173" s="35"/>
      <c r="HS173" s="35"/>
      <c r="HT173" s="35"/>
      <c r="HU173" s="35"/>
      <c r="HV173" s="35"/>
      <c r="HW173" s="35"/>
      <c r="HX173" s="35"/>
      <c r="HY173" s="35"/>
      <c r="HZ173" s="35"/>
      <c r="IA173" s="35"/>
      <c r="IB173" s="35"/>
      <c r="IC173" s="35"/>
      <c r="ID173" s="35"/>
      <c r="IE173" s="35"/>
      <c r="IF173" s="35"/>
      <c r="IG173" s="35"/>
      <c r="IH173" s="35"/>
      <c r="II173" s="35"/>
      <c r="IJ173" s="35"/>
      <c r="IK173" s="35"/>
      <c r="IL173" s="35"/>
      <c r="IM173" s="35"/>
      <c r="IN173" s="35"/>
      <c r="IO173" s="35"/>
      <c r="IP173" s="35"/>
      <c r="IQ173" s="35"/>
      <c r="IR173" s="35"/>
      <c r="IS173" s="35"/>
      <c r="IT173" s="35"/>
      <c r="IU173" s="35"/>
      <c r="IV173" s="35"/>
      <c r="IW173" s="35"/>
      <c r="IX173" s="35"/>
      <c r="IY173" s="35"/>
      <c r="IZ173" s="35"/>
      <c r="JA173" s="35"/>
      <c r="JB173" s="35"/>
      <c r="JC173" s="35"/>
      <c r="JD173" s="35"/>
      <c r="JE173" s="35"/>
    </row>
    <row r="174">
      <c r="A174" s="42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  <c r="CV174" s="35"/>
      <c r="CW174" s="35"/>
      <c r="CX174" s="35"/>
      <c r="CY174" s="35"/>
      <c r="CZ174" s="35"/>
      <c r="DA174" s="35"/>
      <c r="DB174" s="35"/>
      <c r="DC174" s="35"/>
      <c r="DD174" s="35"/>
      <c r="DE174" s="35"/>
      <c r="DF174" s="35"/>
      <c r="DG174" s="35"/>
      <c r="DH174" s="35"/>
      <c r="DI174" s="35"/>
      <c r="DJ174" s="35"/>
      <c r="DK174" s="35"/>
      <c r="DL174" s="35"/>
      <c r="DM174" s="35"/>
      <c r="DN174" s="35"/>
      <c r="DO174" s="35"/>
      <c r="DP174" s="35"/>
      <c r="DQ174" s="35"/>
      <c r="DR174" s="35"/>
      <c r="DS174" s="35"/>
      <c r="DT174" s="35"/>
      <c r="DU174" s="35"/>
      <c r="DV174" s="35"/>
      <c r="DW174" s="35"/>
      <c r="DX174" s="35"/>
      <c r="DY174" s="35"/>
      <c r="DZ174" s="35"/>
      <c r="EA174" s="35"/>
      <c r="EB174" s="35"/>
      <c r="EC174" s="35"/>
      <c r="ED174" s="35"/>
      <c r="EE174" s="35"/>
      <c r="EF174" s="35"/>
      <c r="EG174" s="35"/>
      <c r="EH174" s="35"/>
      <c r="EI174" s="35"/>
      <c r="EJ174" s="35"/>
      <c r="EK174" s="35"/>
      <c r="EL174" s="35"/>
      <c r="EM174" s="35"/>
      <c r="EN174" s="35"/>
      <c r="EO174" s="35"/>
      <c r="EP174" s="35"/>
      <c r="EQ174" s="35"/>
      <c r="ER174" s="35"/>
      <c r="ES174" s="35"/>
      <c r="ET174" s="35"/>
      <c r="EU174" s="35"/>
      <c r="EV174" s="35"/>
      <c r="EW174" s="35"/>
      <c r="EX174" s="35"/>
      <c r="EY174" s="35"/>
      <c r="EZ174" s="35"/>
      <c r="FA174" s="35"/>
      <c r="FB174" s="35"/>
      <c r="FC174" s="35"/>
      <c r="FD174" s="35"/>
      <c r="FE174" s="35"/>
      <c r="FF174" s="35"/>
      <c r="FG174" s="35"/>
      <c r="FH174" s="35"/>
      <c r="FI174" s="35"/>
      <c r="FJ174" s="35"/>
      <c r="FK174" s="35"/>
      <c r="FL174" s="35"/>
      <c r="FM174" s="35"/>
      <c r="FN174" s="35"/>
      <c r="FO174" s="35"/>
      <c r="FP174" s="35"/>
      <c r="FQ174" s="35"/>
      <c r="FR174" s="35"/>
      <c r="FS174" s="35"/>
      <c r="FT174" s="35"/>
      <c r="FU174" s="35"/>
      <c r="FV174" s="35"/>
      <c r="FW174" s="35"/>
      <c r="FX174" s="35"/>
      <c r="FY174" s="35"/>
      <c r="FZ174" s="35"/>
      <c r="GA174" s="35"/>
      <c r="GB174" s="35"/>
      <c r="GC174" s="35"/>
      <c r="GD174" s="35"/>
      <c r="GE174" s="35"/>
      <c r="GF174" s="35"/>
      <c r="GG174" s="35"/>
      <c r="GH174" s="35"/>
      <c r="GI174" s="35"/>
      <c r="GJ174" s="35"/>
      <c r="GK174" s="35"/>
      <c r="GL174" s="35"/>
      <c r="GM174" s="35"/>
      <c r="GN174" s="35"/>
      <c r="GO174" s="35"/>
      <c r="GP174" s="35"/>
      <c r="GQ174" s="35"/>
      <c r="GR174" s="35"/>
      <c r="GS174" s="35"/>
      <c r="GT174" s="35"/>
      <c r="GU174" s="35"/>
      <c r="GV174" s="35"/>
      <c r="GW174" s="35"/>
      <c r="GX174" s="35"/>
      <c r="GY174" s="35"/>
      <c r="GZ174" s="35"/>
      <c r="HA174" s="35"/>
      <c r="HB174" s="35"/>
      <c r="HC174" s="35"/>
      <c r="HD174" s="35"/>
      <c r="HE174" s="35"/>
      <c r="HF174" s="35"/>
      <c r="HG174" s="35"/>
      <c r="HH174" s="35"/>
      <c r="HI174" s="35"/>
      <c r="HJ174" s="35"/>
      <c r="HK174" s="35"/>
      <c r="HL174" s="35"/>
      <c r="HM174" s="35"/>
      <c r="HN174" s="35"/>
      <c r="HO174" s="35"/>
      <c r="HP174" s="35"/>
      <c r="HQ174" s="35"/>
      <c r="HR174" s="35"/>
      <c r="HS174" s="35"/>
      <c r="HT174" s="35"/>
      <c r="HU174" s="35"/>
      <c r="HV174" s="35"/>
      <c r="HW174" s="35"/>
      <c r="HX174" s="35"/>
      <c r="HY174" s="35"/>
      <c r="HZ174" s="35"/>
      <c r="IA174" s="35"/>
      <c r="IB174" s="35"/>
      <c r="IC174" s="35"/>
      <c r="ID174" s="35"/>
      <c r="IE174" s="35"/>
      <c r="IF174" s="35"/>
      <c r="IG174" s="35"/>
      <c r="IH174" s="35"/>
      <c r="II174" s="35"/>
      <c r="IJ174" s="35"/>
      <c r="IK174" s="35"/>
      <c r="IL174" s="35"/>
      <c r="IM174" s="35"/>
      <c r="IN174" s="35"/>
      <c r="IO174" s="35"/>
      <c r="IP174" s="35"/>
      <c r="IQ174" s="35"/>
      <c r="IR174" s="35"/>
      <c r="IS174" s="35"/>
      <c r="IT174" s="35"/>
      <c r="IU174" s="35"/>
      <c r="IV174" s="35"/>
      <c r="IW174" s="35"/>
      <c r="IX174" s="35"/>
      <c r="IY174" s="35"/>
      <c r="IZ174" s="35"/>
      <c r="JA174" s="35"/>
      <c r="JB174" s="35"/>
      <c r="JC174" s="35"/>
      <c r="JD174" s="35"/>
      <c r="JE174" s="35"/>
    </row>
    <row r="175">
      <c r="A175" s="42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/>
      <c r="CA175" s="35"/>
      <c r="CB175" s="35"/>
      <c r="CC175" s="35"/>
      <c r="CD175" s="35"/>
      <c r="CE175" s="35"/>
      <c r="CF175" s="35"/>
      <c r="CG175" s="35"/>
      <c r="CH175" s="35"/>
      <c r="CI175" s="35"/>
      <c r="CJ175" s="35"/>
      <c r="CK175" s="35"/>
      <c r="CL175" s="35"/>
      <c r="CM175" s="35"/>
      <c r="CN175" s="35"/>
      <c r="CO175" s="35"/>
      <c r="CP175" s="35"/>
      <c r="CQ175" s="35"/>
      <c r="CR175" s="35"/>
      <c r="CS175" s="35"/>
      <c r="CT175" s="35"/>
      <c r="CU175" s="35"/>
      <c r="CV175" s="35"/>
      <c r="CW175" s="35"/>
      <c r="CX175" s="35"/>
      <c r="CY175" s="35"/>
      <c r="CZ175" s="35"/>
      <c r="DA175" s="35"/>
      <c r="DB175" s="35"/>
      <c r="DC175" s="35"/>
      <c r="DD175" s="35"/>
      <c r="DE175" s="35"/>
      <c r="DF175" s="35"/>
      <c r="DG175" s="35"/>
      <c r="DH175" s="35"/>
      <c r="DI175" s="35"/>
      <c r="DJ175" s="35"/>
      <c r="DK175" s="35"/>
      <c r="DL175" s="35"/>
      <c r="DM175" s="35"/>
      <c r="DN175" s="35"/>
      <c r="DO175" s="35"/>
      <c r="DP175" s="35"/>
      <c r="DQ175" s="35"/>
      <c r="DR175" s="35"/>
      <c r="DS175" s="35"/>
      <c r="DT175" s="35"/>
      <c r="DU175" s="35"/>
      <c r="DV175" s="35"/>
      <c r="DW175" s="35"/>
      <c r="DX175" s="35"/>
      <c r="DY175" s="35"/>
      <c r="DZ175" s="35"/>
      <c r="EA175" s="35"/>
      <c r="EB175" s="35"/>
      <c r="EC175" s="35"/>
      <c r="ED175" s="35"/>
      <c r="EE175" s="35"/>
      <c r="EF175" s="35"/>
      <c r="EG175" s="35"/>
      <c r="EH175" s="35"/>
      <c r="EI175" s="35"/>
      <c r="EJ175" s="35"/>
      <c r="EK175" s="35"/>
      <c r="EL175" s="35"/>
      <c r="EM175" s="35"/>
      <c r="EN175" s="35"/>
      <c r="EO175" s="35"/>
      <c r="EP175" s="35"/>
      <c r="EQ175" s="35"/>
      <c r="ER175" s="35"/>
      <c r="ES175" s="35"/>
      <c r="ET175" s="35"/>
      <c r="EU175" s="35"/>
      <c r="EV175" s="35"/>
      <c r="EW175" s="35"/>
      <c r="EX175" s="35"/>
      <c r="EY175" s="35"/>
      <c r="EZ175" s="35"/>
      <c r="FA175" s="35"/>
      <c r="FB175" s="35"/>
      <c r="FC175" s="35"/>
      <c r="FD175" s="35"/>
      <c r="FE175" s="35"/>
      <c r="FF175" s="35"/>
      <c r="FG175" s="35"/>
      <c r="FH175" s="35"/>
      <c r="FI175" s="35"/>
      <c r="FJ175" s="35"/>
      <c r="FK175" s="35"/>
      <c r="FL175" s="35"/>
      <c r="FM175" s="35"/>
      <c r="FN175" s="35"/>
      <c r="FO175" s="35"/>
      <c r="FP175" s="35"/>
      <c r="FQ175" s="35"/>
      <c r="FR175" s="35"/>
      <c r="FS175" s="35"/>
      <c r="FT175" s="35"/>
      <c r="FU175" s="35"/>
      <c r="FV175" s="35"/>
      <c r="FW175" s="35"/>
      <c r="FX175" s="35"/>
      <c r="FY175" s="35"/>
      <c r="FZ175" s="35"/>
      <c r="GA175" s="35"/>
      <c r="GB175" s="35"/>
      <c r="GC175" s="35"/>
      <c r="GD175" s="35"/>
      <c r="GE175" s="35"/>
      <c r="GF175" s="35"/>
      <c r="GG175" s="35"/>
      <c r="GH175" s="35"/>
      <c r="GI175" s="35"/>
      <c r="GJ175" s="35"/>
      <c r="GK175" s="35"/>
      <c r="GL175" s="35"/>
      <c r="GM175" s="35"/>
      <c r="GN175" s="35"/>
      <c r="GO175" s="35"/>
      <c r="GP175" s="35"/>
      <c r="GQ175" s="35"/>
      <c r="GR175" s="35"/>
      <c r="GS175" s="35"/>
      <c r="GT175" s="35"/>
      <c r="GU175" s="35"/>
      <c r="GV175" s="35"/>
      <c r="GW175" s="35"/>
      <c r="GX175" s="35"/>
      <c r="GY175" s="35"/>
      <c r="GZ175" s="35"/>
      <c r="HA175" s="35"/>
      <c r="HB175" s="35"/>
      <c r="HC175" s="35"/>
      <c r="HD175" s="35"/>
      <c r="HE175" s="35"/>
      <c r="HF175" s="35"/>
      <c r="HG175" s="35"/>
      <c r="HH175" s="35"/>
      <c r="HI175" s="35"/>
      <c r="HJ175" s="35"/>
      <c r="HK175" s="35"/>
      <c r="HL175" s="35"/>
      <c r="HM175" s="35"/>
      <c r="HN175" s="35"/>
      <c r="HO175" s="35"/>
      <c r="HP175" s="35"/>
      <c r="HQ175" s="35"/>
      <c r="HR175" s="35"/>
      <c r="HS175" s="35"/>
      <c r="HT175" s="35"/>
      <c r="HU175" s="35"/>
      <c r="HV175" s="35"/>
      <c r="HW175" s="35"/>
      <c r="HX175" s="35"/>
      <c r="HY175" s="35"/>
      <c r="HZ175" s="35"/>
      <c r="IA175" s="35"/>
      <c r="IB175" s="35"/>
      <c r="IC175" s="35"/>
      <c r="ID175" s="35"/>
      <c r="IE175" s="35"/>
      <c r="IF175" s="35"/>
      <c r="IG175" s="35"/>
      <c r="IH175" s="35"/>
      <c r="II175" s="35"/>
      <c r="IJ175" s="35"/>
      <c r="IK175" s="35"/>
      <c r="IL175" s="35"/>
      <c r="IM175" s="35"/>
      <c r="IN175" s="35"/>
      <c r="IO175" s="35"/>
      <c r="IP175" s="35"/>
      <c r="IQ175" s="35"/>
      <c r="IR175" s="35"/>
      <c r="IS175" s="35"/>
      <c r="IT175" s="35"/>
      <c r="IU175" s="35"/>
      <c r="IV175" s="35"/>
      <c r="IW175" s="35"/>
      <c r="IX175" s="35"/>
      <c r="IY175" s="35"/>
      <c r="IZ175" s="35"/>
      <c r="JA175" s="35"/>
      <c r="JB175" s="35"/>
      <c r="JC175" s="35"/>
      <c r="JD175" s="35"/>
      <c r="JE175" s="35"/>
    </row>
    <row r="176">
      <c r="A176" s="42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35"/>
      <c r="DK176" s="35"/>
      <c r="DL176" s="35"/>
      <c r="DM176" s="35"/>
      <c r="DN176" s="35"/>
      <c r="DO176" s="35"/>
      <c r="DP176" s="35"/>
      <c r="DQ176" s="35"/>
      <c r="DR176" s="35"/>
      <c r="DS176" s="35"/>
      <c r="DT176" s="35"/>
      <c r="DU176" s="35"/>
      <c r="DV176" s="35"/>
      <c r="DW176" s="35"/>
      <c r="DX176" s="35"/>
      <c r="DY176" s="35"/>
      <c r="DZ176" s="35"/>
      <c r="EA176" s="35"/>
      <c r="EB176" s="35"/>
      <c r="EC176" s="35"/>
      <c r="ED176" s="35"/>
      <c r="EE176" s="35"/>
      <c r="EF176" s="35"/>
      <c r="EG176" s="35"/>
      <c r="EH176" s="35"/>
      <c r="EI176" s="35"/>
      <c r="EJ176" s="35"/>
      <c r="EK176" s="35"/>
      <c r="EL176" s="35"/>
      <c r="EM176" s="35"/>
      <c r="EN176" s="35"/>
      <c r="EO176" s="35"/>
      <c r="EP176" s="35"/>
      <c r="EQ176" s="35"/>
      <c r="ER176" s="35"/>
      <c r="ES176" s="35"/>
      <c r="ET176" s="35"/>
      <c r="EU176" s="35"/>
      <c r="EV176" s="35"/>
      <c r="EW176" s="35"/>
      <c r="EX176" s="35"/>
      <c r="EY176" s="35"/>
      <c r="EZ176" s="35"/>
      <c r="FA176" s="35"/>
      <c r="FB176" s="35"/>
      <c r="FC176" s="35"/>
      <c r="FD176" s="35"/>
      <c r="FE176" s="35"/>
      <c r="FF176" s="35"/>
      <c r="FG176" s="35"/>
      <c r="FH176" s="35"/>
      <c r="FI176" s="35"/>
      <c r="FJ176" s="35"/>
      <c r="FK176" s="35"/>
      <c r="FL176" s="35"/>
      <c r="FM176" s="35"/>
      <c r="FN176" s="35"/>
      <c r="FO176" s="35"/>
      <c r="FP176" s="35"/>
      <c r="FQ176" s="35"/>
      <c r="FR176" s="35"/>
      <c r="FS176" s="35"/>
      <c r="FT176" s="35"/>
      <c r="FU176" s="35"/>
      <c r="FV176" s="35"/>
      <c r="FW176" s="35"/>
      <c r="FX176" s="35"/>
      <c r="FY176" s="35"/>
      <c r="FZ176" s="35"/>
      <c r="GA176" s="35"/>
      <c r="GB176" s="35"/>
      <c r="GC176" s="35"/>
      <c r="GD176" s="35"/>
      <c r="GE176" s="35"/>
      <c r="GF176" s="35"/>
      <c r="GG176" s="35"/>
      <c r="GH176" s="35"/>
      <c r="GI176" s="35"/>
      <c r="GJ176" s="35"/>
      <c r="GK176" s="35"/>
      <c r="GL176" s="35"/>
      <c r="GM176" s="35"/>
      <c r="GN176" s="35"/>
      <c r="GO176" s="35"/>
      <c r="GP176" s="35"/>
      <c r="GQ176" s="35"/>
      <c r="GR176" s="35"/>
      <c r="GS176" s="35"/>
      <c r="GT176" s="35"/>
      <c r="GU176" s="35"/>
      <c r="GV176" s="35"/>
      <c r="GW176" s="35"/>
      <c r="GX176" s="35"/>
      <c r="GY176" s="35"/>
      <c r="GZ176" s="35"/>
      <c r="HA176" s="35"/>
      <c r="HB176" s="35"/>
      <c r="HC176" s="35"/>
      <c r="HD176" s="35"/>
      <c r="HE176" s="35"/>
      <c r="HF176" s="35"/>
      <c r="HG176" s="35"/>
      <c r="HH176" s="35"/>
      <c r="HI176" s="35"/>
      <c r="HJ176" s="35"/>
      <c r="HK176" s="35"/>
      <c r="HL176" s="35"/>
      <c r="HM176" s="35"/>
      <c r="HN176" s="35"/>
      <c r="HO176" s="35"/>
      <c r="HP176" s="35"/>
      <c r="HQ176" s="35"/>
      <c r="HR176" s="35"/>
      <c r="HS176" s="35"/>
      <c r="HT176" s="35"/>
      <c r="HU176" s="35"/>
      <c r="HV176" s="35"/>
      <c r="HW176" s="35"/>
      <c r="HX176" s="35"/>
      <c r="HY176" s="35"/>
      <c r="HZ176" s="35"/>
      <c r="IA176" s="35"/>
      <c r="IB176" s="35"/>
      <c r="IC176" s="35"/>
      <c r="ID176" s="35"/>
      <c r="IE176" s="35"/>
      <c r="IF176" s="35"/>
      <c r="IG176" s="35"/>
      <c r="IH176" s="35"/>
      <c r="II176" s="35"/>
      <c r="IJ176" s="35"/>
      <c r="IK176" s="35"/>
      <c r="IL176" s="35"/>
      <c r="IM176" s="35"/>
      <c r="IN176" s="35"/>
      <c r="IO176" s="35"/>
      <c r="IP176" s="35"/>
      <c r="IQ176" s="35"/>
      <c r="IR176" s="35"/>
      <c r="IS176" s="35"/>
      <c r="IT176" s="35"/>
      <c r="IU176" s="35"/>
      <c r="IV176" s="35"/>
      <c r="IW176" s="35"/>
      <c r="IX176" s="35"/>
      <c r="IY176" s="35"/>
      <c r="IZ176" s="35"/>
      <c r="JA176" s="35"/>
      <c r="JB176" s="35"/>
      <c r="JC176" s="35"/>
      <c r="JD176" s="35"/>
      <c r="JE176" s="35"/>
    </row>
    <row r="177">
      <c r="A177" s="42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  <c r="DI177" s="35"/>
      <c r="DJ177" s="35"/>
      <c r="DK177" s="35"/>
      <c r="DL177" s="35"/>
      <c r="DM177" s="35"/>
      <c r="DN177" s="35"/>
      <c r="DO177" s="35"/>
      <c r="DP177" s="35"/>
      <c r="DQ177" s="35"/>
      <c r="DR177" s="35"/>
      <c r="DS177" s="35"/>
      <c r="DT177" s="35"/>
      <c r="DU177" s="35"/>
      <c r="DV177" s="35"/>
      <c r="DW177" s="35"/>
      <c r="DX177" s="35"/>
      <c r="DY177" s="35"/>
      <c r="DZ177" s="35"/>
      <c r="EA177" s="35"/>
      <c r="EB177" s="35"/>
      <c r="EC177" s="35"/>
      <c r="ED177" s="35"/>
      <c r="EE177" s="35"/>
      <c r="EF177" s="35"/>
      <c r="EG177" s="35"/>
      <c r="EH177" s="35"/>
      <c r="EI177" s="35"/>
      <c r="EJ177" s="35"/>
      <c r="EK177" s="35"/>
      <c r="EL177" s="35"/>
      <c r="EM177" s="35"/>
      <c r="EN177" s="35"/>
      <c r="EO177" s="35"/>
      <c r="EP177" s="35"/>
      <c r="EQ177" s="35"/>
      <c r="ER177" s="35"/>
      <c r="ES177" s="35"/>
      <c r="ET177" s="35"/>
      <c r="EU177" s="35"/>
      <c r="EV177" s="35"/>
      <c r="EW177" s="35"/>
      <c r="EX177" s="35"/>
      <c r="EY177" s="35"/>
      <c r="EZ177" s="35"/>
      <c r="FA177" s="35"/>
      <c r="FB177" s="35"/>
      <c r="FC177" s="35"/>
      <c r="FD177" s="35"/>
      <c r="FE177" s="35"/>
      <c r="FF177" s="35"/>
      <c r="FG177" s="35"/>
      <c r="FH177" s="35"/>
      <c r="FI177" s="35"/>
      <c r="FJ177" s="35"/>
      <c r="FK177" s="35"/>
      <c r="FL177" s="35"/>
      <c r="FM177" s="35"/>
      <c r="FN177" s="35"/>
      <c r="FO177" s="35"/>
      <c r="FP177" s="35"/>
      <c r="FQ177" s="35"/>
      <c r="FR177" s="35"/>
      <c r="FS177" s="35"/>
      <c r="FT177" s="35"/>
      <c r="FU177" s="35"/>
      <c r="FV177" s="35"/>
      <c r="FW177" s="35"/>
      <c r="FX177" s="35"/>
      <c r="FY177" s="35"/>
      <c r="FZ177" s="35"/>
      <c r="GA177" s="35"/>
      <c r="GB177" s="35"/>
      <c r="GC177" s="35"/>
      <c r="GD177" s="35"/>
      <c r="GE177" s="35"/>
      <c r="GF177" s="35"/>
      <c r="GG177" s="35"/>
      <c r="GH177" s="35"/>
      <c r="GI177" s="35"/>
      <c r="GJ177" s="35"/>
      <c r="GK177" s="35"/>
      <c r="GL177" s="35"/>
      <c r="GM177" s="35"/>
      <c r="GN177" s="35"/>
      <c r="GO177" s="35"/>
      <c r="GP177" s="35"/>
      <c r="GQ177" s="35"/>
      <c r="GR177" s="35"/>
      <c r="GS177" s="35"/>
      <c r="GT177" s="35"/>
      <c r="GU177" s="35"/>
      <c r="GV177" s="35"/>
      <c r="GW177" s="35"/>
      <c r="GX177" s="35"/>
      <c r="GY177" s="35"/>
      <c r="GZ177" s="35"/>
      <c r="HA177" s="35"/>
      <c r="HB177" s="35"/>
      <c r="HC177" s="35"/>
      <c r="HD177" s="35"/>
      <c r="HE177" s="35"/>
      <c r="HF177" s="35"/>
      <c r="HG177" s="35"/>
      <c r="HH177" s="35"/>
      <c r="HI177" s="35"/>
      <c r="HJ177" s="35"/>
      <c r="HK177" s="35"/>
      <c r="HL177" s="35"/>
      <c r="HM177" s="35"/>
      <c r="HN177" s="35"/>
      <c r="HO177" s="35"/>
      <c r="HP177" s="35"/>
      <c r="HQ177" s="35"/>
      <c r="HR177" s="35"/>
      <c r="HS177" s="35"/>
      <c r="HT177" s="35"/>
      <c r="HU177" s="35"/>
      <c r="HV177" s="35"/>
      <c r="HW177" s="35"/>
      <c r="HX177" s="35"/>
      <c r="HY177" s="35"/>
      <c r="HZ177" s="35"/>
      <c r="IA177" s="35"/>
      <c r="IB177" s="35"/>
      <c r="IC177" s="35"/>
      <c r="ID177" s="35"/>
      <c r="IE177" s="35"/>
      <c r="IF177" s="35"/>
      <c r="IG177" s="35"/>
      <c r="IH177" s="35"/>
      <c r="II177" s="35"/>
      <c r="IJ177" s="35"/>
      <c r="IK177" s="35"/>
      <c r="IL177" s="35"/>
      <c r="IM177" s="35"/>
      <c r="IN177" s="35"/>
      <c r="IO177" s="35"/>
      <c r="IP177" s="35"/>
      <c r="IQ177" s="35"/>
      <c r="IR177" s="35"/>
      <c r="IS177" s="35"/>
      <c r="IT177" s="35"/>
      <c r="IU177" s="35"/>
      <c r="IV177" s="35"/>
      <c r="IW177" s="35"/>
      <c r="IX177" s="35"/>
      <c r="IY177" s="35"/>
      <c r="IZ177" s="35"/>
      <c r="JA177" s="35"/>
      <c r="JB177" s="35"/>
      <c r="JC177" s="35"/>
      <c r="JD177" s="35"/>
      <c r="JE177" s="35"/>
    </row>
    <row r="178">
      <c r="A178" s="42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  <c r="DL178" s="35"/>
      <c r="DM178" s="35"/>
      <c r="DN178" s="35"/>
      <c r="DO178" s="35"/>
      <c r="DP178" s="35"/>
      <c r="DQ178" s="35"/>
      <c r="DR178" s="35"/>
      <c r="DS178" s="35"/>
      <c r="DT178" s="35"/>
      <c r="DU178" s="35"/>
      <c r="DV178" s="35"/>
      <c r="DW178" s="35"/>
      <c r="DX178" s="35"/>
      <c r="DY178" s="35"/>
      <c r="DZ178" s="35"/>
      <c r="EA178" s="35"/>
      <c r="EB178" s="35"/>
      <c r="EC178" s="35"/>
      <c r="ED178" s="35"/>
      <c r="EE178" s="35"/>
      <c r="EF178" s="35"/>
      <c r="EG178" s="35"/>
      <c r="EH178" s="35"/>
      <c r="EI178" s="35"/>
      <c r="EJ178" s="35"/>
      <c r="EK178" s="35"/>
      <c r="EL178" s="35"/>
      <c r="EM178" s="35"/>
      <c r="EN178" s="35"/>
      <c r="EO178" s="35"/>
      <c r="EP178" s="35"/>
      <c r="EQ178" s="35"/>
      <c r="ER178" s="35"/>
      <c r="ES178" s="35"/>
      <c r="ET178" s="35"/>
      <c r="EU178" s="35"/>
      <c r="EV178" s="35"/>
      <c r="EW178" s="35"/>
      <c r="EX178" s="35"/>
      <c r="EY178" s="35"/>
      <c r="EZ178" s="35"/>
      <c r="FA178" s="35"/>
      <c r="FB178" s="35"/>
      <c r="FC178" s="35"/>
      <c r="FD178" s="35"/>
      <c r="FE178" s="35"/>
      <c r="FF178" s="35"/>
      <c r="FG178" s="35"/>
      <c r="FH178" s="35"/>
      <c r="FI178" s="35"/>
      <c r="FJ178" s="35"/>
      <c r="FK178" s="35"/>
      <c r="FL178" s="35"/>
      <c r="FM178" s="35"/>
      <c r="FN178" s="35"/>
      <c r="FO178" s="35"/>
      <c r="FP178" s="35"/>
      <c r="FQ178" s="35"/>
      <c r="FR178" s="35"/>
      <c r="FS178" s="35"/>
      <c r="FT178" s="35"/>
      <c r="FU178" s="35"/>
      <c r="FV178" s="35"/>
      <c r="FW178" s="35"/>
      <c r="FX178" s="35"/>
      <c r="FY178" s="35"/>
      <c r="FZ178" s="35"/>
      <c r="GA178" s="35"/>
      <c r="GB178" s="35"/>
      <c r="GC178" s="35"/>
      <c r="GD178" s="35"/>
      <c r="GE178" s="35"/>
      <c r="GF178" s="35"/>
      <c r="GG178" s="35"/>
      <c r="GH178" s="35"/>
      <c r="GI178" s="35"/>
      <c r="GJ178" s="35"/>
      <c r="GK178" s="35"/>
      <c r="GL178" s="35"/>
      <c r="GM178" s="35"/>
      <c r="GN178" s="35"/>
      <c r="GO178" s="35"/>
      <c r="GP178" s="35"/>
      <c r="GQ178" s="35"/>
      <c r="GR178" s="35"/>
      <c r="GS178" s="35"/>
      <c r="GT178" s="35"/>
      <c r="GU178" s="35"/>
      <c r="GV178" s="35"/>
      <c r="GW178" s="35"/>
      <c r="GX178" s="35"/>
      <c r="GY178" s="35"/>
      <c r="GZ178" s="35"/>
      <c r="HA178" s="35"/>
      <c r="HB178" s="35"/>
      <c r="HC178" s="35"/>
      <c r="HD178" s="35"/>
      <c r="HE178" s="35"/>
      <c r="HF178" s="35"/>
      <c r="HG178" s="35"/>
      <c r="HH178" s="35"/>
      <c r="HI178" s="35"/>
      <c r="HJ178" s="35"/>
      <c r="HK178" s="35"/>
      <c r="HL178" s="35"/>
      <c r="HM178" s="35"/>
      <c r="HN178" s="35"/>
      <c r="HO178" s="35"/>
      <c r="HP178" s="35"/>
      <c r="HQ178" s="35"/>
      <c r="HR178" s="35"/>
      <c r="HS178" s="35"/>
      <c r="HT178" s="35"/>
      <c r="HU178" s="35"/>
      <c r="HV178" s="35"/>
      <c r="HW178" s="35"/>
      <c r="HX178" s="35"/>
      <c r="HY178" s="35"/>
      <c r="HZ178" s="35"/>
      <c r="IA178" s="35"/>
      <c r="IB178" s="35"/>
      <c r="IC178" s="35"/>
      <c r="ID178" s="35"/>
      <c r="IE178" s="35"/>
      <c r="IF178" s="35"/>
      <c r="IG178" s="35"/>
      <c r="IH178" s="35"/>
      <c r="II178" s="35"/>
      <c r="IJ178" s="35"/>
      <c r="IK178" s="35"/>
      <c r="IL178" s="35"/>
      <c r="IM178" s="35"/>
      <c r="IN178" s="35"/>
      <c r="IO178" s="35"/>
      <c r="IP178" s="35"/>
      <c r="IQ178" s="35"/>
      <c r="IR178" s="35"/>
      <c r="IS178" s="35"/>
      <c r="IT178" s="35"/>
      <c r="IU178" s="35"/>
      <c r="IV178" s="35"/>
      <c r="IW178" s="35"/>
      <c r="IX178" s="35"/>
      <c r="IY178" s="35"/>
      <c r="IZ178" s="35"/>
      <c r="JA178" s="35"/>
      <c r="JB178" s="35"/>
      <c r="JC178" s="35"/>
      <c r="JD178" s="35"/>
      <c r="JE178" s="35"/>
    </row>
    <row r="179">
      <c r="A179" s="42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  <c r="CB179" s="35"/>
      <c r="CC179" s="35"/>
      <c r="CD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  <c r="CO179" s="35"/>
      <c r="CP179" s="35"/>
      <c r="CQ179" s="35"/>
      <c r="CR179" s="35"/>
      <c r="CS179" s="35"/>
      <c r="CT179" s="35"/>
      <c r="CU179" s="35"/>
      <c r="CV179" s="35"/>
      <c r="CW179" s="35"/>
      <c r="CX179" s="35"/>
      <c r="CY179" s="35"/>
      <c r="CZ179" s="35"/>
      <c r="DA179" s="35"/>
      <c r="DB179" s="35"/>
      <c r="DC179" s="35"/>
      <c r="DD179" s="35"/>
      <c r="DE179" s="35"/>
      <c r="DF179" s="35"/>
      <c r="DG179" s="35"/>
      <c r="DH179" s="35"/>
      <c r="DI179" s="35"/>
      <c r="DJ179" s="35"/>
      <c r="DK179" s="35"/>
      <c r="DL179" s="35"/>
      <c r="DM179" s="35"/>
      <c r="DN179" s="35"/>
      <c r="DO179" s="35"/>
      <c r="DP179" s="35"/>
      <c r="DQ179" s="35"/>
      <c r="DR179" s="35"/>
      <c r="DS179" s="35"/>
      <c r="DT179" s="35"/>
      <c r="DU179" s="35"/>
      <c r="DV179" s="35"/>
      <c r="DW179" s="35"/>
      <c r="DX179" s="35"/>
      <c r="DY179" s="35"/>
      <c r="DZ179" s="35"/>
      <c r="EA179" s="35"/>
      <c r="EB179" s="35"/>
      <c r="EC179" s="35"/>
      <c r="ED179" s="35"/>
      <c r="EE179" s="35"/>
      <c r="EF179" s="35"/>
      <c r="EG179" s="35"/>
      <c r="EH179" s="35"/>
      <c r="EI179" s="35"/>
      <c r="EJ179" s="35"/>
      <c r="EK179" s="35"/>
      <c r="EL179" s="35"/>
      <c r="EM179" s="35"/>
      <c r="EN179" s="35"/>
      <c r="EO179" s="35"/>
      <c r="EP179" s="35"/>
      <c r="EQ179" s="35"/>
      <c r="ER179" s="35"/>
      <c r="ES179" s="35"/>
      <c r="ET179" s="35"/>
      <c r="EU179" s="35"/>
      <c r="EV179" s="35"/>
      <c r="EW179" s="35"/>
      <c r="EX179" s="35"/>
      <c r="EY179" s="35"/>
      <c r="EZ179" s="35"/>
      <c r="FA179" s="35"/>
      <c r="FB179" s="35"/>
      <c r="FC179" s="35"/>
      <c r="FD179" s="35"/>
      <c r="FE179" s="35"/>
      <c r="FF179" s="35"/>
      <c r="FG179" s="35"/>
      <c r="FH179" s="35"/>
      <c r="FI179" s="35"/>
      <c r="FJ179" s="35"/>
      <c r="FK179" s="35"/>
      <c r="FL179" s="35"/>
      <c r="FM179" s="35"/>
      <c r="FN179" s="35"/>
      <c r="FO179" s="35"/>
      <c r="FP179" s="35"/>
      <c r="FQ179" s="35"/>
      <c r="FR179" s="35"/>
      <c r="FS179" s="35"/>
      <c r="FT179" s="35"/>
      <c r="FU179" s="35"/>
      <c r="FV179" s="35"/>
      <c r="FW179" s="35"/>
      <c r="FX179" s="35"/>
      <c r="FY179" s="35"/>
      <c r="FZ179" s="35"/>
      <c r="GA179" s="35"/>
      <c r="GB179" s="35"/>
      <c r="GC179" s="35"/>
      <c r="GD179" s="35"/>
      <c r="GE179" s="35"/>
      <c r="GF179" s="35"/>
      <c r="GG179" s="35"/>
      <c r="GH179" s="35"/>
      <c r="GI179" s="35"/>
      <c r="GJ179" s="35"/>
      <c r="GK179" s="35"/>
      <c r="GL179" s="35"/>
      <c r="GM179" s="35"/>
      <c r="GN179" s="35"/>
      <c r="GO179" s="35"/>
      <c r="GP179" s="35"/>
      <c r="GQ179" s="35"/>
      <c r="GR179" s="35"/>
      <c r="GS179" s="35"/>
      <c r="GT179" s="35"/>
      <c r="GU179" s="35"/>
      <c r="GV179" s="35"/>
      <c r="GW179" s="35"/>
      <c r="GX179" s="35"/>
      <c r="GY179" s="35"/>
      <c r="GZ179" s="35"/>
      <c r="HA179" s="35"/>
      <c r="HB179" s="35"/>
      <c r="HC179" s="35"/>
      <c r="HD179" s="35"/>
      <c r="HE179" s="35"/>
      <c r="HF179" s="35"/>
      <c r="HG179" s="35"/>
      <c r="HH179" s="35"/>
      <c r="HI179" s="35"/>
      <c r="HJ179" s="35"/>
      <c r="HK179" s="35"/>
      <c r="HL179" s="35"/>
      <c r="HM179" s="35"/>
      <c r="HN179" s="35"/>
      <c r="HO179" s="35"/>
      <c r="HP179" s="35"/>
      <c r="HQ179" s="35"/>
      <c r="HR179" s="35"/>
      <c r="HS179" s="35"/>
      <c r="HT179" s="35"/>
      <c r="HU179" s="35"/>
      <c r="HV179" s="35"/>
      <c r="HW179" s="35"/>
      <c r="HX179" s="35"/>
      <c r="HY179" s="35"/>
      <c r="HZ179" s="35"/>
      <c r="IA179" s="35"/>
      <c r="IB179" s="35"/>
      <c r="IC179" s="35"/>
      <c r="ID179" s="35"/>
      <c r="IE179" s="35"/>
      <c r="IF179" s="35"/>
      <c r="IG179" s="35"/>
      <c r="IH179" s="35"/>
      <c r="II179" s="35"/>
      <c r="IJ179" s="35"/>
      <c r="IK179" s="35"/>
      <c r="IL179" s="35"/>
      <c r="IM179" s="35"/>
      <c r="IN179" s="35"/>
      <c r="IO179" s="35"/>
      <c r="IP179" s="35"/>
      <c r="IQ179" s="35"/>
      <c r="IR179" s="35"/>
      <c r="IS179" s="35"/>
      <c r="IT179" s="35"/>
      <c r="IU179" s="35"/>
      <c r="IV179" s="35"/>
      <c r="IW179" s="35"/>
      <c r="IX179" s="35"/>
      <c r="IY179" s="35"/>
      <c r="IZ179" s="35"/>
      <c r="JA179" s="35"/>
      <c r="JB179" s="35"/>
      <c r="JC179" s="35"/>
      <c r="JD179" s="35"/>
      <c r="JE179" s="35"/>
    </row>
    <row r="180">
      <c r="A180" s="42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  <c r="DI180" s="35"/>
      <c r="DJ180" s="35"/>
      <c r="DK180" s="35"/>
      <c r="DL180" s="35"/>
      <c r="DM180" s="35"/>
      <c r="DN180" s="35"/>
      <c r="DO180" s="35"/>
      <c r="DP180" s="35"/>
      <c r="DQ180" s="35"/>
      <c r="DR180" s="35"/>
      <c r="DS180" s="35"/>
      <c r="DT180" s="35"/>
      <c r="DU180" s="35"/>
      <c r="DV180" s="35"/>
      <c r="DW180" s="35"/>
      <c r="DX180" s="35"/>
      <c r="DY180" s="35"/>
      <c r="DZ180" s="35"/>
      <c r="EA180" s="35"/>
      <c r="EB180" s="35"/>
      <c r="EC180" s="35"/>
      <c r="ED180" s="35"/>
      <c r="EE180" s="35"/>
      <c r="EF180" s="35"/>
      <c r="EG180" s="35"/>
      <c r="EH180" s="35"/>
      <c r="EI180" s="35"/>
      <c r="EJ180" s="35"/>
      <c r="EK180" s="35"/>
      <c r="EL180" s="35"/>
      <c r="EM180" s="35"/>
      <c r="EN180" s="35"/>
      <c r="EO180" s="35"/>
      <c r="EP180" s="35"/>
      <c r="EQ180" s="35"/>
      <c r="ER180" s="35"/>
      <c r="ES180" s="35"/>
      <c r="ET180" s="35"/>
      <c r="EU180" s="35"/>
      <c r="EV180" s="35"/>
      <c r="EW180" s="35"/>
      <c r="EX180" s="35"/>
      <c r="EY180" s="35"/>
      <c r="EZ180" s="35"/>
      <c r="FA180" s="35"/>
      <c r="FB180" s="35"/>
      <c r="FC180" s="35"/>
      <c r="FD180" s="35"/>
      <c r="FE180" s="35"/>
      <c r="FF180" s="35"/>
      <c r="FG180" s="35"/>
      <c r="FH180" s="35"/>
      <c r="FI180" s="35"/>
      <c r="FJ180" s="35"/>
      <c r="FK180" s="35"/>
      <c r="FL180" s="35"/>
      <c r="FM180" s="35"/>
      <c r="FN180" s="35"/>
      <c r="FO180" s="35"/>
      <c r="FP180" s="35"/>
      <c r="FQ180" s="35"/>
      <c r="FR180" s="35"/>
      <c r="FS180" s="35"/>
      <c r="FT180" s="35"/>
      <c r="FU180" s="35"/>
      <c r="FV180" s="35"/>
      <c r="FW180" s="35"/>
      <c r="FX180" s="35"/>
      <c r="FY180" s="35"/>
      <c r="FZ180" s="35"/>
      <c r="GA180" s="35"/>
      <c r="GB180" s="35"/>
      <c r="GC180" s="35"/>
      <c r="GD180" s="35"/>
      <c r="GE180" s="35"/>
      <c r="GF180" s="35"/>
      <c r="GG180" s="35"/>
      <c r="GH180" s="35"/>
      <c r="GI180" s="35"/>
      <c r="GJ180" s="35"/>
      <c r="GK180" s="35"/>
      <c r="GL180" s="35"/>
      <c r="GM180" s="35"/>
      <c r="GN180" s="35"/>
      <c r="GO180" s="35"/>
      <c r="GP180" s="35"/>
      <c r="GQ180" s="35"/>
      <c r="GR180" s="35"/>
      <c r="GS180" s="35"/>
      <c r="GT180" s="35"/>
      <c r="GU180" s="35"/>
      <c r="GV180" s="35"/>
      <c r="GW180" s="35"/>
      <c r="GX180" s="35"/>
      <c r="GY180" s="35"/>
      <c r="GZ180" s="35"/>
      <c r="HA180" s="35"/>
      <c r="HB180" s="35"/>
      <c r="HC180" s="35"/>
      <c r="HD180" s="35"/>
      <c r="HE180" s="35"/>
      <c r="HF180" s="35"/>
      <c r="HG180" s="35"/>
      <c r="HH180" s="35"/>
      <c r="HI180" s="35"/>
      <c r="HJ180" s="35"/>
      <c r="HK180" s="35"/>
      <c r="HL180" s="35"/>
      <c r="HM180" s="35"/>
      <c r="HN180" s="35"/>
      <c r="HO180" s="35"/>
      <c r="HP180" s="35"/>
      <c r="HQ180" s="35"/>
      <c r="HR180" s="35"/>
      <c r="HS180" s="35"/>
      <c r="HT180" s="35"/>
      <c r="HU180" s="35"/>
      <c r="HV180" s="35"/>
      <c r="HW180" s="35"/>
      <c r="HX180" s="35"/>
      <c r="HY180" s="35"/>
      <c r="HZ180" s="35"/>
      <c r="IA180" s="35"/>
      <c r="IB180" s="35"/>
      <c r="IC180" s="35"/>
      <c r="ID180" s="35"/>
      <c r="IE180" s="35"/>
      <c r="IF180" s="35"/>
      <c r="IG180" s="35"/>
      <c r="IH180" s="35"/>
      <c r="II180" s="35"/>
      <c r="IJ180" s="35"/>
      <c r="IK180" s="35"/>
      <c r="IL180" s="35"/>
      <c r="IM180" s="35"/>
      <c r="IN180" s="35"/>
      <c r="IO180" s="35"/>
      <c r="IP180" s="35"/>
      <c r="IQ180" s="35"/>
      <c r="IR180" s="35"/>
      <c r="IS180" s="35"/>
      <c r="IT180" s="35"/>
      <c r="IU180" s="35"/>
      <c r="IV180" s="35"/>
      <c r="IW180" s="35"/>
      <c r="IX180" s="35"/>
      <c r="IY180" s="35"/>
      <c r="IZ180" s="35"/>
      <c r="JA180" s="35"/>
      <c r="JB180" s="35"/>
      <c r="JC180" s="35"/>
      <c r="JD180" s="35"/>
      <c r="JE180" s="35"/>
    </row>
    <row r="181">
      <c r="A181" s="42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  <c r="DI181" s="35"/>
      <c r="DJ181" s="35"/>
      <c r="DK181" s="35"/>
      <c r="DL181" s="35"/>
      <c r="DM181" s="35"/>
      <c r="DN181" s="35"/>
      <c r="DO181" s="35"/>
      <c r="DP181" s="35"/>
      <c r="DQ181" s="35"/>
      <c r="DR181" s="35"/>
      <c r="DS181" s="35"/>
      <c r="DT181" s="35"/>
      <c r="DU181" s="35"/>
      <c r="DV181" s="35"/>
      <c r="DW181" s="35"/>
      <c r="DX181" s="35"/>
      <c r="DY181" s="35"/>
      <c r="DZ181" s="35"/>
      <c r="EA181" s="35"/>
      <c r="EB181" s="35"/>
      <c r="EC181" s="35"/>
      <c r="ED181" s="35"/>
      <c r="EE181" s="35"/>
      <c r="EF181" s="35"/>
      <c r="EG181" s="35"/>
      <c r="EH181" s="35"/>
      <c r="EI181" s="35"/>
      <c r="EJ181" s="35"/>
      <c r="EK181" s="35"/>
      <c r="EL181" s="35"/>
      <c r="EM181" s="35"/>
      <c r="EN181" s="35"/>
      <c r="EO181" s="35"/>
      <c r="EP181" s="35"/>
      <c r="EQ181" s="35"/>
      <c r="ER181" s="35"/>
      <c r="ES181" s="35"/>
      <c r="ET181" s="35"/>
      <c r="EU181" s="35"/>
      <c r="EV181" s="35"/>
      <c r="EW181" s="35"/>
      <c r="EX181" s="35"/>
      <c r="EY181" s="35"/>
      <c r="EZ181" s="35"/>
      <c r="FA181" s="35"/>
      <c r="FB181" s="35"/>
      <c r="FC181" s="35"/>
      <c r="FD181" s="35"/>
      <c r="FE181" s="35"/>
      <c r="FF181" s="35"/>
      <c r="FG181" s="35"/>
      <c r="FH181" s="35"/>
      <c r="FI181" s="35"/>
      <c r="FJ181" s="35"/>
      <c r="FK181" s="35"/>
      <c r="FL181" s="35"/>
      <c r="FM181" s="35"/>
      <c r="FN181" s="35"/>
      <c r="FO181" s="35"/>
      <c r="FP181" s="35"/>
      <c r="FQ181" s="35"/>
      <c r="FR181" s="35"/>
      <c r="FS181" s="35"/>
      <c r="FT181" s="35"/>
      <c r="FU181" s="35"/>
      <c r="FV181" s="35"/>
      <c r="FW181" s="35"/>
      <c r="FX181" s="35"/>
      <c r="FY181" s="35"/>
      <c r="FZ181" s="35"/>
      <c r="GA181" s="35"/>
      <c r="GB181" s="35"/>
      <c r="GC181" s="35"/>
      <c r="GD181" s="35"/>
      <c r="GE181" s="35"/>
      <c r="GF181" s="35"/>
      <c r="GG181" s="35"/>
      <c r="GH181" s="35"/>
      <c r="GI181" s="35"/>
      <c r="GJ181" s="35"/>
      <c r="GK181" s="35"/>
      <c r="GL181" s="35"/>
      <c r="GM181" s="35"/>
      <c r="GN181" s="35"/>
      <c r="GO181" s="35"/>
      <c r="GP181" s="35"/>
      <c r="GQ181" s="35"/>
      <c r="GR181" s="35"/>
      <c r="GS181" s="35"/>
      <c r="GT181" s="35"/>
      <c r="GU181" s="35"/>
      <c r="GV181" s="35"/>
      <c r="GW181" s="35"/>
      <c r="GX181" s="35"/>
      <c r="GY181" s="35"/>
      <c r="GZ181" s="35"/>
      <c r="HA181" s="35"/>
      <c r="HB181" s="35"/>
      <c r="HC181" s="35"/>
      <c r="HD181" s="35"/>
      <c r="HE181" s="35"/>
      <c r="HF181" s="35"/>
      <c r="HG181" s="35"/>
      <c r="HH181" s="35"/>
      <c r="HI181" s="35"/>
      <c r="HJ181" s="35"/>
      <c r="HK181" s="35"/>
      <c r="HL181" s="35"/>
      <c r="HM181" s="35"/>
      <c r="HN181" s="35"/>
      <c r="HO181" s="35"/>
      <c r="HP181" s="35"/>
      <c r="HQ181" s="35"/>
      <c r="HR181" s="35"/>
      <c r="HS181" s="35"/>
      <c r="HT181" s="35"/>
      <c r="HU181" s="35"/>
      <c r="HV181" s="35"/>
      <c r="HW181" s="35"/>
      <c r="HX181" s="35"/>
      <c r="HY181" s="35"/>
      <c r="HZ181" s="35"/>
      <c r="IA181" s="35"/>
      <c r="IB181" s="35"/>
      <c r="IC181" s="35"/>
      <c r="ID181" s="35"/>
      <c r="IE181" s="35"/>
      <c r="IF181" s="35"/>
      <c r="IG181" s="35"/>
      <c r="IH181" s="35"/>
      <c r="II181" s="35"/>
      <c r="IJ181" s="35"/>
      <c r="IK181" s="35"/>
      <c r="IL181" s="35"/>
      <c r="IM181" s="35"/>
      <c r="IN181" s="35"/>
      <c r="IO181" s="35"/>
      <c r="IP181" s="35"/>
      <c r="IQ181" s="35"/>
      <c r="IR181" s="35"/>
      <c r="IS181" s="35"/>
      <c r="IT181" s="35"/>
      <c r="IU181" s="35"/>
      <c r="IV181" s="35"/>
      <c r="IW181" s="35"/>
      <c r="IX181" s="35"/>
      <c r="IY181" s="35"/>
      <c r="IZ181" s="35"/>
      <c r="JA181" s="35"/>
      <c r="JB181" s="35"/>
      <c r="JC181" s="35"/>
      <c r="JD181" s="35"/>
      <c r="JE181" s="35"/>
    </row>
    <row r="182">
      <c r="A182" s="42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  <c r="DI182" s="35"/>
      <c r="DJ182" s="35"/>
      <c r="DK182" s="35"/>
      <c r="DL182" s="35"/>
      <c r="DM182" s="35"/>
      <c r="DN182" s="35"/>
      <c r="DO182" s="35"/>
      <c r="DP182" s="35"/>
      <c r="DQ182" s="35"/>
      <c r="DR182" s="35"/>
      <c r="DS182" s="35"/>
      <c r="DT182" s="35"/>
      <c r="DU182" s="35"/>
      <c r="DV182" s="35"/>
      <c r="DW182" s="35"/>
      <c r="DX182" s="35"/>
      <c r="DY182" s="35"/>
      <c r="DZ182" s="35"/>
      <c r="EA182" s="35"/>
      <c r="EB182" s="35"/>
      <c r="EC182" s="35"/>
      <c r="ED182" s="35"/>
      <c r="EE182" s="35"/>
      <c r="EF182" s="35"/>
      <c r="EG182" s="35"/>
      <c r="EH182" s="35"/>
      <c r="EI182" s="35"/>
      <c r="EJ182" s="35"/>
      <c r="EK182" s="35"/>
      <c r="EL182" s="35"/>
      <c r="EM182" s="35"/>
      <c r="EN182" s="35"/>
      <c r="EO182" s="35"/>
      <c r="EP182" s="35"/>
      <c r="EQ182" s="35"/>
      <c r="ER182" s="35"/>
      <c r="ES182" s="35"/>
      <c r="ET182" s="35"/>
      <c r="EU182" s="35"/>
      <c r="EV182" s="35"/>
      <c r="EW182" s="35"/>
      <c r="EX182" s="35"/>
      <c r="EY182" s="35"/>
      <c r="EZ182" s="35"/>
      <c r="FA182" s="35"/>
      <c r="FB182" s="35"/>
      <c r="FC182" s="35"/>
      <c r="FD182" s="35"/>
      <c r="FE182" s="35"/>
      <c r="FF182" s="35"/>
      <c r="FG182" s="35"/>
      <c r="FH182" s="35"/>
      <c r="FI182" s="35"/>
      <c r="FJ182" s="35"/>
      <c r="FK182" s="35"/>
      <c r="FL182" s="35"/>
      <c r="FM182" s="35"/>
      <c r="FN182" s="35"/>
      <c r="FO182" s="35"/>
      <c r="FP182" s="35"/>
      <c r="FQ182" s="35"/>
      <c r="FR182" s="35"/>
      <c r="FS182" s="35"/>
      <c r="FT182" s="35"/>
      <c r="FU182" s="35"/>
      <c r="FV182" s="35"/>
      <c r="FW182" s="35"/>
      <c r="FX182" s="35"/>
      <c r="FY182" s="35"/>
      <c r="FZ182" s="35"/>
      <c r="GA182" s="35"/>
      <c r="GB182" s="35"/>
      <c r="GC182" s="35"/>
      <c r="GD182" s="35"/>
      <c r="GE182" s="35"/>
      <c r="GF182" s="35"/>
      <c r="GG182" s="35"/>
      <c r="GH182" s="35"/>
      <c r="GI182" s="35"/>
      <c r="GJ182" s="35"/>
      <c r="GK182" s="35"/>
      <c r="GL182" s="35"/>
      <c r="GM182" s="35"/>
      <c r="GN182" s="35"/>
      <c r="GO182" s="35"/>
      <c r="GP182" s="35"/>
      <c r="GQ182" s="35"/>
      <c r="GR182" s="35"/>
      <c r="GS182" s="35"/>
      <c r="GT182" s="35"/>
      <c r="GU182" s="35"/>
      <c r="GV182" s="35"/>
      <c r="GW182" s="35"/>
      <c r="GX182" s="35"/>
      <c r="GY182" s="35"/>
      <c r="GZ182" s="35"/>
      <c r="HA182" s="35"/>
      <c r="HB182" s="35"/>
      <c r="HC182" s="35"/>
      <c r="HD182" s="35"/>
      <c r="HE182" s="35"/>
      <c r="HF182" s="35"/>
      <c r="HG182" s="35"/>
      <c r="HH182" s="35"/>
      <c r="HI182" s="35"/>
      <c r="HJ182" s="35"/>
      <c r="HK182" s="35"/>
      <c r="HL182" s="35"/>
      <c r="HM182" s="35"/>
      <c r="HN182" s="35"/>
      <c r="HO182" s="35"/>
      <c r="HP182" s="35"/>
      <c r="HQ182" s="35"/>
      <c r="HR182" s="35"/>
      <c r="HS182" s="35"/>
      <c r="HT182" s="35"/>
      <c r="HU182" s="35"/>
      <c r="HV182" s="35"/>
      <c r="HW182" s="35"/>
      <c r="HX182" s="35"/>
      <c r="HY182" s="35"/>
      <c r="HZ182" s="35"/>
      <c r="IA182" s="35"/>
      <c r="IB182" s="35"/>
      <c r="IC182" s="35"/>
      <c r="ID182" s="35"/>
      <c r="IE182" s="35"/>
      <c r="IF182" s="35"/>
      <c r="IG182" s="35"/>
      <c r="IH182" s="35"/>
      <c r="II182" s="35"/>
      <c r="IJ182" s="35"/>
      <c r="IK182" s="35"/>
      <c r="IL182" s="35"/>
      <c r="IM182" s="35"/>
      <c r="IN182" s="35"/>
      <c r="IO182" s="35"/>
      <c r="IP182" s="35"/>
      <c r="IQ182" s="35"/>
      <c r="IR182" s="35"/>
      <c r="IS182" s="35"/>
      <c r="IT182" s="35"/>
      <c r="IU182" s="35"/>
      <c r="IV182" s="35"/>
      <c r="IW182" s="35"/>
      <c r="IX182" s="35"/>
      <c r="IY182" s="35"/>
      <c r="IZ182" s="35"/>
      <c r="JA182" s="35"/>
      <c r="JB182" s="35"/>
      <c r="JC182" s="35"/>
      <c r="JD182" s="35"/>
      <c r="JE182" s="35"/>
    </row>
    <row r="183">
      <c r="A183" s="42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35"/>
      <c r="CY183" s="35"/>
      <c r="CZ183" s="35"/>
      <c r="DA183" s="35"/>
      <c r="DB183" s="35"/>
      <c r="DC183" s="35"/>
      <c r="DD183" s="35"/>
      <c r="DE183" s="35"/>
      <c r="DF183" s="35"/>
      <c r="DG183" s="35"/>
      <c r="DH183" s="35"/>
      <c r="DI183" s="35"/>
      <c r="DJ183" s="35"/>
      <c r="DK183" s="35"/>
      <c r="DL183" s="35"/>
      <c r="DM183" s="35"/>
      <c r="DN183" s="35"/>
      <c r="DO183" s="35"/>
      <c r="DP183" s="35"/>
      <c r="DQ183" s="35"/>
      <c r="DR183" s="35"/>
      <c r="DS183" s="35"/>
      <c r="DT183" s="35"/>
      <c r="DU183" s="35"/>
      <c r="DV183" s="35"/>
      <c r="DW183" s="35"/>
      <c r="DX183" s="35"/>
      <c r="DY183" s="35"/>
      <c r="DZ183" s="35"/>
      <c r="EA183" s="35"/>
      <c r="EB183" s="35"/>
      <c r="EC183" s="35"/>
      <c r="ED183" s="35"/>
      <c r="EE183" s="35"/>
      <c r="EF183" s="35"/>
      <c r="EG183" s="35"/>
      <c r="EH183" s="35"/>
      <c r="EI183" s="35"/>
      <c r="EJ183" s="35"/>
      <c r="EK183" s="35"/>
      <c r="EL183" s="35"/>
      <c r="EM183" s="35"/>
      <c r="EN183" s="35"/>
      <c r="EO183" s="35"/>
      <c r="EP183" s="35"/>
      <c r="EQ183" s="35"/>
      <c r="ER183" s="35"/>
      <c r="ES183" s="35"/>
      <c r="ET183" s="35"/>
      <c r="EU183" s="35"/>
      <c r="EV183" s="35"/>
      <c r="EW183" s="35"/>
      <c r="EX183" s="35"/>
      <c r="EY183" s="35"/>
      <c r="EZ183" s="35"/>
      <c r="FA183" s="35"/>
      <c r="FB183" s="35"/>
      <c r="FC183" s="35"/>
      <c r="FD183" s="35"/>
      <c r="FE183" s="35"/>
      <c r="FF183" s="35"/>
      <c r="FG183" s="35"/>
      <c r="FH183" s="35"/>
      <c r="FI183" s="35"/>
      <c r="FJ183" s="35"/>
      <c r="FK183" s="35"/>
      <c r="FL183" s="35"/>
      <c r="FM183" s="35"/>
      <c r="FN183" s="35"/>
      <c r="FO183" s="35"/>
      <c r="FP183" s="35"/>
      <c r="FQ183" s="35"/>
      <c r="FR183" s="35"/>
      <c r="FS183" s="35"/>
      <c r="FT183" s="35"/>
      <c r="FU183" s="35"/>
      <c r="FV183" s="35"/>
      <c r="FW183" s="35"/>
      <c r="FX183" s="35"/>
      <c r="FY183" s="35"/>
      <c r="FZ183" s="35"/>
      <c r="GA183" s="35"/>
      <c r="GB183" s="35"/>
      <c r="GC183" s="35"/>
      <c r="GD183" s="35"/>
      <c r="GE183" s="35"/>
      <c r="GF183" s="35"/>
      <c r="GG183" s="35"/>
      <c r="GH183" s="35"/>
      <c r="GI183" s="35"/>
      <c r="GJ183" s="35"/>
      <c r="GK183" s="35"/>
      <c r="GL183" s="35"/>
      <c r="GM183" s="35"/>
      <c r="GN183" s="35"/>
      <c r="GO183" s="35"/>
      <c r="GP183" s="35"/>
      <c r="GQ183" s="35"/>
      <c r="GR183" s="35"/>
      <c r="GS183" s="35"/>
      <c r="GT183" s="35"/>
      <c r="GU183" s="35"/>
      <c r="GV183" s="35"/>
      <c r="GW183" s="35"/>
      <c r="GX183" s="35"/>
      <c r="GY183" s="35"/>
      <c r="GZ183" s="35"/>
      <c r="HA183" s="35"/>
      <c r="HB183" s="35"/>
      <c r="HC183" s="35"/>
      <c r="HD183" s="35"/>
      <c r="HE183" s="35"/>
      <c r="HF183" s="35"/>
      <c r="HG183" s="35"/>
      <c r="HH183" s="35"/>
      <c r="HI183" s="35"/>
      <c r="HJ183" s="35"/>
      <c r="HK183" s="35"/>
      <c r="HL183" s="35"/>
      <c r="HM183" s="35"/>
      <c r="HN183" s="35"/>
      <c r="HO183" s="35"/>
      <c r="HP183" s="35"/>
      <c r="HQ183" s="35"/>
      <c r="HR183" s="35"/>
      <c r="HS183" s="35"/>
      <c r="HT183" s="35"/>
      <c r="HU183" s="35"/>
      <c r="HV183" s="35"/>
      <c r="HW183" s="35"/>
      <c r="HX183" s="35"/>
      <c r="HY183" s="35"/>
      <c r="HZ183" s="35"/>
      <c r="IA183" s="35"/>
      <c r="IB183" s="35"/>
      <c r="IC183" s="35"/>
      <c r="ID183" s="35"/>
      <c r="IE183" s="35"/>
      <c r="IF183" s="35"/>
      <c r="IG183" s="35"/>
      <c r="IH183" s="35"/>
      <c r="II183" s="35"/>
      <c r="IJ183" s="35"/>
      <c r="IK183" s="35"/>
      <c r="IL183" s="35"/>
      <c r="IM183" s="35"/>
      <c r="IN183" s="35"/>
      <c r="IO183" s="35"/>
      <c r="IP183" s="35"/>
      <c r="IQ183" s="35"/>
      <c r="IR183" s="35"/>
      <c r="IS183" s="35"/>
      <c r="IT183" s="35"/>
      <c r="IU183" s="35"/>
      <c r="IV183" s="35"/>
      <c r="IW183" s="35"/>
      <c r="IX183" s="35"/>
      <c r="IY183" s="35"/>
      <c r="IZ183" s="35"/>
      <c r="JA183" s="35"/>
      <c r="JB183" s="35"/>
      <c r="JC183" s="35"/>
      <c r="JD183" s="35"/>
      <c r="JE183" s="35"/>
    </row>
    <row r="184">
      <c r="A184" s="42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  <c r="CB184" s="35"/>
      <c r="CC184" s="35"/>
      <c r="CD184" s="35"/>
      <c r="CE184" s="35"/>
      <c r="CF184" s="35"/>
      <c r="CG184" s="35"/>
      <c r="CH184" s="35"/>
      <c r="CI184" s="35"/>
      <c r="CJ184" s="35"/>
      <c r="CK184" s="35"/>
      <c r="CL184" s="35"/>
      <c r="CM184" s="35"/>
      <c r="CN184" s="35"/>
      <c r="CO184" s="35"/>
      <c r="CP184" s="35"/>
      <c r="CQ184" s="35"/>
      <c r="CR184" s="35"/>
      <c r="CS184" s="35"/>
      <c r="CT184" s="35"/>
      <c r="CU184" s="35"/>
      <c r="CV184" s="35"/>
      <c r="CW184" s="35"/>
      <c r="CX184" s="35"/>
      <c r="CY184" s="35"/>
      <c r="CZ184" s="35"/>
      <c r="DA184" s="35"/>
      <c r="DB184" s="35"/>
      <c r="DC184" s="35"/>
      <c r="DD184" s="35"/>
      <c r="DE184" s="35"/>
      <c r="DF184" s="35"/>
      <c r="DG184" s="35"/>
      <c r="DH184" s="35"/>
      <c r="DI184" s="35"/>
      <c r="DJ184" s="35"/>
      <c r="DK184" s="35"/>
      <c r="DL184" s="35"/>
      <c r="DM184" s="35"/>
      <c r="DN184" s="35"/>
      <c r="DO184" s="35"/>
      <c r="DP184" s="35"/>
      <c r="DQ184" s="35"/>
      <c r="DR184" s="35"/>
      <c r="DS184" s="35"/>
      <c r="DT184" s="35"/>
      <c r="DU184" s="35"/>
      <c r="DV184" s="35"/>
      <c r="DW184" s="35"/>
      <c r="DX184" s="35"/>
      <c r="DY184" s="35"/>
      <c r="DZ184" s="35"/>
      <c r="EA184" s="35"/>
      <c r="EB184" s="35"/>
      <c r="EC184" s="35"/>
      <c r="ED184" s="35"/>
      <c r="EE184" s="35"/>
      <c r="EF184" s="35"/>
      <c r="EG184" s="35"/>
      <c r="EH184" s="35"/>
      <c r="EI184" s="35"/>
      <c r="EJ184" s="35"/>
      <c r="EK184" s="35"/>
      <c r="EL184" s="35"/>
      <c r="EM184" s="35"/>
      <c r="EN184" s="35"/>
      <c r="EO184" s="35"/>
      <c r="EP184" s="35"/>
      <c r="EQ184" s="35"/>
      <c r="ER184" s="35"/>
      <c r="ES184" s="35"/>
      <c r="ET184" s="35"/>
      <c r="EU184" s="35"/>
      <c r="EV184" s="35"/>
      <c r="EW184" s="35"/>
      <c r="EX184" s="35"/>
      <c r="EY184" s="35"/>
      <c r="EZ184" s="35"/>
      <c r="FA184" s="35"/>
      <c r="FB184" s="35"/>
      <c r="FC184" s="35"/>
      <c r="FD184" s="35"/>
      <c r="FE184" s="35"/>
      <c r="FF184" s="35"/>
      <c r="FG184" s="35"/>
      <c r="FH184" s="35"/>
      <c r="FI184" s="35"/>
      <c r="FJ184" s="35"/>
      <c r="FK184" s="35"/>
      <c r="FL184" s="35"/>
      <c r="FM184" s="35"/>
      <c r="FN184" s="35"/>
      <c r="FO184" s="35"/>
      <c r="FP184" s="35"/>
      <c r="FQ184" s="35"/>
      <c r="FR184" s="35"/>
      <c r="FS184" s="35"/>
      <c r="FT184" s="35"/>
      <c r="FU184" s="35"/>
      <c r="FV184" s="35"/>
      <c r="FW184" s="35"/>
      <c r="FX184" s="35"/>
      <c r="FY184" s="35"/>
      <c r="FZ184" s="35"/>
      <c r="GA184" s="35"/>
      <c r="GB184" s="35"/>
      <c r="GC184" s="35"/>
      <c r="GD184" s="35"/>
      <c r="GE184" s="35"/>
      <c r="GF184" s="35"/>
      <c r="GG184" s="35"/>
      <c r="GH184" s="35"/>
      <c r="GI184" s="35"/>
      <c r="GJ184" s="35"/>
      <c r="GK184" s="35"/>
      <c r="GL184" s="35"/>
      <c r="GM184" s="35"/>
      <c r="GN184" s="35"/>
      <c r="GO184" s="35"/>
      <c r="GP184" s="35"/>
      <c r="GQ184" s="35"/>
      <c r="GR184" s="35"/>
      <c r="GS184" s="35"/>
      <c r="GT184" s="35"/>
      <c r="GU184" s="35"/>
      <c r="GV184" s="35"/>
      <c r="GW184" s="35"/>
      <c r="GX184" s="35"/>
      <c r="GY184" s="35"/>
      <c r="GZ184" s="35"/>
      <c r="HA184" s="35"/>
      <c r="HB184" s="35"/>
      <c r="HC184" s="35"/>
      <c r="HD184" s="35"/>
      <c r="HE184" s="35"/>
      <c r="HF184" s="35"/>
      <c r="HG184" s="35"/>
      <c r="HH184" s="35"/>
      <c r="HI184" s="35"/>
      <c r="HJ184" s="35"/>
      <c r="HK184" s="35"/>
      <c r="HL184" s="35"/>
      <c r="HM184" s="35"/>
      <c r="HN184" s="35"/>
      <c r="HO184" s="35"/>
      <c r="HP184" s="35"/>
      <c r="HQ184" s="35"/>
      <c r="HR184" s="35"/>
      <c r="HS184" s="35"/>
      <c r="HT184" s="35"/>
      <c r="HU184" s="35"/>
      <c r="HV184" s="35"/>
      <c r="HW184" s="35"/>
      <c r="HX184" s="35"/>
      <c r="HY184" s="35"/>
      <c r="HZ184" s="35"/>
      <c r="IA184" s="35"/>
      <c r="IB184" s="35"/>
      <c r="IC184" s="35"/>
      <c r="ID184" s="35"/>
      <c r="IE184" s="35"/>
      <c r="IF184" s="35"/>
      <c r="IG184" s="35"/>
      <c r="IH184" s="35"/>
      <c r="II184" s="35"/>
      <c r="IJ184" s="35"/>
      <c r="IK184" s="35"/>
      <c r="IL184" s="35"/>
      <c r="IM184" s="35"/>
      <c r="IN184" s="35"/>
      <c r="IO184" s="35"/>
      <c r="IP184" s="35"/>
      <c r="IQ184" s="35"/>
      <c r="IR184" s="35"/>
      <c r="IS184" s="35"/>
      <c r="IT184" s="35"/>
      <c r="IU184" s="35"/>
      <c r="IV184" s="35"/>
      <c r="IW184" s="35"/>
      <c r="IX184" s="35"/>
      <c r="IY184" s="35"/>
      <c r="IZ184" s="35"/>
      <c r="JA184" s="35"/>
      <c r="JB184" s="35"/>
      <c r="JC184" s="35"/>
      <c r="JD184" s="35"/>
      <c r="JE184" s="35"/>
    </row>
    <row r="185">
      <c r="A185" s="42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  <c r="CV185" s="35"/>
      <c r="CW185" s="35"/>
      <c r="CX185" s="35"/>
      <c r="CY185" s="35"/>
      <c r="CZ185" s="35"/>
      <c r="DA185" s="35"/>
      <c r="DB185" s="35"/>
      <c r="DC185" s="35"/>
      <c r="DD185" s="35"/>
      <c r="DE185" s="35"/>
      <c r="DF185" s="35"/>
      <c r="DG185" s="35"/>
      <c r="DH185" s="35"/>
      <c r="DI185" s="35"/>
      <c r="DJ185" s="35"/>
      <c r="DK185" s="35"/>
      <c r="DL185" s="35"/>
      <c r="DM185" s="35"/>
      <c r="DN185" s="35"/>
      <c r="DO185" s="35"/>
      <c r="DP185" s="35"/>
      <c r="DQ185" s="35"/>
      <c r="DR185" s="35"/>
      <c r="DS185" s="35"/>
      <c r="DT185" s="35"/>
      <c r="DU185" s="35"/>
      <c r="DV185" s="35"/>
      <c r="DW185" s="35"/>
      <c r="DX185" s="35"/>
      <c r="DY185" s="35"/>
      <c r="DZ185" s="35"/>
      <c r="EA185" s="35"/>
      <c r="EB185" s="35"/>
      <c r="EC185" s="35"/>
      <c r="ED185" s="35"/>
      <c r="EE185" s="35"/>
      <c r="EF185" s="35"/>
      <c r="EG185" s="35"/>
      <c r="EH185" s="35"/>
      <c r="EI185" s="35"/>
      <c r="EJ185" s="35"/>
      <c r="EK185" s="35"/>
      <c r="EL185" s="35"/>
      <c r="EM185" s="35"/>
      <c r="EN185" s="35"/>
      <c r="EO185" s="35"/>
      <c r="EP185" s="35"/>
      <c r="EQ185" s="35"/>
      <c r="ER185" s="35"/>
      <c r="ES185" s="35"/>
      <c r="ET185" s="35"/>
      <c r="EU185" s="35"/>
      <c r="EV185" s="35"/>
      <c r="EW185" s="35"/>
      <c r="EX185" s="35"/>
      <c r="EY185" s="35"/>
      <c r="EZ185" s="35"/>
      <c r="FA185" s="35"/>
      <c r="FB185" s="35"/>
      <c r="FC185" s="35"/>
      <c r="FD185" s="35"/>
      <c r="FE185" s="35"/>
      <c r="FF185" s="35"/>
      <c r="FG185" s="35"/>
      <c r="FH185" s="35"/>
      <c r="FI185" s="35"/>
      <c r="FJ185" s="35"/>
      <c r="FK185" s="35"/>
      <c r="FL185" s="35"/>
      <c r="FM185" s="35"/>
      <c r="FN185" s="35"/>
      <c r="FO185" s="35"/>
      <c r="FP185" s="35"/>
      <c r="FQ185" s="35"/>
      <c r="FR185" s="35"/>
      <c r="FS185" s="35"/>
      <c r="FT185" s="35"/>
      <c r="FU185" s="35"/>
      <c r="FV185" s="35"/>
      <c r="FW185" s="35"/>
      <c r="FX185" s="35"/>
      <c r="FY185" s="35"/>
      <c r="FZ185" s="35"/>
      <c r="GA185" s="35"/>
      <c r="GB185" s="35"/>
      <c r="GC185" s="35"/>
      <c r="GD185" s="35"/>
      <c r="GE185" s="35"/>
      <c r="GF185" s="35"/>
      <c r="GG185" s="35"/>
      <c r="GH185" s="35"/>
      <c r="GI185" s="35"/>
      <c r="GJ185" s="35"/>
      <c r="GK185" s="35"/>
      <c r="GL185" s="35"/>
      <c r="GM185" s="35"/>
      <c r="GN185" s="35"/>
      <c r="GO185" s="35"/>
      <c r="GP185" s="35"/>
      <c r="GQ185" s="35"/>
      <c r="GR185" s="35"/>
      <c r="GS185" s="35"/>
      <c r="GT185" s="35"/>
      <c r="GU185" s="35"/>
      <c r="GV185" s="35"/>
      <c r="GW185" s="35"/>
      <c r="GX185" s="35"/>
      <c r="GY185" s="35"/>
      <c r="GZ185" s="35"/>
      <c r="HA185" s="35"/>
      <c r="HB185" s="35"/>
      <c r="HC185" s="35"/>
      <c r="HD185" s="35"/>
      <c r="HE185" s="35"/>
      <c r="HF185" s="35"/>
      <c r="HG185" s="35"/>
      <c r="HH185" s="35"/>
      <c r="HI185" s="35"/>
      <c r="HJ185" s="35"/>
      <c r="HK185" s="35"/>
      <c r="HL185" s="35"/>
      <c r="HM185" s="35"/>
      <c r="HN185" s="35"/>
      <c r="HO185" s="35"/>
      <c r="HP185" s="35"/>
      <c r="HQ185" s="35"/>
      <c r="HR185" s="35"/>
      <c r="HS185" s="35"/>
      <c r="HT185" s="35"/>
      <c r="HU185" s="35"/>
      <c r="HV185" s="35"/>
      <c r="HW185" s="35"/>
      <c r="HX185" s="35"/>
      <c r="HY185" s="35"/>
      <c r="HZ185" s="35"/>
      <c r="IA185" s="35"/>
      <c r="IB185" s="35"/>
      <c r="IC185" s="35"/>
      <c r="ID185" s="35"/>
      <c r="IE185" s="35"/>
      <c r="IF185" s="35"/>
      <c r="IG185" s="35"/>
      <c r="IH185" s="35"/>
      <c r="II185" s="35"/>
      <c r="IJ185" s="35"/>
      <c r="IK185" s="35"/>
      <c r="IL185" s="35"/>
      <c r="IM185" s="35"/>
      <c r="IN185" s="35"/>
      <c r="IO185" s="35"/>
      <c r="IP185" s="35"/>
      <c r="IQ185" s="35"/>
      <c r="IR185" s="35"/>
      <c r="IS185" s="35"/>
      <c r="IT185" s="35"/>
      <c r="IU185" s="35"/>
      <c r="IV185" s="35"/>
      <c r="IW185" s="35"/>
      <c r="IX185" s="35"/>
      <c r="IY185" s="35"/>
      <c r="IZ185" s="35"/>
      <c r="JA185" s="35"/>
      <c r="JB185" s="35"/>
      <c r="JC185" s="35"/>
      <c r="JD185" s="35"/>
      <c r="JE185" s="35"/>
    </row>
    <row r="186">
      <c r="A186" s="42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  <c r="DL186" s="35"/>
      <c r="DM186" s="35"/>
      <c r="DN186" s="35"/>
      <c r="DO186" s="35"/>
      <c r="DP186" s="35"/>
      <c r="DQ186" s="35"/>
      <c r="DR186" s="35"/>
      <c r="DS186" s="35"/>
      <c r="DT186" s="35"/>
      <c r="DU186" s="35"/>
      <c r="DV186" s="35"/>
      <c r="DW186" s="35"/>
      <c r="DX186" s="35"/>
      <c r="DY186" s="35"/>
      <c r="DZ186" s="35"/>
      <c r="EA186" s="35"/>
      <c r="EB186" s="35"/>
      <c r="EC186" s="35"/>
      <c r="ED186" s="35"/>
      <c r="EE186" s="35"/>
      <c r="EF186" s="35"/>
      <c r="EG186" s="35"/>
      <c r="EH186" s="35"/>
      <c r="EI186" s="35"/>
      <c r="EJ186" s="35"/>
      <c r="EK186" s="35"/>
      <c r="EL186" s="35"/>
      <c r="EM186" s="35"/>
      <c r="EN186" s="35"/>
      <c r="EO186" s="35"/>
      <c r="EP186" s="35"/>
      <c r="EQ186" s="35"/>
      <c r="ER186" s="35"/>
      <c r="ES186" s="35"/>
      <c r="ET186" s="35"/>
      <c r="EU186" s="35"/>
      <c r="EV186" s="35"/>
      <c r="EW186" s="35"/>
      <c r="EX186" s="35"/>
      <c r="EY186" s="35"/>
      <c r="EZ186" s="35"/>
      <c r="FA186" s="35"/>
      <c r="FB186" s="35"/>
      <c r="FC186" s="35"/>
      <c r="FD186" s="35"/>
      <c r="FE186" s="35"/>
      <c r="FF186" s="35"/>
      <c r="FG186" s="35"/>
      <c r="FH186" s="35"/>
      <c r="FI186" s="35"/>
      <c r="FJ186" s="35"/>
      <c r="FK186" s="35"/>
      <c r="FL186" s="35"/>
      <c r="FM186" s="35"/>
      <c r="FN186" s="35"/>
      <c r="FO186" s="35"/>
      <c r="FP186" s="35"/>
      <c r="FQ186" s="35"/>
      <c r="FR186" s="35"/>
      <c r="FS186" s="35"/>
      <c r="FT186" s="35"/>
      <c r="FU186" s="35"/>
      <c r="FV186" s="35"/>
      <c r="FW186" s="35"/>
      <c r="FX186" s="35"/>
      <c r="FY186" s="35"/>
      <c r="FZ186" s="35"/>
      <c r="GA186" s="35"/>
      <c r="GB186" s="35"/>
      <c r="GC186" s="35"/>
      <c r="GD186" s="35"/>
      <c r="GE186" s="35"/>
      <c r="GF186" s="35"/>
      <c r="GG186" s="35"/>
      <c r="GH186" s="35"/>
      <c r="GI186" s="35"/>
      <c r="GJ186" s="35"/>
      <c r="GK186" s="35"/>
      <c r="GL186" s="35"/>
      <c r="GM186" s="35"/>
      <c r="GN186" s="35"/>
      <c r="GO186" s="35"/>
      <c r="GP186" s="35"/>
      <c r="GQ186" s="35"/>
      <c r="GR186" s="35"/>
      <c r="GS186" s="35"/>
      <c r="GT186" s="35"/>
      <c r="GU186" s="35"/>
      <c r="GV186" s="35"/>
      <c r="GW186" s="35"/>
      <c r="GX186" s="35"/>
      <c r="GY186" s="35"/>
      <c r="GZ186" s="35"/>
      <c r="HA186" s="35"/>
      <c r="HB186" s="35"/>
      <c r="HC186" s="35"/>
      <c r="HD186" s="35"/>
      <c r="HE186" s="35"/>
      <c r="HF186" s="35"/>
      <c r="HG186" s="35"/>
      <c r="HH186" s="35"/>
      <c r="HI186" s="35"/>
      <c r="HJ186" s="35"/>
      <c r="HK186" s="35"/>
      <c r="HL186" s="35"/>
      <c r="HM186" s="35"/>
      <c r="HN186" s="35"/>
      <c r="HO186" s="35"/>
      <c r="HP186" s="35"/>
      <c r="HQ186" s="35"/>
      <c r="HR186" s="35"/>
      <c r="HS186" s="35"/>
      <c r="HT186" s="35"/>
      <c r="HU186" s="35"/>
      <c r="HV186" s="35"/>
      <c r="HW186" s="35"/>
      <c r="HX186" s="35"/>
      <c r="HY186" s="35"/>
      <c r="HZ186" s="35"/>
      <c r="IA186" s="35"/>
      <c r="IB186" s="35"/>
      <c r="IC186" s="35"/>
      <c r="ID186" s="35"/>
      <c r="IE186" s="35"/>
      <c r="IF186" s="35"/>
      <c r="IG186" s="35"/>
      <c r="IH186" s="35"/>
      <c r="II186" s="35"/>
      <c r="IJ186" s="35"/>
      <c r="IK186" s="35"/>
      <c r="IL186" s="35"/>
      <c r="IM186" s="35"/>
      <c r="IN186" s="35"/>
      <c r="IO186" s="35"/>
      <c r="IP186" s="35"/>
      <c r="IQ186" s="35"/>
      <c r="IR186" s="35"/>
      <c r="IS186" s="35"/>
      <c r="IT186" s="35"/>
      <c r="IU186" s="35"/>
      <c r="IV186" s="35"/>
      <c r="IW186" s="35"/>
      <c r="IX186" s="35"/>
      <c r="IY186" s="35"/>
      <c r="IZ186" s="35"/>
      <c r="JA186" s="35"/>
      <c r="JB186" s="35"/>
      <c r="JC186" s="35"/>
      <c r="JD186" s="35"/>
      <c r="JE186" s="35"/>
    </row>
    <row r="187">
      <c r="A187" s="42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  <c r="CV187" s="35"/>
      <c r="CW187" s="35"/>
      <c r="CX187" s="35"/>
      <c r="CY187" s="35"/>
      <c r="CZ187" s="35"/>
      <c r="DA187" s="35"/>
      <c r="DB187" s="35"/>
      <c r="DC187" s="35"/>
      <c r="DD187" s="35"/>
      <c r="DE187" s="35"/>
      <c r="DF187" s="35"/>
      <c r="DG187" s="35"/>
      <c r="DH187" s="35"/>
      <c r="DI187" s="35"/>
      <c r="DJ187" s="35"/>
      <c r="DK187" s="35"/>
      <c r="DL187" s="35"/>
      <c r="DM187" s="35"/>
      <c r="DN187" s="35"/>
      <c r="DO187" s="35"/>
      <c r="DP187" s="35"/>
      <c r="DQ187" s="35"/>
      <c r="DR187" s="35"/>
      <c r="DS187" s="35"/>
      <c r="DT187" s="35"/>
      <c r="DU187" s="35"/>
      <c r="DV187" s="35"/>
      <c r="DW187" s="35"/>
      <c r="DX187" s="35"/>
      <c r="DY187" s="35"/>
      <c r="DZ187" s="35"/>
      <c r="EA187" s="35"/>
      <c r="EB187" s="35"/>
      <c r="EC187" s="35"/>
      <c r="ED187" s="35"/>
      <c r="EE187" s="35"/>
      <c r="EF187" s="35"/>
      <c r="EG187" s="35"/>
      <c r="EH187" s="35"/>
      <c r="EI187" s="35"/>
      <c r="EJ187" s="35"/>
      <c r="EK187" s="35"/>
      <c r="EL187" s="35"/>
      <c r="EM187" s="35"/>
      <c r="EN187" s="35"/>
      <c r="EO187" s="35"/>
      <c r="EP187" s="35"/>
      <c r="EQ187" s="35"/>
      <c r="ER187" s="35"/>
      <c r="ES187" s="35"/>
      <c r="ET187" s="35"/>
      <c r="EU187" s="35"/>
      <c r="EV187" s="35"/>
      <c r="EW187" s="35"/>
      <c r="EX187" s="35"/>
      <c r="EY187" s="35"/>
      <c r="EZ187" s="35"/>
      <c r="FA187" s="35"/>
      <c r="FB187" s="35"/>
      <c r="FC187" s="35"/>
      <c r="FD187" s="35"/>
      <c r="FE187" s="35"/>
      <c r="FF187" s="35"/>
      <c r="FG187" s="35"/>
      <c r="FH187" s="35"/>
      <c r="FI187" s="35"/>
      <c r="FJ187" s="35"/>
      <c r="FK187" s="35"/>
      <c r="FL187" s="35"/>
      <c r="FM187" s="35"/>
      <c r="FN187" s="35"/>
      <c r="FO187" s="35"/>
      <c r="FP187" s="35"/>
      <c r="FQ187" s="35"/>
      <c r="FR187" s="35"/>
      <c r="FS187" s="35"/>
      <c r="FT187" s="35"/>
      <c r="FU187" s="35"/>
      <c r="FV187" s="35"/>
      <c r="FW187" s="35"/>
      <c r="FX187" s="35"/>
      <c r="FY187" s="35"/>
      <c r="FZ187" s="35"/>
      <c r="GA187" s="35"/>
      <c r="GB187" s="35"/>
      <c r="GC187" s="35"/>
      <c r="GD187" s="35"/>
      <c r="GE187" s="35"/>
      <c r="GF187" s="35"/>
      <c r="GG187" s="35"/>
      <c r="GH187" s="35"/>
      <c r="GI187" s="35"/>
      <c r="GJ187" s="35"/>
      <c r="GK187" s="35"/>
      <c r="GL187" s="35"/>
      <c r="GM187" s="35"/>
      <c r="GN187" s="35"/>
      <c r="GO187" s="35"/>
      <c r="GP187" s="35"/>
      <c r="GQ187" s="35"/>
      <c r="GR187" s="35"/>
      <c r="GS187" s="35"/>
      <c r="GT187" s="35"/>
      <c r="GU187" s="35"/>
      <c r="GV187" s="35"/>
      <c r="GW187" s="35"/>
      <c r="GX187" s="35"/>
      <c r="GY187" s="35"/>
      <c r="GZ187" s="35"/>
      <c r="HA187" s="35"/>
      <c r="HB187" s="35"/>
      <c r="HC187" s="35"/>
      <c r="HD187" s="35"/>
      <c r="HE187" s="35"/>
      <c r="HF187" s="35"/>
      <c r="HG187" s="35"/>
      <c r="HH187" s="35"/>
      <c r="HI187" s="35"/>
      <c r="HJ187" s="35"/>
      <c r="HK187" s="35"/>
      <c r="HL187" s="35"/>
      <c r="HM187" s="35"/>
      <c r="HN187" s="35"/>
      <c r="HO187" s="35"/>
      <c r="HP187" s="35"/>
      <c r="HQ187" s="35"/>
      <c r="HR187" s="35"/>
      <c r="HS187" s="35"/>
      <c r="HT187" s="35"/>
      <c r="HU187" s="35"/>
      <c r="HV187" s="35"/>
      <c r="HW187" s="35"/>
      <c r="HX187" s="35"/>
      <c r="HY187" s="35"/>
      <c r="HZ187" s="35"/>
      <c r="IA187" s="35"/>
      <c r="IB187" s="35"/>
      <c r="IC187" s="35"/>
      <c r="ID187" s="35"/>
      <c r="IE187" s="35"/>
      <c r="IF187" s="35"/>
      <c r="IG187" s="35"/>
      <c r="IH187" s="35"/>
      <c r="II187" s="35"/>
      <c r="IJ187" s="35"/>
      <c r="IK187" s="35"/>
      <c r="IL187" s="35"/>
      <c r="IM187" s="35"/>
      <c r="IN187" s="35"/>
      <c r="IO187" s="35"/>
      <c r="IP187" s="35"/>
      <c r="IQ187" s="35"/>
      <c r="IR187" s="35"/>
      <c r="IS187" s="35"/>
      <c r="IT187" s="35"/>
      <c r="IU187" s="35"/>
      <c r="IV187" s="35"/>
      <c r="IW187" s="35"/>
      <c r="IX187" s="35"/>
      <c r="IY187" s="35"/>
      <c r="IZ187" s="35"/>
      <c r="JA187" s="35"/>
      <c r="JB187" s="35"/>
      <c r="JC187" s="35"/>
      <c r="JD187" s="35"/>
      <c r="JE187" s="35"/>
    </row>
    <row r="188">
      <c r="A188" s="42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  <c r="DL188" s="35"/>
      <c r="DM188" s="35"/>
      <c r="DN188" s="35"/>
      <c r="DO188" s="35"/>
      <c r="DP188" s="35"/>
      <c r="DQ188" s="35"/>
      <c r="DR188" s="35"/>
      <c r="DS188" s="35"/>
      <c r="DT188" s="35"/>
      <c r="DU188" s="35"/>
      <c r="DV188" s="35"/>
      <c r="DW188" s="35"/>
      <c r="DX188" s="35"/>
      <c r="DY188" s="35"/>
      <c r="DZ188" s="35"/>
      <c r="EA188" s="35"/>
      <c r="EB188" s="35"/>
      <c r="EC188" s="35"/>
      <c r="ED188" s="35"/>
      <c r="EE188" s="35"/>
      <c r="EF188" s="35"/>
      <c r="EG188" s="35"/>
      <c r="EH188" s="35"/>
      <c r="EI188" s="35"/>
      <c r="EJ188" s="35"/>
      <c r="EK188" s="35"/>
      <c r="EL188" s="35"/>
      <c r="EM188" s="35"/>
      <c r="EN188" s="35"/>
      <c r="EO188" s="35"/>
      <c r="EP188" s="35"/>
      <c r="EQ188" s="35"/>
      <c r="ER188" s="35"/>
      <c r="ES188" s="35"/>
      <c r="ET188" s="35"/>
      <c r="EU188" s="35"/>
      <c r="EV188" s="35"/>
      <c r="EW188" s="35"/>
      <c r="EX188" s="35"/>
      <c r="EY188" s="35"/>
      <c r="EZ188" s="35"/>
      <c r="FA188" s="35"/>
      <c r="FB188" s="35"/>
      <c r="FC188" s="35"/>
      <c r="FD188" s="35"/>
      <c r="FE188" s="35"/>
      <c r="FF188" s="35"/>
      <c r="FG188" s="35"/>
      <c r="FH188" s="35"/>
      <c r="FI188" s="35"/>
      <c r="FJ188" s="35"/>
      <c r="FK188" s="35"/>
      <c r="FL188" s="35"/>
      <c r="FM188" s="35"/>
      <c r="FN188" s="35"/>
      <c r="FO188" s="35"/>
      <c r="FP188" s="35"/>
      <c r="FQ188" s="35"/>
      <c r="FR188" s="35"/>
      <c r="FS188" s="35"/>
      <c r="FT188" s="35"/>
      <c r="FU188" s="35"/>
      <c r="FV188" s="35"/>
      <c r="FW188" s="35"/>
      <c r="FX188" s="35"/>
      <c r="FY188" s="35"/>
      <c r="FZ188" s="35"/>
      <c r="GA188" s="35"/>
      <c r="GB188" s="35"/>
      <c r="GC188" s="35"/>
      <c r="GD188" s="35"/>
      <c r="GE188" s="35"/>
      <c r="GF188" s="35"/>
      <c r="GG188" s="35"/>
      <c r="GH188" s="35"/>
      <c r="GI188" s="35"/>
      <c r="GJ188" s="35"/>
      <c r="GK188" s="35"/>
      <c r="GL188" s="35"/>
      <c r="GM188" s="35"/>
      <c r="GN188" s="35"/>
      <c r="GO188" s="35"/>
      <c r="GP188" s="35"/>
      <c r="GQ188" s="35"/>
      <c r="GR188" s="35"/>
      <c r="GS188" s="35"/>
      <c r="GT188" s="35"/>
      <c r="GU188" s="35"/>
      <c r="GV188" s="35"/>
      <c r="GW188" s="35"/>
      <c r="GX188" s="35"/>
      <c r="GY188" s="35"/>
      <c r="GZ188" s="35"/>
      <c r="HA188" s="35"/>
      <c r="HB188" s="35"/>
      <c r="HC188" s="35"/>
      <c r="HD188" s="35"/>
      <c r="HE188" s="35"/>
      <c r="HF188" s="35"/>
      <c r="HG188" s="35"/>
      <c r="HH188" s="35"/>
      <c r="HI188" s="35"/>
      <c r="HJ188" s="35"/>
      <c r="HK188" s="35"/>
      <c r="HL188" s="35"/>
      <c r="HM188" s="35"/>
      <c r="HN188" s="35"/>
      <c r="HO188" s="35"/>
      <c r="HP188" s="35"/>
      <c r="HQ188" s="35"/>
      <c r="HR188" s="35"/>
      <c r="HS188" s="35"/>
      <c r="HT188" s="35"/>
      <c r="HU188" s="35"/>
      <c r="HV188" s="35"/>
      <c r="HW188" s="35"/>
      <c r="HX188" s="35"/>
      <c r="HY188" s="35"/>
      <c r="HZ188" s="35"/>
      <c r="IA188" s="35"/>
      <c r="IB188" s="35"/>
      <c r="IC188" s="35"/>
      <c r="ID188" s="35"/>
      <c r="IE188" s="35"/>
      <c r="IF188" s="35"/>
      <c r="IG188" s="35"/>
      <c r="IH188" s="35"/>
      <c r="II188" s="35"/>
      <c r="IJ188" s="35"/>
      <c r="IK188" s="35"/>
      <c r="IL188" s="35"/>
      <c r="IM188" s="35"/>
      <c r="IN188" s="35"/>
      <c r="IO188" s="35"/>
      <c r="IP188" s="35"/>
      <c r="IQ188" s="35"/>
      <c r="IR188" s="35"/>
      <c r="IS188" s="35"/>
      <c r="IT188" s="35"/>
      <c r="IU188" s="35"/>
      <c r="IV188" s="35"/>
      <c r="IW188" s="35"/>
      <c r="IX188" s="35"/>
      <c r="IY188" s="35"/>
      <c r="IZ188" s="35"/>
      <c r="JA188" s="35"/>
      <c r="JB188" s="35"/>
      <c r="JC188" s="35"/>
      <c r="JD188" s="35"/>
      <c r="JE188" s="35"/>
    </row>
    <row r="189">
      <c r="A189" s="42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  <c r="CV189" s="35"/>
      <c r="CW189" s="35"/>
      <c r="CX189" s="35"/>
      <c r="CY189" s="35"/>
      <c r="CZ189" s="35"/>
      <c r="DA189" s="35"/>
      <c r="DB189" s="35"/>
      <c r="DC189" s="35"/>
      <c r="DD189" s="35"/>
      <c r="DE189" s="35"/>
      <c r="DF189" s="35"/>
      <c r="DG189" s="35"/>
      <c r="DH189" s="35"/>
      <c r="DI189" s="35"/>
      <c r="DJ189" s="35"/>
      <c r="DK189" s="35"/>
      <c r="DL189" s="35"/>
      <c r="DM189" s="35"/>
      <c r="DN189" s="35"/>
      <c r="DO189" s="35"/>
      <c r="DP189" s="35"/>
      <c r="DQ189" s="35"/>
      <c r="DR189" s="35"/>
      <c r="DS189" s="35"/>
      <c r="DT189" s="35"/>
      <c r="DU189" s="35"/>
      <c r="DV189" s="35"/>
      <c r="DW189" s="35"/>
      <c r="DX189" s="35"/>
      <c r="DY189" s="35"/>
      <c r="DZ189" s="35"/>
      <c r="EA189" s="35"/>
      <c r="EB189" s="35"/>
      <c r="EC189" s="35"/>
      <c r="ED189" s="35"/>
      <c r="EE189" s="35"/>
      <c r="EF189" s="35"/>
      <c r="EG189" s="35"/>
      <c r="EH189" s="35"/>
      <c r="EI189" s="35"/>
      <c r="EJ189" s="35"/>
      <c r="EK189" s="35"/>
      <c r="EL189" s="35"/>
      <c r="EM189" s="35"/>
      <c r="EN189" s="35"/>
      <c r="EO189" s="35"/>
      <c r="EP189" s="35"/>
      <c r="EQ189" s="35"/>
      <c r="ER189" s="35"/>
      <c r="ES189" s="35"/>
      <c r="ET189" s="35"/>
      <c r="EU189" s="35"/>
      <c r="EV189" s="35"/>
      <c r="EW189" s="35"/>
      <c r="EX189" s="35"/>
      <c r="EY189" s="35"/>
      <c r="EZ189" s="35"/>
      <c r="FA189" s="35"/>
      <c r="FB189" s="35"/>
      <c r="FC189" s="35"/>
      <c r="FD189" s="35"/>
      <c r="FE189" s="35"/>
      <c r="FF189" s="35"/>
      <c r="FG189" s="35"/>
      <c r="FH189" s="35"/>
      <c r="FI189" s="35"/>
      <c r="FJ189" s="35"/>
      <c r="FK189" s="35"/>
      <c r="FL189" s="35"/>
      <c r="FM189" s="35"/>
      <c r="FN189" s="35"/>
      <c r="FO189" s="35"/>
      <c r="FP189" s="35"/>
      <c r="FQ189" s="35"/>
      <c r="FR189" s="35"/>
      <c r="FS189" s="35"/>
      <c r="FT189" s="35"/>
      <c r="FU189" s="35"/>
      <c r="FV189" s="35"/>
      <c r="FW189" s="35"/>
      <c r="FX189" s="35"/>
      <c r="FY189" s="35"/>
      <c r="FZ189" s="35"/>
      <c r="GA189" s="35"/>
      <c r="GB189" s="35"/>
      <c r="GC189" s="35"/>
      <c r="GD189" s="35"/>
      <c r="GE189" s="35"/>
      <c r="GF189" s="35"/>
      <c r="GG189" s="35"/>
      <c r="GH189" s="35"/>
      <c r="GI189" s="35"/>
      <c r="GJ189" s="35"/>
      <c r="GK189" s="35"/>
      <c r="GL189" s="35"/>
      <c r="GM189" s="35"/>
      <c r="GN189" s="35"/>
      <c r="GO189" s="35"/>
      <c r="GP189" s="35"/>
      <c r="GQ189" s="35"/>
      <c r="GR189" s="35"/>
      <c r="GS189" s="35"/>
      <c r="GT189" s="35"/>
      <c r="GU189" s="35"/>
      <c r="GV189" s="35"/>
      <c r="GW189" s="35"/>
      <c r="GX189" s="35"/>
      <c r="GY189" s="35"/>
      <c r="GZ189" s="35"/>
      <c r="HA189" s="35"/>
      <c r="HB189" s="35"/>
      <c r="HC189" s="35"/>
      <c r="HD189" s="35"/>
      <c r="HE189" s="35"/>
      <c r="HF189" s="35"/>
      <c r="HG189" s="35"/>
      <c r="HH189" s="35"/>
      <c r="HI189" s="35"/>
      <c r="HJ189" s="35"/>
      <c r="HK189" s="35"/>
      <c r="HL189" s="35"/>
      <c r="HM189" s="35"/>
      <c r="HN189" s="35"/>
      <c r="HO189" s="35"/>
      <c r="HP189" s="35"/>
      <c r="HQ189" s="35"/>
      <c r="HR189" s="35"/>
      <c r="HS189" s="35"/>
      <c r="HT189" s="35"/>
      <c r="HU189" s="35"/>
      <c r="HV189" s="35"/>
      <c r="HW189" s="35"/>
      <c r="HX189" s="35"/>
      <c r="HY189" s="35"/>
      <c r="HZ189" s="35"/>
      <c r="IA189" s="35"/>
      <c r="IB189" s="35"/>
      <c r="IC189" s="35"/>
      <c r="ID189" s="35"/>
      <c r="IE189" s="35"/>
      <c r="IF189" s="35"/>
      <c r="IG189" s="35"/>
      <c r="IH189" s="35"/>
      <c r="II189" s="35"/>
      <c r="IJ189" s="35"/>
      <c r="IK189" s="35"/>
      <c r="IL189" s="35"/>
      <c r="IM189" s="35"/>
      <c r="IN189" s="35"/>
      <c r="IO189" s="35"/>
      <c r="IP189" s="35"/>
      <c r="IQ189" s="35"/>
      <c r="IR189" s="35"/>
      <c r="IS189" s="35"/>
      <c r="IT189" s="35"/>
      <c r="IU189" s="35"/>
      <c r="IV189" s="35"/>
      <c r="IW189" s="35"/>
      <c r="IX189" s="35"/>
      <c r="IY189" s="35"/>
      <c r="IZ189" s="35"/>
      <c r="JA189" s="35"/>
      <c r="JB189" s="35"/>
      <c r="JC189" s="35"/>
      <c r="JD189" s="35"/>
      <c r="JE189" s="35"/>
    </row>
    <row r="190">
      <c r="A190" s="42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  <c r="CO190" s="35"/>
      <c r="CP190" s="35"/>
      <c r="CQ190" s="35"/>
      <c r="CR190" s="35"/>
      <c r="CS190" s="35"/>
      <c r="CT190" s="35"/>
      <c r="CU190" s="35"/>
      <c r="CV190" s="35"/>
      <c r="CW190" s="35"/>
      <c r="CX190" s="35"/>
      <c r="CY190" s="35"/>
      <c r="CZ190" s="35"/>
      <c r="DA190" s="35"/>
      <c r="DB190" s="35"/>
      <c r="DC190" s="35"/>
      <c r="DD190" s="35"/>
      <c r="DE190" s="35"/>
      <c r="DF190" s="35"/>
      <c r="DG190" s="35"/>
      <c r="DH190" s="35"/>
      <c r="DI190" s="35"/>
      <c r="DJ190" s="35"/>
      <c r="DK190" s="35"/>
      <c r="DL190" s="35"/>
      <c r="DM190" s="35"/>
      <c r="DN190" s="35"/>
      <c r="DO190" s="35"/>
      <c r="DP190" s="35"/>
      <c r="DQ190" s="35"/>
      <c r="DR190" s="35"/>
      <c r="DS190" s="35"/>
      <c r="DT190" s="35"/>
      <c r="DU190" s="35"/>
      <c r="DV190" s="35"/>
      <c r="DW190" s="35"/>
      <c r="DX190" s="35"/>
      <c r="DY190" s="35"/>
      <c r="DZ190" s="35"/>
      <c r="EA190" s="35"/>
      <c r="EB190" s="35"/>
      <c r="EC190" s="35"/>
      <c r="ED190" s="35"/>
      <c r="EE190" s="35"/>
      <c r="EF190" s="35"/>
      <c r="EG190" s="35"/>
      <c r="EH190" s="35"/>
      <c r="EI190" s="35"/>
      <c r="EJ190" s="35"/>
      <c r="EK190" s="35"/>
      <c r="EL190" s="35"/>
      <c r="EM190" s="35"/>
      <c r="EN190" s="35"/>
      <c r="EO190" s="35"/>
      <c r="EP190" s="35"/>
      <c r="EQ190" s="35"/>
      <c r="ER190" s="35"/>
      <c r="ES190" s="35"/>
      <c r="ET190" s="35"/>
      <c r="EU190" s="35"/>
      <c r="EV190" s="35"/>
      <c r="EW190" s="35"/>
      <c r="EX190" s="35"/>
      <c r="EY190" s="35"/>
      <c r="EZ190" s="35"/>
      <c r="FA190" s="35"/>
      <c r="FB190" s="35"/>
      <c r="FC190" s="35"/>
      <c r="FD190" s="35"/>
      <c r="FE190" s="35"/>
      <c r="FF190" s="35"/>
      <c r="FG190" s="35"/>
      <c r="FH190" s="35"/>
      <c r="FI190" s="35"/>
      <c r="FJ190" s="35"/>
      <c r="FK190" s="35"/>
      <c r="FL190" s="35"/>
      <c r="FM190" s="35"/>
      <c r="FN190" s="35"/>
      <c r="FO190" s="35"/>
      <c r="FP190" s="35"/>
      <c r="FQ190" s="35"/>
      <c r="FR190" s="35"/>
      <c r="FS190" s="35"/>
      <c r="FT190" s="35"/>
      <c r="FU190" s="35"/>
      <c r="FV190" s="35"/>
      <c r="FW190" s="35"/>
      <c r="FX190" s="35"/>
      <c r="FY190" s="35"/>
      <c r="FZ190" s="35"/>
      <c r="GA190" s="35"/>
      <c r="GB190" s="35"/>
      <c r="GC190" s="35"/>
      <c r="GD190" s="35"/>
      <c r="GE190" s="35"/>
      <c r="GF190" s="35"/>
      <c r="GG190" s="35"/>
      <c r="GH190" s="35"/>
      <c r="GI190" s="35"/>
      <c r="GJ190" s="35"/>
      <c r="GK190" s="35"/>
      <c r="GL190" s="35"/>
      <c r="GM190" s="35"/>
      <c r="GN190" s="35"/>
      <c r="GO190" s="35"/>
      <c r="GP190" s="35"/>
      <c r="GQ190" s="35"/>
      <c r="GR190" s="35"/>
      <c r="GS190" s="35"/>
      <c r="GT190" s="35"/>
      <c r="GU190" s="35"/>
      <c r="GV190" s="35"/>
      <c r="GW190" s="35"/>
      <c r="GX190" s="35"/>
      <c r="GY190" s="35"/>
      <c r="GZ190" s="35"/>
      <c r="HA190" s="35"/>
      <c r="HB190" s="35"/>
      <c r="HC190" s="35"/>
      <c r="HD190" s="35"/>
      <c r="HE190" s="35"/>
      <c r="HF190" s="35"/>
      <c r="HG190" s="35"/>
      <c r="HH190" s="35"/>
      <c r="HI190" s="35"/>
      <c r="HJ190" s="35"/>
      <c r="HK190" s="35"/>
      <c r="HL190" s="35"/>
      <c r="HM190" s="35"/>
      <c r="HN190" s="35"/>
      <c r="HO190" s="35"/>
      <c r="HP190" s="35"/>
      <c r="HQ190" s="35"/>
      <c r="HR190" s="35"/>
      <c r="HS190" s="35"/>
      <c r="HT190" s="35"/>
      <c r="HU190" s="35"/>
      <c r="HV190" s="35"/>
      <c r="HW190" s="35"/>
      <c r="HX190" s="35"/>
      <c r="HY190" s="35"/>
      <c r="HZ190" s="35"/>
      <c r="IA190" s="35"/>
      <c r="IB190" s="35"/>
      <c r="IC190" s="35"/>
      <c r="ID190" s="35"/>
      <c r="IE190" s="35"/>
      <c r="IF190" s="35"/>
      <c r="IG190" s="35"/>
      <c r="IH190" s="35"/>
      <c r="II190" s="35"/>
      <c r="IJ190" s="35"/>
      <c r="IK190" s="35"/>
      <c r="IL190" s="35"/>
      <c r="IM190" s="35"/>
      <c r="IN190" s="35"/>
      <c r="IO190" s="35"/>
      <c r="IP190" s="35"/>
      <c r="IQ190" s="35"/>
      <c r="IR190" s="35"/>
      <c r="IS190" s="35"/>
      <c r="IT190" s="35"/>
      <c r="IU190" s="35"/>
      <c r="IV190" s="35"/>
      <c r="IW190" s="35"/>
      <c r="IX190" s="35"/>
      <c r="IY190" s="35"/>
      <c r="IZ190" s="35"/>
      <c r="JA190" s="35"/>
      <c r="JB190" s="35"/>
      <c r="JC190" s="35"/>
      <c r="JD190" s="35"/>
      <c r="JE190" s="35"/>
    </row>
    <row r="191">
      <c r="A191" s="42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/>
      <c r="BV191" s="35"/>
      <c r="BW191" s="35"/>
      <c r="BX191" s="35"/>
      <c r="BY191" s="35"/>
      <c r="BZ191" s="35"/>
      <c r="CA191" s="35"/>
      <c r="CB191" s="35"/>
      <c r="CC191" s="35"/>
      <c r="CD191" s="35"/>
      <c r="CE191" s="35"/>
      <c r="CF191" s="35"/>
      <c r="CG191" s="35"/>
      <c r="CH191" s="35"/>
      <c r="CI191" s="35"/>
      <c r="CJ191" s="35"/>
      <c r="CK191" s="35"/>
      <c r="CL191" s="35"/>
      <c r="CM191" s="35"/>
      <c r="CN191" s="35"/>
      <c r="CO191" s="35"/>
      <c r="CP191" s="35"/>
      <c r="CQ191" s="35"/>
      <c r="CR191" s="35"/>
      <c r="CS191" s="35"/>
      <c r="CT191" s="35"/>
      <c r="CU191" s="35"/>
      <c r="CV191" s="35"/>
      <c r="CW191" s="35"/>
      <c r="CX191" s="35"/>
      <c r="CY191" s="35"/>
      <c r="CZ191" s="35"/>
      <c r="DA191" s="35"/>
      <c r="DB191" s="35"/>
      <c r="DC191" s="35"/>
      <c r="DD191" s="35"/>
      <c r="DE191" s="35"/>
      <c r="DF191" s="35"/>
      <c r="DG191" s="35"/>
      <c r="DH191" s="35"/>
      <c r="DI191" s="35"/>
      <c r="DJ191" s="35"/>
      <c r="DK191" s="35"/>
      <c r="DL191" s="35"/>
      <c r="DM191" s="35"/>
      <c r="DN191" s="35"/>
      <c r="DO191" s="35"/>
      <c r="DP191" s="35"/>
      <c r="DQ191" s="35"/>
      <c r="DR191" s="35"/>
      <c r="DS191" s="35"/>
      <c r="DT191" s="35"/>
      <c r="DU191" s="35"/>
      <c r="DV191" s="35"/>
      <c r="DW191" s="35"/>
      <c r="DX191" s="35"/>
      <c r="DY191" s="35"/>
      <c r="DZ191" s="35"/>
      <c r="EA191" s="35"/>
      <c r="EB191" s="35"/>
      <c r="EC191" s="35"/>
      <c r="ED191" s="35"/>
      <c r="EE191" s="35"/>
      <c r="EF191" s="35"/>
      <c r="EG191" s="35"/>
      <c r="EH191" s="35"/>
      <c r="EI191" s="35"/>
      <c r="EJ191" s="35"/>
      <c r="EK191" s="35"/>
      <c r="EL191" s="35"/>
      <c r="EM191" s="35"/>
      <c r="EN191" s="35"/>
      <c r="EO191" s="35"/>
      <c r="EP191" s="35"/>
      <c r="EQ191" s="35"/>
      <c r="ER191" s="35"/>
      <c r="ES191" s="35"/>
      <c r="ET191" s="35"/>
      <c r="EU191" s="35"/>
      <c r="EV191" s="35"/>
      <c r="EW191" s="35"/>
      <c r="EX191" s="35"/>
      <c r="EY191" s="35"/>
      <c r="EZ191" s="35"/>
      <c r="FA191" s="35"/>
      <c r="FB191" s="35"/>
      <c r="FC191" s="35"/>
      <c r="FD191" s="35"/>
      <c r="FE191" s="35"/>
      <c r="FF191" s="35"/>
      <c r="FG191" s="35"/>
      <c r="FH191" s="35"/>
      <c r="FI191" s="35"/>
      <c r="FJ191" s="35"/>
      <c r="FK191" s="35"/>
      <c r="FL191" s="35"/>
      <c r="FM191" s="35"/>
      <c r="FN191" s="35"/>
      <c r="FO191" s="35"/>
      <c r="FP191" s="35"/>
      <c r="FQ191" s="35"/>
      <c r="FR191" s="35"/>
      <c r="FS191" s="35"/>
      <c r="FT191" s="35"/>
      <c r="FU191" s="35"/>
      <c r="FV191" s="35"/>
      <c r="FW191" s="35"/>
      <c r="FX191" s="35"/>
      <c r="FY191" s="35"/>
      <c r="FZ191" s="35"/>
      <c r="GA191" s="35"/>
      <c r="GB191" s="35"/>
      <c r="GC191" s="35"/>
      <c r="GD191" s="35"/>
      <c r="GE191" s="35"/>
      <c r="GF191" s="35"/>
      <c r="GG191" s="35"/>
      <c r="GH191" s="35"/>
      <c r="GI191" s="35"/>
      <c r="GJ191" s="35"/>
      <c r="GK191" s="35"/>
      <c r="GL191" s="35"/>
      <c r="GM191" s="35"/>
      <c r="GN191" s="35"/>
      <c r="GO191" s="35"/>
      <c r="GP191" s="35"/>
      <c r="GQ191" s="35"/>
      <c r="GR191" s="35"/>
      <c r="GS191" s="35"/>
      <c r="GT191" s="35"/>
      <c r="GU191" s="35"/>
      <c r="GV191" s="35"/>
      <c r="GW191" s="35"/>
      <c r="GX191" s="35"/>
      <c r="GY191" s="35"/>
      <c r="GZ191" s="35"/>
      <c r="HA191" s="35"/>
      <c r="HB191" s="35"/>
      <c r="HC191" s="35"/>
      <c r="HD191" s="35"/>
      <c r="HE191" s="35"/>
      <c r="HF191" s="35"/>
      <c r="HG191" s="35"/>
      <c r="HH191" s="35"/>
      <c r="HI191" s="35"/>
      <c r="HJ191" s="35"/>
      <c r="HK191" s="35"/>
      <c r="HL191" s="35"/>
      <c r="HM191" s="35"/>
      <c r="HN191" s="35"/>
      <c r="HO191" s="35"/>
      <c r="HP191" s="35"/>
      <c r="HQ191" s="35"/>
      <c r="HR191" s="35"/>
      <c r="HS191" s="35"/>
      <c r="HT191" s="35"/>
      <c r="HU191" s="35"/>
      <c r="HV191" s="35"/>
      <c r="HW191" s="35"/>
      <c r="HX191" s="35"/>
      <c r="HY191" s="35"/>
      <c r="HZ191" s="35"/>
      <c r="IA191" s="35"/>
      <c r="IB191" s="35"/>
      <c r="IC191" s="35"/>
      <c r="ID191" s="35"/>
      <c r="IE191" s="35"/>
      <c r="IF191" s="35"/>
      <c r="IG191" s="35"/>
      <c r="IH191" s="35"/>
      <c r="II191" s="35"/>
      <c r="IJ191" s="35"/>
      <c r="IK191" s="35"/>
      <c r="IL191" s="35"/>
      <c r="IM191" s="35"/>
      <c r="IN191" s="35"/>
      <c r="IO191" s="35"/>
      <c r="IP191" s="35"/>
      <c r="IQ191" s="35"/>
      <c r="IR191" s="35"/>
      <c r="IS191" s="35"/>
      <c r="IT191" s="35"/>
      <c r="IU191" s="35"/>
      <c r="IV191" s="35"/>
      <c r="IW191" s="35"/>
      <c r="IX191" s="35"/>
      <c r="IY191" s="35"/>
      <c r="IZ191" s="35"/>
      <c r="JA191" s="35"/>
      <c r="JB191" s="35"/>
      <c r="JC191" s="35"/>
      <c r="JD191" s="35"/>
      <c r="JE191" s="35"/>
    </row>
    <row r="192">
      <c r="A192" s="42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35"/>
      <c r="CM192" s="35"/>
      <c r="CN192" s="35"/>
      <c r="CO192" s="35"/>
      <c r="CP192" s="35"/>
      <c r="CQ192" s="35"/>
      <c r="CR192" s="35"/>
      <c r="CS192" s="35"/>
      <c r="CT192" s="35"/>
      <c r="CU192" s="35"/>
      <c r="CV192" s="35"/>
      <c r="CW192" s="35"/>
      <c r="CX192" s="35"/>
      <c r="CY192" s="35"/>
      <c r="CZ192" s="35"/>
      <c r="DA192" s="35"/>
      <c r="DB192" s="35"/>
      <c r="DC192" s="35"/>
      <c r="DD192" s="35"/>
      <c r="DE192" s="35"/>
      <c r="DF192" s="35"/>
      <c r="DG192" s="35"/>
      <c r="DH192" s="35"/>
      <c r="DI192" s="35"/>
      <c r="DJ192" s="35"/>
      <c r="DK192" s="35"/>
      <c r="DL192" s="35"/>
      <c r="DM192" s="35"/>
      <c r="DN192" s="35"/>
      <c r="DO192" s="35"/>
      <c r="DP192" s="35"/>
      <c r="DQ192" s="35"/>
      <c r="DR192" s="35"/>
      <c r="DS192" s="35"/>
      <c r="DT192" s="35"/>
      <c r="DU192" s="35"/>
      <c r="DV192" s="35"/>
      <c r="DW192" s="35"/>
      <c r="DX192" s="35"/>
      <c r="DY192" s="35"/>
      <c r="DZ192" s="35"/>
      <c r="EA192" s="35"/>
      <c r="EB192" s="35"/>
      <c r="EC192" s="35"/>
      <c r="ED192" s="35"/>
      <c r="EE192" s="35"/>
      <c r="EF192" s="35"/>
      <c r="EG192" s="35"/>
      <c r="EH192" s="35"/>
      <c r="EI192" s="35"/>
      <c r="EJ192" s="35"/>
      <c r="EK192" s="35"/>
      <c r="EL192" s="35"/>
      <c r="EM192" s="35"/>
      <c r="EN192" s="35"/>
      <c r="EO192" s="35"/>
      <c r="EP192" s="35"/>
      <c r="EQ192" s="35"/>
      <c r="ER192" s="35"/>
      <c r="ES192" s="35"/>
      <c r="ET192" s="35"/>
      <c r="EU192" s="35"/>
      <c r="EV192" s="35"/>
      <c r="EW192" s="35"/>
      <c r="EX192" s="35"/>
      <c r="EY192" s="35"/>
      <c r="EZ192" s="35"/>
      <c r="FA192" s="35"/>
      <c r="FB192" s="35"/>
      <c r="FC192" s="35"/>
      <c r="FD192" s="35"/>
      <c r="FE192" s="35"/>
      <c r="FF192" s="35"/>
      <c r="FG192" s="35"/>
      <c r="FH192" s="35"/>
      <c r="FI192" s="35"/>
      <c r="FJ192" s="35"/>
      <c r="FK192" s="35"/>
      <c r="FL192" s="35"/>
      <c r="FM192" s="35"/>
      <c r="FN192" s="35"/>
      <c r="FO192" s="35"/>
      <c r="FP192" s="35"/>
      <c r="FQ192" s="35"/>
      <c r="FR192" s="35"/>
      <c r="FS192" s="35"/>
      <c r="FT192" s="35"/>
      <c r="FU192" s="35"/>
      <c r="FV192" s="35"/>
      <c r="FW192" s="35"/>
      <c r="FX192" s="35"/>
      <c r="FY192" s="35"/>
      <c r="FZ192" s="35"/>
      <c r="GA192" s="35"/>
      <c r="GB192" s="35"/>
      <c r="GC192" s="35"/>
      <c r="GD192" s="35"/>
      <c r="GE192" s="35"/>
      <c r="GF192" s="35"/>
      <c r="GG192" s="35"/>
      <c r="GH192" s="35"/>
      <c r="GI192" s="35"/>
      <c r="GJ192" s="35"/>
      <c r="GK192" s="35"/>
      <c r="GL192" s="35"/>
      <c r="GM192" s="35"/>
      <c r="GN192" s="35"/>
      <c r="GO192" s="35"/>
      <c r="GP192" s="35"/>
      <c r="GQ192" s="35"/>
      <c r="GR192" s="35"/>
      <c r="GS192" s="35"/>
      <c r="GT192" s="35"/>
      <c r="GU192" s="35"/>
      <c r="GV192" s="35"/>
      <c r="GW192" s="35"/>
      <c r="GX192" s="35"/>
      <c r="GY192" s="35"/>
      <c r="GZ192" s="35"/>
      <c r="HA192" s="35"/>
      <c r="HB192" s="35"/>
      <c r="HC192" s="35"/>
      <c r="HD192" s="35"/>
      <c r="HE192" s="35"/>
      <c r="HF192" s="35"/>
      <c r="HG192" s="35"/>
      <c r="HH192" s="35"/>
      <c r="HI192" s="35"/>
      <c r="HJ192" s="35"/>
      <c r="HK192" s="35"/>
      <c r="HL192" s="35"/>
      <c r="HM192" s="35"/>
      <c r="HN192" s="35"/>
      <c r="HO192" s="35"/>
      <c r="HP192" s="35"/>
      <c r="HQ192" s="35"/>
      <c r="HR192" s="35"/>
      <c r="HS192" s="35"/>
      <c r="HT192" s="35"/>
      <c r="HU192" s="35"/>
      <c r="HV192" s="35"/>
      <c r="HW192" s="35"/>
      <c r="HX192" s="35"/>
      <c r="HY192" s="35"/>
      <c r="HZ192" s="35"/>
      <c r="IA192" s="35"/>
      <c r="IB192" s="35"/>
      <c r="IC192" s="35"/>
      <c r="ID192" s="35"/>
      <c r="IE192" s="35"/>
      <c r="IF192" s="35"/>
      <c r="IG192" s="35"/>
      <c r="IH192" s="35"/>
      <c r="II192" s="35"/>
      <c r="IJ192" s="35"/>
      <c r="IK192" s="35"/>
      <c r="IL192" s="35"/>
      <c r="IM192" s="35"/>
      <c r="IN192" s="35"/>
      <c r="IO192" s="35"/>
      <c r="IP192" s="35"/>
      <c r="IQ192" s="35"/>
      <c r="IR192" s="35"/>
      <c r="IS192" s="35"/>
      <c r="IT192" s="35"/>
      <c r="IU192" s="35"/>
      <c r="IV192" s="35"/>
      <c r="IW192" s="35"/>
      <c r="IX192" s="35"/>
      <c r="IY192" s="35"/>
      <c r="IZ192" s="35"/>
      <c r="JA192" s="35"/>
      <c r="JB192" s="35"/>
      <c r="JC192" s="35"/>
      <c r="JD192" s="35"/>
      <c r="JE192" s="35"/>
    </row>
    <row r="193">
      <c r="A193" s="42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  <c r="CB193" s="35"/>
      <c r="CC193" s="35"/>
      <c r="CD193" s="35"/>
      <c r="CE193" s="35"/>
      <c r="CF193" s="35"/>
      <c r="CG193" s="35"/>
      <c r="CH193" s="35"/>
      <c r="CI193" s="35"/>
      <c r="CJ193" s="35"/>
      <c r="CK193" s="35"/>
      <c r="CL193" s="35"/>
      <c r="CM193" s="35"/>
      <c r="CN193" s="35"/>
      <c r="CO193" s="35"/>
      <c r="CP193" s="35"/>
      <c r="CQ193" s="35"/>
      <c r="CR193" s="35"/>
      <c r="CS193" s="35"/>
      <c r="CT193" s="35"/>
      <c r="CU193" s="35"/>
      <c r="CV193" s="35"/>
      <c r="CW193" s="35"/>
      <c r="CX193" s="35"/>
      <c r="CY193" s="35"/>
      <c r="CZ193" s="35"/>
      <c r="DA193" s="35"/>
      <c r="DB193" s="35"/>
      <c r="DC193" s="35"/>
      <c r="DD193" s="35"/>
      <c r="DE193" s="35"/>
      <c r="DF193" s="35"/>
      <c r="DG193" s="35"/>
      <c r="DH193" s="35"/>
      <c r="DI193" s="35"/>
      <c r="DJ193" s="35"/>
      <c r="DK193" s="35"/>
      <c r="DL193" s="35"/>
      <c r="DM193" s="35"/>
      <c r="DN193" s="35"/>
      <c r="DO193" s="35"/>
      <c r="DP193" s="35"/>
      <c r="DQ193" s="35"/>
      <c r="DR193" s="35"/>
      <c r="DS193" s="35"/>
      <c r="DT193" s="35"/>
      <c r="DU193" s="35"/>
      <c r="DV193" s="35"/>
      <c r="DW193" s="35"/>
      <c r="DX193" s="35"/>
      <c r="DY193" s="35"/>
      <c r="DZ193" s="35"/>
      <c r="EA193" s="35"/>
      <c r="EB193" s="35"/>
      <c r="EC193" s="35"/>
      <c r="ED193" s="35"/>
      <c r="EE193" s="35"/>
      <c r="EF193" s="35"/>
      <c r="EG193" s="35"/>
      <c r="EH193" s="35"/>
      <c r="EI193" s="35"/>
      <c r="EJ193" s="35"/>
      <c r="EK193" s="35"/>
      <c r="EL193" s="35"/>
      <c r="EM193" s="35"/>
      <c r="EN193" s="35"/>
      <c r="EO193" s="35"/>
      <c r="EP193" s="35"/>
      <c r="EQ193" s="35"/>
      <c r="ER193" s="35"/>
      <c r="ES193" s="35"/>
      <c r="ET193" s="35"/>
      <c r="EU193" s="35"/>
      <c r="EV193" s="35"/>
      <c r="EW193" s="35"/>
      <c r="EX193" s="35"/>
      <c r="EY193" s="35"/>
      <c r="EZ193" s="35"/>
      <c r="FA193" s="35"/>
      <c r="FB193" s="35"/>
      <c r="FC193" s="35"/>
      <c r="FD193" s="35"/>
      <c r="FE193" s="35"/>
      <c r="FF193" s="35"/>
      <c r="FG193" s="35"/>
      <c r="FH193" s="35"/>
      <c r="FI193" s="35"/>
      <c r="FJ193" s="35"/>
      <c r="FK193" s="35"/>
      <c r="FL193" s="35"/>
      <c r="FM193" s="35"/>
      <c r="FN193" s="35"/>
      <c r="FO193" s="35"/>
      <c r="FP193" s="35"/>
      <c r="FQ193" s="35"/>
      <c r="FR193" s="35"/>
      <c r="FS193" s="35"/>
      <c r="FT193" s="35"/>
      <c r="FU193" s="35"/>
      <c r="FV193" s="35"/>
      <c r="FW193" s="35"/>
      <c r="FX193" s="35"/>
      <c r="FY193" s="35"/>
      <c r="FZ193" s="35"/>
      <c r="GA193" s="35"/>
      <c r="GB193" s="35"/>
      <c r="GC193" s="35"/>
      <c r="GD193" s="35"/>
      <c r="GE193" s="35"/>
      <c r="GF193" s="35"/>
      <c r="GG193" s="35"/>
      <c r="GH193" s="35"/>
      <c r="GI193" s="35"/>
      <c r="GJ193" s="35"/>
      <c r="GK193" s="35"/>
      <c r="GL193" s="35"/>
      <c r="GM193" s="35"/>
      <c r="GN193" s="35"/>
      <c r="GO193" s="35"/>
      <c r="GP193" s="35"/>
      <c r="GQ193" s="35"/>
      <c r="GR193" s="35"/>
      <c r="GS193" s="35"/>
      <c r="GT193" s="35"/>
      <c r="GU193" s="35"/>
      <c r="GV193" s="35"/>
      <c r="GW193" s="35"/>
      <c r="GX193" s="35"/>
      <c r="GY193" s="35"/>
      <c r="GZ193" s="35"/>
      <c r="HA193" s="35"/>
      <c r="HB193" s="35"/>
      <c r="HC193" s="35"/>
      <c r="HD193" s="35"/>
      <c r="HE193" s="35"/>
      <c r="HF193" s="35"/>
      <c r="HG193" s="35"/>
      <c r="HH193" s="35"/>
      <c r="HI193" s="35"/>
      <c r="HJ193" s="35"/>
      <c r="HK193" s="35"/>
      <c r="HL193" s="35"/>
      <c r="HM193" s="35"/>
      <c r="HN193" s="35"/>
      <c r="HO193" s="35"/>
      <c r="HP193" s="35"/>
      <c r="HQ193" s="35"/>
      <c r="HR193" s="35"/>
      <c r="HS193" s="35"/>
      <c r="HT193" s="35"/>
      <c r="HU193" s="35"/>
      <c r="HV193" s="35"/>
      <c r="HW193" s="35"/>
      <c r="HX193" s="35"/>
      <c r="HY193" s="35"/>
      <c r="HZ193" s="35"/>
      <c r="IA193" s="35"/>
      <c r="IB193" s="35"/>
      <c r="IC193" s="35"/>
      <c r="ID193" s="35"/>
      <c r="IE193" s="35"/>
      <c r="IF193" s="35"/>
      <c r="IG193" s="35"/>
      <c r="IH193" s="35"/>
      <c r="II193" s="35"/>
      <c r="IJ193" s="35"/>
      <c r="IK193" s="35"/>
      <c r="IL193" s="35"/>
      <c r="IM193" s="35"/>
      <c r="IN193" s="35"/>
      <c r="IO193" s="35"/>
      <c r="IP193" s="35"/>
      <c r="IQ193" s="35"/>
      <c r="IR193" s="35"/>
      <c r="IS193" s="35"/>
      <c r="IT193" s="35"/>
      <c r="IU193" s="35"/>
      <c r="IV193" s="35"/>
      <c r="IW193" s="35"/>
      <c r="IX193" s="35"/>
      <c r="IY193" s="35"/>
      <c r="IZ193" s="35"/>
      <c r="JA193" s="35"/>
      <c r="JB193" s="35"/>
      <c r="JC193" s="35"/>
      <c r="JD193" s="35"/>
      <c r="JE193" s="35"/>
    </row>
    <row r="194">
      <c r="A194" s="42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  <c r="CO194" s="35"/>
      <c r="CP194" s="35"/>
      <c r="CQ194" s="35"/>
      <c r="CR194" s="35"/>
      <c r="CS194" s="35"/>
      <c r="CT194" s="35"/>
      <c r="CU194" s="35"/>
      <c r="CV194" s="35"/>
      <c r="CW194" s="35"/>
      <c r="CX194" s="35"/>
      <c r="CY194" s="35"/>
      <c r="CZ194" s="35"/>
      <c r="DA194" s="35"/>
      <c r="DB194" s="35"/>
      <c r="DC194" s="35"/>
      <c r="DD194" s="35"/>
      <c r="DE194" s="35"/>
      <c r="DF194" s="35"/>
      <c r="DG194" s="35"/>
      <c r="DH194" s="35"/>
      <c r="DI194" s="35"/>
      <c r="DJ194" s="35"/>
      <c r="DK194" s="35"/>
      <c r="DL194" s="35"/>
      <c r="DM194" s="35"/>
      <c r="DN194" s="35"/>
      <c r="DO194" s="35"/>
      <c r="DP194" s="35"/>
      <c r="DQ194" s="35"/>
      <c r="DR194" s="35"/>
      <c r="DS194" s="35"/>
      <c r="DT194" s="35"/>
      <c r="DU194" s="35"/>
      <c r="DV194" s="35"/>
      <c r="DW194" s="35"/>
      <c r="DX194" s="35"/>
      <c r="DY194" s="35"/>
      <c r="DZ194" s="35"/>
      <c r="EA194" s="35"/>
      <c r="EB194" s="35"/>
      <c r="EC194" s="35"/>
      <c r="ED194" s="35"/>
      <c r="EE194" s="35"/>
      <c r="EF194" s="35"/>
      <c r="EG194" s="35"/>
      <c r="EH194" s="35"/>
      <c r="EI194" s="35"/>
      <c r="EJ194" s="35"/>
      <c r="EK194" s="35"/>
      <c r="EL194" s="35"/>
      <c r="EM194" s="35"/>
      <c r="EN194" s="35"/>
      <c r="EO194" s="35"/>
      <c r="EP194" s="35"/>
      <c r="EQ194" s="35"/>
      <c r="ER194" s="35"/>
      <c r="ES194" s="35"/>
      <c r="ET194" s="35"/>
      <c r="EU194" s="35"/>
      <c r="EV194" s="35"/>
      <c r="EW194" s="35"/>
      <c r="EX194" s="35"/>
      <c r="EY194" s="35"/>
      <c r="EZ194" s="35"/>
      <c r="FA194" s="35"/>
      <c r="FB194" s="35"/>
      <c r="FC194" s="35"/>
      <c r="FD194" s="35"/>
      <c r="FE194" s="35"/>
      <c r="FF194" s="35"/>
      <c r="FG194" s="35"/>
      <c r="FH194" s="35"/>
      <c r="FI194" s="35"/>
      <c r="FJ194" s="35"/>
      <c r="FK194" s="35"/>
      <c r="FL194" s="35"/>
      <c r="FM194" s="35"/>
      <c r="FN194" s="35"/>
      <c r="FO194" s="35"/>
      <c r="FP194" s="35"/>
      <c r="FQ194" s="35"/>
      <c r="FR194" s="35"/>
      <c r="FS194" s="35"/>
      <c r="FT194" s="35"/>
      <c r="FU194" s="35"/>
      <c r="FV194" s="35"/>
      <c r="FW194" s="35"/>
      <c r="FX194" s="35"/>
      <c r="FY194" s="35"/>
      <c r="FZ194" s="35"/>
      <c r="GA194" s="35"/>
      <c r="GB194" s="35"/>
      <c r="GC194" s="35"/>
      <c r="GD194" s="35"/>
      <c r="GE194" s="35"/>
      <c r="GF194" s="35"/>
      <c r="GG194" s="35"/>
      <c r="GH194" s="35"/>
      <c r="GI194" s="35"/>
      <c r="GJ194" s="35"/>
      <c r="GK194" s="35"/>
      <c r="GL194" s="35"/>
      <c r="GM194" s="35"/>
      <c r="GN194" s="35"/>
      <c r="GO194" s="35"/>
      <c r="GP194" s="35"/>
      <c r="GQ194" s="35"/>
      <c r="GR194" s="35"/>
      <c r="GS194" s="35"/>
      <c r="GT194" s="35"/>
      <c r="GU194" s="35"/>
      <c r="GV194" s="35"/>
      <c r="GW194" s="35"/>
      <c r="GX194" s="35"/>
      <c r="GY194" s="35"/>
      <c r="GZ194" s="35"/>
      <c r="HA194" s="35"/>
      <c r="HB194" s="35"/>
      <c r="HC194" s="35"/>
      <c r="HD194" s="35"/>
      <c r="HE194" s="35"/>
      <c r="HF194" s="35"/>
      <c r="HG194" s="35"/>
      <c r="HH194" s="35"/>
      <c r="HI194" s="35"/>
      <c r="HJ194" s="35"/>
      <c r="HK194" s="35"/>
      <c r="HL194" s="35"/>
      <c r="HM194" s="35"/>
      <c r="HN194" s="35"/>
      <c r="HO194" s="35"/>
      <c r="HP194" s="35"/>
      <c r="HQ194" s="35"/>
      <c r="HR194" s="35"/>
      <c r="HS194" s="35"/>
      <c r="HT194" s="35"/>
      <c r="HU194" s="35"/>
      <c r="HV194" s="35"/>
      <c r="HW194" s="35"/>
      <c r="HX194" s="35"/>
      <c r="HY194" s="35"/>
      <c r="HZ194" s="35"/>
      <c r="IA194" s="35"/>
      <c r="IB194" s="35"/>
      <c r="IC194" s="35"/>
      <c r="ID194" s="35"/>
      <c r="IE194" s="35"/>
      <c r="IF194" s="35"/>
      <c r="IG194" s="35"/>
      <c r="IH194" s="35"/>
      <c r="II194" s="35"/>
      <c r="IJ194" s="35"/>
      <c r="IK194" s="35"/>
      <c r="IL194" s="35"/>
      <c r="IM194" s="35"/>
      <c r="IN194" s="35"/>
      <c r="IO194" s="35"/>
      <c r="IP194" s="35"/>
      <c r="IQ194" s="35"/>
      <c r="IR194" s="35"/>
      <c r="IS194" s="35"/>
      <c r="IT194" s="35"/>
      <c r="IU194" s="35"/>
      <c r="IV194" s="35"/>
      <c r="IW194" s="35"/>
      <c r="IX194" s="35"/>
      <c r="IY194" s="35"/>
      <c r="IZ194" s="35"/>
      <c r="JA194" s="35"/>
      <c r="JB194" s="35"/>
      <c r="JC194" s="35"/>
      <c r="JD194" s="35"/>
      <c r="JE194" s="35"/>
    </row>
    <row r="195">
      <c r="A195" s="42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  <c r="CB195" s="35"/>
      <c r="CC195" s="35"/>
      <c r="CD195" s="35"/>
      <c r="CE195" s="35"/>
      <c r="CF195" s="35"/>
      <c r="CG195" s="35"/>
      <c r="CH195" s="35"/>
      <c r="CI195" s="35"/>
      <c r="CJ195" s="35"/>
      <c r="CK195" s="35"/>
      <c r="CL195" s="35"/>
      <c r="CM195" s="35"/>
      <c r="CN195" s="35"/>
      <c r="CO195" s="35"/>
      <c r="CP195" s="35"/>
      <c r="CQ195" s="35"/>
      <c r="CR195" s="35"/>
      <c r="CS195" s="35"/>
      <c r="CT195" s="35"/>
      <c r="CU195" s="35"/>
      <c r="CV195" s="35"/>
      <c r="CW195" s="35"/>
      <c r="CX195" s="35"/>
      <c r="CY195" s="35"/>
      <c r="CZ195" s="35"/>
      <c r="DA195" s="35"/>
      <c r="DB195" s="35"/>
      <c r="DC195" s="35"/>
      <c r="DD195" s="35"/>
      <c r="DE195" s="35"/>
      <c r="DF195" s="35"/>
      <c r="DG195" s="35"/>
      <c r="DH195" s="35"/>
      <c r="DI195" s="35"/>
      <c r="DJ195" s="35"/>
      <c r="DK195" s="35"/>
      <c r="DL195" s="35"/>
      <c r="DM195" s="35"/>
      <c r="DN195" s="35"/>
      <c r="DO195" s="35"/>
      <c r="DP195" s="35"/>
      <c r="DQ195" s="35"/>
      <c r="DR195" s="35"/>
      <c r="DS195" s="35"/>
      <c r="DT195" s="35"/>
      <c r="DU195" s="35"/>
      <c r="DV195" s="35"/>
      <c r="DW195" s="35"/>
      <c r="DX195" s="35"/>
      <c r="DY195" s="35"/>
      <c r="DZ195" s="35"/>
      <c r="EA195" s="35"/>
      <c r="EB195" s="35"/>
      <c r="EC195" s="35"/>
      <c r="ED195" s="35"/>
      <c r="EE195" s="35"/>
      <c r="EF195" s="35"/>
      <c r="EG195" s="35"/>
      <c r="EH195" s="35"/>
      <c r="EI195" s="35"/>
      <c r="EJ195" s="35"/>
      <c r="EK195" s="35"/>
      <c r="EL195" s="35"/>
      <c r="EM195" s="35"/>
      <c r="EN195" s="35"/>
      <c r="EO195" s="35"/>
      <c r="EP195" s="35"/>
      <c r="EQ195" s="35"/>
      <c r="ER195" s="35"/>
      <c r="ES195" s="35"/>
      <c r="ET195" s="35"/>
      <c r="EU195" s="35"/>
      <c r="EV195" s="35"/>
      <c r="EW195" s="35"/>
      <c r="EX195" s="35"/>
      <c r="EY195" s="35"/>
      <c r="EZ195" s="35"/>
      <c r="FA195" s="35"/>
      <c r="FB195" s="35"/>
      <c r="FC195" s="35"/>
      <c r="FD195" s="35"/>
      <c r="FE195" s="35"/>
      <c r="FF195" s="35"/>
      <c r="FG195" s="35"/>
      <c r="FH195" s="35"/>
      <c r="FI195" s="35"/>
      <c r="FJ195" s="35"/>
      <c r="FK195" s="35"/>
      <c r="FL195" s="35"/>
      <c r="FM195" s="35"/>
      <c r="FN195" s="35"/>
      <c r="FO195" s="35"/>
      <c r="FP195" s="35"/>
      <c r="FQ195" s="35"/>
      <c r="FR195" s="35"/>
      <c r="FS195" s="35"/>
      <c r="FT195" s="35"/>
      <c r="FU195" s="35"/>
      <c r="FV195" s="35"/>
      <c r="FW195" s="35"/>
      <c r="FX195" s="35"/>
      <c r="FY195" s="35"/>
      <c r="FZ195" s="35"/>
      <c r="GA195" s="35"/>
      <c r="GB195" s="35"/>
      <c r="GC195" s="35"/>
      <c r="GD195" s="35"/>
      <c r="GE195" s="35"/>
      <c r="GF195" s="35"/>
      <c r="GG195" s="35"/>
      <c r="GH195" s="35"/>
      <c r="GI195" s="35"/>
      <c r="GJ195" s="35"/>
      <c r="GK195" s="35"/>
      <c r="GL195" s="35"/>
      <c r="GM195" s="35"/>
      <c r="GN195" s="35"/>
      <c r="GO195" s="35"/>
      <c r="GP195" s="35"/>
      <c r="GQ195" s="35"/>
      <c r="GR195" s="35"/>
      <c r="GS195" s="35"/>
      <c r="GT195" s="35"/>
      <c r="GU195" s="35"/>
      <c r="GV195" s="35"/>
      <c r="GW195" s="35"/>
      <c r="GX195" s="35"/>
      <c r="GY195" s="35"/>
      <c r="GZ195" s="35"/>
      <c r="HA195" s="35"/>
      <c r="HB195" s="35"/>
      <c r="HC195" s="35"/>
      <c r="HD195" s="35"/>
      <c r="HE195" s="35"/>
      <c r="HF195" s="35"/>
      <c r="HG195" s="35"/>
      <c r="HH195" s="35"/>
      <c r="HI195" s="35"/>
      <c r="HJ195" s="35"/>
      <c r="HK195" s="35"/>
      <c r="HL195" s="35"/>
      <c r="HM195" s="35"/>
      <c r="HN195" s="35"/>
      <c r="HO195" s="35"/>
      <c r="HP195" s="35"/>
      <c r="HQ195" s="35"/>
      <c r="HR195" s="35"/>
      <c r="HS195" s="35"/>
      <c r="HT195" s="35"/>
      <c r="HU195" s="35"/>
      <c r="HV195" s="35"/>
      <c r="HW195" s="35"/>
      <c r="HX195" s="35"/>
      <c r="HY195" s="35"/>
      <c r="HZ195" s="35"/>
      <c r="IA195" s="35"/>
      <c r="IB195" s="35"/>
      <c r="IC195" s="35"/>
      <c r="ID195" s="35"/>
      <c r="IE195" s="35"/>
      <c r="IF195" s="35"/>
      <c r="IG195" s="35"/>
      <c r="IH195" s="35"/>
      <c r="II195" s="35"/>
      <c r="IJ195" s="35"/>
      <c r="IK195" s="35"/>
      <c r="IL195" s="35"/>
      <c r="IM195" s="35"/>
      <c r="IN195" s="35"/>
      <c r="IO195" s="35"/>
      <c r="IP195" s="35"/>
      <c r="IQ195" s="35"/>
      <c r="IR195" s="35"/>
      <c r="IS195" s="35"/>
      <c r="IT195" s="35"/>
      <c r="IU195" s="35"/>
      <c r="IV195" s="35"/>
      <c r="IW195" s="35"/>
      <c r="IX195" s="35"/>
      <c r="IY195" s="35"/>
      <c r="IZ195" s="35"/>
      <c r="JA195" s="35"/>
      <c r="JB195" s="35"/>
      <c r="JC195" s="35"/>
      <c r="JD195" s="35"/>
      <c r="JE195" s="35"/>
    </row>
    <row r="196">
      <c r="A196" s="42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5"/>
      <c r="CN196" s="35"/>
      <c r="CO196" s="35"/>
      <c r="CP196" s="35"/>
      <c r="CQ196" s="35"/>
      <c r="CR196" s="35"/>
      <c r="CS196" s="35"/>
      <c r="CT196" s="35"/>
      <c r="CU196" s="35"/>
      <c r="CV196" s="35"/>
      <c r="CW196" s="35"/>
      <c r="CX196" s="35"/>
      <c r="CY196" s="35"/>
      <c r="CZ196" s="35"/>
      <c r="DA196" s="35"/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  <c r="DL196" s="35"/>
      <c r="DM196" s="35"/>
      <c r="DN196" s="35"/>
      <c r="DO196" s="35"/>
      <c r="DP196" s="35"/>
      <c r="DQ196" s="35"/>
      <c r="DR196" s="35"/>
      <c r="DS196" s="35"/>
      <c r="DT196" s="35"/>
      <c r="DU196" s="35"/>
      <c r="DV196" s="35"/>
      <c r="DW196" s="35"/>
      <c r="DX196" s="35"/>
      <c r="DY196" s="35"/>
      <c r="DZ196" s="35"/>
      <c r="EA196" s="35"/>
      <c r="EB196" s="35"/>
      <c r="EC196" s="35"/>
      <c r="ED196" s="35"/>
      <c r="EE196" s="35"/>
      <c r="EF196" s="35"/>
      <c r="EG196" s="35"/>
      <c r="EH196" s="35"/>
      <c r="EI196" s="35"/>
      <c r="EJ196" s="35"/>
      <c r="EK196" s="35"/>
      <c r="EL196" s="35"/>
      <c r="EM196" s="35"/>
      <c r="EN196" s="35"/>
      <c r="EO196" s="35"/>
      <c r="EP196" s="35"/>
      <c r="EQ196" s="35"/>
      <c r="ER196" s="35"/>
      <c r="ES196" s="35"/>
      <c r="ET196" s="35"/>
      <c r="EU196" s="35"/>
      <c r="EV196" s="35"/>
      <c r="EW196" s="35"/>
      <c r="EX196" s="35"/>
      <c r="EY196" s="35"/>
      <c r="EZ196" s="35"/>
      <c r="FA196" s="35"/>
      <c r="FB196" s="35"/>
      <c r="FC196" s="35"/>
      <c r="FD196" s="35"/>
      <c r="FE196" s="35"/>
      <c r="FF196" s="35"/>
      <c r="FG196" s="35"/>
      <c r="FH196" s="35"/>
      <c r="FI196" s="35"/>
      <c r="FJ196" s="35"/>
      <c r="FK196" s="35"/>
      <c r="FL196" s="35"/>
      <c r="FM196" s="35"/>
      <c r="FN196" s="35"/>
      <c r="FO196" s="35"/>
      <c r="FP196" s="35"/>
      <c r="FQ196" s="35"/>
      <c r="FR196" s="35"/>
      <c r="FS196" s="35"/>
      <c r="FT196" s="35"/>
      <c r="FU196" s="35"/>
      <c r="FV196" s="35"/>
      <c r="FW196" s="35"/>
      <c r="FX196" s="35"/>
      <c r="FY196" s="35"/>
      <c r="FZ196" s="35"/>
      <c r="GA196" s="35"/>
      <c r="GB196" s="35"/>
      <c r="GC196" s="35"/>
      <c r="GD196" s="35"/>
      <c r="GE196" s="35"/>
      <c r="GF196" s="35"/>
      <c r="GG196" s="35"/>
      <c r="GH196" s="35"/>
      <c r="GI196" s="35"/>
      <c r="GJ196" s="35"/>
      <c r="GK196" s="35"/>
      <c r="GL196" s="35"/>
      <c r="GM196" s="35"/>
      <c r="GN196" s="35"/>
      <c r="GO196" s="35"/>
      <c r="GP196" s="35"/>
      <c r="GQ196" s="35"/>
      <c r="GR196" s="35"/>
      <c r="GS196" s="35"/>
      <c r="GT196" s="35"/>
      <c r="GU196" s="35"/>
      <c r="GV196" s="35"/>
      <c r="GW196" s="35"/>
      <c r="GX196" s="35"/>
      <c r="GY196" s="35"/>
      <c r="GZ196" s="35"/>
      <c r="HA196" s="35"/>
      <c r="HB196" s="35"/>
      <c r="HC196" s="35"/>
      <c r="HD196" s="35"/>
      <c r="HE196" s="35"/>
      <c r="HF196" s="35"/>
      <c r="HG196" s="35"/>
      <c r="HH196" s="35"/>
      <c r="HI196" s="35"/>
      <c r="HJ196" s="35"/>
      <c r="HK196" s="35"/>
      <c r="HL196" s="35"/>
      <c r="HM196" s="35"/>
      <c r="HN196" s="35"/>
      <c r="HO196" s="35"/>
      <c r="HP196" s="35"/>
      <c r="HQ196" s="35"/>
      <c r="HR196" s="35"/>
      <c r="HS196" s="35"/>
      <c r="HT196" s="35"/>
      <c r="HU196" s="35"/>
      <c r="HV196" s="35"/>
      <c r="HW196" s="35"/>
      <c r="HX196" s="35"/>
      <c r="HY196" s="35"/>
      <c r="HZ196" s="35"/>
      <c r="IA196" s="35"/>
      <c r="IB196" s="35"/>
      <c r="IC196" s="35"/>
      <c r="ID196" s="35"/>
      <c r="IE196" s="35"/>
      <c r="IF196" s="35"/>
      <c r="IG196" s="35"/>
      <c r="IH196" s="35"/>
      <c r="II196" s="35"/>
      <c r="IJ196" s="35"/>
      <c r="IK196" s="35"/>
      <c r="IL196" s="35"/>
      <c r="IM196" s="35"/>
      <c r="IN196" s="35"/>
      <c r="IO196" s="35"/>
      <c r="IP196" s="35"/>
      <c r="IQ196" s="35"/>
      <c r="IR196" s="35"/>
      <c r="IS196" s="35"/>
      <c r="IT196" s="35"/>
      <c r="IU196" s="35"/>
      <c r="IV196" s="35"/>
      <c r="IW196" s="35"/>
      <c r="IX196" s="35"/>
      <c r="IY196" s="35"/>
      <c r="IZ196" s="35"/>
      <c r="JA196" s="35"/>
      <c r="JB196" s="35"/>
      <c r="JC196" s="35"/>
      <c r="JD196" s="35"/>
      <c r="JE196" s="35"/>
    </row>
    <row r="197">
      <c r="A197" s="42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  <c r="CB197" s="35"/>
      <c r="CC197" s="35"/>
      <c r="CD197" s="35"/>
      <c r="CE197" s="35"/>
      <c r="CF197" s="35"/>
      <c r="CG197" s="35"/>
      <c r="CH197" s="35"/>
      <c r="CI197" s="35"/>
      <c r="CJ197" s="35"/>
      <c r="CK197" s="35"/>
      <c r="CL197" s="35"/>
      <c r="CM197" s="35"/>
      <c r="CN197" s="35"/>
      <c r="CO197" s="35"/>
      <c r="CP197" s="35"/>
      <c r="CQ197" s="35"/>
      <c r="CR197" s="35"/>
      <c r="CS197" s="35"/>
      <c r="CT197" s="35"/>
      <c r="CU197" s="35"/>
      <c r="CV197" s="35"/>
      <c r="CW197" s="35"/>
      <c r="CX197" s="35"/>
      <c r="CY197" s="35"/>
      <c r="CZ197" s="35"/>
      <c r="DA197" s="35"/>
      <c r="DB197" s="35"/>
      <c r="DC197" s="35"/>
      <c r="DD197" s="35"/>
      <c r="DE197" s="35"/>
      <c r="DF197" s="35"/>
      <c r="DG197" s="35"/>
      <c r="DH197" s="35"/>
      <c r="DI197" s="35"/>
      <c r="DJ197" s="35"/>
      <c r="DK197" s="35"/>
      <c r="DL197" s="35"/>
      <c r="DM197" s="35"/>
      <c r="DN197" s="35"/>
      <c r="DO197" s="35"/>
      <c r="DP197" s="35"/>
      <c r="DQ197" s="35"/>
      <c r="DR197" s="35"/>
      <c r="DS197" s="35"/>
      <c r="DT197" s="35"/>
      <c r="DU197" s="35"/>
      <c r="DV197" s="35"/>
      <c r="DW197" s="35"/>
      <c r="DX197" s="35"/>
      <c r="DY197" s="35"/>
      <c r="DZ197" s="35"/>
      <c r="EA197" s="35"/>
      <c r="EB197" s="35"/>
      <c r="EC197" s="35"/>
      <c r="ED197" s="35"/>
      <c r="EE197" s="35"/>
      <c r="EF197" s="35"/>
      <c r="EG197" s="35"/>
      <c r="EH197" s="35"/>
      <c r="EI197" s="35"/>
      <c r="EJ197" s="35"/>
      <c r="EK197" s="35"/>
      <c r="EL197" s="35"/>
      <c r="EM197" s="35"/>
      <c r="EN197" s="35"/>
      <c r="EO197" s="35"/>
      <c r="EP197" s="35"/>
      <c r="EQ197" s="35"/>
      <c r="ER197" s="35"/>
      <c r="ES197" s="35"/>
      <c r="ET197" s="35"/>
      <c r="EU197" s="35"/>
      <c r="EV197" s="35"/>
      <c r="EW197" s="35"/>
      <c r="EX197" s="35"/>
      <c r="EY197" s="35"/>
      <c r="EZ197" s="35"/>
      <c r="FA197" s="35"/>
      <c r="FB197" s="35"/>
      <c r="FC197" s="35"/>
      <c r="FD197" s="35"/>
      <c r="FE197" s="35"/>
      <c r="FF197" s="35"/>
      <c r="FG197" s="35"/>
      <c r="FH197" s="35"/>
      <c r="FI197" s="35"/>
      <c r="FJ197" s="35"/>
      <c r="FK197" s="35"/>
      <c r="FL197" s="35"/>
      <c r="FM197" s="35"/>
      <c r="FN197" s="35"/>
      <c r="FO197" s="35"/>
      <c r="FP197" s="35"/>
      <c r="FQ197" s="35"/>
      <c r="FR197" s="35"/>
      <c r="FS197" s="35"/>
      <c r="FT197" s="35"/>
      <c r="FU197" s="35"/>
      <c r="FV197" s="35"/>
      <c r="FW197" s="35"/>
      <c r="FX197" s="35"/>
      <c r="FY197" s="35"/>
      <c r="FZ197" s="35"/>
      <c r="GA197" s="35"/>
      <c r="GB197" s="35"/>
      <c r="GC197" s="35"/>
      <c r="GD197" s="35"/>
      <c r="GE197" s="35"/>
      <c r="GF197" s="35"/>
      <c r="GG197" s="35"/>
      <c r="GH197" s="35"/>
      <c r="GI197" s="35"/>
      <c r="GJ197" s="35"/>
      <c r="GK197" s="35"/>
      <c r="GL197" s="35"/>
      <c r="GM197" s="35"/>
      <c r="GN197" s="35"/>
      <c r="GO197" s="35"/>
      <c r="GP197" s="35"/>
      <c r="GQ197" s="35"/>
      <c r="GR197" s="35"/>
      <c r="GS197" s="35"/>
      <c r="GT197" s="35"/>
      <c r="GU197" s="35"/>
      <c r="GV197" s="35"/>
      <c r="GW197" s="35"/>
      <c r="GX197" s="35"/>
      <c r="GY197" s="35"/>
      <c r="GZ197" s="35"/>
      <c r="HA197" s="35"/>
      <c r="HB197" s="35"/>
      <c r="HC197" s="35"/>
      <c r="HD197" s="35"/>
      <c r="HE197" s="35"/>
      <c r="HF197" s="35"/>
      <c r="HG197" s="35"/>
      <c r="HH197" s="35"/>
      <c r="HI197" s="35"/>
      <c r="HJ197" s="35"/>
      <c r="HK197" s="35"/>
      <c r="HL197" s="35"/>
      <c r="HM197" s="35"/>
      <c r="HN197" s="35"/>
      <c r="HO197" s="35"/>
      <c r="HP197" s="35"/>
      <c r="HQ197" s="35"/>
      <c r="HR197" s="35"/>
      <c r="HS197" s="35"/>
      <c r="HT197" s="35"/>
      <c r="HU197" s="35"/>
      <c r="HV197" s="35"/>
      <c r="HW197" s="35"/>
      <c r="HX197" s="35"/>
      <c r="HY197" s="35"/>
      <c r="HZ197" s="35"/>
      <c r="IA197" s="35"/>
      <c r="IB197" s="35"/>
      <c r="IC197" s="35"/>
      <c r="ID197" s="35"/>
      <c r="IE197" s="35"/>
      <c r="IF197" s="35"/>
      <c r="IG197" s="35"/>
      <c r="IH197" s="35"/>
      <c r="II197" s="35"/>
      <c r="IJ197" s="35"/>
      <c r="IK197" s="35"/>
      <c r="IL197" s="35"/>
      <c r="IM197" s="35"/>
      <c r="IN197" s="35"/>
      <c r="IO197" s="35"/>
      <c r="IP197" s="35"/>
      <c r="IQ197" s="35"/>
      <c r="IR197" s="35"/>
      <c r="IS197" s="35"/>
      <c r="IT197" s="35"/>
      <c r="IU197" s="35"/>
      <c r="IV197" s="35"/>
      <c r="IW197" s="35"/>
      <c r="IX197" s="35"/>
      <c r="IY197" s="35"/>
      <c r="IZ197" s="35"/>
      <c r="JA197" s="35"/>
      <c r="JB197" s="35"/>
      <c r="JC197" s="35"/>
      <c r="JD197" s="35"/>
      <c r="JE197" s="35"/>
    </row>
    <row r="198">
      <c r="A198" s="42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  <c r="DL198" s="35"/>
      <c r="DM198" s="35"/>
      <c r="DN198" s="35"/>
      <c r="DO198" s="35"/>
      <c r="DP198" s="35"/>
      <c r="DQ198" s="35"/>
      <c r="DR198" s="35"/>
      <c r="DS198" s="35"/>
      <c r="DT198" s="35"/>
      <c r="DU198" s="35"/>
      <c r="DV198" s="35"/>
      <c r="DW198" s="35"/>
      <c r="DX198" s="35"/>
      <c r="DY198" s="35"/>
      <c r="DZ198" s="35"/>
      <c r="EA198" s="35"/>
      <c r="EB198" s="35"/>
      <c r="EC198" s="35"/>
      <c r="ED198" s="35"/>
      <c r="EE198" s="35"/>
      <c r="EF198" s="35"/>
      <c r="EG198" s="35"/>
      <c r="EH198" s="35"/>
      <c r="EI198" s="35"/>
      <c r="EJ198" s="35"/>
      <c r="EK198" s="35"/>
      <c r="EL198" s="35"/>
      <c r="EM198" s="35"/>
      <c r="EN198" s="35"/>
      <c r="EO198" s="35"/>
      <c r="EP198" s="35"/>
      <c r="EQ198" s="35"/>
      <c r="ER198" s="35"/>
      <c r="ES198" s="35"/>
      <c r="ET198" s="35"/>
      <c r="EU198" s="35"/>
      <c r="EV198" s="35"/>
      <c r="EW198" s="35"/>
      <c r="EX198" s="35"/>
      <c r="EY198" s="35"/>
      <c r="EZ198" s="35"/>
      <c r="FA198" s="35"/>
      <c r="FB198" s="35"/>
      <c r="FC198" s="35"/>
      <c r="FD198" s="35"/>
      <c r="FE198" s="35"/>
      <c r="FF198" s="35"/>
      <c r="FG198" s="35"/>
      <c r="FH198" s="35"/>
      <c r="FI198" s="35"/>
      <c r="FJ198" s="35"/>
      <c r="FK198" s="35"/>
      <c r="FL198" s="35"/>
      <c r="FM198" s="35"/>
      <c r="FN198" s="35"/>
      <c r="FO198" s="35"/>
      <c r="FP198" s="35"/>
      <c r="FQ198" s="35"/>
      <c r="FR198" s="35"/>
      <c r="FS198" s="35"/>
      <c r="FT198" s="35"/>
      <c r="FU198" s="35"/>
      <c r="FV198" s="35"/>
      <c r="FW198" s="35"/>
      <c r="FX198" s="35"/>
      <c r="FY198" s="35"/>
      <c r="FZ198" s="35"/>
      <c r="GA198" s="35"/>
      <c r="GB198" s="35"/>
      <c r="GC198" s="35"/>
      <c r="GD198" s="35"/>
      <c r="GE198" s="35"/>
      <c r="GF198" s="35"/>
      <c r="GG198" s="35"/>
      <c r="GH198" s="35"/>
      <c r="GI198" s="35"/>
      <c r="GJ198" s="35"/>
      <c r="GK198" s="35"/>
      <c r="GL198" s="35"/>
      <c r="GM198" s="35"/>
      <c r="GN198" s="35"/>
      <c r="GO198" s="35"/>
      <c r="GP198" s="35"/>
      <c r="GQ198" s="35"/>
      <c r="GR198" s="35"/>
      <c r="GS198" s="35"/>
      <c r="GT198" s="35"/>
      <c r="GU198" s="35"/>
      <c r="GV198" s="35"/>
      <c r="GW198" s="35"/>
      <c r="GX198" s="35"/>
      <c r="GY198" s="35"/>
      <c r="GZ198" s="35"/>
      <c r="HA198" s="35"/>
      <c r="HB198" s="35"/>
      <c r="HC198" s="35"/>
      <c r="HD198" s="35"/>
      <c r="HE198" s="35"/>
      <c r="HF198" s="35"/>
      <c r="HG198" s="35"/>
      <c r="HH198" s="35"/>
      <c r="HI198" s="35"/>
      <c r="HJ198" s="35"/>
      <c r="HK198" s="35"/>
      <c r="HL198" s="35"/>
      <c r="HM198" s="35"/>
      <c r="HN198" s="35"/>
      <c r="HO198" s="35"/>
      <c r="HP198" s="35"/>
      <c r="HQ198" s="35"/>
      <c r="HR198" s="35"/>
      <c r="HS198" s="35"/>
      <c r="HT198" s="35"/>
      <c r="HU198" s="35"/>
      <c r="HV198" s="35"/>
      <c r="HW198" s="35"/>
      <c r="HX198" s="35"/>
      <c r="HY198" s="35"/>
      <c r="HZ198" s="35"/>
      <c r="IA198" s="35"/>
      <c r="IB198" s="35"/>
      <c r="IC198" s="35"/>
      <c r="ID198" s="35"/>
      <c r="IE198" s="35"/>
      <c r="IF198" s="35"/>
      <c r="IG198" s="35"/>
      <c r="IH198" s="35"/>
      <c r="II198" s="35"/>
      <c r="IJ198" s="35"/>
      <c r="IK198" s="35"/>
      <c r="IL198" s="35"/>
      <c r="IM198" s="35"/>
      <c r="IN198" s="35"/>
      <c r="IO198" s="35"/>
      <c r="IP198" s="35"/>
      <c r="IQ198" s="35"/>
      <c r="IR198" s="35"/>
      <c r="IS198" s="35"/>
      <c r="IT198" s="35"/>
      <c r="IU198" s="35"/>
      <c r="IV198" s="35"/>
      <c r="IW198" s="35"/>
      <c r="IX198" s="35"/>
      <c r="IY198" s="35"/>
      <c r="IZ198" s="35"/>
      <c r="JA198" s="35"/>
      <c r="JB198" s="35"/>
      <c r="JC198" s="35"/>
      <c r="JD198" s="35"/>
      <c r="JE198" s="35"/>
    </row>
    <row r="199">
      <c r="A199" s="42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C199" s="35"/>
      <c r="DD199" s="35"/>
      <c r="DE199" s="35"/>
      <c r="DF199" s="35"/>
      <c r="DG199" s="35"/>
      <c r="DH199" s="35"/>
      <c r="DI199" s="35"/>
      <c r="DJ199" s="35"/>
      <c r="DK199" s="35"/>
      <c r="DL199" s="35"/>
      <c r="DM199" s="35"/>
      <c r="DN199" s="35"/>
      <c r="DO199" s="35"/>
      <c r="DP199" s="35"/>
      <c r="DQ199" s="35"/>
      <c r="DR199" s="35"/>
      <c r="DS199" s="35"/>
      <c r="DT199" s="35"/>
      <c r="DU199" s="35"/>
      <c r="DV199" s="35"/>
      <c r="DW199" s="35"/>
      <c r="DX199" s="35"/>
      <c r="DY199" s="35"/>
      <c r="DZ199" s="35"/>
      <c r="EA199" s="35"/>
      <c r="EB199" s="35"/>
      <c r="EC199" s="35"/>
      <c r="ED199" s="35"/>
      <c r="EE199" s="35"/>
      <c r="EF199" s="35"/>
      <c r="EG199" s="35"/>
      <c r="EH199" s="35"/>
      <c r="EI199" s="35"/>
      <c r="EJ199" s="35"/>
      <c r="EK199" s="35"/>
      <c r="EL199" s="35"/>
      <c r="EM199" s="35"/>
      <c r="EN199" s="35"/>
      <c r="EO199" s="35"/>
      <c r="EP199" s="35"/>
      <c r="EQ199" s="35"/>
      <c r="ER199" s="35"/>
      <c r="ES199" s="35"/>
      <c r="ET199" s="35"/>
      <c r="EU199" s="35"/>
      <c r="EV199" s="35"/>
      <c r="EW199" s="35"/>
      <c r="EX199" s="35"/>
      <c r="EY199" s="35"/>
      <c r="EZ199" s="35"/>
      <c r="FA199" s="35"/>
      <c r="FB199" s="35"/>
      <c r="FC199" s="35"/>
      <c r="FD199" s="35"/>
      <c r="FE199" s="35"/>
      <c r="FF199" s="35"/>
      <c r="FG199" s="35"/>
      <c r="FH199" s="35"/>
      <c r="FI199" s="35"/>
      <c r="FJ199" s="35"/>
      <c r="FK199" s="35"/>
      <c r="FL199" s="35"/>
      <c r="FM199" s="35"/>
      <c r="FN199" s="35"/>
      <c r="FO199" s="35"/>
      <c r="FP199" s="35"/>
      <c r="FQ199" s="35"/>
      <c r="FR199" s="35"/>
      <c r="FS199" s="35"/>
      <c r="FT199" s="35"/>
      <c r="FU199" s="35"/>
      <c r="FV199" s="35"/>
      <c r="FW199" s="35"/>
      <c r="FX199" s="35"/>
      <c r="FY199" s="35"/>
      <c r="FZ199" s="35"/>
      <c r="GA199" s="35"/>
      <c r="GB199" s="35"/>
      <c r="GC199" s="35"/>
      <c r="GD199" s="35"/>
      <c r="GE199" s="35"/>
      <c r="GF199" s="35"/>
      <c r="GG199" s="35"/>
      <c r="GH199" s="35"/>
      <c r="GI199" s="35"/>
      <c r="GJ199" s="35"/>
      <c r="GK199" s="35"/>
      <c r="GL199" s="35"/>
      <c r="GM199" s="35"/>
      <c r="GN199" s="35"/>
      <c r="GO199" s="35"/>
      <c r="GP199" s="35"/>
      <c r="GQ199" s="35"/>
      <c r="GR199" s="35"/>
      <c r="GS199" s="35"/>
      <c r="GT199" s="35"/>
      <c r="GU199" s="35"/>
      <c r="GV199" s="35"/>
      <c r="GW199" s="35"/>
      <c r="GX199" s="35"/>
      <c r="GY199" s="35"/>
      <c r="GZ199" s="35"/>
      <c r="HA199" s="35"/>
      <c r="HB199" s="35"/>
      <c r="HC199" s="35"/>
      <c r="HD199" s="35"/>
      <c r="HE199" s="35"/>
      <c r="HF199" s="35"/>
      <c r="HG199" s="35"/>
      <c r="HH199" s="35"/>
      <c r="HI199" s="35"/>
      <c r="HJ199" s="35"/>
      <c r="HK199" s="35"/>
      <c r="HL199" s="35"/>
      <c r="HM199" s="35"/>
      <c r="HN199" s="35"/>
      <c r="HO199" s="35"/>
      <c r="HP199" s="35"/>
      <c r="HQ199" s="35"/>
      <c r="HR199" s="35"/>
      <c r="HS199" s="35"/>
      <c r="HT199" s="35"/>
      <c r="HU199" s="35"/>
      <c r="HV199" s="35"/>
      <c r="HW199" s="35"/>
      <c r="HX199" s="35"/>
      <c r="HY199" s="35"/>
      <c r="HZ199" s="35"/>
      <c r="IA199" s="35"/>
      <c r="IB199" s="35"/>
      <c r="IC199" s="35"/>
      <c r="ID199" s="35"/>
      <c r="IE199" s="35"/>
      <c r="IF199" s="35"/>
      <c r="IG199" s="35"/>
      <c r="IH199" s="35"/>
      <c r="II199" s="35"/>
      <c r="IJ199" s="35"/>
      <c r="IK199" s="35"/>
      <c r="IL199" s="35"/>
      <c r="IM199" s="35"/>
      <c r="IN199" s="35"/>
      <c r="IO199" s="35"/>
      <c r="IP199" s="35"/>
      <c r="IQ199" s="35"/>
      <c r="IR199" s="35"/>
      <c r="IS199" s="35"/>
      <c r="IT199" s="35"/>
      <c r="IU199" s="35"/>
      <c r="IV199" s="35"/>
      <c r="IW199" s="35"/>
      <c r="IX199" s="35"/>
      <c r="IY199" s="35"/>
      <c r="IZ199" s="35"/>
      <c r="JA199" s="35"/>
      <c r="JB199" s="35"/>
      <c r="JC199" s="35"/>
      <c r="JD199" s="35"/>
      <c r="JE199" s="35"/>
    </row>
    <row r="200">
      <c r="A200" s="42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  <c r="DL200" s="35"/>
      <c r="DM200" s="35"/>
      <c r="DN200" s="35"/>
      <c r="DO200" s="35"/>
      <c r="DP200" s="35"/>
      <c r="DQ200" s="35"/>
      <c r="DR200" s="35"/>
      <c r="DS200" s="35"/>
      <c r="DT200" s="35"/>
      <c r="DU200" s="35"/>
      <c r="DV200" s="35"/>
      <c r="DW200" s="35"/>
      <c r="DX200" s="35"/>
      <c r="DY200" s="35"/>
      <c r="DZ200" s="35"/>
      <c r="EA200" s="35"/>
      <c r="EB200" s="35"/>
      <c r="EC200" s="35"/>
      <c r="ED200" s="35"/>
      <c r="EE200" s="35"/>
      <c r="EF200" s="35"/>
      <c r="EG200" s="35"/>
      <c r="EH200" s="35"/>
      <c r="EI200" s="35"/>
      <c r="EJ200" s="35"/>
      <c r="EK200" s="35"/>
      <c r="EL200" s="35"/>
      <c r="EM200" s="35"/>
      <c r="EN200" s="35"/>
      <c r="EO200" s="35"/>
      <c r="EP200" s="35"/>
      <c r="EQ200" s="35"/>
      <c r="ER200" s="35"/>
      <c r="ES200" s="35"/>
      <c r="ET200" s="35"/>
      <c r="EU200" s="35"/>
      <c r="EV200" s="35"/>
      <c r="EW200" s="35"/>
      <c r="EX200" s="35"/>
      <c r="EY200" s="35"/>
      <c r="EZ200" s="35"/>
      <c r="FA200" s="35"/>
      <c r="FB200" s="35"/>
      <c r="FC200" s="35"/>
      <c r="FD200" s="35"/>
      <c r="FE200" s="35"/>
      <c r="FF200" s="35"/>
      <c r="FG200" s="35"/>
      <c r="FH200" s="35"/>
      <c r="FI200" s="35"/>
      <c r="FJ200" s="35"/>
      <c r="FK200" s="35"/>
      <c r="FL200" s="35"/>
      <c r="FM200" s="35"/>
      <c r="FN200" s="35"/>
      <c r="FO200" s="35"/>
      <c r="FP200" s="35"/>
      <c r="FQ200" s="35"/>
      <c r="FR200" s="35"/>
      <c r="FS200" s="35"/>
      <c r="FT200" s="35"/>
      <c r="FU200" s="35"/>
      <c r="FV200" s="35"/>
      <c r="FW200" s="35"/>
      <c r="FX200" s="35"/>
      <c r="FY200" s="35"/>
      <c r="FZ200" s="35"/>
      <c r="GA200" s="35"/>
      <c r="GB200" s="35"/>
      <c r="GC200" s="35"/>
      <c r="GD200" s="35"/>
      <c r="GE200" s="35"/>
      <c r="GF200" s="35"/>
      <c r="GG200" s="35"/>
      <c r="GH200" s="35"/>
      <c r="GI200" s="35"/>
      <c r="GJ200" s="35"/>
      <c r="GK200" s="35"/>
      <c r="GL200" s="35"/>
      <c r="GM200" s="35"/>
      <c r="GN200" s="35"/>
      <c r="GO200" s="35"/>
      <c r="GP200" s="35"/>
      <c r="GQ200" s="35"/>
      <c r="GR200" s="35"/>
      <c r="GS200" s="35"/>
      <c r="GT200" s="35"/>
      <c r="GU200" s="35"/>
      <c r="GV200" s="35"/>
      <c r="GW200" s="35"/>
      <c r="GX200" s="35"/>
      <c r="GY200" s="35"/>
      <c r="GZ200" s="35"/>
      <c r="HA200" s="35"/>
      <c r="HB200" s="35"/>
      <c r="HC200" s="35"/>
      <c r="HD200" s="35"/>
      <c r="HE200" s="35"/>
      <c r="HF200" s="35"/>
      <c r="HG200" s="35"/>
      <c r="HH200" s="35"/>
      <c r="HI200" s="35"/>
      <c r="HJ200" s="35"/>
      <c r="HK200" s="35"/>
      <c r="HL200" s="35"/>
      <c r="HM200" s="35"/>
      <c r="HN200" s="35"/>
      <c r="HO200" s="35"/>
      <c r="HP200" s="35"/>
      <c r="HQ200" s="35"/>
      <c r="HR200" s="35"/>
      <c r="HS200" s="35"/>
      <c r="HT200" s="35"/>
      <c r="HU200" s="35"/>
      <c r="HV200" s="35"/>
      <c r="HW200" s="35"/>
      <c r="HX200" s="35"/>
      <c r="HY200" s="35"/>
      <c r="HZ200" s="35"/>
      <c r="IA200" s="35"/>
      <c r="IB200" s="35"/>
      <c r="IC200" s="35"/>
      <c r="ID200" s="35"/>
      <c r="IE200" s="35"/>
      <c r="IF200" s="35"/>
      <c r="IG200" s="35"/>
      <c r="IH200" s="35"/>
      <c r="II200" s="35"/>
      <c r="IJ200" s="35"/>
      <c r="IK200" s="35"/>
      <c r="IL200" s="35"/>
      <c r="IM200" s="35"/>
      <c r="IN200" s="35"/>
      <c r="IO200" s="35"/>
      <c r="IP200" s="35"/>
      <c r="IQ200" s="35"/>
      <c r="IR200" s="35"/>
      <c r="IS200" s="35"/>
      <c r="IT200" s="35"/>
      <c r="IU200" s="35"/>
      <c r="IV200" s="35"/>
      <c r="IW200" s="35"/>
      <c r="IX200" s="35"/>
      <c r="IY200" s="35"/>
      <c r="IZ200" s="35"/>
      <c r="JA200" s="35"/>
      <c r="JB200" s="35"/>
      <c r="JC200" s="35"/>
      <c r="JD200" s="35"/>
      <c r="JE200" s="35"/>
    </row>
    <row r="201">
      <c r="A201" s="42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  <c r="CB201" s="35"/>
      <c r="CC201" s="35"/>
      <c r="CD201" s="35"/>
      <c r="CE201" s="35"/>
      <c r="CF201" s="35"/>
      <c r="CG201" s="35"/>
      <c r="CH201" s="35"/>
      <c r="CI201" s="35"/>
      <c r="CJ201" s="35"/>
      <c r="CK201" s="35"/>
      <c r="CL201" s="35"/>
      <c r="CM201" s="35"/>
      <c r="CN201" s="35"/>
      <c r="CO201" s="35"/>
      <c r="CP201" s="35"/>
      <c r="CQ201" s="35"/>
      <c r="CR201" s="35"/>
      <c r="CS201" s="35"/>
      <c r="CT201" s="35"/>
      <c r="CU201" s="35"/>
      <c r="CV201" s="35"/>
      <c r="CW201" s="35"/>
      <c r="CX201" s="35"/>
      <c r="CY201" s="35"/>
      <c r="CZ201" s="35"/>
      <c r="DA201" s="35"/>
      <c r="DB201" s="35"/>
      <c r="DC201" s="35"/>
      <c r="DD201" s="35"/>
      <c r="DE201" s="35"/>
      <c r="DF201" s="35"/>
      <c r="DG201" s="35"/>
      <c r="DH201" s="35"/>
      <c r="DI201" s="35"/>
      <c r="DJ201" s="35"/>
      <c r="DK201" s="35"/>
      <c r="DL201" s="35"/>
      <c r="DM201" s="35"/>
      <c r="DN201" s="35"/>
      <c r="DO201" s="35"/>
      <c r="DP201" s="35"/>
      <c r="DQ201" s="35"/>
      <c r="DR201" s="35"/>
      <c r="DS201" s="35"/>
      <c r="DT201" s="35"/>
      <c r="DU201" s="35"/>
      <c r="DV201" s="35"/>
      <c r="DW201" s="35"/>
      <c r="DX201" s="35"/>
      <c r="DY201" s="35"/>
      <c r="DZ201" s="35"/>
      <c r="EA201" s="35"/>
      <c r="EB201" s="35"/>
      <c r="EC201" s="35"/>
      <c r="ED201" s="35"/>
      <c r="EE201" s="35"/>
      <c r="EF201" s="35"/>
      <c r="EG201" s="35"/>
      <c r="EH201" s="35"/>
      <c r="EI201" s="35"/>
      <c r="EJ201" s="35"/>
      <c r="EK201" s="35"/>
      <c r="EL201" s="35"/>
      <c r="EM201" s="35"/>
      <c r="EN201" s="35"/>
      <c r="EO201" s="35"/>
      <c r="EP201" s="35"/>
      <c r="EQ201" s="35"/>
      <c r="ER201" s="35"/>
      <c r="ES201" s="35"/>
      <c r="ET201" s="35"/>
      <c r="EU201" s="35"/>
      <c r="EV201" s="35"/>
      <c r="EW201" s="35"/>
      <c r="EX201" s="35"/>
      <c r="EY201" s="35"/>
      <c r="EZ201" s="35"/>
      <c r="FA201" s="35"/>
      <c r="FB201" s="35"/>
      <c r="FC201" s="35"/>
      <c r="FD201" s="35"/>
      <c r="FE201" s="35"/>
      <c r="FF201" s="35"/>
      <c r="FG201" s="35"/>
      <c r="FH201" s="35"/>
      <c r="FI201" s="35"/>
      <c r="FJ201" s="35"/>
      <c r="FK201" s="35"/>
      <c r="FL201" s="35"/>
      <c r="FM201" s="35"/>
      <c r="FN201" s="35"/>
      <c r="FO201" s="35"/>
      <c r="FP201" s="35"/>
      <c r="FQ201" s="35"/>
      <c r="FR201" s="35"/>
      <c r="FS201" s="35"/>
      <c r="FT201" s="35"/>
      <c r="FU201" s="35"/>
      <c r="FV201" s="35"/>
      <c r="FW201" s="35"/>
      <c r="FX201" s="35"/>
      <c r="FY201" s="35"/>
      <c r="FZ201" s="35"/>
      <c r="GA201" s="35"/>
      <c r="GB201" s="35"/>
      <c r="GC201" s="35"/>
      <c r="GD201" s="35"/>
      <c r="GE201" s="35"/>
      <c r="GF201" s="35"/>
      <c r="GG201" s="35"/>
      <c r="GH201" s="35"/>
      <c r="GI201" s="35"/>
      <c r="GJ201" s="35"/>
      <c r="GK201" s="35"/>
      <c r="GL201" s="35"/>
      <c r="GM201" s="35"/>
      <c r="GN201" s="35"/>
      <c r="GO201" s="35"/>
      <c r="GP201" s="35"/>
      <c r="GQ201" s="35"/>
      <c r="GR201" s="35"/>
      <c r="GS201" s="35"/>
      <c r="GT201" s="35"/>
      <c r="GU201" s="35"/>
      <c r="GV201" s="35"/>
      <c r="GW201" s="35"/>
      <c r="GX201" s="35"/>
      <c r="GY201" s="35"/>
      <c r="GZ201" s="35"/>
      <c r="HA201" s="35"/>
      <c r="HB201" s="35"/>
      <c r="HC201" s="35"/>
      <c r="HD201" s="35"/>
      <c r="HE201" s="35"/>
      <c r="HF201" s="35"/>
      <c r="HG201" s="35"/>
      <c r="HH201" s="35"/>
      <c r="HI201" s="35"/>
      <c r="HJ201" s="35"/>
      <c r="HK201" s="35"/>
      <c r="HL201" s="35"/>
      <c r="HM201" s="35"/>
      <c r="HN201" s="35"/>
      <c r="HO201" s="35"/>
      <c r="HP201" s="35"/>
      <c r="HQ201" s="35"/>
      <c r="HR201" s="35"/>
      <c r="HS201" s="35"/>
      <c r="HT201" s="35"/>
      <c r="HU201" s="35"/>
      <c r="HV201" s="35"/>
      <c r="HW201" s="35"/>
      <c r="HX201" s="35"/>
      <c r="HY201" s="35"/>
      <c r="HZ201" s="35"/>
      <c r="IA201" s="35"/>
      <c r="IB201" s="35"/>
      <c r="IC201" s="35"/>
      <c r="ID201" s="35"/>
      <c r="IE201" s="35"/>
      <c r="IF201" s="35"/>
      <c r="IG201" s="35"/>
      <c r="IH201" s="35"/>
      <c r="II201" s="35"/>
      <c r="IJ201" s="35"/>
      <c r="IK201" s="35"/>
      <c r="IL201" s="35"/>
      <c r="IM201" s="35"/>
      <c r="IN201" s="35"/>
      <c r="IO201" s="35"/>
      <c r="IP201" s="35"/>
      <c r="IQ201" s="35"/>
      <c r="IR201" s="35"/>
      <c r="IS201" s="35"/>
      <c r="IT201" s="35"/>
      <c r="IU201" s="35"/>
      <c r="IV201" s="35"/>
      <c r="IW201" s="35"/>
      <c r="IX201" s="35"/>
      <c r="IY201" s="35"/>
      <c r="IZ201" s="35"/>
      <c r="JA201" s="35"/>
      <c r="JB201" s="35"/>
      <c r="JC201" s="35"/>
      <c r="JD201" s="35"/>
      <c r="JE201" s="35"/>
    </row>
    <row r="202">
      <c r="A202" s="42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35"/>
      <c r="DC202" s="35"/>
      <c r="DD202" s="35"/>
      <c r="DE202" s="35"/>
      <c r="DF202" s="35"/>
      <c r="DG202" s="35"/>
      <c r="DH202" s="35"/>
      <c r="DI202" s="35"/>
      <c r="DJ202" s="35"/>
      <c r="DK202" s="35"/>
      <c r="DL202" s="35"/>
      <c r="DM202" s="35"/>
      <c r="DN202" s="35"/>
      <c r="DO202" s="35"/>
      <c r="DP202" s="35"/>
      <c r="DQ202" s="35"/>
      <c r="DR202" s="35"/>
      <c r="DS202" s="35"/>
      <c r="DT202" s="35"/>
      <c r="DU202" s="35"/>
      <c r="DV202" s="35"/>
      <c r="DW202" s="35"/>
      <c r="DX202" s="35"/>
      <c r="DY202" s="35"/>
      <c r="DZ202" s="35"/>
      <c r="EA202" s="35"/>
      <c r="EB202" s="35"/>
      <c r="EC202" s="35"/>
      <c r="ED202" s="35"/>
      <c r="EE202" s="35"/>
      <c r="EF202" s="35"/>
      <c r="EG202" s="35"/>
      <c r="EH202" s="35"/>
      <c r="EI202" s="35"/>
      <c r="EJ202" s="35"/>
      <c r="EK202" s="35"/>
      <c r="EL202" s="35"/>
      <c r="EM202" s="35"/>
      <c r="EN202" s="35"/>
      <c r="EO202" s="35"/>
      <c r="EP202" s="35"/>
      <c r="EQ202" s="35"/>
      <c r="ER202" s="35"/>
      <c r="ES202" s="35"/>
      <c r="ET202" s="35"/>
      <c r="EU202" s="35"/>
      <c r="EV202" s="35"/>
      <c r="EW202" s="35"/>
      <c r="EX202" s="35"/>
      <c r="EY202" s="35"/>
      <c r="EZ202" s="35"/>
      <c r="FA202" s="35"/>
      <c r="FB202" s="35"/>
      <c r="FC202" s="35"/>
      <c r="FD202" s="35"/>
      <c r="FE202" s="35"/>
      <c r="FF202" s="35"/>
      <c r="FG202" s="35"/>
      <c r="FH202" s="35"/>
      <c r="FI202" s="35"/>
      <c r="FJ202" s="35"/>
      <c r="FK202" s="35"/>
      <c r="FL202" s="35"/>
      <c r="FM202" s="35"/>
      <c r="FN202" s="35"/>
      <c r="FO202" s="35"/>
      <c r="FP202" s="35"/>
      <c r="FQ202" s="35"/>
      <c r="FR202" s="35"/>
      <c r="FS202" s="35"/>
      <c r="FT202" s="35"/>
      <c r="FU202" s="35"/>
      <c r="FV202" s="35"/>
      <c r="FW202" s="35"/>
      <c r="FX202" s="35"/>
      <c r="FY202" s="35"/>
      <c r="FZ202" s="35"/>
      <c r="GA202" s="35"/>
      <c r="GB202" s="35"/>
      <c r="GC202" s="35"/>
      <c r="GD202" s="35"/>
      <c r="GE202" s="35"/>
      <c r="GF202" s="35"/>
      <c r="GG202" s="35"/>
      <c r="GH202" s="35"/>
      <c r="GI202" s="35"/>
      <c r="GJ202" s="35"/>
      <c r="GK202" s="35"/>
      <c r="GL202" s="35"/>
      <c r="GM202" s="35"/>
      <c r="GN202" s="35"/>
      <c r="GO202" s="35"/>
      <c r="GP202" s="35"/>
      <c r="GQ202" s="35"/>
      <c r="GR202" s="35"/>
      <c r="GS202" s="35"/>
      <c r="GT202" s="35"/>
      <c r="GU202" s="35"/>
      <c r="GV202" s="35"/>
      <c r="GW202" s="35"/>
      <c r="GX202" s="35"/>
      <c r="GY202" s="35"/>
      <c r="GZ202" s="35"/>
      <c r="HA202" s="35"/>
      <c r="HB202" s="35"/>
      <c r="HC202" s="35"/>
      <c r="HD202" s="35"/>
      <c r="HE202" s="35"/>
      <c r="HF202" s="35"/>
      <c r="HG202" s="35"/>
      <c r="HH202" s="35"/>
      <c r="HI202" s="35"/>
      <c r="HJ202" s="35"/>
      <c r="HK202" s="35"/>
      <c r="HL202" s="35"/>
      <c r="HM202" s="35"/>
      <c r="HN202" s="35"/>
      <c r="HO202" s="35"/>
      <c r="HP202" s="35"/>
      <c r="HQ202" s="35"/>
      <c r="HR202" s="35"/>
      <c r="HS202" s="35"/>
      <c r="HT202" s="35"/>
      <c r="HU202" s="35"/>
      <c r="HV202" s="35"/>
      <c r="HW202" s="35"/>
      <c r="HX202" s="35"/>
      <c r="HY202" s="35"/>
      <c r="HZ202" s="35"/>
      <c r="IA202" s="35"/>
      <c r="IB202" s="35"/>
      <c r="IC202" s="35"/>
      <c r="ID202" s="35"/>
      <c r="IE202" s="35"/>
      <c r="IF202" s="35"/>
      <c r="IG202" s="35"/>
      <c r="IH202" s="35"/>
      <c r="II202" s="35"/>
      <c r="IJ202" s="35"/>
      <c r="IK202" s="35"/>
      <c r="IL202" s="35"/>
      <c r="IM202" s="35"/>
      <c r="IN202" s="35"/>
      <c r="IO202" s="35"/>
      <c r="IP202" s="35"/>
      <c r="IQ202" s="35"/>
      <c r="IR202" s="35"/>
      <c r="IS202" s="35"/>
      <c r="IT202" s="35"/>
      <c r="IU202" s="35"/>
      <c r="IV202" s="35"/>
      <c r="IW202" s="35"/>
      <c r="IX202" s="35"/>
      <c r="IY202" s="35"/>
      <c r="IZ202" s="35"/>
      <c r="JA202" s="35"/>
      <c r="JB202" s="35"/>
      <c r="JC202" s="35"/>
      <c r="JD202" s="35"/>
      <c r="JE202" s="35"/>
    </row>
    <row r="203">
      <c r="A203" s="42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  <c r="CB203" s="35"/>
      <c r="CC203" s="35"/>
      <c r="CD203" s="35"/>
      <c r="CE203" s="35"/>
      <c r="CF203" s="35"/>
      <c r="CG203" s="35"/>
      <c r="CH203" s="35"/>
      <c r="CI203" s="35"/>
      <c r="CJ203" s="35"/>
      <c r="CK203" s="35"/>
      <c r="CL203" s="35"/>
      <c r="CM203" s="35"/>
      <c r="CN203" s="35"/>
      <c r="CO203" s="35"/>
      <c r="CP203" s="35"/>
      <c r="CQ203" s="35"/>
      <c r="CR203" s="35"/>
      <c r="CS203" s="35"/>
      <c r="CT203" s="35"/>
      <c r="CU203" s="35"/>
      <c r="CV203" s="35"/>
      <c r="CW203" s="35"/>
      <c r="CX203" s="35"/>
      <c r="CY203" s="35"/>
      <c r="CZ203" s="35"/>
      <c r="DA203" s="35"/>
      <c r="DB203" s="35"/>
      <c r="DC203" s="35"/>
      <c r="DD203" s="35"/>
      <c r="DE203" s="35"/>
      <c r="DF203" s="35"/>
      <c r="DG203" s="35"/>
      <c r="DH203" s="35"/>
      <c r="DI203" s="35"/>
      <c r="DJ203" s="35"/>
      <c r="DK203" s="35"/>
      <c r="DL203" s="35"/>
      <c r="DM203" s="35"/>
      <c r="DN203" s="35"/>
      <c r="DO203" s="35"/>
      <c r="DP203" s="35"/>
      <c r="DQ203" s="35"/>
      <c r="DR203" s="35"/>
      <c r="DS203" s="35"/>
      <c r="DT203" s="35"/>
      <c r="DU203" s="35"/>
      <c r="DV203" s="35"/>
      <c r="DW203" s="35"/>
      <c r="DX203" s="35"/>
      <c r="DY203" s="35"/>
      <c r="DZ203" s="35"/>
      <c r="EA203" s="35"/>
      <c r="EB203" s="35"/>
      <c r="EC203" s="35"/>
      <c r="ED203" s="35"/>
      <c r="EE203" s="35"/>
      <c r="EF203" s="35"/>
      <c r="EG203" s="35"/>
      <c r="EH203" s="35"/>
      <c r="EI203" s="35"/>
      <c r="EJ203" s="35"/>
      <c r="EK203" s="35"/>
      <c r="EL203" s="35"/>
      <c r="EM203" s="35"/>
      <c r="EN203" s="35"/>
      <c r="EO203" s="35"/>
      <c r="EP203" s="35"/>
      <c r="EQ203" s="35"/>
      <c r="ER203" s="35"/>
      <c r="ES203" s="35"/>
      <c r="ET203" s="35"/>
      <c r="EU203" s="35"/>
      <c r="EV203" s="35"/>
      <c r="EW203" s="35"/>
      <c r="EX203" s="35"/>
      <c r="EY203" s="35"/>
      <c r="EZ203" s="35"/>
      <c r="FA203" s="35"/>
      <c r="FB203" s="35"/>
      <c r="FC203" s="35"/>
      <c r="FD203" s="35"/>
      <c r="FE203" s="35"/>
      <c r="FF203" s="35"/>
      <c r="FG203" s="35"/>
      <c r="FH203" s="35"/>
      <c r="FI203" s="35"/>
      <c r="FJ203" s="35"/>
      <c r="FK203" s="35"/>
      <c r="FL203" s="35"/>
      <c r="FM203" s="35"/>
      <c r="FN203" s="35"/>
      <c r="FO203" s="35"/>
      <c r="FP203" s="35"/>
      <c r="FQ203" s="35"/>
      <c r="FR203" s="35"/>
      <c r="FS203" s="35"/>
      <c r="FT203" s="35"/>
      <c r="FU203" s="35"/>
      <c r="FV203" s="35"/>
      <c r="FW203" s="35"/>
      <c r="FX203" s="35"/>
      <c r="FY203" s="35"/>
      <c r="FZ203" s="35"/>
      <c r="GA203" s="35"/>
      <c r="GB203" s="35"/>
      <c r="GC203" s="35"/>
      <c r="GD203" s="35"/>
      <c r="GE203" s="35"/>
      <c r="GF203" s="35"/>
      <c r="GG203" s="35"/>
      <c r="GH203" s="35"/>
      <c r="GI203" s="35"/>
      <c r="GJ203" s="35"/>
      <c r="GK203" s="35"/>
      <c r="GL203" s="35"/>
      <c r="GM203" s="35"/>
      <c r="GN203" s="35"/>
      <c r="GO203" s="35"/>
      <c r="GP203" s="35"/>
      <c r="GQ203" s="35"/>
      <c r="GR203" s="35"/>
      <c r="GS203" s="35"/>
      <c r="GT203" s="35"/>
      <c r="GU203" s="35"/>
      <c r="GV203" s="35"/>
      <c r="GW203" s="35"/>
      <c r="GX203" s="35"/>
      <c r="GY203" s="35"/>
      <c r="GZ203" s="35"/>
      <c r="HA203" s="35"/>
      <c r="HB203" s="35"/>
      <c r="HC203" s="35"/>
      <c r="HD203" s="35"/>
      <c r="HE203" s="35"/>
      <c r="HF203" s="35"/>
      <c r="HG203" s="35"/>
      <c r="HH203" s="35"/>
      <c r="HI203" s="35"/>
      <c r="HJ203" s="35"/>
      <c r="HK203" s="35"/>
      <c r="HL203" s="35"/>
      <c r="HM203" s="35"/>
      <c r="HN203" s="35"/>
      <c r="HO203" s="35"/>
      <c r="HP203" s="35"/>
      <c r="HQ203" s="35"/>
      <c r="HR203" s="35"/>
      <c r="HS203" s="35"/>
      <c r="HT203" s="35"/>
      <c r="HU203" s="35"/>
      <c r="HV203" s="35"/>
      <c r="HW203" s="35"/>
      <c r="HX203" s="35"/>
      <c r="HY203" s="35"/>
      <c r="HZ203" s="35"/>
      <c r="IA203" s="35"/>
      <c r="IB203" s="35"/>
      <c r="IC203" s="35"/>
      <c r="ID203" s="35"/>
      <c r="IE203" s="35"/>
      <c r="IF203" s="35"/>
      <c r="IG203" s="35"/>
      <c r="IH203" s="35"/>
      <c r="II203" s="35"/>
      <c r="IJ203" s="35"/>
      <c r="IK203" s="35"/>
      <c r="IL203" s="35"/>
      <c r="IM203" s="35"/>
      <c r="IN203" s="35"/>
      <c r="IO203" s="35"/>
      <c r="IP203" s="35"/>
      <c r="IQ203" s="35"/>
      <c r="IR203" s="35"/>
      <c r="IS203" s="35"/>
      <c r="IT203" s="35"/>
      <c r="IU203" s="35"/>
      <c r="IV203" s="35"/>
      <c r="IW203" s="35"/>
      <c r="IX203" s="35"/>
      <c r="IY203" s="35"/>
      <c r="IZ203" s="35"/>
      <c r="JA203" s="35"/>
      <c r="JB203" s="35"/>
      <c r="JC203" s="35"/>
      <c r="JD203" s="35"/>
      <c r="JE203" s="35"/>
    </row>
    <row r="204">
      <c r="A204" s="42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  <c r="CO204" s="35"/>
      <c r="CP204" s="35"/>
      <c r="CQ204" s="35"/>
      <c r="CR204" s="35"/>
      <c r="CS204" s="35"/>
      <c r="CT204" s="35"/>
      <c r="CU204" s="35"/>
      <c r="CV204" s="35"/>
      <c r="CW204" s="35"/>
      <c r="CX204" s="35"/>
      <c r="CY204" s="35"/>
      <c r="CZ204" s="35"/>
      <c r="DA204" s="35"/>
      <c r="DB204" s="35"/>
      <c r="DC204" s="35"/>
      <c r="DD204" s="35"/>
      <c r="DE204" s="35"/>
      <c r="DF204" s="35"/>
      <c r="DG204" s="35"/>
      <c r="DH204" s="35"/>
      <c r="DI204" s="35"/>
      <c r="DJ204" s="35"/>
      <c r="DK204" s="35"/>
      <c r="DL204" s="35"/>
      <c r="DM204" s="35"/>
      <c r="DN204" s="35"/>
      <c r="DO204" s="35"/>
      <c r="DP204" s="35"/>
      <c r="DQ204" s="35"/>
      <c r="DR204" s="35"/>
      <c r="DS204" s="35"/>
      <c r="DT204" s="35"/>
      <c r="DU204" s="35"/>
      <c r="DV204" s="35"/>
      <c r="DW204" s="35"/>
      <c r="DX204" s="35"/>
      <c r="DY204" s="35"/>
      <c r="DZ204" s="35"/>
      <c r="EA204" s="35"/>
      <c r="EB204" s="35"/>
      <c r="EC204" s="35"/>
      <c r="ED204" s="35"/>
      <c r="EE204" s="35"/>
      <c r="EF204" s="35"/>
      <c r="EG204" s="35"/>
      <c r="EH204" s="35"/>
      <c r="EI204" s="35"/>
      <c r="EJ204" s="35"/>
      <c r="EK204" s="35"/>
      <c r="EL204" s="35"/>
      <c r="EM204" s="35"/>
      <c r="EN204" s="35"/>
      <c r="EO204" s="35"/>
      <c r="EP204" s="35"/>
      <c r="EQ204" s="35"/>
      <c r="ER204" s="35"/>
      <c r="ES204" s="35"/>
      <c r="ET204" s="35"/>
      <c r="EU204" s="35"/>
      <c r="EV204" s="35"/>
      <c r="EW204" s="35"/>
      <c r="EX204" s="35"/>
      <c r="EY204" s="35"/>
      <c r="EZ204" s="35"/>
      <c r="FA204" s="35"/>
      <c r="FB204" s="35"/>
      <c r="FC204" s="35"/>
      <c r="FD204" s="35"/>
      <c r="FE204" s="35"/>
      <c r="FF204" s="35"/>
      <c r="FG204" s="35"/>
      <c r="FH204" s="35"/>
      <c r="FI204" s="35"/>
      <c r="FJ204" s="35"/>
      <c r="FK204" s="35"/>
      <c r="FL204" s="35"/>
      <c r="FM204" s="35"/>
      <c r="FN204" s="35"/>
      <c r="FO204" s="35"/>
      <c r="FP204" s="35"/>
      <c r="FQ204" s="35"/>
      <c r="FR204" s="35"/>
      <c r="FS204" s="35"/>
      <c r="FT204" s="35"/>
      <c r="FU204" s="35"/>
      <c r="FV204" s="35"/>
      <c r="FW204" s="35"/>
      <c r="FX204" s="35"/>
      <c r="FY204" s="35"/>
      <c r="FZ204" s="35"/>
      <c r="GA204" s="35"/>
      <c r="GB204" s="35"/>
      <c r="GC204" s="35"/>
      <c r="GD204" s="35"/>
      <c r="GE204" s="35"/>
      <c r="GF204" s="35"/>
      <c r="GG204" s="35"/>
      <c r="GH204" s="35"/>
      <c r="GI204" s="35"/>
      <c r="GJ204" s="35"/>
      <c r="GK204" s="35"/>
      <c r="GL204" s="35"/>
      <c r="GM204" s="35"/>
      <c r="GN204" s="35"/>
      <c r="GO204" s="35"/>
      <c r="GP204" s="35"/>
      <c r="GQ204" s="35"/>
      <c r="GR204" s="35"/>
      <c r="GS204" s="35"/>
      <c r="GT204" s="35"/>
      <c r="GU204" s="35"/>
      <c r="GV204" s="35"/>
      <c r="GW204" s="35"/>
      <c r="GX204" s="35"/>
      <c r="GY204" s="35"/>
      <c r="GZ204" s="35"/>
      <c r="HA204" s="35"/>
      <c r="HB204" s="35"/>
      <c r="HC204" s="35"/>
      <c r="HD204" s="35"/>
      <c r="HE204" s="35"/>
      <c r="HF204" s="35"/>
      <c r="HG204" s="35"/>
      <c r="HH204" s="35"/>
      <c r="HI204" s="35"/>
      <c r="HJ204" s="35"/>
      <c r="HK204" s="35"/>
      <c r="HL204" s="35"/>
      <c r="HM204" s="35"/>
      <c r="HN204" s="35"/>
      <c r="HO204" s="35"/>
      <c r="HP204" s="35"/>
      <c r="HQ204" s="35"/>
      <c r="HR204" s="35"/>
      <c r="HS204" s="35"/>
      <c r="HT204" s="35"/>
      <c r="HU204" s="35"/>
      <c r="HV204" s="35"/>
      <c r="HW204" s="35"/>
      <c r="HX204" s="35"/>
      <c r="HY204" s="35"/>
      <c r="HZ204" s="35"/>
      <c r="IA204" s="35"/>
      <c r="IB204" s="35"/>
      <c r="IC204" s="35"/>
      <c r="ID204" s="35"/>
      <c r="IE204" s="35"/>
      <c r="IF204" s="35"/>
      <c r="IG204" s="35"/>
      <c r="IH204" s="35"/>
      <c r="II204" s="35"/>
      <c r="IJ204" s="35"/>
      <c r="IK204" s="35"/>
      <c r="IL204" s="35"/>
      <c r="IM204" s="35"/>
      <c r="IN204" s="35"/>
      <c r="IO204" s="35"/>
      <c r="IP204" s="35"/>
      <c r="IQ204" s="35"/>
      <c r="IR204" s="35"/>
      <c r="IS204" s="35"/>
      <c r="IT204" s="35"/>
      <c r="IU204" s="35"/>
      <c r="IV204" s="35"/>
      <c r="IW204" s="35"/>
      <c r="IX204" s="35"/>
      <c r="IY204" s="35"/>
      <c r="IZ204" s="35"/>
      <c r="JA204" s="35"/>
      <c r="JB204" s="35"/>
      <c r="JC204" s="35"/>
      <c r="JD204" s="35"/>
      <c r="JE204" s="35"/>
    </row>
    <row r="205">
      <c r="A205" s="42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35"/>
      <c r="BZ205" s="35"/>
      <c r="CA205" s="35"/>
      <c r="CB205" s="35"/>
      <c r="CC205" s="35"/>
      <c r="CD205" s="35"/>
      <c r="CE205" s="35"/>
      <c r="CF205" s="35"/>
      <c r="CG205" s="35"/>
      <c r="CH205" s="35"/>
      <c r="CI205" s="35"/>
      <c r="CJ205" s="35"/>
      <c r="CK205" s="35"/>
      <c r="CL205" s="35"/>
      <c r="CM205" s="35"/>
      <c r="CN205" s="35"/>
      <c r="CO205" s="35"/>
      <c r="CP205" s="35"/>
      <c r="CQ205" s="35"/>
      <c r="CR205" s="35"/>
      <c r="CS205" s="35"/>
      <c r="CT205" s="35"/>
      <c r="CU205" s="35"/>
      <c r="CV205" s="35"/>
      <c r="CW205" s="35"/>
      <c r="CX205" s="35"/>
      <c r="CY205" s="35"/>
      <c r="CZ205" s="35"/>
      <c r="DA205" s="35"/>
      <c r="DB205" s="35"/>
      <c r="DC205" s="35"/>
      <c r="DD205" s="35"/>
      <c r="DE205" s="35"/>
      <c r="DF205" s="35"/>
      <c r="DG205" s="35"/>
      <c r="DH205" s="35"/>
      <c r="DI205" s="35"/>
      <c r="DJ205" s="35"/>
      <c r="DK205" s="35"/>
      <c r="DL205" s="35"/>
      <c r="DM205" s="35"/>
      <c r="DN205" s="35"/>
      <c r="DO205" s="35"/>
      <c r="DP205" s="35"/>
      <c r="DQ205" s="35"/>
      <c r="DR205" s="35"/>
      <c r="DS205" s="35"/>
      <c r="DT205" s="35"/>
      <c r="DU205" s="35"/>
      <c r="DV205" s="35"/>
      <c r="DW205" s="35"/>
      <c r="DX205" s="35"/>
      <c r="DY205" s="35"/>
      <c r="DZ205" s="35"/>
      <c r="EA205" s="35"/>
      <c r="EB205" s="35"/>
      <c r="EC205" s="35"/>
      <c r="ED205" s="35"/>
      <c r="EE205" s="35"/>
      <c r="EF205" s="35"/>
      <c r="EG205" s="35"/>
      <c r="EH205" s="35"/>
      <c r="EI205" s="35"/>
      <c r="EJ205" s="35"/>
      <c r="EK205" s="35"/>
      <c r="EL205" s="35"/>
      <c r="EM205" s="35"/>
      <c r="EN205" s="35"/>
      <c r="EO205" s="35"/>
      <c r="EP205" s="35"/>
      <c r="EQ205" s="35"/>
      <c r="ER205" s="35"/>
      <c r="ES205" s="35"/>
      <c r="ET205" s="35"/>
      <c r="EU205" s="35"/>
      <c r="EV205" s="35"/>
      <c r="EW205" s="35"/>
      <c r="EX205" s="35"/>
      <c r="EY205" s="35"/>
      <c r="EZ205" s="35"/>
      <c r="FA205" s="35"/>
      <c r="FB205" s="35"/>
      <c r="FC205" s="35"/>
      <c r="FD205" s="35"/>
      <c r="FE205" s="35"/>
      <c r="FF205" s="35"/>
      <c r="FG205" s="35"/>
      <c r="FH205" s="35"/>
      <c r="FI205" s="35"/>
      <c r="FJ205" s="35"/>
      <c r="FK205" s="35"/>
      <c r="FL205" s="35"/>
      <c r="FM205" s="35"/>
      <c r="FN205" s="35"/>
      <c r="FO205" s="35"/>
      <c r="FP205" s="35"/>
      <c r="FQ205" s="35"/>
      <c r="FR205" s="35"/>
      <c r="FS205" s="35"/>
      <c r="FT205" s="35"/>
      <c r="FU205" s="35"/>
      <c r="FV205" s="35"/>
      <c r="FW205" s="35"/>
      <c r="FX205" s="35"/>
      <c r="FY205" s="35"/>
      <c r="FZ205" s="35"/>
      <c r="GA205" s="35"/>
      <c r="GB205" s="35"/>
      <c r="GC205" s="35"/>
      <c r="GD205" s="35"/>
      <c r="GE205" s="35"/>
      <c r="GF205" s="35"/>
      <c r="GG205" s="35"/>
      <c r="GH205" s="35"/>
      <c r="GI205" s="35"/>
      <c r="GJ205" s="35"/>
      <c r="GK205" s="35"/>
      <c r="GL205" s="35"/>
      <c r="GM205" s="35"/>
      <c r="GN205" s="35"/>
      <c r="GO205" s="35"/>
      <c r="GP205" s="35"/>
      <c r="GQ205" s="35"/>
      <c r="GR205" s="35"/>
      <c r="GS205" s="35"/>
      <c r="GT205" s="35"/>
      <c r="GU205" s="35"/>
      <c r="GV205" s="35"/>
      <c r="GW205" s="35"/>
      <c r="GX205" s="35"/>
      <c r="GY205" s="35"/>
      <c r="GZ205" s="35"/>
      <c r="HA205" s="35"/>
      <c r="HB205" s="35"/>
      <c r="HC205" s="35"/>
      <c r="HD205" s="35"/>
      <c r="HE205" s="35"/>
      <c r="HF205" s="35"/>
      <c r="HG205" s="35"/>
      <c r="HH205" s="35"/>
      <c r="HI205" s="35"/>
      <c r="HJ205" s="35"/>
      <c r="HK205" s="35"/>
      <c r="HL205" s="35"/>
      <c r="HM205" s="35"/>
      <c r="HN205" s="35"/>
      <c r="HO205" s="35"/>
      <c r="HP205" s="35"/>
      <c r="HQ205" s="35"/>
      <c r="HR205" s="35"/>
      <c r="HS205" s="35"/>
      <c r="HT205" s="35"/>
      <c r="HU205" s="35"/>
      <c r="HV205" s="35"/>
      <c r="HW205" s="35"/>
      <c r="HX205" s="35"/>
      <c r="HY205" s="35"/>
      <c r="HZ205" s="35"/>
      <c r="IA205" s="35"/>
      <c r="IB205" s="35"/>
      <c r="IC205" s="35"/>
      <c r="ID205" s="35"/>
      <c r="IE205" s="35"/>
      <c r="IF205" s="35"/>
      <c r="IG205" s="35"/>
      <c r="IH205" s="35"/>
      <c r="II205" s="35"/>
      <c r="IJ205" s="35"/>
      <c r="IK205" s="35"/>
      <c r="IL205" s="35"/>
      <c r="IM205" s="35"/>
      <c r="IN205" s="35"/>
      <c r="IO205" s="35"/>
      <c r="IP205" s="35"/>
      <c r="IQ205" s="35"/>
      <c r="IR205" s="35"/>
      <c r="IS205" s="35"/>
      <c r="IT205" s="35"/>
      <c r="IU205" s="35"/>
      <c r="IV205" s="35"/>
      <c r="IW205" s="35"/>
      <c r="IX205" s="35"/>
      <c r="IY205" s="35"/>
      <c r="IZ205" s="35"/>
      <c r="JA205" s="35"/>
      <c r="JB205" s="35"/>
      <c r="JC205" s="35"/>
      <c r="JD205" s="35"/>
      <c r="JE205" s="35"/>
    </row>
    <row r="206">
      <c r="A206" s="42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  <c r="DL206" s="35"/>
      <c r="DM206" s="35"/>
      <c r="DN206" s="35"/>
      <c r="DO206" s="35"/>
      <c r="DP206" s="35"/>
      <c r="DQ206" s="35"/>
      <c r="DR206" s="35"/>
      <c r="DS206" s="35"/>
      <c r="DT206" s="35"/>
      <c r="DU206" s="35"/>
      <c r="DV206" s="35"/>
      <c r="DW206" s="35"/>
      <c r="DX206" s="35"/>
      <c r="DY206" s="35"/>
      <c r="DZ206" s="35"/>
      <c r="EA206" s="35"/>
      <c r="EB206" s="35"/>
      <c r="EC206" s="35"/>
      <c r="ED206" s="35"/>
      <c r="EE206" s="35"/>
      <c r="EF206" s="35"/>
      <c r="EG206" s="35"/>
      <c r="EH206" s="35"/>
      <c r="EI206" s="35"/>
      <c r="EJ206" s="35"/>
      <c r="EK206" s="35"/>
      <c r="EL206" s="35"/>
      <c r="EM206" s="35"/>
      <c r="EN206" s="35"/>
      <c r="EO206" s="35"/>
      <c r="EP206" s="35"/>
      <c r="EQ206" s="35"/>
      <c r="ER206" s="35"/>
      <c r="ES206" s="35"/>
      <c r="ET206" s="35"/>
      <c r="EU206" s="35"/>
      <c r="EV206" s="35"/>
      <c r="EW206" s="35"/>
      <c r="EX206" s="35"/>
      <c r="EY206" s="35"/>
      <c r="EZ206" s="35"/>
      <c r="FA206" s="35"/>
      <c r="FB206" s="35"/>
      <c r="FC206" s="35"/>
      <c r="FD206" s="35"/>
      <c r="FE206" s="35"/>
      <c r="FF206" s="35"/>
      <c r="FG206" s="35"/>
      <c r="FH206" s="35"/>
      <c r="FI206" s="35"/>
      <c r="FJ206" s="35"/>
      <c r="FK206" s="35"/>
      <c r="FL206" s="35"/>
      <c r="FM206" s="35"/>
      <c r="FN206" s="35"/>
      <c r="FO206" s="35"/>
      <c r="FP206" s="35"/>
      <c r="FQ206" s="35"/>
      <c r="FR206" s="35"/>
      <c r="FS206" s="35"/>
      <c r="FT206" s="35"/>
      <c r="FU206" s="35"/>
      <c r="FV206" s="35"/>
      <c r="FW206" s="35"/>
      <c r="FX206" s="35"/>
      <c r="FY206" s="35"/>
      <c r="FZ206" s="35"/>
      <c r="GA206" s="35"/>
      <c r="GB206" s="35"/>
      <c r="GC206" s="35"/>
      <c r="GD206" s="35"/>
      <c r="GE206" s="35"/>
      <c r="GF206" s="35"/>
      <c r="GG206" s="35"/>
      <c r="GH206" s="35"/>
      <c r="GI206" s="35"/>
      <c r="GJ206" s="35"/>
      <c r="GK206" s="35"/>
      <c r="GL206" s="35"/>
      <c r="GM206" s="35"/>
      <c r="GN206" s="35"/>
      <c r="GO206" s="35"/>
      <c r="GP206" s="35"/>
      <c r="GQ206" s="35"/>
      <c r="GR206" s="35"/>
      <c r="GS206" s="35"/>
      <c r="GT206" s="35"/>
      <c r="GU206" s="35"/>
      <c r="GV206" s="35"/>
      <c r="GW206" s="35"/>
      <c r="GX206" s="35"/>
      <c r="GY206" s="35"/>
      <c r="GZ206" s="35"/>
      <c r="HA206" s="35"/>
      <c r="HB206" s="35"/>
      <c r="HC206" s="35"/>
      <c r="HD206" s="35"/>
      <c r="HE206" s="35"/>
      <c r="HF206" s="35"/>
      <c r="HG206" s="35"/>
      <c r="HH206" s="35"/>
      <c r="HI206" s="35"/>
      <c r="HJ206" s="35"/>
      <c r="HK206" s="35"/>
      <c r="HL206" s="35"/>
      <c r="HM206" s="35"/>
      <c r="HN206" s="35"/>
      <c r="HO206" s="35"/>
      <c r="HP206" s="35"/>
      <c r="HQ206" s="35"/>
      <c r="HR206" s="35"/>
      <c r="HS206" s="35"/>
      <c r="HT206" s="35"/>
      <c r="HU206" s="35"/>
      <c r="HV206" s="35"/>
      <c r="HW206" s="35"/>
      <c r="HX206" s="35"/>
      <c r="HY206" s="35"/>
      <c r="HZ206" s="35"/>
      <c r="IA206" s="35"/>
      <c r="IB206" s="35"/>
      <c r="IC206" s="35"/>
      <c r="ID206" s="35"/>
      <c r="IE206" s="35"/>
      <c r="IF206" s="35"/>
      <c r="IG206" s="35"/>
      <c r="IH206" s="35"/>
      <c r="II206" s="35"/>
      <c r="IJ206" s="35"/>
      <c r="IK206" s="35"/>
      <c r="IL206" s="35"/>
      <c r="IM206" s="35"/>
      <c r="IN206" s="35"/>
      <c r="IO206" s="35"/>
      <c r="IP206" s="35"/>
      <c r="IQ206" s="35"/>
      <c r="IR206" s="35"/>
      <c r="IS206" s="35"/>
      <c r="IT206" s="35"/>
      <c r="IU206" s="35"/>
      <c r="IV206" s="35"/>
      <c r="IW206" s="35"/>
      <c r="IX206" s="35"/>
      <c r="IY206" s="35"/>
      <c r="IZ206" s="35"/>
      <c r="JA206" s="35"/>
      <c r="JB206" s="35"/>
      <c r="JC206" s="35"/>
      <c r="JD206" s="35"/>
      <c r="JE206" s="35"/>
    </row>
    <row r="207">
      <c r="A207" s="42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35"/>
      <c r="CE207" s="35"/>
      <c r="CF207" s="35"/>
      <c r="CG207" s="35"/>
      <c r="CH207" s="35"/>
      <c r="CI207" s="35"/>
      <c r="CJ207" s="35"/>
      <c r="CK207" s="35"/>
      <c r="CL207" s="35"/>
      <c r="CM207" s="35"/>
      <c r="CN207" s="35"/>
      <c r="CO207" s="35"/>
      <c r="CP207" s="35"/>
      <c r="CQ207" s="35"/>
      <c r="CR207" s="35"/>
      <c r="CS207" s="35"/>
      <c r="CT207" s="35"/>
      <c r="CU207" s="35"/>
      <c r="CV207" s="35"/>
      <c r="CW207" s="35"/>
      <c r="CX207" s="35"/>
      <c r="CY207" s="35"/>
      <c r="CZ207" s="35"/>
      <c r="DA207" s="35"/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  <c r="DL207" s="35"/>
      <c r="DM207" s="35"/>
      <c r="DN207" s="35"/>
      <c r="DO207" s="35"/>
      <c r="DP207" s="35"/>
      <c r="DQ207" s="35"/>
      <c r="DR207" s="35"/>
      <c r="DS207" s="35"/>
      <c r="DT207" s="35"/>
      <c r="DU207" s="35"/>
      <c r="DV207" s="35"/>
      <c r="DW207" s="35"/>
      <c r="DX207" s="35"/>
      <c r="DY207" s="35"/>
      <c r="DZ207" s="35"/>
      <c r="EA207" s="35"/>
      <c r="EB207" s="35"/>
      <c r="EC207" s="35"/>
      <c r="ED207" s="35"/>
      <c r="EE207" s="35"/>
      <c r="EF207" s="35"/>
      <c r="EG207" s="35"/>
      <c r="EH207" s="35"/>
      <c r="EI207" s="35"/>
      <c r="EJ207" s="35"/>
      <c r="EK207" s="35"/>
      <c r="EL207" s="35"/>
      <c r="EM207" s="35"/>
      <c r="EN207" s="35"/>
      <c r="EO207" s="35"/>
      <c r="EP207" s="35"/>
      <c r="EQ207" s="35"/>
      <c r="ER207" s="35"/>
      <c r="ES207" s="35"/>
      <c r="ET207" s="35"/>
      <c r="EU207" s="35"/>
      <c r="EV207" s="35"/>
      <c r="EW207" s="35"/>
      <c r="EX207" s="35"/>
      <c r="EY207" s="35"/>
      <c r="EZ207" s="35"/>
      <c r="FA207" s="35"/>
      <c r="FB207" s="35"/>
      <c r="FC207" s="35"/>
      <c r="FD207" s="35"/>
      <c r="FE207" s="35"/>
      <c r="FF207" s="35"/>
      <c r="FG207" s="35"/>
      <c r="FH207" s="35"/>
      <c r="FI207" s="35"/>
      <c r="FJ207" s="35"/>
      <c r="FK207" s="35"/>
      <c r="FL207" s="35"/>
      <c r="FM207" s="35"/>
      <c r="FN207" s="35"/>
      <c r="FO207" s="35"/>
      <c r="FP207" s="35"/>
      <c r="FQ207" s="35"/>
      <c r="FR207" s="35"/>
      <c r="FS207" s="35"/>
      <c r="FT207" s="35"/>
      <c r="FU207" s="35"/>
      <c r="FV207" s="35"/>
      <c r="FW207" s="35"/>
      <c r="FX207" s="35"/>
      <c r="FY207" s="35"/>
      <c r="FZ207" s="35"/>
      <c r="GA207" s="35"/>
      <c r="GB207" s="35"/>
      <c r="GC207" s="35"/>
      <c r="GD207" s="35"/>
      <c r="GE207" s="35"/>
      <c r="GF207" s="35"/>
      <c r="GG207" s="35"/>
      <c r="GH207" s="35"/>
      <c r="GI207" s="35"/>
      <c r="GJ207" s="35"/>
      <c r="GK207" s="35"/>
      <c r="GL207" s="35"/>
      <c r="GM207" s="35"/>
      <c r="GN207" s="35"/>
      <c r="GO207" s="35"/>
      <c r="GP207" s="35"/>
      <c r="GQ207" s="35"/>
      <c r="GR207" s="35"/>
      <c r="GS207" s="35"/>
      <c r="GT207" s="35"/>
      <c r="GU207" s="35"/>
      <c r="GV207" s="35"/>
      <c r="GW207" s="35"/>
      <c r="GX207" s="35"/>
      <c r="GY207" s="35"/>
      <c r="GZ207" s="35"/>
      <c r="HA207" s="35"/>
      <c r="HB207" s="35"/>
      <c r="HC207" s="35"/>
      <c r="HD207" s="35"/>
      <c r="HE207" s="35"/>
      <c r="HF207" s="35"/>
      <c r="HG207" s="35"/>
      <c r="HH207" s="35"/>
      <c r="HI207" s="35"/>
      <c r="HJ207" s="35"/>
      <c r="HK207" s="35"/>
      <c r="HL207" s="35"/>
      <c r="HM207" s="35"/>
      <c r="HN207" s="35"/>
      <c r="HO207" s="35"/>
      <c r="HP207" s="35"/>
      <c r="HQ207" s="35"/>
      <c r="HR207" s="35"/>
      <c r="HS207" s="35"/>
      <c r="HT207" s="35"/>
      <c r="HU207" s="35"/>
      <c r="HV207" s="35"/>
      <c r="HW207" s="35"/>
      <c r="HX207" s="35"/>
      <c r="HY207" s="35"/>
      <c r="HZ207" s="35"/>
      <c r="IA207" s="35"/>
      <c r="IB207" s="35"/>
      <c r="IC207" s="35"/>
      <c r="ID207" s="35"/>
      <c r="IE207" s="35"/>
      <c r="IF207" s="35"/>
      <c r="IG207" s="35"/>
      <c r="IH207" s="35"/>
      <c r="II207" s="35"/>
      <c r="IJ207" s="35"/>
      <c r="IK207" s="35"/>
      <c r="IL207" s="35"/>
      <c r="IM207" s="35"/>
      <c r="IN207" s="35"/>
      <c r="IO207" s="35"/>
      <c r="IP207" s="35"/>
      <c r="IQ207" s="35"/>
      <c r="IR207" s="35"/>
      <c r="IS207" s="35"/>
      <c r="IT207" s="35"/>
      <c r="IU207" s="35"/>
      <c r="IV207" s="35"/>
      <c r="IW207" s="35"/>
      <c r="IX207" s="35"/>
      <c r="IY207" s="35"/>
      <c r="IZ207" s="35"/>
      <c r="JA207" s="35"/>
      <c r="JB207" s="35"/>
      <c r="JC207" s="35"/>
      <c r="JD207" s="35"/>
      <c r="JE207" s="35"/>
    </row>
    <row r="208">
      <c r="A208" s="42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  <c r="CD208" s="35"/>
      <c r="CE208" s="35"/>
      <c r="CF208" s="35"/>
      <c r="CG208" s="35"/>
      <c r="CH208" s="35"/>
      <c r="CI208" s="35"/>
      <c r="CJ208" s="35"/>
      <c r="CK208" s="35"/>
      <c r="CL208" s="35"/>
      <c r="CM208" s="35"/>
      <c r="CN208" s="35"/>
      <c r="CO208" s="35"/>
      <c r="CP208" s="35"/>
      <c r="CQ208" s="35"/>
      <c r="CR208" s="35"/>
      <c r="CS208" s="35"/>
      <c r="CT208" s="35"/>
      <c r="CU208" s="35"/>
      <c r="CV208" s="35"/>
      <c r="CW208" s="35"/>
      <c r="CX208" s="35"/>
      <c r="CY208" s="35"/>
      <c r="CZ208" s="35"/>
      <c r="DA208" s="35"/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  <c r="DL208" s="35"/>
      <c r="DM208" s="35"/>
      <c r="DN208" s="35"/>
      <c r="DO208" s="35"/>
      <c r="DP208" s="35"/>
      <c r="DQ208" s="35"/>
      <c r="DR208" s="35"/>
      <c r="DS208" s="35"/>
      <c r="DT208" s="35"/>
      <c r="DU208" s="35"/>
      <c r="DV208" s="35"/>
      <c r="DW208" s="35"/>
      <c r="DX208" s="35"/>
      <c r="DY208" s="35"/>
      <c r="DZ208" s="35"/>
      <c r="EA208" s="35"/>
      <c r="EB208" s="35"/>
      <c r="EC208" s="35"/>
      <c r="ED208" s="35"/>
      <c r="EE208" s="35"/>
      <c r="EF208" s="35"/>
      <c r="EG208" s="35"/>
      <c r="EH208" s="35"/>
      <c r="EI208" s="35"/>
      <c r="EJ208" s="35"/>
      <c r="EK208" s="35"/>
      <c r="EL208" s="35"/>
      <c r="EM208" s="35"/>
      <c r="EN208" s="35"/>
      <c r="EO208" s="35"/>
      <c r="EP208" s="35"/>
      <c r="EQ208" s="35"/>
      <c r="ER208" s="35"/>
      <c r="ES208" s="35"/>
      <c r="ET208" s="35"/>
      <c r="EU208" s="35"/>
      <c r="EV208" s="35"/>
      <c r="EW208" s="35"/>
      <c r="EX208" s="35"/>
      <c r="EY208" s="35"/>
      <c r="EZ208" s="35"/>
      <c r="FA208" s="35"/>
      <c r="FB208" s="35"/>
      <c r="FC208" s="35"/>
      <c r="FD208" s="35"/>
      <c r="FE208" s="35"/>
      <c r="FF208" s="35"/>
      <c r="FG208" s="35"/>
      <c r="FH208" s="35"/>
      <c r="FI208" s="35"/>
      <c r="FJ208" s="35"/>
      <c r="FK208" s="35"/>
      <c r="FL208" s="35"/>
      <c r="FM208" s="35"/>
      <c r="FN208" s="35"/>
      <c r="FO208" s="35"/>
      <c r="FP208" s="35"/>
      <c r="FQ208" s="35"/>
      <c r="FR208" s="35"/>
      <c r="FS208" s="35"/>
      <c r="FT208" s="35"/>
      <c r="FU208" s="35"/>
      <c r="FV208" s="35"/>
      <c r="FW208" s="35"/>
      <c r="FX208" s="35"/>
      <c r="FY208" s="35"/>
      <c r="FZ208" s="35"/>
      <c r="GA208" s="35"/>
      <c r="GB208" s="35"/>
      <c r="GC208" s="35"/>
      <c r="GD208" s="35"/>
      <c r="GE208" s="35"/>
      <c r="GF208" s="35"/>
      <c r="GG208" s="35"/>
      <c r="GH208" s="35"/>
      <c r="GI208" s="35"/>
      <c r="GJ208" s="35"/>
      <c r="GK208" s="35"/>
      <c r="GL208" s="35"/>
      <c r="GM208" s="35"/>
      <c r="GN208" s="35"/>
      <c r="GO208" s="35"/>
      <c r="GP208" s="35"/>
      <c r="GQ208" s="35"/>
      <c r="GR208" s="35"/>
      <c r="GS208" s="35"/>
      <c r="GT208" s="35"/>
      <c r="GU208" s="35"/>
      <c r="GV208" s="35"/>
      <c r="GW208" s="35"/>
      <c r="GX208" s="35"/>
      <c r="GY208" s="35"/>
      <c r="GZ208" s="35"/>
      <c r="HA208" s="35"/>
      <c r="HB208" s="35"/>
      <c r="HC208" s="35"/>
      <c r="HD208" s="35"/>
      <c r="HE208" s="35"/>
      <c r="HF208" s="35"/>
      <c r="HG208" s="35"/>
      <c r="HH208" s="35"/>
      <c r="HI208" s="35"/>
      <c r="HJ208" s="35"/>
      <c r="HK208" s="35"/>
      <c r="HL208" s="35"/>
      <c r="HM208" s="35"/>
      <c r="HN208" s="35"/>
      <c r="HO208" s="35"/>
      <c r="HP208" s="35"/>
      <c r="HQ208" s="35"/>
      <c r="HR208" s="35"/>
      <c r="HS208" s="35"/>
      <c r="HT208" s="35"/>
      <c r="HU208" s="35"/>
      <c r="HV208" s="35"/>
      <c r="HW208" s="35"/>
      <c r="HX208" s="35"/>
      <c r="HY208" s="35"/>
      <c r="HZ208" s="35"/>
      <c r="IA208" s="35"/>
      <c r="IB208" s="35"/>
      <c r="IC208" s="35"/>
      <c r="ID208" s="35"/>
      <c r="IE208" s="35"/>
      <c r="IF208" s="35"/>
      <c r="IG208" s="35"/>
      <c r="IH208" s="35"/>
      <c r="II208" s="35"/>
      <c r="IJ208" s="35"/>
      <c r="IK208" s="35"/>
      <c r="IL208" s="35"/>
      <c r="IM208" s="35"/>
      <c r="IN208" s="35"/>
      <c r="IO208" s="35"/>
      <c r="IP208" s="35"/>
      <c r="IQ208" s="35"/>
      <c r="IR208" s="35"/>
      <c r="IS208" s="35"/>
      <c r="IT208" s="35"/>
      <c r="IU208" s="35"/>
      <c r="IV208" s="35"/>
      <c r="IW208" s="35"/>
      <c r="IX208" s="35"/>
      <c r="IY208" s="35"/>
      <c r="IZ208" s="35"/>
      <c r="JA208" s="35"/>
      <c r="JB208" s="35"/>
      <c r="JC208" s="35"/>
      <c r="JD208" s="35"/>
      <c r="JE208" s="35"/>
    </row>
    <row r="209">
      <c r="A209" s="42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  <c r="CB209" s="35"/>
      <c r="CC209" s="35"/>
      <c r="CD209" s="35"/>
      <c r="CE209" s="35"/>
      <c r="CF209" s="35"/>
      <c r="CG209" s="35"/>
      <c r="CH209" s="35"/>
      <c r="CI209" s="35"/>
      <c r="CJ209" s="35"/>
      <c r="CK209" s="35"/>
      <c r="CL209" s="35"/>
      <c r="CM209" s="35"/>
      <c r="CN209" s="35"/>
      <c r="CO209" s="35"/>
      <c r="CP209" s="35"/>
      <c r="CQ209" s="35"/>
      <c r="CR209" s="35"/>
      <c r="CS209" s="35"/>
      <c r="CT209" s="35"/>
      <c r="CU209" s="35"/>
      <c r="CV209" s="35"/>
      <c r="CW209" s="35"/>
      <c r="CX209" s="35"/>
      <c r="CY209" s="35"/>
      <c r="CZ209" s="35"/>
      <c r="DA209" s="35"/>
      <c r="DB209" s="35"/>
      <c r="DC209" s="35"/>
      <c r="DD209" s="35"/>
      <c r="DE209" s="35"/>
      <c r="DF209" s="35"/>
      <c r="DG209" s="35"/>
      <c r="DH209" s="35"/>
      <c r="DI209" s="35"/>
      <c r="DJ209" s="35"/>
      <c r="DK209" s="35"/>
      <c r="DL209" s="35"/>
      <c r="DM209" s="35"/>
      <c r="DN209" s="35"/>
      <c r="DO209" s="35"/>
      <c r="DP209" s="35"/>
      <c r="DQ209" s="35"/>
      <c r="DR209" s="35"/>
      <c r="DS209" s="35"/>
      <c r="DT209" s="35"/>
      <c r="DU209" s="35"/>
      <c r="DV209" s="35"/>
      <c r="DW209" s="35"/>
      <c r="DX209" s="35"/>
      <c r="DY209" s="35"/>
      <c r="DZ209" s="35"/>
      <c r="EA209" s="35"/>
      <c r="EB209" s="35"/>
      <c r="EC209" s="35"/>
      <c r="ED209" s="35"/>
      <c r="EE209" s="35"/>
      <c r="EF209" s="35"/>
      <c r="EG209" s="35"/>
      <c r="EH209" s="35"/>
      <c r="EI209" s="35"/>
      <c r="EJ209" s="35"/>
      <c r="EK209" s="35"/>
      <c r="EL209" s="35"/>
      <c r="EM209" s="35"/>
      <c r="EN209" s="35"/>
      <c r="EO209" s="35"/>
      <c r="EP209" s="35"/>
      <c r="EQ209" s="35"/>
      <c r="ER209" s="35"/>
      <c r="ES209" s="35"/>
      <c r="ET209" s="35"/>
      <c r="EU209" s="35"/>
      <c r="EV209" s="35"/>
      <c r="EW209" s="35"/>
      <c r="EX209" s="35"/>
      <c r="EY209" s="35"/>
      <c r="EZ209" s="35"/>
      <c r="FA209" s="35"/>
      <c r="FB209" s="35"/>
      <c r="FC209" s="35"/>
      <c r="FD209" s="35"/>
      <c r="FE209" s="35"/>
      <c r="FF209" s="35"/>
      <c r="FG209" s="35"/>
      <c r="FH209" s="35"/>
      <c r="FI209" s="35"/>
      <c r="FJ209" s="35"/>
      <c r="FK209" s="35"/>
      <c r="FL209" s="35"/>
      <c r="FM209" s="35"/>
      <c r="FN209" s="35"/>
      <c r="FO209" s="35"/>
      <c r="FP209" s="35"/>
      <c r="FQ209" s="35"/>
      <c r="FR209" s="35"/>
      <c r="FS209" s="35"/>
      <c r="FT209" s="35"/>
      <c r="FU209" s="35"/>
      <c r="FV209" s="35"/>
      <c r="FW209" s="35"/>
      <c r="FX209" s="35"/>
      <c r="FY209" s="35"/>
      <c r="FZ209" s="35"/>
      <c r="GA209" s="35"/>
      <c r="GB209" s="35"/>
      <c r="GC209" s="35"/>
      <c r="GD209" s="35"/>
      <c r="GE209" s="35"/>
      <c r="GF209" s="35"/>
      <c r="GG209" s="35"/>
      <c r="GH209" s="35"/>
      <c r="GI209" s="35"/>
      <c r="GJ209" s="35"/>
      <c r="GK209" s="35"/>
      <c r="GL209" s="35"/>
      <c r="GM209" s="35"/>
      <c r="GN209" s="35"/>
      <c r="GO209" s="35"/>
      <c r="GP209" s="35"/>
      <c r="GQ209" s="35"/>
      <c r="GR209" s="35"/>
      <c r="GS209" s="35"/>
      <c r="GT209" s="35"/>
      <c r="GU209" s="35"/>
      <c r="GV209" s="35"/>
      <c r="GW209" s="35"/>
      <c r="GX209" s="35"/>
      <c r="GY209" s="35"/>
      <c r="GZ209" s="35"/>
      <c r="HA209" s="35"/>
      <c r="HB209" s="35"/>
      <c r="HC209" s="35"/>
      <c r="HD209" s="35"/>
      <c r="HE209" s="35"/>
      <c r="HF209" s="35"/>
      <c r="HG209" s="35"/>
      <c r="HH209" s="35"/>
      <c r="HI209" s="35"/>
      <c r="HJ209" s="35"/>
      <c r="HK209" s="35"/>
      <c r="HL209" s="35"/>
      <c r="HM209" s="35"/>
      <c r="HN209" s="35"/>
      <c r="HO209" s="35"/>
      <c r="HP209" s="35"/>
      <c r="HQ209" s="35"/>
      <c r="HR209" s="35"/>
      <c r="HS209" s="35"/>
      <c r="HT209" s="35"/>
      <c r="HU209" s="35"/>
      <c r="HV209" s="35"/>
      <c r="HW209" s="35"/>
      <c r="HX209" s="35"/>
      <c r="HY209" s="35"/>
      <c r="HZ209" s="35"/>
      <c r="IA209" s="35"/>
      <c r="IB209" s="35"/>
      <c r="IC209" s="35"/>
      <c r="ID209" s="35"/>
      <c r="IE209" s="35"/>
      <c r="IF209" s="35"/>
      <c r="IG209" s="35"/>
      <c r="IH209" s="35"/>
      <c r="II209" s="35"/>
      <c r="IJ209" s="35"/>
      <c r="IK209" s="35"/>
      <c r="IL209" s="35"/>
      <c r="IM209" s="35"/>
      <c r="IN209" s="35"/>
      <c r="IO209" s="35"/>
      <c r="IP209" s="35"/>
      <c r="IQ209" s="35"/>
      <c r="IR209" s="35"/>
      <c r="IS209" s="35"/>
      <c r="IT209" s="35"/>
      <c r="IU209" s="35"/>
      <c r="IV209" s="35"/>
      <c r="IW209" s="35"/>
      <c r="IX209" s="35"/>
      <c r="IY209" s="35"/>
      <c r="IZ209" s="35"/>
      <c r="JA209" s="35"/>
      <c r="JB209" s="35"/>
      <c r="JC209" s="35"/>
      <c r="JD209" s="35"/>
      <c r="JE209" s="35"/>
    </row>
    <row r="210">
      <c r="A210" s="42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  <c r="BW210" s="35"/>
      <c r="BX210" s="35"/>
      <c r="BY210" s="35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K210" s="35"/>
      <c r="CL210" s="35"/>
      <c r="CM210" s="35"/>
      <c r="CN210" s="35"/>
      <c r="CO210" s="35"/>
      <c r="CP210" s="35"/>
      <c r="CQ210" s="35"/>
      <c r="CR210" s="35"/>
      <c r="CS210" s="35"/>
      <c r="CT210" s="35"/>
      <c r="CU210" s="35"/>
      <c r="CV210" s="35"/>
      <c r="CW210" s="35"/>
      <c r="CX210" s="35"/>
      <c r="CY210" s="35"/>
      <c r="CZ210" s="35"/>
      <c r="DA210" s="35"/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  <c r="DL210" s="35"/>
      <c r="DM210" s="35"/>
      <c r="DN210" s="35"/>
      <c r="DO210" s="35"/>
      <c r="DP210" s="35"/>
      <c r="DQ210" s="35"/>
      <c r="DR210" s="35"/>
      <c r="DS210" s="35"/>
      <c r="DT210" s="35"/>
      <c r="DU210" s="35"/>
      <c r="DV210" s="35"/>
      <c r="DW210" s="35"/>
      <c r="DX210" s="35"/>
      <c r="DY210" s="35"/>
      <c r="DZ210" s="35"/>
      <c r="EA210" s="35"/>
      <c r="EB210" s="35"/>
      <c r="EC210" s="35"/>
      <c r="ED210" s="35"/>
      <c r="EE210" s="35"/>
      <c r="EF210" s="35"/>
      <c r="EG210" s="35"/>
      <c r="EH210" s="35"/>
      <c r="EI210" s="35"/>
      <c r="EJ210" s="35"/>
      <c r="EK210" s="35"/>
      <c r="EL210" s="35"/>
      <c r="EM210" s="35"/>
      <c r="EN210" s="35"/>
      <c r="EO210" s="35"/>
      <c r="EP210" s="35"/>
      <c r="EQ210" s="35"/>
      <c r="ER210" s="35"/>
      <c r="ES210" s="35"/>
      <c r="ET210" s="35"/>
      <c r="EU210" s="35"/>
      <c r="EV210" s="35"/>
      <c r="EW210" s="35"/>
      <c r="EX210" s="35"/>
      <c r="EY210" s="35"/>
      <c r="EZ210" s="35"/>
      <c r="FA210" s="35"/>
      <c r="FB210" s="35"/>
      <c r="FC210" s="35"/>
      <c r="FD210" s="35"/>
      <c r="FE210" s="35"/>
      <c r="FF210" s="35"/>
      <c r="FG210" s="35"/>
      <c r="FH210" s="35"/>
      <c r="FI210" s="35"/>
      <c r="FJ210" s="35"/>
      <c r="FK210" s="35"/>
      <c r="FL210" s="35"/>
      <c r="FM210" s="35"/>
      <c r="FN210" s="35"/>
      <c r="FO210" s="35"/>
      <c r="FP210" s="35"/>
      <c r="FQ210" s="35"/>
      <c r="FR210" s="35"/>
      <c r="FS210" s="35"/>
      <c r="FT210" s="35"/>
      <c r="FU210" s="35"/>
      <c r="FV210" s="35"/>
      <c r="FW210" s="35"/>
      <c r="FX210" s="35"/>
      <c r="FY210" s="35"/>
      <c r="FZ210" s="35"/>
      <c r="GA210" s="35"/>
      <c r="GB210" s="35"/>
      <c r="GC210" s="35"/>
      <c r="GD210" s="35"/>
      <c r="GE210" s="35"/>
      <c r="GF210" s="35"/>
      <c r="GG210" s="35"/>
      <c r="GH210" s="35"/>
      <c r="GI210" s="35"/>
      <c r="GJ210" s="35"/>
      <c r="GK210" s="35"/>
      <c r="GL210" s="35"/>
      <c r="GM210" s="35"/>
      <c r="GN210" s="35"/>
      <c r="GO210" s="35"/>
      <c r="GP210" s="35"/>
      <c r="GQ210" s="35"/>
      <c r="GR210" s="35"/>
      <c r="GS210" s="35"/>
      <c r="GT210" s="35"/>
      <c r="GU210" s="35"/>
      <c r="GV210" s="35"/>
      <c r="GW210" s="35"/>
      <c r="GX210" s="35"/>
      <c r="GY210" s="35"/>
      <c r="GZ210" s="35"/>
      <c r="HA210" s="35"/>
      <c r="HB210" s="35"/>
      <c r="HC210" s="35"/>
      <c r="HD210" s="35"/>
      <c r="HE210" s="35"/>
      <c r="HF210" s="35"/>
      <c r="HG210" s="35"/>
      <c r="HH210" s="35"/>
      <c r="HI210" s="35"/>
      <c r="HJ210" s="35"/>
      <c r="HK210" s="35"/>
      <c r="HL210" s="35"/>
      <c r="HM210" s="35"/>
      <c r="HN210" s="35"/>
      <c r="HO210" s="35"/>
      <c r="HP210" s="35"/>
      <c r="HQ210" s="35"/>
      <c r="HR210" s="35"/>
      <c r="HS210" s="35"/>
      <c r="HT210" s="35"/>
      <c r="HU210" s="35"/>
      <c r="HV210" s="35"/>
      <c r="HW210" s="35"/>
      <c r="HX210" s="35"/>
      <c r="HY210" s="35"/>
      <c r="HZ210" s="35"/>
      <c r="IA210" s="35"/>
      <c r="IB210" s="35"/>
      <c r="IC210" s="35"/>
      <c r="ID210" s="35"/>
      <c r="IE210" s="35"/>
      <c r="IF210" s="35"/>
      <c r="IG210" s="35"/>
      <c r="IH210" s="35"/>
      <c r="II210" s="35"/>
      <c r="IJ210" s="35"/>
      <c r="IK210" s="35"/>
      <c r="IL210" s="35"/>
      <c r="IM210" s="35"/>
      <c r="IN210" s="35"/>
      <c r="IO210" s="35"/>
      <c r="IP210" s="35"/>
      <c r="IQ210" s="35"/>
      <c r="IR210" s="35"/>
      <c r="IS210" s="35"/>
      <c r="IT210" s="35"/>
      <c r="IU210" s="35"/>
      <c r="IV210" s="35"/>
      <c r="IW210" s="35"/>
      <c r="IX210" s="35"/>
      <c r="IY210" s="35"/>
      <c r="IZ210" s="35"/>
      <c r="JA210" s="35"/>
      <c r="JB210" s="35"/>
      <c r="JC210" s="35"/>
      <c r="JD210" s="35"/>
      <c r="JE210" s="35"/>
    </row>
    <row r="211">
      <c r="A211" s="42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  <c r="CD211" s="35"/>
      <c r="CE211" s="35"/>
      <c r="CF211" s="35"/>
      <c r="CG211" s="35"/>
      <c r="CH211" s="35"/>
      <c r="CI211" s="35"/>
      <c r="CJ211" s="35"/>
      <c r="CK211" s="35"/>
      <c r="CL211" s="35"/>
      <c r="CM211" s="35"/>
      <c r="CN211" s="35"/>
      <c r="CO211" s="35"/>
      <c r="CP211" s="35"/>
      <c r="CQ211" s="35"/>
      <c r="CR211" s="35"/>
      <c r="CS211" s="35"/>
      <c r="CT211" s="35"/>
      <c r="CU211" s="35"/>
      <c r="CV211" s="35"/>
      <c r="CW211" s="35"/>
      <c r="CX211" s="35"/>
      <c r="CY211" s="35"/>
      <c r="CZ211" s="35"/>
      <c r="DA211" s="35"/>
      <c r="DB211" s="35"/>
      <c r="DC211" s="35"/>
      <c r="DD211" s="35"/>
      <c r="DE211" s="35"/>
      <c r="DF211" s="35"/>
      <c r="DG211" s="35"/>
      <c r="DH211" s="35"/>
      <c r="DI211" s="35"/>
      <c r="DJ211" s="35"/>
      <c r="DK211" s="35"/>
      <c r="DL211" s="35"/>
      <c r="DM211" s="35"/>
      <c r="DN211" s="35"/>
      <c r="DO211" s="35"/>
      <c r="DP211" s="35"/>
      <c r="DQ211" s="35"/>
      <c r="DR211" s="35"/>
      <c r="DS211" s="35"/>
      <c r="DT211" s="35"/>
      <c r="DU211" s="35"/>
      <c r="DV211" s="35"/>
      <c r="DW211" s="35"/>
      <c r="DX211" s="35"/>
      <c r="DY211" s="35"/>
      <c r="DZ211" s="35"/>
      <c r="EA211" s="35"/>
      <c r="EB211" s="35"/>
      <c r="EC211" s="35"/>
      <c r="ED211" s="35"/>
      <c r="EE211" s="35"/>
      <c r="EF211" s="35"/>
      <c r="EG211" s="35"/>
      <c r="EH211" s="35"/>
      <c r="EI211" s="35"/>
      <c r="EJ211" s="35"/>
      <c r="EK211" s="35"/>
      <c r="EL211" s="35"/>
      <c r="EM211" s="35"/>
      <c r="EN211" s="35"/>
      <c r="EO211" s="35"/>
      <c r="EP211" s="35"/>
      <c r="EQ211" s="35"/>
      <c r="ER211" s="35"/>
      <c r="ES211" s="35"/>
      <c r="ET211" s="35"/>
      <c r="EU211" s="35"/>
      <c r="EV211" s="35"/>
      <c r="EW211" s="35"/>
      <c r="EX211" s="35"/>
      <c r="EY211" s="35"/>
      <c r="EZ211" s="35"/>
      <c r="FA211" s="35"/>
      <c r="FB211" s="35"/>
      <c r="FC211" s="35"/>
      <c r="FD211" s="35"/>
      <c r="FE211" s="35"/>
      <c r="FF211" s="35"/>
      <c r="FG211" s="35"/>
      <c r="FH211" s="35"/>
      <c r="FI211" s="35"/>
      <c r="FJ211" s="35"/>
      <c r="FK211" s="35"/>
      <c r="FL211" s="35"/>
      <c r="FM211" s="35"/>
      <c r="FN211" s="35"/>
      <c r="FO211" s="35"/>
      <c r="FP211" s="35"/>
      <c r="FQ211" s="35"/>
      <c r="FR211" s="35"/>
      <c r="FS211" s="35"/>
      <c r="FT211" s="35"/>
      <c r="FU211" s="35"/>
      <c r="FV211" s="35"/>
      <c r="FW211" s="35"/>
      <c r="FX211" s="35"/>
      <c r="FY211" s="35"/>
      <c r="FZ211" s="35"/>
      <c r="GA211" s="35"/>
      <c r="GB211" s="35"/>
      <c r="GC211" s="35"/>
      <c r="GD211" s="35"/>
      <c r="GE211" s="35"/>
      <c r="GF211" s="35"/>
      <c r="GG211" s="35"/>
      <c r="GH211" s="35"/>
      <c r="GI211" s="35"/>
      <c r="GJ211" s="35"/>
      <c r="GK211" s="35"/>
      <c r="GL211" s="35"/>
      <c r="GM211" s="35"/>
      <c r="GN211" s="35"/>
      <c r="GO211" s="35"/>
      <c r="GP211" s="35"/>
      <c r="GQ211" s="35"/>
      <c r="GR211" s="35"/>
      <c r="GS211" s="35"/>
      <c r="GT211" s="35"/>
      <c r="GU211" s="35"/>
      <c r="GV211" s="35"/>
      <c r="GW211" s="35"/>
      <c r="GX211" s="35"/>
      <c r="GY211" s="35"/>
      <c r="GZ211" s="35"/>
      <c r="HA211" s="35"/>
      <c r="HB211" s="35"/>
      <c r="HC211" s="35"/>
      <c r="HD211" s="35"/>
      <c r="HE211" s="35"/>
      <c r="HF211" s="35"/>
      <c r="HG211" s="35"/>
      <c r="HH211" s="35"/>
      <c r="HI211" s="35"/>
      <c r="HJ211" s="35"/>
      <c r="HK211" s="35"/>
      <c r="HL211" s="35"/>
      <c r="HM211" s="35"/>
      <c r="HN211" s="35"/>
      <c r="HO211" s="35"/>
      <c r="HP211" s="35"/>
      <c r="HQ211" s="35"/>
      <c r="HR211" s="35"/>
      <c r="HS211" s="35"/>
      <c r="HT211" s="35"/>
      <c r="HU211" s="35"/>
      <c r="HV211" s="35"/>
      <c r="HW211" s="35"/>
      <c r="HX211" s="35"/>
      <c r="HY211" s="35"/>
      <c r="HZ211" s="35"/>
      <c r="IA211" s="35"/>
      <c r="IB211" s="35"/>
      <c r="IC211" s="35"/>
      <c r="ID211" s="35"/>
      <c r="IE211" s="35"/>
      <c r="IF211" s="35"/>
      <c r="IG211" s="35"/>
      <c r="IH211" s="35"/>
      <c r="II211" s="35"/>
      <c r="IJ211" s="35"/>
      <c r="IK211" s="35"/>
      <c r="IL211" s="35"/>
      <c r="IM211" s="35"/>
      <c r="IN211" s="35"/>
      <c r="IO211" s="35"/>
      <c r="IP211" s="35"/>
      <c r="IQ211" s="35"/>
      <c r="IR211" s="35"/>
      <c r="IS211" s="35"/>
      <c r="IT211" s="35"/>
      <c r="IU211" s="35"/>
      <c r="IV211" s="35"/>
      <c r="IW211" s="35"/>
      <c r="IX211" s="35"/>
      <c r="IY211" s="35"/>
      <c r="IZ211" s="35"/>
      <c r="JA211" s="35"/>
      <c r="JB211" s="35"/>
      <c r="JC211" s="35"/>
      <c r="JD211" s="35"/>
      <c r="JE211" s="35"/>
    </row>
    <row r="212">
      <c r="A212" s="42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K212" s="35"/>
      <c r="CL212" s="35"/>
      <c r="CM212" s="35"/>
      <c r="CN212" s="35"/>
      <c r="CO212" s="35"/>
      <c r="CP212" s="35"/>
      <c r="CQ212" s="35"/>
      <c r="CR212" s="35"/>
      <c r="CS212" s="35"/>
      <c r="CT212" s="35"/>
      <c r="CU212" s="35"/>
      <c r="CV212" s="35"/>
      <c r="CW212" s="35"/>
      <c r="CX212" s="35"/>
      <c r="CY212" s="35"/>
      <c r="CZ212" s="35"/>
      <c r="DA212" s="35"/>
      <c r="DB212" s="35"/>
      <c r="DC212" s="35"/>
      <c r="DD212" s="35"/>
      <c r="DE212" s="35"/>
      <c r="DF212" s="35"/>
      <c r="DG212" s="35"/>
      <c r="DH212" s="35"/>
      <c r="DI212" s="35"/>
      <c r="DJ212" s="35"/>
      <c r="DK212" s="35"/>
      <c r="DL212" s="35"/>
      <c r="DM212" s="35"/>
      <c r="DN212" s="35"/>
      <c r="DO212" s="35"/>
      <c r="DP212" s="35"/>
      <c r="DQ212" s="35"/>
      <c r="DR212" s="35"/>
      <c r="DS212" s="35"/>
      <c r="DT212" s="35"/>
      <c r="DU212" s="35"/>
      <c r="DV212" s="35"/>
      <c r="DW212" s="35"/>
      <c r="DX212" s="35"/>
      <c r="DY212" s="35"/>
      <c r="DZ212" s="35"/>
      <c r="EA212" s="35"/>
      <c r="EB212" s="35"/>
      <c r="EC212" s="35"/>
      <c r="ED212" s="35"/>
      <c r="EE212" s="35"/>
      <c r="EF212" s="35"/>
      <c r="EG212" s="35"/>
      <c r="EH212" s="35"/>
      <c r="EI212" s="35"/>
      <c r="EJ212" s="35"/>
      <c r="EK212" s="35"/>
      <c r="EL212" s="35"/>
      <c r="EM212" s="35"/>
      <c r="EN212" s="35"/>
      <c r="EO212" s="35"/>
      <c r="EP212" s="35"/>
      <c r="EQ212" s="35"/>
      <c r="ER212" s="35"/>
      <c r="ES212" s="35"/>
      <c r="ET212" s="35"/>
      <c r="EU212" s="35"/>
      <c r="EV212" s="35"/>
      <c r="EW212" s="35"/>
      <c r="EX212" s="35"/>
      <c r="EY212" s="35"/>
      <c r="EZ212" s="35"/>
      <c r="FA212" s="35"/>
      <c r="FB212" s="35"/>
      <c r="FC212" s="35"/>
      <c r="FD212" s="35"/>
      <c r="FE212" s="35"/>
      <c r="FF212" s="35"/>
      <c r="FG212" s="35"/>
      <c r="FH212" s="35"/>
      <c r="FI212" s="35"/>
      <c r="FJ212" s="35"/>
      <c r="FK212" s="35"/>
      <c r="FL212" s="35"/>
      <c r="FM212" s="35"/>
      <c r="FN212" s="35"/>
      <c r="FO212" s="35"/>
      <c r="FP212" s="35"/>
      <c r="FQ212" s="35"/>
      <c r="FR212" s="35"/>
      <c r="FS212" s="35"/>
      <c r="FT212" s="35"/>
      <c r="FU212" s="35"/>
      <c r="FV212" s="35"/>
      <c r="FW212" s="35"/>
      <c r="FX212" s="35"/>
      <c r="FY212" s="35"/>
      <c r="FZ212" s="35"/>
      <c r="GA212" s="35"/>
      <c r="GB212" s="35"/>
      <c r="GC212" s="35"/>
      <c r="GD212" s="35"/>
      <c r="GE212" s="35"/>
      <c r="GF212" s="35"/>
      <c r="GG212" s="35"/>
      <c r="GH212" s="35"/>
      <c r="GI212" s="35"/>
      <c r="GJ212" s="35"/>
      <c r="GK212" s="35"/>
      <c r="GL212" s="35"/>
      <c r="GM212" s="35"/>
      <c r="GN212" s="35"/>
      <c r="GO212" s="35"/>
      <c r="GP212" s="35"/>
      <c r="GQ212" s="35"/>
      <c r="GR212" s="35"/>
      <c r="GS212" s="35"/>
      <c r="GT212" s="35"/>
      <c r="GU212" s="35"/>
      <c r="GV212" s="35"/>
      <c r="GW212" s="35"/>
      <c r="GX212" s="35"/>
      <c r="GY212" s="35"/>
      <c r="GZ212" s="35"/>
      <c r="HA212" s="35"/>
      <c r="HB212" s="35"/>
      <c r="HC212" s="35"/>
      <c r="HD212" s="35"/>
      <c r="HE212" s="35"/>
      <c r="HF212" s="35"/>
      <c r="HG212" s="35"/>
      <c r="HH212" s="35"/>
      <c r="HI212" s="35"/>
      <c r="HJ212" s="35"/>
      <c r="HK212" s="35"/>
      <c r="HL212" s="35"/>
      <c r="HM212" s="35"/>
      <c r="HN212" s="35"/>
      <c r="HO212" s="35"/>
      <c r="HP212" s="35"/>
      <c r="HQ212" s="35"/>
      <c r="HR212" s="35"/>
      <c r="HS212" s="35"/>
      <c r="HT212" s="35"/>
      <c r="HU212" s="35"/>
      <c r="HV212" s="35"/>
      <c r="HW212" s="35"/>
      <c r="HX212" s="35"/>
      <c r="HY212" s="35"/>
      <c r="HZ212" s="35"/>
      <c r="IA212" s="35"/>
      <c r="IB212" s="35"/>
      <c r="IC212" s="35"/>
      <c r="ID212" s="35"/>
      <c r="IE212" s="35"/>
      <c r="IF212" s="35"/>
      <c r="IG212" s="35"/>
      <c r="IH212" s="35"/>
      <c r="II212" s="35"/>
      <c r="IJ212" s="35"/>
      <c r="IK212" s="35"/>
      <c r="IL212" s="35"/>
      <c r="IM212" s="35"/>
      <c r="IN212" s="35"/>
      <c r="IO212" s="35"/>
      <c r="IP212" s="35"/>
      <c r="IQ212" s="35"/>
      <c r="IR212" s="35"/>
      <c r="IS212" s="35"/>
      <c r="IT212" s="35"/>
      <c r="IU212" s="35"/>
      <c r="IV212" s="35"/>
      <c r="IW212" s="35"/>
      <c r="IX212" s="35"/>
      <c r="IY212" s="35"/>
      <c r="IZ212" s="35"/>
      <c r="JA212" s="35"/>
      <c r="JB212" s="35"/>
      <c r="JC212" s="35"/>
      <c r="JD212" s="35"/>
      <c r="JE212" s="35"/>
    </row>
    <row r="213">
      <c r="A213" s="42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K213" s="35"/>
      <c r="CL213" s="35"/>
      <c r="CM213" s="35"/>
      <c r="CN213" s="35"/>
      <c r="CO213" s="35"/>
      <c r="CP213" s="35"/>
      <c r="CQ213" s="35"/>
      <c r="CR213" s="35"/>
      <c r="CS213" s="35"/>
      <c r="CT213" s="35"/>
      <c r="CU213" s="35"/>
      <c r="CV213" s="35"/>
      <c r="CW213" s="35"/>
      <c r="CX213" s="35"/>
      <c r="CY213" s="35"/>
      <c r="CZ213" s="35"/>
      <c r="DA213" s="35"/>
      <c r="DB213" s="35"/>
      <c r="DC213" s="35"/>
      <c r="DD213" s="35"/>
      <c r="DE213" s="35"/>
      <c r="DF213" s="35"/>
      <c r="DG213" s="35"/>
      <c r="DH213" s="35"/>
      <c r="DI213" s="35"/>
      <c r="DJ213" s="35"/>
      <c r="DK213" s="35"/>
      <c r="DL213" s="35"/>
      <c r="DM213" s="35"/>
      <c r="DN213" s="35"/>
      <c r="DO213" s="35"/>
      <c r="DP213" s="35"/>
      <c r="DQ213" s="35"/>
      <c r="DR213" s="35"/>
      <c r="DS213" s="35"/>
      <c r="DT213" s="35"/>
      <c r="DU213" s="35"/>
      <c r="DV213" s="35"/>
      <c r="DW213" s="35"/>
      <c r="DX213" s="35"/>
      <c r="DY213" s="35"/>
      <c r="DZ213" s="35"/>
      <c r="EA213" s="35"/>
      <c r="EB213" s="35"/>
      <c r="EC213" s="35"/>
      <c r="ED213" s="35"/>
      <c r="EE213" s="35"/>
      <c r="EF213" s="35"/>
      <c r="EG213" s="35"/>
      <c r="EH213" s="35"/>
      <c r="EI213" s="35"/>
      <c r="EJ213" s="35"/>
      <c r="EK213" s="35"/>
      <c r="EL213" s="35"/>
      <c r="EM213" s="35"/>
      <c r="EN213" s="35"/>
      <c r="EO213" s="35"/>
      <c r="EP213" s="35"/>
      <c r="EQ213" s="35"/>
      <c r="ER213" s="35"/>
      <c r="ES213" s="35"/>
      <c r="ET213" s="35"/>
      <c r="EU213" s="35"/>
      <c r="EV213" s="35"/>
      <c r="EW213" s="35"/>
      <c r="EX213" s="35"/>
      <c r="EY213" s="35"/>
      <c r="EZ213" s="35"/>
      <c r="FA213" s="35"/>
      <c r="FB213" s="35"/>
      <c r="FC213" s="35"/>
      <c r="FD213" s="35"/>
      <c r="FE213" s="35"/>
      <c r="FF213" s="35"/>
      <c r="FG213" s="35"/>
      <c r="FH213" s="35"/>
      <c r="FI213" s="35"/>
      <c r="FJ213" s="35"/>
      <c r="FK213" s="35"/>
      <c r="FL213" s="35"/>
      <c r="FM213" s="35"/>
      <c r="FN213" s="35"/>
      <c r="FO213" s="35"/>
      <c r="FP213" s="35"/>
      <c r="FQ213" s="35"/>
      <c r="FR213" s="35"/>
      <c r="FS213" s="35"/>
      <c r="FT213" s="35"/>
      <c r="FU213" s="35"/>
      <c r="FV213" s="35"/>
      <c r="FW213" s="35"/>
      <c r="FX213" s="35"/>
      <c r="FY213" s="35"/>
      <c r="FZ213" s="35"/>
      <c r="GA213" s="35"/>
      <c r="GB213" s="35"/>
      <c r="GC213" s="35"/>
      <c r="GD213" s="35"/>
      <c r="GE213" s="35"/>
      <c r="GF213" s="35"/>
      <c r="GG213" s="35"/>
      <c r="GH213" s="35"/>
      <c r="GI213" s="35"/>
      <c r="GJ213" s="35"/>
      <c r="GK213" s="35"/>
      <c r="GL213" s="35"/>
      <c r="GM213" s="35"/>
      <c r="GN213" s="35"/>
      <c r="GO213" s="35"/>
      <c r="GP213" s="35"/>
      <c r="GQ213" s="35"/>
      <c r="GR213" s="35"/>
      <c r="GS213" s="35"/>
      <c r="GT213" s="35"/>
      <c r="GU213" s="35"/>
      <c r="GV213" s="35"/>
      <c r="GW213" s="35"/>
      <c r="GX213" s="35"/>
      <c r="GY213" s="35"/>
      <c r="GZ213" s="35"/>
      <c r="HA213" s="35"/>
      <c r="HB213" s="35"/>
      <c r="HC213" s="35"/>
      <c r="HD213" s="35"/>
      <c r="HE213" s="35"/>
      <c r="HF213" s="35"/>
      <c r="HG213" s="35"/>
      <c r="HH213" s="35"/>
      <c r="HI213" s="35"/>
      <c r="HJ213" s="35"/>
      <c r="HK213" s="35"/>
      <c r="HL213" s="35"/>
      <c r="HM213" s="35"/>
      <c r="HN213" s="35"/>
      <c r="HO213" s="35"/>
      <c r="HP213" s="35"/>
      <c r="HQ213" s="35"/>
      <c r="HR213" s="35"/>
      <c r="HS213" s="35"/>
      <c r="HT213" s="35"/>
      <c r="HU213" s="35"/>
      <c r="HV213" s="35"/>
      <c r="HW213" s="35"/>
      <c r="HX213" s="35"/>
      <c r="HY213" s="35"/>
      <c r="HZ213" s="35"/>
      <c r="IA213" s="35"/>
      <c r="IB213" s="35"/>
      <c r="IC213" s="35"/>
      <c r="ID213" s="35"/>
      <c r="IE213" s="35"/>
      <c r="IF213" s="35"/>
      <c r="IG213" s="35"/>
      <c r="IH213" s="35"/>
      <c r="II213" s="35"/>
      <c r="IJ213" s="35"/>
      <c r="IK213" s="35"/>
      <c r="IL213" s="35"/>
      <c r="IM213" s="35"/>
      <c r="IN213" s="35"/>
      <c r="IO213" s="35"/>
      <c r="IP213" s="35"/>
      <c r="IQ213" s="35"/>
      <c r="IR213" s="35"/>
      <c r="IS213" s="35"/>
      <c r="IT213" s="35"/>
      <c r="IU213" s="35"/>
      <c r="IV213" s="35"/>
      <c r="IW213" s="35"/>
      <c r="IX213" s="35"/>
      <c r="IY213" s="35"/>
      <c r="IZ213" s="35"/>
      <c r="JA213" s="35"/>
      <c r="JB213" s="35"/>
      <c r="JC213" s="35"/>
      <c r="JD213" s="35"/>
      <c r="JE213" s="35"/>
    </row>
    <row r="214">
      <c r="A214" s="42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K214" s="35"/>
      <c r="CL214" s="35"/>
      <c r="CM214" s="35"/>
      <c r="CN214" s="35"/>
      <c r="CO214" s="35"/>
      <c r="CP214" s="35"/>
      <c r="CQ214" s="35"/>
      <c r="CR214" s="35"/>
      <c r="CS214" s="35"/>
      <c r="CT214" s="35"/>
      <c r="CU214" s="35"/>
      <c r="CV214" s="35"/>
      <c r="CW214" s="35"/>
      <c r="CX214" s="35"/>
      <c r="CY214" s="35"/>
      <c r="CZ214" s="35"/>
      <c r="DA214" s="35"/>
      <c r="DB214" s="35"/>
      <c r="DC214" s="35"/>
      <c r="DD214" s="35"/>
      <c r="DE214" s="35"/>
      <c r="DF214" s="35"/>
      <c r="DG214" s="35"/>
      <c r="DH214" s="35"/>
      <c r="DI214" s="35"/>
      <c r="DJ214" s="35"/>
      <c r="DK214" s="35"/>
      <c r="DL214" s="35"/>
      <c r="DM214" s="35"/>
      <c r="DN214" s="35"/>
      <c r="DO214" s="35"/>
      <c r="DP214" s="35"/>
      <c r="DQ214" s="35"/>
      <c r="DR214" s="35"/>
      <c r="DS214" s="35"/>
      <c r="DT214" s="35"/>
      <c r="DU214" s="35"/>
      <c r="DV214" s="35"/>
      <c r="DW214" s="35"/>
      <c r="DX214" s="35"/>
      <c r="DY214" s="35"/>
      <c r="DZ214" s="35"/>
      <c r="EA214" s="35"/>
      <c r="EB214" s="35"/>
      <c r="EC214" s="35"/>
      <c r="ED214" s="35"/>
      <c r="EE214" s="35"/>
      <c r="EF214" s="35"/>
      <c r="EG214" s="35"/>
      <c r="EH214" s="35"/>
      <c r="EI214" s="35"/>
      <c r="EJ214" s="35"/>
      <c r="EK214" s="35"/>
      <c r="EL214" s="35"/>
      <c r="EM214" s="35"/>
      <c r="EN214" s="35"/>
      <c r="EO214" s="35"/>
      <c r="EP214" s="35"/>
      <c r="EQ214" s="35"/>
      <c r="ER214" s="35"/>
      <c r="ES214" s="35"/>
      <c r="ET214" s="35"/>
      <c r="EU214" s="35"/>
      <c r="EV214" s="35"/>
      <c r="EW214" s="35"/>
      <c r="EX214" s="35"/>
      <c r="EY214" s="35"/>
      <c r="EZ214" s="35"/>
      <c r="FA214" s="35"/>
      <c r="FB214" s="35"/>
      <c r="FC214" s="35"/>
      <c r="FD214" s="35"/>
      <c r="FE214" s="35"/>
      <c r="FF214" s="35"/>
      <c r="FG214" s="35"/>
      <c r="FH214" s="35"/>
      <c r="FI214" s="35"/>
      <c r="FJ214" s="35"/>
      <c r="FK214" s="35"/>
      <c r="FL214" s="35"/>
      <c r="FM214" s="35"/>
      <c r="FN214" s="35"/>
      <c r="FO214" s="35"/>
      <c r="FP214" s="35"/>
      <c r="FQ214" s="35"/>
      <c r="FR214" s="35"/>
      <c r="FS214" s="35"/>
      <c r="FT214" s="35"/>
      <c r="FU214" s="35"/>
      <c r="FV214" s="35"/>
      <c r="FW214" s="35"/>
      <c r="FX214" s="35"/>
      <c r="FY214" s="35"/>
      <c r="FZ214" s="35"/>
      <c r="GA214" s="35"/>
      <c r="GB214" s="35"/>
      <c r="GC214" s="35"/>
      <c r="GD214" s="35"/>
      <c r="GE214" s="35"/>
      <c r="GF214" s="35"/>
      <c r="GG214" s="35"/>
      <c r="GH214" s="35"/>
      <c r="GI214" s="35"/>
      <c r="GJ214" s="35"/>
      <c r="GK214" s="35"/>
      <c r="GL214" s="35"/>
      <c r="GM214" s="35"/>
      <c r="GN214" s="35"/>
      <c r="GO214" s="35"/>
      <c r="GP214" s="35"/>
      <c r="GQ214" s="35"/>
      <c r="GR214" s="35"/>
      <c r="GS214" s="35"/>
      <c r="GT214" s="35"/>
      <c r="GU214" s="35"/>
      <c r="GV214" s="35"/>
      <c r="GW214" s="35"/>
      <c r="GX214" s="35"/>
      <c r="GY214" s="35"/>
      <c r="GZ214" s="35"/>
      <c r="HA214" s="35"/>
      <c r="HB214" s="35"/>
      <c r="HC214" s="35"/>
      <c r="HD214" s="35"/>
      <c r="HE214" s="35"/>
      <c r="HF214" s="35"/>
      <c r="HG214" s="35"/>
      <c r="HH214" s="35"/>
      <c r="HI214" s="35"/>
      <c r="HJ214" s="35"/>
      <c r="HK214" s="35"/>
      <c r="HL214" s="35"/>
      <c r="HM214" s="35"/>
      <c r="HN214" s="35"/>
      <c r="HO214" s="35"/>
      <c r="HP214" s="35"/>
      <c r="HQ214" s="35"/>
      <c r="HR214" s="35"/>
      <c r="HS214" s="35"/>
      <c r="HT214" s="35"/>
      <c r="HU214" s="35"/>
      <c r="HV214" s="35"/>
      <c r="HW214" s="35"/>
      <c r="HX214" s="35"/>
      <c r="HY214" s="35"/>
      <c r="HZ214" s="35"/>
      <c r="IA214" s="35"/>
      <c r="IB214" s="35"/>
      <c r="IC214" s="35"/>
      <c r="ID214" s="35"/>
      <c r="IE214" s="35"/>
      <c r="IF214" s="35"/>
      <c r="IG214" s="35"/>
      <c r="IH214" s="35"/>
      <c r="II214" s="35"/>
      <c r="IJ214" s="35"/>
      <c r="IK214" s="35"/>
      <c r="IL214" s="35"/>
      <c r="IM214" s="35"/>
      <c r="IN214" s="35"/>
      <c r="IO214" s="35"/>
      <c r="IP214" s="35"/>
      <c r="IQ214" s="35"/>
      <c r="IR214" s="35"/>
      <c r="IS214" s="35"/>
      <c r="IT214" s="35"/>
      <c r="IU214" s="35"/>
      <c r="IV214" s="35"/>
      <c r="IW214" s="35"/>
      <c r="IX214" s="35"/>
      <c r="IY214" s="35"/>
      <c r="IZ214" s="35"/>
      <c r="JA214" s="35"/>
      <c r="JB214" s="35"/>
      <c r="JC214" s="35"/>
      <c r="JD214" s="35"/>
      <c r="JE214" s="35"/>
    </row>
    <row r="215">
      <c r="A215" s="42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35"/>
      <c r="BZ215" s="35"/>
      <c r="CA215" s="35"/>
      <c r="CB215" s="35"/>
      <c r="CC215" s="35"/>
      <c r="CD215" s="35"/>
      <c r="CE215" s="35"/>
      <c r="CF215" s="35"/>
      <c r="CG215" s="35"/>
      <c r="CH215" s="35"/>
      <c r="CI215" s="35"/>
      <c r="CJ215" s="35"/>
      <c r="CK215" s="35"/>
      <c r="CL215" s="35"/>
      <c r="CM215" s="35"/>
      <c r="CN215" s="35"/>
      <c r="CO215" s="35"/>
      <c r="CP215" s="35"/>
      <c r="CQ215" s="35"/>
      <c r="CR215" s="35"/>
      <c r="CS215" s="35"/>
      <c r="CT215" s="35"/>
      <c r="CU215" s="35"/>
      <c r="CV215" s="35"/>
      <c r="CW215" s="35"/>
      <c r="CX215" s="35"/>
      <c r="CY215" s="35"/>
      <c r="CZ215" s="35"/>
      <c r="DA215" s="35"/>
      <c r="DB215" s="35"/>
      <c r="DC215" s="35"/>
      <c r="DD215" s="35"/>
      <c r="DE215" s="35"/>
      <c r="DF215" s="35"/>
      <c r="DG215" s="35"/>
      <c r="DH215" s="35"/>
      <c r="DI215" s="35"/>
      <c r="DJ215" s="35"/>
      <c r="DK215" s="35"/>
      <c r="DL215" s="35"/>
      <c r="DM215" s="35"/>
      <c r="DN215" s="35"/>
      <c r="DO215" s="35"/>
      <c r="DP215" s="35"/>
      <c r="DQ215" s="35"/>
      <c r="DR215" s="35"/>
      <c r="DS215" s="35"/>
      <c r="DT215" s="35"/>
      <c r="DU215" s="35"/>
      <c r="DV215" s="35"/>
      <c r="DW215" s="35"/>
      <c r="DX215" s="35"/>
      <c r="DY215" s="35"/>
      <c r="DZ215" s="35"/>
      <c r="EA215" s="35"/>
      <c r="EB215" s="35"/>
      <c r="EC215" s="35"/>
      <c r="ED215" s="35"/>
      <c r="EE215" s="35"/>
      <c r="EF215" s="35"/>
      <c r="EG215" s="35"/>
      <c r="EH215" s="35"/>
      <c r="EI215" s="35"/>
      <c r="EJ215" s="35"/>
      <c r="EK215" s="35"/>
      <c r="EL215" s="35"/>
      <c r="EM215" s="35"/>
      <c r="EN215" s="35"/>
      <c r="EO215" s="35"/>
      <c r="EP215" s="35"/>
      <c r="EQ215" s="35"/>
      <c r="ER215" s="35"/>
      <c r="ES215" s="35"/>
      <c r="ET215" s="35"/>
      <c r="EU215" s="35"/>
      <c r="EV215" s="35"/>
      <c r="EW215" s="35"/>
      <c r="EX215" s="35"/>
      <c r="EY215" s="35"/>
      <c r="EZ215" s="35"/>
      <c r="FA215" s="35"/>
      <c r="FB215" s="35"/>
      <c r="FC215" s="35"/>
      <c r="FD215" s="35"/>
      <c r="FE215" s="35"/>
      <c r="FF215" s="35"/>
      <c r="FG215" s="35"/>
      <c r="FH215" s="35"/>
      <c r="FI215" s="35"/>
      <c r="FJ215" s="35"/>
      <c r="FK215" s="35"/>
      <c r="FL215" s="35"/>
      <c r="FM215" s="35"/>
      <c r="FN215" s="35"/>
      <c r="FO215" s="35"/>
      <c r="FP215" s="35"/>
      <c r="FQ215" s="35"/>
      <c r="FR215" s="35"/>
      <c r="FS215" s="35"/>
      <c r="FT215" s="35"/>
      <c r="FU215" s="35"/>
      <c r="FV215" s="35"/>
      <c r="FW215" s="35"/>
      <c r="FX215" s="35"/>
      <c r="FY215" s="35"/>
      <c r="FZ215" s="35"/>
      <c r="GA215" s="35"/>
      <c r="GB215" s="35"/>
      <c r="GC215" s="35"/>
      <c r="GD215" s="35"/>
      <c r="GE215" s="35"/>
      <c r="GF215" s="35"/>
      <c r="GG215" s="35"/>
      <c r="GH215" s="35"/>
      <c r="GI215" s="35"/>
      <c r="GJ215" s="35"/>
      <c r="GK215" s="35"/>
      <c r="GL215" s="35"/>
      <c r="GM215" s="35"/>
      <c r="GN215" s="35"/>
      <c r="GO215" s="35"/>
      <c r="GP215" s="35"/>
      <c r="GQ215" s="35"/>
      <c r="GR215" s="35"/>
      <c r="GS215" s="35"/>
      <c r="GT215" s="35"/>
      <c r="GU215" s="35"/>
      <c r="GV215" s="35"/>
      <c r="GW215" s="35"/>
      <c r="GX215" s="35"/>
      <c r="GY215" s="35"/>
      <c r="GZ215" s="35"/>
      <c r="HA215" s="35"/>
      <c r="HB215" s="35"/>
      <c r="HC215" s="35"/>
      <c r="HD215" s="35"/>
      <c r="HE215" s="35"/>
      <c r="HF215" s="35"/>
      <c r="HG215" s="35"/>
      <c r="HH215" s="35"/>
      <c r="HI215" s="35"/>
      <c r="HJ215" s="35"/>
      <c r="HK215" s="35"/>
      <c r="HL215" s="35"/>
      <c r="HM215" s="35"/>
      <c r="HN215" s="35"/>
      <c r="HO215" s="35"/>
      <c r="HP215" s="35"/>
      <c r="HQ215" s="35"/>
      <c r="HR215" s="35"/>
      <c r="HS215" s="35"/>
      <c r="HT215" s="35"/>
      <c r="HU215" s="35"/>
      <c r="HV215" s="35"/>
      <c r="HW215" s="35"/>
      <c r="HX215" s="35"/>
      <c r="HY215" s="35"/>
      <c r="HZ215" s="35"/>
      <c r="IA215" s="35"/>
      <c r="IB215" s="35"/>
      <c r="IC215" s="35"/>
      <c r="ID215" s="35"/>
      <c r="IE215" s="35"/>
      <c r="IF215" s="35"/>
      <c r="IG215" s="35"/>
      <c r="IH215" s="35"/>
      <c r="II215" s="35"/>
      <c r="IJ215" s="35"/>
      <c r="IK215" s="35"/>
      <c r="IL215" s="35"/>
      <c r="IM215" s="35"/>
      <c r="IN215" s="35"/>
      <c r="IO215" s="35"/>
      <c r="IP215" s="35"/>
      <c r="IQ215" s="35"/>
      <c r="IR215" s="35"/>
      <c r="IS215" s="35"/>
      <c r="IT215" s="35"/>
      <c r="IU215" s="35"/>
      <c r="IV215" s="35"/>
      <c r="IW215" s="35"/>
      <c r="IX215" s="35"/>
      <c r="IY215" s="35"/>
      <c r="IZ215" s="35"/>
      <c r="JA215" s="35"/>
      <c r="JB215" s="35"/>
      <c r="JC215" s="35"/>
      <c r="JD215" s="35"/>
      <c r="JE215" s="35"/>
    </row>
    <row r="216">
      <c r="A216" s="42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  <c r="BW216" s="35"/>
      <c r="BX216" s="35"/>
      <c r="BY216" s="35"/>
      <c r="BZ216" s="35"/>
      <c r="CA216" s="35"/>
      <c r="CB216" s="35"/>
      <c r="CC216" s="35"/>
      <c r="CD216" s="35"/>
      <c r="CE216" s="35"/>
      <c r="CF216" s="35"/>
      <c r="CG216" s="35"/>
      <c r="CH216" s="35"/>
      <c r="CI216" s="35"/>
      <c r="CJ216" s="35"/>
      <c r="CK216" s="35"/>
      <c r="CL216" s="35"/>
      <c r="CM216" s="35"/>
      <c r="CN216" s="35"/>
      <c r="CO216" s="35"/>
      <c r="CP216" s="35"/>
      <c r="CQ216" s="35"/>
      <c r="CR216" s="35"/>
      <c r="CS216" s="35"/>
      <c r="CT216" s="35"/>
      <c r="CU216" s="35"/>
      <c r="CV216" s="35"/>
      <c r="CW216" s="35"/>
      <c r="CX216" s="35"/>
      <c r="CY216" s="35"/>
      <c r="CZ216" s="35"/>
      <c r="DA216" s="35"/>
      <c r="DB216" s="35"/>
      <c r="DC216" s="35"/>
      <c r="DD216" s="35"/>
      <c r="DE216" s="35"/>
      <c r="DF216" s="35"/>
      <c r="DG216" s="35"/>
      <c r="DH216" s="35"/>
      <c r="DI216" s="35"/>
      <c r="DJ216" s="35"/>
      <c r="DK216" s="35"/>
      <c r="DL216" s="35"/>
      <c r="DM216" s="35"/>
      <c r="DN216" s="35"/>
      <c r="DO216" s="35"/>
      <c r="DP216" s="35"/>
      <c r="DQ216" s="35"/>
      <c r="DR216" s="35"/>
      <c r="DS216" s="35"/>
      <c r="DT216" s="35"/>
      <c r="DU216" s="35"/>
      <c r="DV216" s="35"/>
      <c r="DW216" s="35"/>
      <c r="DX216" s="35"/>
      <c r="DY216" s="35"/>
      <c r="DZ216" s="35"/>
      <c r="EA216" s="35"/>
      <c r="EB216" s="35"/>
      <c r="EC216" s="35"/>
      <c r="ED216" s="35"/>
      <c r="EE216" s="35"/>
      <c r="EF216" s="35"/>
      <c r="EG216" s="35"/>
      <c r="EH216" s="35"/>
      <c r="EI216" s="35"/>
      <c r="EJ216" s="35"/>
      <c r="EK216" s="35"/>
      <c r="EL216" s="35"/>
      <c r="EM216" s="35"/>
      <c r="EN216" s="35"/>
      <c r="EO216" s="35"/>
      <c r="EP216" s="35"/>
      <c r="EQ216" s="35"/>
      <c r="ER216" s="35"/>
      <c r="ES216" s="35"/>
      <c r="ET216" s="35"/>
      <c r="EU216" s="35"/>
      <c r="EV216" s="35"/>
      <c r="EW216" s="35"/>
      <c r="EX216" s="35"/>
      <c r="EY216" s="35"/>
      <c r="EZ216" s="35"/>
      <c r="FA216" s="35"/>
      <c r="FB216" s="35"/>
      <c r="FC216" s="35"/>
      <c r="FD216" s="35"/>
      <c r="FE216" s="35"/>
      <c r="FF216" s="35"/>
      <c r="FG216" s="35"/>
      <c r="FH216" s="35"/>
      <c r="FI216" s="35"/>
      <c r="FJ216" s="35"/>
      <c r="FK216" s="35"/>
      <c r="FL216" s="35"/>
      <c r="FM216" s="35"/>
      <c r="FN216" s="35"/>
      <c r="FO216" s="35"/>
      <c r="FP216" s="35"/>
      <c r="FQ216" s="35"/>
      <c r="FR216" s="35"/>
      <c r="FS216" s="35"/>
      <c r="FT216" s="35"/>
      <c r="FU216" s="35"/>
      <c r="FV216" s="35"/>
      <c r="FW216" s="35"/>
      <c r="FX216" s="35"/>
      <c r="FY216" s="35"/>
      <c r="FZ216" s="35"/>
      <c r="GA216" s="35"/>
      <c r="GB216" s="35"/>
      <c r="GC216" s="35"/>
      <c r="GD216" s="35"/>
      <c r="GE216" s="35"/>
      <c r="GF216" s="35"/>
      <c r="GG216" s="35"/>
      <c r="GH216" s="35"/>
      <c r="GI216" s="35"/>
      <c r="GJ216" s="35"/>
      <c r="GK216" s="35"/>
      <c r="GL216" s="35"/>
      <c r="GM216" s="35"/>
      <c r="GN216" s="35"/>
      <c r="GO216" s="35"/>
      <c r="GP216" s="35"/>
      <c r="GQ216" s="35"/>
      <c r="GR216" s="35"/>
      <c r="GS216" s="35"/>
      <c r="GT216" s="35"/>
      <c r="GU216" s="35"/>
      <c r="GV216" s="35"/>
      <c r="GW216" s="35"/>
      <c r="GX216" s="35"/>
      <c r="GY216" s="35"/>
      <c r="GZ216" s="35"/>
      <c r="HA216" s="35"/>
      <c r="HB216" s="35"/>
      <c r="HC216" s="35"/>
      <c r="HD216" s="35"/>
      <c r="HE216" s="35"/>
      <c r="HF216" s="35"/>
      <c r="HG216" s="35"/>
      <c r="HH216" s="35"/>
      <c r="HI216" s="35"/>
      <c r="HJ216" s="35"/>
      <c r="HK216" s="35"/>
      <c r="HL216" s="35"/>
      <c r="HM216" s="35"/>
      <c r="HN216" s="35"/>
      <c r="HO216" s="35"/>
      <c r="HP216" s="35"/>
      <c r="HQ216" s="35"/>
      <c r="HR216" s="35"/>
      <c r="HS216" s="35"/>
      <c r="HT216" s="35"/>
      <c r="HU216" s="35"/>
      <c r="HV216" s="35"/>
      <c r="HW216" s="35"/>
      <c r="HX216" s="35"/>
      <c r="HY216" s="35"/>
      <c r="HZ216" s="35"/>
      <c r="IA216" s="35"/>
      <c r="IB216" s="35"/>
      <c r="IC216" s="35"/>
      <c r="ID216" s="35"/>
      <c r="IE216" s="35"/>
      <c r="IF216" s="35"/>
      <c r="IG216" s="35"/>
      <c r="IH216" s="35"/>
      <c r="II216" s="35"/>
      <c r="IJ216" s="35"/>
      <c r="IK216" s="35"/>
      <c r="IL216" s="35"/>
      <c r="IM216" s="35"/>
      <c r="IN216" s="35"/>
      <c r="IO216" s="35"/>
      <c r="IP216" s="35"/>
      <c r="IQ216" s="35"/>
      <c r="IR216" s="35"/>
      <c r="IS216" s="35"/>
      <c r="IT216" s="35"/>
      <c r="IU216" s="35"/>
      <c r="IV216" s="35"/>
      <c r="IW216" s="35"/>
      <c r="IX216" s="35"/>
      <c r="IY216" s="35"/>
      <c r="IZ216" s="35"/>
      <c r="JA216" s="35"/>
      <c r="JB216" s="35"/>
      <c r="JC216" s="35"/>
      <c r="JD216" s="35"/>
      <c r="JE216" s="35"/>
    </row>
    <row r="217">
      <c r="A217" s="42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  <c r="CB217" s="35"/>
      <c r="CC217" s="35"/>
      <c r="CD217" s="35"/>
      <c r="CE217" s="35"/>
      <c r="CF217" s="35"/>
      <c r="CG217" s="35"/>
      <c r="CH217" s="35"/>
      <c r="CI217" s="35"/>
      <c r="CJ217" s="35"/>
      <c r="CK217" s="35"/>
      <c r="CL217" s="35"/>
      <c r="CM217" s="35"/>
      <c r="CN217" s="35"/>
      <c r="CO217" s="35"/>
      <c r="CP217" s="35"/>
      <c r="CQ217" s="35"/>
      <c r="CR217" s="35"/>
      <c r="CS217" s="35"/>
      <c r="CT217" s="35"/>
      <c r="CU217" s="35"/>
      <c r="CV217" s="35"/>
      <c r="CW217" s="35"/>
      <c r="CX217" s="35"/>
      <c r="CY217" s="35"/>
      <c r="CZ217" s="35"/>
      <c r="DA217" s="35"/>
      <c r="DB217" s="35"/>
      <c r="DC217" s="35"/>
      <c r="DD217" s="35"/>
      <c r="DE217" s="35"/>
      <c r="DF217" s="35"/>
      <c r="DG217" s="35"/>
      <c r="DH217" s="35"/>
      <c r="DI217" s="35"/>
      <c r="DJ217" s="35"/>
      <c r="DK217" s="35"/>
      <c r="DL217" s="35"/>
      <c r="DM217" s="35"/>
      <c r="DN217" s="35"/>
      <c r="DO217" s="35"/>
      <c r="DP217" s="35"/>
      <c r="DQ217" s="35"/>
      <c r="DR217" s="35"/>
      <c r="DS217" s="35"/>
      <c r="DT217" s="35"/>
      <c r="DU217" s="35"/>
      <c r="DV217" s="35"/>
      <c r="DW217" s="35"/>
      <c r="DX217" s="35"/>
      <c r="DY217" s="35"/>
      <c r="DZ217" s="35"/>
      <c r="EA217" s="35"/>
      <c r="EB217" s="35"/>
      <c r="EC217" s="35"/>
      <c r="ED217" s="35"/>
      <c r="EE217" s="35"/>
      <c r="EF217" s="35"/>
      <c r="EG217" s="35"/>
      <c r="EH217" s="35"/>
      <c r="EI217" s="35"/>
      <c r="EJ217" s="35"/>
      <c r="EK217" s="35"/>
      <c r="EL217" s="35"/>
      <c r="EM217" s="35"/>
      <c r="EN217" s="35"/>
      <c r="EO217" s="35"/>
      <c r="EP217" s="35"/>
      <c r="EQ217" s="35"/>
      <c r="ER217" s="35"/>
      <c r="ES217" s="35"/>
      <c r="ET217" s="35"/>
      <c r="EU217" s="35"/>
      <c r="EV217" s="35"/>
      <c r="EW217" s="35"/>
      <c r="EX217" s="35"/>
      <c r="EY217" s="35"/>
      <c r="EZ217" s="35"/>
      <c r="FA217" s="35"/>
      <c r="FB217" s="35"/>
      <c r="FC217" s="35"/>
      <c r="FD217" s="35"/>
      <c r="FE217" s="35"/>
      <c r="FF217" s="35"/>
      <c r="FG217" s="35"/>
      <c r="FH217" s="35"/>
      <c r="FI217" s="35"/>
      <c r="FJ217" s="35"/>
      <c r="FK217" s="35"/>
      <c r="FL217" s="35"/>
      <c r="FM217" s="35"/>
      <c r="FN217" s="35"/>
      <c r="FO217" s="35"/>
      <c r="FP217" s="35"/>
      <c r="FQ217" s="35"/>
      <c r="FR217" s="35"/>
      <c r="FS217" s="35"/>
      <c r="FT217" s="35"/>
      <c r="FU217" s="35"/>
      <c r="FV217" s="35"/>
      <c r="FW217" s="35"/>
      <c r="FX217" s="35"/>
      <c r="FY217" s="35"/>
      <c r="FZ217" s="35"/>
      <c r="GA217" s="35"/>
      <c r="GB217" s="35"/>
      <c r="GC217" s="35"/>
      <c r="GD217" s="35"/>
      <c r="GE217" s="35"/>
      <c r="GF217" s="35"/>
      <c r="GG217" s="35"/>
      <c r="GH217" s="35"/>
      <c r="GI217" s="35"/>
      <c r="GJ217" s="35"/>
      <c r="GK217" s="35"/>
      <c r="GL217" s="35"/>
      <c r="GM217" s="35"/>
      <c r="GN217" s="35"/>
      <c r="GO217" s="35"/>
      <c r="GP217" s="35"/>
      <c r="GQ217" s="35"/>
      <c r="GR217" s="35"/>
      <c r="GS217" s="35"/>
      <c r="GT217" s="35"/>
      <c r="GU217" s="35"/>
      <c r="GV217" s="35"/>
      <c r="GW217" s="35"/>
      <c r="GX217" s="35"/>
      <c r="GY217" s="35"/>
      <c r="GZ217" s="35"/>
      <c r="HA217" s="35"/>
      <c r="HB217" s="35"/>
      <c r="HC217" s="35"/>
      <c r="HD217" s="35"/>
      <c r="HE217" s="35"/>
      <c r="HF217" s="35"/>
      <c r="HG217" s="35"/>
      <c r="HH217" s="35"/>
      <c r="HI217" s="35"/>
      <c r="HJ217" s="35"/>
      <c r="HK217" s="35"/>
      <c r="HL217" s="35"/>
      <c r="HM217" s="35"/>
      <c r="HN217" s="35"/>
      <c r="HO217" s="35"/>
      <c r="HP217" s="35"/>
      <c r="HQ217" s="35"/>
      <c r="HR217" s="35"/>
      <c r="HS217" s="35"/>
      <c r="HT217" s="35"/>
      <c r="HU217" s="35"/>
      <c r="HV217" s="35"/>
      <c r="HW217" s="35"/>
      <c r="HX217" s="35"/>
      <c r="HY217" s="35"/>
      <c r="HZ217" s="35"/>
      <c r="IA217" s="35"/>
      <c r="IB217" s="35"/>
      <c r="IC217" s="35"/>
      <c r="ID217" s="35"/>
      <c r="IE217" s="35"/>
      <c r="IF217" s="35"/>
      <c r="IG217" s="35"/>
      <c r="IH217" s="35"/>
      <c r="II217" s="35"/>
      <c r="IJ217" s="35"/>
      <c r="IK217" s="35"/>
      <c r="IL217" s="35"/>
      <c r="IM217" s="35"/>
      <c r="IN217" s="35"/>
      <c r="IO217" s="35"/>
      <c r="IP217" s="35"/>
      <c r="IQ217" s="35"/>
      <c r="IR217" s="35"/>
      <c r="IS217" s="35"/>
      <c r="IT217" s="35"/>
      <c r="IU217" s="35"/>
      <c r="IV217" s="35"/>
      <c r="IW217" s="35"/>
      <c r="IX217" s="35"/>
      <c r="IY217" s="35"/>
      <c r="IZ217" s="35"/>
      <c r="JA217" s="35"/>
      <c r="JB217" s="35"/>
      <c r="JC217" s="35"/>
      <c r="JD217" s="35"/>
      <c r="JE217" s="35"/>
    </row>
    <row r="218">
      <c r="A218" s="42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K218" s="35"/>
      <c r="CL218" s="35"/>
      <c r="CM218" s="35"/>
      <c r="CN218" s="35"/>
      <c r="CO218" s="35"/>
      <c r="CP218" s="35"/>
      <c r="CQ218" s="35"/>
      <c r="CR218" s="35"/>
      <c r="CS218" s="35"/>
      <c r="CT218" s="35"/>
      <c r="CU218" s="35"/>
      <c r="CV218" s="35"/>
      <c r="CW218" s="35"/>
      <c r="CX218" s="35"/>
      <c r="CY218" s="35"/>
      <c r="CZ218" s="35"/>
      <c r="DA218" s="35"/>
      <c r="DB218" s="35"/>
      <c r="DC218" s="35"/>
      <c r="DD218" s="35"/>
      <c r="DE218" s="35"/>
      <c r="DF218" s="35"/>
      <c r="DG218" s="35"/>
      <c r="DH218" s="35"/>
      <c r="DI218" s="35"/>
      <c r="DJ218" s="35"/>
      <c r="DK218" s="35"/>
      <c r="DL218" s="35"/>
      <c r="DM218" s="35"/>
      <c r="DN218" s="35"/>
      <c r="DO218" s="35"/>
      <c r="DP218" s="35"/>
      <c r="DQ218" s="35"/>
      <c r="DR218" s="35"/>
      <c r="DS218" s="35"/>
      <c r="DT218" s="35"/>
      <c r="DU218" s="35"/>
      <c r="DV218" s="35"/>
      <c r="DW218" s="35"/>
      <c r="DX218" s="35"/>
      <c r="DY218" s="35"/>
      <c r="DZ218" s="35"/>
      <c r="EA218" s="35"/>
      <c r="EB218" s="35"/>
      <c r="EC218" s="35"/>
      <c r="ED218" s="35"/>
      <c r="EE218" s="35"/>
      <c r="EF218" s="35"/>
      <c r="EG218" s="35"/>
      <c r="EH218" s="35"/>
      <c r="EI218" s="35"/>
      <c r="EJ218" s="35"/>
      <c r="EK218" s="35"/>
      <c r="EL218" s="35"/>
      <c r="EM218" s="35"/>
      <c r="EN218" s="35"/>
      <c r="EO218" s="35"/>
      <c r="EP218" s="35"/>
      <c r="EQ218" s="35"/>
      <c r="ER218" s="35"/>
      <c r="ES218" s="35"/>
      <c r="ET218" s="35"/>
      <c r="EU218" s="35"/>
      <c r="EV218" s="35"/>
      <c r="EW218" s="35"/>
      <c r="EX218" s="35"/>
      <c r="EY218" s="35"/>
      <c r="EZ218" s="35"/>
      <c r="FA218" s="35"/>
      <c r="FB218" s="35"/>
      <c r="FC218" s="35"/>
      <c r="FD218" s="35"/>
      <c r="FE218" s="35"/>
      <c r="FF218" s="35"/>
      <c r="FG218" s="35"/>
      <c r="FH218" s="35"/>
      <c r="FI218" s="35"/>
      <c r="FJ218" s="35"/>
      <c r="FK218" s="35"/>
      <c r="FL218" s="35"/>
      <c r="FM218" s="35"/>
      <c r="FN218" s="35"/>
      <c r="FO218" s="35"/>
      <c r="FP218" s="35"/>
      <c r="FQ218" s="35"/>
      <c r="FR218" s="35"/>
      <c r="FS218" s="35"/>
      <c r="FT218" s="35"/>
      <c r="FU218" s="35"/>
      <c r="FV218" s="35"/>
      <c r="FW218" s="35"/>
      <c r="FX218" s="35"/>
      <c r="FY218" s="35"/>
      <c r="FZ218" s="35"/>
      <c r="GA218" s="35"/>
      <c r="GB218" s="35"/>
      <c r="GC218" s="35"/>
      <c r="GD218" s="35"/>
      <c r="GE218" s="35"/>
      <c r="GF218" s="35"/>
      <c r="GG218" s="35"/>
      <c r="GH218" s="35"/>
      <c r="GI218" s="35"/>
      <c r="GJ218" s="35"/>
      <c r="GK218" s="35"/>
      <c r="GL218" s="35"/>
      <c r="GM218" s="35"/>
      <c r="GN218" s="35"/>
      <c r="GO218" s="35"/>
      <c r="GP218" s="35"/>
      <c r="GQ218" s="35"/>
      <c r="GR218" s="35"/>
      <c r="GS218" s="35"/>
      <c r="GT218" s="35"/>
      <c r="GU218" s="35"/>
      <c r="GV218" s="35"/>
      <c r="GW218" s="35"/>
      <c r="GX218" s="35"/>
      <c r="GY218" s="35"/>
      <c r="GZ218" s="35"/>
      <c r="HA218" s="35"/>
      <c r="HB218" s="35"/>
      <c r="HC218" s="35"/>
      <c r="HD218" s="35"/>
      <c r="HE218" s="35"/>
      <c r="HF218" s="35"/>
      <c r="HG218" s="35"/>
      <c r="HH218" s="35"/>
      <c r="HI218" s="35"/>
      <c r="HJ218" s="35"/>
      <c r="HK218" s="35"/>
      <c r="HL218" s="35"/>
      <c r="HM218" s="35"/>
      <c r="HN218" s="35"/>
      <c r="HO218" s="35"/>
      <c r="HP218" s="35"/>
      <c r="HQ218" s="35"/>
      <c r="HR218" s="35"/>
      <c r="HS218" s="35"/>
      <c r="HT218" s="35"/>
      <c r="HU218" s="35"/>
      <c r="HV218" s="35"/>
      <c r="HW218" s="35"/>
      <c r="HX218" s="35"/>
      <c r="HY218" s="35"/>
      <c r="HZ218" s="35"/>
      <c r="IA218" s="35"/>
      <c r="IB218" s="35"/>
      <c r="IC218" s="35"/>
      <c r="ID218" s="35"/>
      <c r="IE218" s="35"/>
      <c r="IF218" s="35"/>
      <c r="IG218" s="35"/>
      <c r="IH218" s="35"/>
      <c r="II218" s="35"/>
      <c r="IJ218" s="35"/>
      <c r="IK218" s="35"/>
      <c r="IL218" s="35"/>
      <c r="IM218" s="35"/>
      <c r="IN218" s="35"/>
      <c r="IO218" s="35"/>
      <c r="IP218" s="35"/>
      <c r="IQ218" s="35"/>
      <c r="IR218" s="35"/>
      <c r="IS218" s="35"/>
      <c r="IT218" s="35"/>
      <c r="IU218" s="35"/>
      <c r="IV218" s="35"/>
      <c r="IW218" s="35"/>
      <c r="IX218" s="35"/>
      <c r="IY218" s="35"/>
      <c r="IZ218" s="35"/>
      <c r="JA218" s="35"/>
      <c r="JB218" s="35"/>
      <c r="JC218" s="35"/>
      <c r="JD218" s="35"/>
      <c r="JE218" s="35"/>
    </row>
    <row r="219">
      <c r="A219" s="42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/>
      <c r="CJ219" s="35"/>
      <c r="CK219" s="35"/>
      <c r="CL219" s="35"/>
      <c r="CM219" s="35"/>
      <c r="CN219" s="35"/>
      <c r="CO219" s="35"/>
      <c r="CP219" s="35"/>
      <c r="CQ219" s="35"/>
      <c r="CR219" s="35"/>
      <c r="CS219" s="35"/>
      <c r="CT219" s="35"/>
      <c r="CU219" s="35"/>
      <c r="CV219" s="35"/>
      <c r="CW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  <c r="DL219" s="35"/>
      <c r="DM219" s="35"/>
      <c r="DN219" s="35"/>
      <c r="DO219" s="35"/>
      <c r="DP219" s="35"/>
      <c r="DQ219" s="35"/>
      <c r="DR219" s="35"/>
      <c r="DS219" s="35"/>
      <c r="DT219" s="35"/>
      <c r="DU219" s="35"/>
      <c r="DV219" s="35"/>
      <c r="DW219" s="35"/>
      <c r="DX219" s="35"/>
      <c r="DY219" s="35"/>
      <c r="DZ219" s="35"/>
      <c r="EA219" s="35"/>
      <c r="EB219" s="35"/>
      <c r="EC219" s="35"/>
      <c r="ED219" s="35"/>
      <c r="EE219" s="35"/>
      <c r="EF219" s="35"/>
      <c r="EG219" s="35"/>
      <c r="EH219" s="35"/>
      <c r="EI219" s="35"/>
      <c r="EJ219" s="35"/>
      <c r="EK219" s="35"/>
      <c r="EL219" s="35"/>
      <c r="EM219" s="35"/>
      <c r="EN219" s="35"/>
      <c r="EO219" s="35"/>
      <c r="EP219" s="35"/>
      <c r="EQ219" s="35"/>
      <c r="ER219" s="35"/>
      <c r="ES219" s="35"/>
      <c r="ET219" s="35"/>
      <c r="EU219" s="35"/>
      <c r="EV219" s="35"/>
      <c r="EW219" s="35"/>
      <c r="EX219" s="35"/>
      <c r="EY219" s="35"/>
      <c r="EZ219" s="35"/>
      <c r="FA219" s="35"/>
      <c r="FB219" s="35"/>
      <c r="FC219" s="35"/>
      <c r="FD219" s="35"/>
      <c r="FE219" s="35"/>
      <c r="FF219" s="35"/>
      <c r="FG219" s="35"/>
      <c r="FH219" s="35"/>
      <c r="FI219" s="35"/>
      <c r="FJ219" s="35"/>
      <c r="FK219" s="35"/>
      <c r="FL219" s="35"/>
      <c r="FM219" s="35"/>
      <c r="FN219" s="35"/>
      <c r="FO219" s="35"/>
      <c r="FP219" s="35"/>
      <c r="FQ219" s="35"/>
      <c r="FR219" s="35"/>
      <c r="FS219" s="35"/>
      <c r="FT219" s="35"/>
      <c r="FU219" s="35"/>
      <c r="FV219" s="35"/>
      <c r="FW219" s="35"/>
      <c r="FX219" s="35"/>
      <c r="FY219" s="35"/>
      <c r="FZ219" s="35"/>
      <c r="GA219" s="35"/>
      <c r="GB219" s="35"/>
      <c r="GC219" s="35"/>
      <c r="GD219" s="35"/>
      <c r="GE219" s="35"/>
      <c r="GF219" s="35"/>
      <c r="GG219" s="35"/>
      <c r="GH219" s="35"/>
      <c r="GI219" s="35"/>
      <c r="GJ219" s="35"/>
      <c r="GK219" s="35"/>
      <c r="GL219" s="35"/>
      <c r="GM219" s="35"/>
      <c r="GN219" s="35"/>
      <c r="GO219" s="35"/>
      <c r="GP219" s="35"/>
      <c r="GQ219" s="35"/>
      <c r="GR219" s="35"/>
      <c r="GS219" s="35"/>
      <c r="GT219" s="35"/>
      <c r="GU219" s="35"/>
      <c r="GV219" s="35"/>
      <c r="GW219" s="35"/>
      <c r="GX219" s="35"/>
      <c r="GY219" s="35"/>
      <c r="GZ219" s="35"/>
      <c r="HA219" s="35"/>
      <c r="HB219" s="35"/>
      <c r="HC219" s="35"/>
      <c r="HD219" s="35"/>
      <c r="HE219" s="35"/>
      <c r="HF219" s="35"/>
      <c r="HG219" s="35"/>
      <c r="HH219" s="35"/>
      <c r="HI219" s="35"/>
      <c r="HJ219" s="35"/>
      <c r="HK219" s="35"/>
      <c r="HL219" s="35"/>
      <c r="HM219" s="35"/>
      <c r="HN219" s="35"/>
      <c r="HO219" s="35"/>
      <c r="HP219" s="35"/>
      <c r="HQ219" s="35"/>
      <c r="HR219" s="35"/>
      <c r="HS219" s="35"/>
      <c r="HT219" s="35"/>
      <c r="HU219" s="35"/>
      <c r="HV219" s="35"/>
      <c r="HW219" s="35"/>
      <c r="HX219" s="35"/>
      <c r="HY219" s="35"/>
      <c r="HZ219" s="35"/>
      <c r="IA219" s="35"/>
      <c r="IB219" s="35"/>
      <c r="IC219" s="35"/>
      <c r="ID219" s="35"/>
      <c r="IE219" s="35"/>
      <c r="IF219" s="35"/>
      <c r="IG219" s="35"/>
      <c r="IH219" s="35"/>
      <c r="II219" s="35"/>
      <c r="IJ219" s="35"/>
      <c r="IK219" s="35"/>
      <c r="IL219" s="35"/>
      <c r="IM219" s="35"/>
      <c r="IN219" s="35"/>
      <c r="IO219" s="35"/>
      <c r="IP219" s="35"/>
      <c r="IQ219" s="35"/>
      <c r="IR219" s="35"/>
      <c r="IS219" s="35"/>
      <c r="IT219" s="35"/>
      <c r="IU219" s="35"/>
      <c r="IV219" s="35"/>
      <c r="IW219" s="35"/>
      <c r="IX219" s="35"/>
      <c r="IY219" s="35"/>
      <c r="IZ219" s="35"/>
      <c r="JA219" s="35"/>
      <c r="JB219" s="35"/>
      <c r="JC219" s="35"/>
      <c r="JD219" s="35"/>
      <c r="JE219" s="35"/>
    </row>
    <row r="220">
      <c r="A220" s="42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K220" s="35"/>
      <c r="CL220" s="35"/>
      <c r="CM220" s="35"/>
      <c r="CN220" s="35"/>
      <c r="CO220" s="35"/>
      <c r="CP220" s="35"/>
      <c r="CQ220" s="35"/>
      <c r="CR220" s="35"/>
      <c r="CS220" s="35"/>
      <c r="CT220" s="35"/>
      <c r="CU220" s="35"/>
      <c r="CV220" s="35"/>
      <c r="CW220" s="35"/>
      <c r="CX220" s="35"/>
      <c r="CY220" s="35"/>
      <c r="CZ220" s="35"/>
      <c r="DA220" s="35"/>
      <c r="DB220" s="35"/>
      <c r="DC220" s="35"/>
      <c r="DD220" s="35"/>
      <c r="DE220" s="35"/>
      <c r="DF220" s="35"/>
      <c r="DG220" s="35"/>
      <c r="DH220" s="35"/>
      <c r="DI220" s="35"/>
      <c r="DJ220" s="35"/>
      <c r="DK220" s="35"/>
      <c r="DL220" s="35"/>
      <c r="DM220" s="35"/>
      <c r="DN220" s="35"/>
      <c r="DO220" s="35"/>
      <c r="DP220" s="35"/>
      <c r="DQ220" s="35"/>
      <c r="DR220" s="35"/>
      <c r="DS220" s="35"/>
      <c r="DT220" s="35"/>
      <c r="DU220" s="35"/>
      <c r="DV220" s="35"/>
      <c r="DW220" s="35"/>
      <c r="DX220" s="35"/>
      <c r="DY220" s="35"/>
      <c r="DZ220" s="35"/>
      <c r="EA220" s="35"/>
      <c r="EB220" s="35"/>
      <c r="EC220" s="35"/>
      <c r="ED220" s="35"/>
      <c r="EE220" s="35"/>
      <c r="EF220" s="35"/>
      <c r="EG220" s="35"/>
      <c r="EH220" s="35"/>
      <c r="EI220" s="35"/>
      <c r="EJ220" s="35"/>
      <c r="EK220" s="35"/>
      <c r="EL220" s="35"/>
      <c r="EM220" s="35"/>
      <c r="EN220" s="35"/>
      <c r="EO220" s="35"/>
      <c r="EP220" s="35"/>
      <c r="EQ220" s="35"/>
      <c r="ER220" s="35"/>
      <c r="ES220" s="35"/>
      <c r="ET220" s="35"/>
      <c r="EU220" s="35"/>
      <c r="EV220" s="35"/>
      <c r="EW220" s="35"/>
      <c r="EX220" s="35"/>
      <c r="EY220" s="35"/>
      <c r="EZ220" s="35"/>
      <c r="FA220" s="35"/>
      <c r="FB220" s="35"/>
      <c r="FC220" s="35"/>
      <c r="FD220" s="35"/>
      <c r="FE220" s="35"/>
      <c r="FF220" s="35"/>
      <c r="FG220" s="35"/>
      <c r="FH220" s="35"/>
      <c r="FI220" s="35"/>
      <c r="FJ220" s="35"/>
      <c r="FK220" s="35"/>
      <c r="FL220" s="35"/>
      <c r="FM220" s="35"/>
      <c r="FN220" s="35"/>
      <c r="FO220" s="35"/>
      <c r="FP220" s="35"/>
      <c r="FQ220" s="35"/>
      <c r="FR220" s="35"/>
      <c r="FS220" s="35"/>
      <c r="FT220" s="35"/>
      <c r="FU220" s="35"/>
      <c r="FV220" s="35"/>
      <c r="FW220" s="35"/>
      <c r="FX220" s="35"/>
      <c r="FY220" s="35"/>
      <c r="FZ220" s="35"/>
      <c r="GA220" s="35"/>
      <c r="GB220" s="35"/>
      <c r="GC220" s="35"/>
      <c r="GD220" s="35"/>
      <c r="GE220" s="35"/>
      <c r="GF220" s="35"/>
      <c r="GG220" s="35"/>
      <c r="GH220" s="35"/>
      <c r="GI220" s="35"/>
      <c r="GJ220" s="35"/>
      <c r="GK220" s="35"/>
      <c r="GL220" s="35"/>
      <c r="GM220" s="35"/>
      <c r="GN220" s="35"/>
      <c r="GO220" s="35"/>
      <c r="GP220" s="35"/>
      <c r="GQ220" s="35"/>
      <c r="GR220" s="35"/>
      <c r="GS220" s="35"/>
      <c r="GT220" s="35"/>
      <c r="GU220" s="35"/>
      <c r="GV220" s="35"/>
      <c r="GW220" s="35"/>
      <c r="GX220" s="35"/>
      <c r="GY220" s="35"/>
      <c r="GZ220" s="35"/>
      <c r="HA220" s="35"/>
      <c r="HB220" s="35"/>
      <c r="HC220" s="35"/>
      <c r="HD220" s="35"/>
      <c r="HE220" s="35"/>
      <c r="HF220" s="35"/>
      <c r="HG220" s="35"/>
      <c r="HH220" s="35"/>
      <c r="HI220" s="35"/>
      <c r="HJ220" s="35"/>
      <c r="HK220" s="35"/>
      <c r="HL220" s="35"/>
      <c r="HM220" s="35"/>
      <c r="HN220" s="35"/>
      <c r="HO220" s="35"/>
      <c r="HP220" s="35"/>
      <c r="HQ220" s="35"/>
      <c r="HR220" s="35"/>
      <c r="HS220" s="35"/>
      <c r="HT220" s="35"/>
      <c r="HU220" s="35"/>
      <c r="HV220" s="35"/>
      <c r="HW220" s="35"/>
      <c r="HX220" s="35"/>
      <c r="HY220" s="35"/>
      <c r="HZ220" s="35"/>
      <c r="IA220" s="35"/>
      <c r="IB220" s="35"/>
      <c r="IC220" s="35"/>
      <c r="ID220" s="35"/>
      <c r="IE220" s="35"/>
      <c r="IF220" s="35"/>
      <c r="IG220" s="35"/>
      <c r="IH220" s="35"/>
      <c r="II220" s="35"/>
      <c r="IJ220" s="35"/>
      <c r="IK220" s="35"/>
      <c r="IL220" s="35"/>
      <c r="IM220" s="35"/>
      <c r="IN220" s="35"/>
      <c r="IO220" s="35"/>
      <c r="IP220" s="35"/>
      <c r="IQ220" s="35"/>
      <c r="IR220" s="35"/>
      <c r="IS220" s="35"/>
      <c r="IT220" s="35"/>
      <c r="IU220" s="35"/>
      <c r="IV220" s="35"/>
      <c r="IW220" s="35"/>
      <c r="IX220" s="35"/>
      <c r="IY220" s="35"/>
      <c r="IZ220" s="35"/>
      <c r="JA220" s="35"/>
      <c r="JB220" s="35"/>
      <c r="JC220" s="35"/>
      <c r="JD220" s="35"/>
      <c r="JE220" s="35"/>
    </row>
    <row r="221">
      <c r="A221" s="42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K221" s="35"/>
      <c r="CL221" s="35"/>
      <c r="CM221" s="35"/>
      <c r="CN221" s="35"/>
      <c r="CO221" s="35"/>
      <c r="CP221" s="35"/>
      <c r="CQ221" s="35"/>
      <c r="CR221" s="35"/>
      <c r="CS221" s="35"/>
      <c r="CT221" s="35"/>
      <c r="CU221" s="35"/>
      <c r="CV221" s="35"/>
      <c r="CW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  <c r="DL221" s="35"/>
      <c r="DM221" s="35"/>
      <c r="DN221" s="35"/>
      <c r="DO221" s="35"/>
      <c r="DP221" s="35"/>
      <c r="DQ221" s="35"/>
      <c r="DR221" s="35"/>
      <c r="DS221" s="35"/>
      <c r="DT221" s="35"/>
      <c r="DU221" s="35"/>
      <c r="DV221" s="35"/>
      <c r="DW221" s="35"/>
      <c r="DX221" s="35"/>
      <c r="DY221" s="35"/>
      <c r="DZ221" s="35"/>
      <c r="EA221" s="35"/>
      <c r="EB221" s="35"/>
      <c r="EC221" s="35"/>
      <c r="ED221" s="35"/>
      <c r="EE221" s="35"/>
      <c r="EF221" s="35"/>
      <c r="EG221" s="35"/>
      <c r="EH221" s="35"/>
      <c r="EI221" s="35"/>
      <c r="EJ221" s="35"/>
      <c r="EK221" s="35"/>
      <c r="EL221" s="35"/>
      <c r="EM221" s="35"/>
      <c r="EN221" s="35"/>
      <c r="EO221" s="35"/>
      <c r="EP221" s="35"/>
      <c r="EQ221" s="35"/>
      <c r="ER221" s="35"/>
      <c r="ES221" s="35"/>
      <c r="ET221" s="35"/>
      <c r="EU221" s="35"/>
      <c r="EV221" s="35"/>
      <c r="EW221" s="35"/>
      <c r="EX221" s="35"/>
      <c r="EY221" s="35"/>
      <c r="EZ221" s="35"/>
      <c r="FA221" s="35"/>
      <c r="FB221" s="35"/>
      <c r="FC221" s="35"/>
      <c r="FD221" s="35"/>
      <c r="FE221" s="35"/>
      <c r="FF221" s="35"/>
      <c r="FG221" s="35"/>
      <c r="FH221" s="35"/>
      <c r="FI221" s="35"/>
      <c r="FJ221" s="35"/>
      <c r="FK221" s="35"/>
      <c r="FL221" s="35"/>
      <c r="FM221" s="35"/>
      <c r="FN221" s="35"/>
      <c r="FO221" s="35"/>
      <c r="FP221" s="35"/>
      <c r="FQ221" s="35"/>
      <c r="FR221" s="35"/>
      <c r="FS221" s="35"/>
      <c r="FT221" s="35"/>
      <c r="FU221" s="35"/>
      <c r="FV221" s="35"/>
      <c r="FW221" s="35"/>
      <c r="FX221" s="35"/>
      <c r="FY221" s="35"/>
      <c r="FZ221" s="35"/>
      <c r="GA221" s="35"/>
      <c r="GB221" s="35"/>
      <c r="GC221" s="35"/>
      <c r="GD221" s="35"/>
      <c r="GE221" s="35"/>
      <c r="GF221" s="35"/>
      <c r="GG221" s="35"/>
      <c r="GH221" s="35"/>
      <c r="GI221" s="35"/>
      <c r="GJ221" s="35"/>
      <c r="GK221" s="35"/>
      <c r="GL221" s="35"/>
      <c r="GM221" s="35"/>
      <c r="GN221" s="35"/>
      <c r="GO221" s="35"/>
      <c r="GP221" s="35"/>
      <c r="GQ221" s="35"/>
      <c r="GR221" s="35"/>
      <c r="GS221" s="35"/>
      <c r="GT221" s="35"/>
      <c r="GU221" s="35"/>
      <c r="GV221" s="35"/>
      <c r="GW221" s="35"/>
      <c r="GX221" s="35"/>
      <c r="GY221" s="35"/>
      <c r="GZ221" s="35"/>
      <c r="HA221" s="35"/>
      <c r="HB221" s="35"/>
      <c r="HC221" s="35"/>
      <c r="HD221" s="35"/>
      <c r="HE221" s="35"/>
      <c r="HF221" s="35"/>
      <c r="HG221" s="35"/>
      <c r="HH221" s="35"/>
      <c r="HI221" s="35"/>
      <c r="HJ221" s="35"/>
      <c r="HK221" s="35"/>
      <c r="HL221" s="35"/>
      <c r="HM221" s="35"/>
      <c r="HN221" s="35"/>
      <c r="HO221" s="35"/>
      <c r="HP221" s="35"/>
      <c r="HQ221" s="35"/>
      <c r="HR221" s="35"/>
      <c r="HS221" s="35"/>
      <c r="HT221" s="35"/>
      <c r="HU221" s="35"/>
      <c r="HV221" s="35"/>
      <c r="HW221" s="35"/>
      <c r="HX221" s="35"/>
      <c r="HY221" s="35"/>
      <c r="HZ221" s="35"/>
      <c r="IA221" s="35"/>
      <c r="IB221" s="35"/>
      <c r="IC221" s="35"/>
      <c r="ID221" s="35"/>
      <c r="IE221" s="35"/>
      <c r="IF221" s="35"/>
      <c r="IG221" s="35"/>
      <c r="IH221" s="35"/>
      <c r="II221" s="35"/>
      <c r="IJ221" s="35"/>
      <c r="IK221" s="35"/>
      <c r="IL221" s="35"/>
      <c r="IM221" s="35"/>
      <c r="IN221" s="35"/>
      <c r="IO221" s="35"/>
      <c r="IP221" s="35"/>
      <c r="IQ221" s="35"/>
      <c r="IR221" s="35"/>
      <c r="IS221" s="35"/>
      <c r="IT221" s="35"/>
      <c r="IU221" s="35"/>
      <c r="IV221" s="35"/>
      <c r="IW221" s="35"/>
      <c r="IX221" s="35"/>
      <c r="IY221" s="35"/>
      <c r="IZ221" s="35"/>
      <c r="JA221" s="35"/>
      <c r="JB221" s="35"/>
      <c r="JC221" s="35"/>
      <c r="JD221" s="35"/>
      <c r="JE221" s="35"/>
    </row>
    <row r="222">
      <c r="A222" s="42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  <c r="BW222" s="35"/>
      <c r="BX222" s="35"/>
      <c r="BY222" s="35"/>
      <c r="BZ222" s="35"/>
      <c r="CA222" s="35"/>
      <c r="CB222" s="35"/>
      <c r="CC222" s="35"/>
      <c r="CD222" s="35"/>
      <c r="CE222" s="35"/>
      <c r="CF222" s="35"/>
      <c r="CG222" s="35"/>
      <c r="CH222" s="35"/>
      <c r="CI222" s="35"/>
      <c r="CJ222" s="35"/>
      <c r="CK222" s="35"/>
      <c r="CL222" s="35"/>
      <c r="CM222" s="35"/>
      <c r="CN222" s="35"/>
      <c r="CO222" s="35"/>
      <c r="CP222" s="35"/>
      <c r="CQ222" s="35"/>
      <c r="CR222" s="35"/>
      <c r="CS222" s="35"/>
      <c r="CT222" s="35"/>
      <c r="CU222" s="35"/>
      <c r="CV222" s="35"/>
      <c r="CW222" s="35"/>
      <c r="CX222" s="35"/>
      <c r="CY222" s="35"/>
      <c r="CZ222" s="35"/>
      <c r="DA222" s="35"/>
      <c r="DB222" s="35"/>
      <c r="DC222" s="35"/>
      <c r="DD222" s="35"/>
      <c r="DE222" s="35"/>
      <c r="DF222" s="35"/>
      <c r="DG222" s="35"/>
      <c r="DH222" s="35"/>
      <c r="DI222" s="35"/>
      <c r="DJ222" s="35"/>
      <c r="DK222" s="35"/>
      <c r="DL222" s="35"/>
      <c r="DM222" s="35"/>
      <c r="DN222" s="35"/>
      <c r="DO222" s="35"/>
      <c r="DP222" s="35"/>
      <c r="DQ222" s="35"/>
      <c r="DR222" s="35"/>
      <c r="DS222" s="35"/>
      <c r="DT222" s="35"/>
      <c r="DU222" s="35"/>
      <c r="DV222" s="35"/>
      <c r="DW222" s="35"/>
      <c r="DX222" s="35"/>
      <c r="DY222" s="35"/>
      <c r="DZ222" s="35"/>
      <c r="EA222" s="35"/>
      <c r="EB222" s="35"/>
      <c r="EC222" s="35"/>
      <c r="ED222" s="35"/>
      <c r="EE222" s="35"/>
      <c r="EF222" s="35"/>
      <c r="EG222" s="35"/>
      <c r="EH222" s="35"/>
      <c r="EI222" s="35"/>
      <c r="EJ222" s="35"/>
      <c r="EK222" s="35"/>
      <c r="EL222" s="35"/>
      <c r="EM222" s="35"/>
      <c r="EN222" s="35"/>
      <c r="EO222" s="35"/>
      <c r="EP222" s="35"/>
      <c r="EQ222" s="35"/>
      <c r="ER222" s="35"/>
      <c r="ES222" s="35"/>
      <c r="ET222" s="35"/>
      <c r="EU222" s="35"/>
      <c r="EV222" s="35"/>
      <c r="EW222" s="35"/>
      <c r="EX222" s="35"/>
      <c r="EY222" s="35"/>
      <c r="EZ222" s="35"/>
      <c r="FA222" s="35"/>
      <c r="FB222" s="35"/>
      <c r="FC222" s="35"/>
      <c r="FD222" s="35"/>
      <c r="FE222" s="35"/>
      <c r="FF222" s="35"/>
      <c r="FG222" s="35"/>
      <c r="FH222" s="35"/>
      <c r="FI222" s="35"/>
      <c r="FJ222" s="35"/>
      <c r="FK222" s="35"/>
      <c r="FL222" s="35"/>
      <c r="FM222" s="35"/>
      <c r="FN222" s="35"/>
      <c r="FO222" s="35"/>
      <c r="FP222" s="35"/>
      <c r="FQ222" s="35"/>
      <c r="FR222" s="35"/>
      <c r="FS222" s="35"/>
      <c r="FT222" s="35"/>
      <c r="FU222" s="35"/>
      <c r="FV222" s="35"/>
      <c r="FW222" s="35"/>
      <c r="FX222" s="35"/>
      <c r="FY222" s="35"/>
      <c r="FZ222" s="35"/>
      <c r="GA222" s="35"/>
      <c r="GB222" s="35"/>
      <c r="GC222" s="35"/>
      <c r="GD222" s="35"/>
      <c r="GE222" s="35"/>
      <c r="GF222" s="35"/>
      <c r="GG222" s="35"/>
      <c r="GH222" s="35"/>
      <c r="GI222" s="35"/>
      <c r="GJ222" s="35"/>
      <c r="GK222" s="35"/>
      <c r="GL222" s="35"/>
      <c r="GM222" s="35"/>
      <c r="GN222" s="35"/>
      <c r="GO222" s="35"/>
      <c r="GP222" s="35"/>
      <c r="GQ222" s="35"/>
      <c r="GR222" s="35"/>
      <c r="GS222" s="35"/>
      <c r="GT222" s="35"/>
      <c r="GU222" s="35"/>
      <c r="GV222" s="35"/>
      <c r="GW222" s="35"/>
      <c r="GX222" s="35"/>
      <c r="GY222" s="35"/>
      <c r="GZ222" s="35"/>
      <c r="HA222" s="35"/>
      <c r="HB222" s="35"/>
      <c r="HC222" s="35"/>
      <c r="HD222" s="35"/>
      <c r="HE222" s="35"/>
      <c r="HF222" s="35"/>
      <c r="HG222" s="35"/>
      <c r="HH222" s="35"/>
      <c r="HI222" s="35"/>
      <c r="HJ222" s="35"/>
      <c r="HK222" s="35"/>
      <c r="HL222" s="35"/>
      <c r="HM222" s="35"/>
      <c r="HN222" s="35"/>
      <c r="HO222" s="35"/>
      <c r="HP222" s="35"/>
      <c r="HQ222" s="35"/>
      <c r="HR222" s="35"/>
      <c r="HS222" s="35"/>
      <c r="HT222" s="35"/>
      <c r="HU222" s="35"/>
      <c r="HV222" s="35"/>
      <c r="HW222" s="35"/>
      <c r="HX222" s="35"/>
      <c r="HY222" s="35"/>
      <c r="HZ222" s="35"/>
      <c r="IA222" s="35"/>
      <c r="IB222" s="35"/>
      <c r="IC222" s="35"/>
      <c r="ID222" s="35"/>
      <c r="IE222" s="35"/>
      <c r="IF222" s="35"/>
      <c r="IG222" s="35"/>
      <c r="IH222" s="35"/>
      <c r="II222" s="35"/>
      <c r="IJ222" s="35"/>
      <c r="IK222" s="35"/>
      <c r="IL222" s="35"/>
      <c r="IM222" s="35"/>
      <c r="IN222" s="35"/>
      <c r="IO222" s="35"/>
      <c r="IP222" s="35"/>
      <c r="IQ222" s="35"/>
      <c r="IR222" s="35"/>
      <c r="IS222" s="35"/>
      <c r="IT222" s="35"/>
      <c r="IU222" s="35"/>
      <c r="IV222" s="35"/>
      <c r="IW222" s="35"/>
      <c r="IX222" s="35"/>
      <c r="IY222" s="35"/>
      <c r="IZ222" s="35"/>
      <c r="JA222" s="35"/>
      <c r="JB222" s="35"/>
      <c r="JC222" s="35"/>
      <c r="JD222" s="35"/>
      <c r="JE222" s="35"/>
    </row>
    <row r="223">
      <c r="A223" s="42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  <c r="CD223" s="35"/>
      <c r="CE223" s="35"/>
      <c r="CF223" s="35"/>
      <c r="CG223" s="35"/>
      <c r="CH223" s="35"/>
      <c r="CI223" s="35"/>
      <c r="CJ223" s="35"/>
      <c r="CK223" s="35"/>
      <c r="CL223" s="35"/>
      <c r="CM223" s="35"/>
      <c r="CN223" s="35"/>
      <c r="CO223" s="35"/>
      <c r="CP223" s="35"/>
      <c r="CQ223" s="35"/>
      <c r="CR223" s="35"/>
      <c r="CS223" s="35"/>
      <c r="CT223" s="35"/>
      <c r="CU223" s="35"/>
      <c r="CV223" s="35"/>
      <c r="CW223" s="35"/>
      <c r="CX223" s="35"/>
      <c r="CY223" s="35"/>
      <c r="CZ223" s="35"/>
      <c r="DA223" s="35"/>
      <c r="DB223" s="35"/>
      <c r="DC223" s="35"/>
      <c r="DD223" s="35"/>
      <c r="DE223" s="35"/>
      <c r="DF223" s="35"/>
      <c r="DG223" s="35"/>
      <c r="DH223" s="35"/>
      <c r="DI223" s="35"/>
      <c r="DJ223" s="35"/>
      <c r="DK223" s="35"/>
      <c r="DL223" s="35"/>
      <c r="DM223" s="35"/>
      <c r="DN223" s="35"/>
      <c r="DO223" s="35"/>
      <c r="DP223" s="35"/>
      <c r="DQ223" s="35"/>
      <c r="DR223" s="35"/>
      <c r="DS223" s="35"/>
      <c r="DT223" s="35"/>
      <c r="DU223" s="35"/>
      <c r="DV223" s="35"/>
      <c r="DW223" s="35"/>
      <c r="DX223" s="35"/>
      <c r="DY223" s="35"/>
      <c r="DZ223" s="35"/>
      <c r="EA223" s="35"/>
      <c r="EB223" s="35"/>
      <c r="EC223" s="35"/>
      <c r="ED223" s="35"/>
      <c r="EE223" s="35"/>
      <c r="EF223" s="35"/>
      <c r="EG223" s="35"/>
      <c r="EH223" s="35"/>
      <c r="EI223" s="35"/>
      <c r="EJ223" s="35"/>
      <c r="EK223" s="35"/>
      <c r="EL223" s="35"/>
      <c r="EM223" s="35"/>
      <c r="EN223" s="35"/>
      <c r="EO223" s="35"/>
      <c r="EP223" s="35"/>
      <c r="EQ223" s="35"/>
      <c r="ER223" s="35"/>
      <c r="ES223" s="35"/>
      <c r="ET223" s="35"/>
      <c r="EU223" s="35"/>
      <c r="EV223" s="35"/>
      <c r="EW223" s="35"/>
      <c r="EX223" s="35"/>
      <c r="EY223" s="35"/>
      <c r="EZ223" s="35"/>
      <c r="FA223" s="35"/>
      <c r="FB223" s="35"/>
      <c r="FC223" s="35"/>
      <c r="FD223" s="35"/>
      <c r="FE223" s="35"/>
      <c r="FF223" s="35"/>
      <c r="FG223" s="35"/>
      <c r="FH223" s="35"/>
      <c r="FI223" s="35"/>
      <c r="FJ223" s="35"/>
      <c r="FK223" s="35"/>
      <c r="FL223" s="35"/>
      <c r="FM223" s="35"/>
      <c r="FN223" s="35"/>
      <c r="FO223" s="35"/>
      <c r="FP223" s="35"/>
      <c r="FQ223" s="35"/>
      <c r="FR223" s="35"/>
      <c r="FS223" s="35"/>
      <c r="FT223" s="35"/>
      <c r="FU223" s="35"/>
      <c r="FV223" s="35"/>
      <c r="FW223" s="35"/>
      <c r="FX223" s="35"/>
      <c r="FY223" s="35"/>
      <c r="FZ223" s="35"/>
      <c r="GA223" s="35"/>
      <c r="GB223" s="35"/>
      <c r="GC223" s="35"/>
      <c r="GD223" s="35"/>
      <c r="GE223" s="35"/>
      <c r="GF223" s="35"/>
      <c r="GG223" s="35"/>
      <c r="GH223" s="35"/>
      <c r="GI223" s="35"/>
      <c r="GJ223" s="35"/>
      <c r="GK223" s="35"/>
      <c r="GL223" s="35"/>
      <c r="GM223" s="35"/>
      <c r="GN223" s="35"/>
      <c r="GO223" s="35"/>
      <c r="GP223" s="35"/>
      <c r="GQ223" s="35"/>
      <c r="GR223" s="35"/>
      <c r="GS223" s="35"/>
      <c r="GT223" s="35"/>
      <c r="GU223" s="35"/>
      <c r="GV223" s="35"/>
      <c r="GW223" s="35"/>
      <c r="GX223" s="35"/>
      <c r="GY223" s="35"/>
      <c r="GZ223" s="35"/>
      <c r="HA223" s="35"/>
      <c r="HB223" s="35"/>
      <c r="HC223" s="35"/>
      <c r="HD223" s="35"/>
      <c r="HE223" s="35"/>
      <c r="HF223" s="35"/>
      <c r="HG223" s="35"/>
      <c r="HH223" s="35"/>
      <c r="HI223" s="35"/>
      <c r="HJ223" s="35"/>
      <c r="HK223" s="35"/>
      <c r="HL223" s="35"/>
      <c r="HM223" s="35"/>
      <c r="HN223" s="35"/>
      <c r="HO223" s="35"/>
      <c r="HP223" s="35"/>
      <c r="HQ223" s="35"/>
      <c r="HR223" s="35"/>
      <c r="HS223" s="35"/>
      <c r="HT223" s="35"/>
      <c r="HU223" s="35"/>
      <c r="HV223" s="35"/>
      <c r="HW223" s="35"/>
      <c r="HX223" s="35"/>
      <c r="HY223" s="35"/>
      <c r="HZ223" s="35"/>
      <c r="IA223" s="35"/>
      <c r="IB223" s="35"/>
      <c r="IC223" s="35"/>
      <c r="ID223" s="35"/>
      <c r="IE223" s="35"/>
      <c r="IF223" s="35"/>
      <c r="IG223" s="35"/>
      <c r="IH223" s="35"/>
      <c r="II223" s="35"/>
      <c r="IJ223" s="35"/>
      <c r="IK223" s="35"/>
      <c r="IL223" s="35"/>
      <c r="IM223" s="35"/>
      <c r="IN223" s="35"/>
      <c r="IO223" s="35"/>
      <c r="IP223" s="35"/>
      <c r="IQ223" s="35"/>
      <c r="IR223" s="35"/>
      <c r="IS223" s="35"/>
      <c r="IT223" s="35"/>
      <c r="IU223" s="35"/>
      <c r="IV223" s="35"/>
      <c r="IW223" s="35"/>
      <c r="IX223" s="35"/>
      <c r="IY223" s="35"/>
      <c r="IZ223" s="35"/>
      <c r="JA223" s="35"/>
      <c r="JB223" s="35"/>
      <c r="JC223" s="35"/>
      <c r="JD223" s="35"/>
      <c r="JE223" s="35"/>
    </row>
    <row r="224">
      <c r="A224" s="42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35"/>
      <c r="BU224" s="35"/>
      <c r="BV224" s="35"/>
      <c r="BW224" s="35"/>
      <c r="BX224" s="35"/>
      <c r="BY224" s="35"/>
      <c r="BZ224" s="35"/>
      <c r="CA224" s="35"/>
      <c r="CB224" s="35"/>
      <c r="CC224" s="35"/>
      <c r="CD224" s="35"/>
      <c r="CE224" s="35"/>
      <c r="CF224" s="35"/>
      <c r="CG224" s="35"/>
      <c r="CH224" s="35"/>
      <c r="CI224" s="35"/>
      <c r="CJ224" s="35"/>
      <c r="CK224" s="35"/>
      <c r="CL224" s="35"/>
      <c r="CM224" s="35"/>
      <c r="CN224" s="35"/>
      <c r="CO224" s="35"/>
      <c r="CP224" s="35"/>
      <c r="CQ224" s="35"/>
      <c r="CR224" s="35"/>
      <c r="CS224" s="35"/>
      <c r="CT224" s="35"/>
      <c r="CU224" s="35"/>
      <c r="CV224" s="35"/>
      <c r="CW224" s="35"/>
      <c r="CX224" s="35"/>
      <c r="CY224" s="35"/>
      <c r="CZ224" s="35"/>
      <c r="DA224" s="35"/>
      <c r="DB224" s="35"/>
      <c r="DC224" s="35"/>
      <c r="DD224" s="35"/>
      <c r="DE224" s="35"/>
      <c r="DF224" s="35"/>
      <c r="DG224" s="35"/>
      <c r="DH224" s="35"/>
      <c r="DI224" s="35"/>
      <c r="DJ224" s="35"/>
      <c r="DK224" s="35"/>
      <c r="DL224" s="35"/>
      <c r="DM224" s="35"/>
      <c r="DN224" s="35"/>
      <c r="DO224" s="35"/>
      <c r="DP224" s="35"/>
      <c r="DQ224" s="35"/>
      <c r="DR224" s="35"/>
      <c r="DS224" s="35"/>
      <c r="DT224" s="35"/>
      <c r="DU224" s="35"/>
      <c r="DV224" s="35"/>
      <c r="DW224" s="35"/>
      <c r="DX224" s="35"/>
      <c r="DY224" s="35"/>
      <c r="DZ224" s="35"/>
      <c r="EA224" s="35"/>
      <c r="EB224" s="35"/>
      <c r="EC224" s="35"/>
      <c r="ED224" s="35"/>
      <c r="EE224" s="35"/>
      <c r="EF224" s="35"/>
      <c r="EG224" s="35"/>
      <c r="EH224" s="35"/>
      <c r="EI224" s="35"/>
      <c r="EJ224" s="35"/>
      <c r="EK224" s="35"/>
      <c r="EL224" s="35"/>
      <c r="EM224" s="35"/>
      <c r="EN224" s="35"/>
      <c r="EO224" s="35"/>
      <c r="EP224" s="35"/>
      <c r="EQ224" s="35"/>
      <c r="ER224" s="35"/>
      <c r="ES224" s="35"/>
      <c r="ET224" s="35"/>
      <c r="EU224" s="35"/>
      <c r="EV224" s="35"/>
      <c r="EW224" s="35"/>
      <c r="EX224" s="35"/>
      <c r="EY224" s="35"/>
      <c r="EZ224" s="35"/>
      <c r="FA224" s="35"/>
      <c r="FB224" s="35"/>
      <c r="FC224" s="35"/>
      <c r="FD224" s="35"/>
      <c r="FE224" s="35"/>
      <c r="FF224" s="35"/>
      <c r="FG224" s="35"/>
      <c r="FH224" s="35"/>
      <c r="FI224" s="35"/>
      <c r="FJ224" s="35"/>
      <c r="FK224" s="35"/>
      <c r="FL224" s="35"/>
      <c r="FM224" s="35"/>
      <c r="FN224" s="35"/>
      <c r="FO224" s="35"/>
      <c r="FP224" s="35"/>
      <c r="FQ224" s="35"/>
      <c r="FR224" s="35"/>
      <c r="FS224" s="35"/>
      <c r="FT224" s="35"/>
      <c r="FU224" s="35"/>
      <c r="FV224" s="35"/>
      <c r="FW224" s="35"/>
      <c r="FX224" s="35"/>
      <c r="FY224" s="35"/>
      <c r="FZ224" s="35"/>
      <c r="GA224" s="35"/>
      <c r="GB224" s="35"/>
      <c r="GC224" s="35"/>
      <c r="GD224" s="35"/>
      <c r="GE224" s="35"/>
      <c r="GF224" s="35"/>
      <c r="GG224" s="35"/>
      <c r="GH224" s="35"/>
      <c r="GI224" s="35"/>
      <c r="GJ224" s="35"/>
      <c r="GK224" s="35"/>
      <c r="GL224" s="35"/>
      <c r="GM224" s="35"/>
      <c r="GN224" s="35"/>
      <c r="GO224" s="35"/>
      <c r="GP224" s="35"/>
      <c r="GQ224" s="35"/>
      <c r="GR224" s="35"/>
      <c r="GS224" s="35"/>
      <c r="GT224" s="35"/>
      <c r="GU224" s="35"/>
      <c r="GV224" s="35"/>
      <c r="GW224" s="35"/>
      <c r="GX224" s="35"/>
      <c r="GY224" s="35"/>
      <c r="GZ224" s="35"/>
      <c r="HA224" s="35"/>
      <c r="HB224" s="35"/>
      <c r="HC224" s="35"/>
      <c r="HD224" s="35"/>
      <c r="HE224" s="35"/>
      <c r="HF224" s="35"/>
      <c r="HG224" s="35"/>
      <c r="HH224" s="35"/>
      <c r="HI224" s="35"/>
      <c r="HJ224" s="35"/>
      <c r="HK224" s="35"/>
      <c r="HL224" s="35"/>
      <c r="HM224" s="35"/>
      <c r="HN224" s="35"/>
      <c r="HO224" s="35"/>
      <c r="HP224" s="35"/>
      <c r="HQ224" s="35"/>
      <c r="HR224" s="35"/>
      <c r="HS224" s="35"/>
      <c r="HT224" s="35"/>
      <c r="HU224" s="35"/>
      <c r="HV224" s="35"/>
      <c r="HW224" s="35"/>
      <c r="HX224" s="35"/>
      <c r="HY224" s="35"/>
      <c r="HZ224" s="35"/>
      <c r="IA224" s="35"/>
      <c r="IB224" s="35"/>
      <c r="IC224" s="35"/>
      <c r="ID224" s="35"/>
      <c r="IE224" s="35"/>
      <c r="IF224" s="35"/>
      <c r="IG224" s="35"/>
      <c r="IH224" s="35"/>
      <c r="II224" s="35"/>
      <c r="IJ224" s="35"/>
      <c r="IK224" s="35"/>
      <c r="IL224" s="35"/>
      <c r="IM224" s="35"/>
      <c r="IN224" s="35"/>
      <c r="IO224" s="35"/>
      <c r="IP224" s="35"/>
      <c r="IQ224" s="35"/>
      <c r="IR224" s="35"/>
      <c r="IS224" s="35"/>
      <c r="IT224" s="35"/>
      <c r="IU224" s="35"/>
      <c r="IV224" s="35"/>
      <c r="IW224" s="35"/>
      <c r="IX224" s="35"/>
      <c r="IY224" s="35"/>
      <c r="IZ224" s="35"/>
      <c r="JA224" s="35"/>
      <c r="JB224" s="35"/>
      <c r="JC224" s="35"/>
      <c r="JD224" s="35"/>
      <c r="JE224" s="35"/>
    </row>
    <row r="225">
      <c r="A225" s="42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35"/>
      <c r="BZ225" s="35"/>
      <c r="CA225" s="35"/>
      <c r="CB225" s="35"/>
      <c r="CC225" s="35"/>
      <c r="CD225" s="35"/>
      <c r="CE225" s="35"/>
      <c r="CF225" s="35"/>
      <c r="CG225" s="35"/>
      <c r="CH225" s="35"/>
      <c r="CI225" s="35"/>
      <c r="CJ225" s="35"/>
      <c r="CK225" s="35"/>
      <c r="CL225" s="35"/>
      <c r="CM225" s="35"/>
      <c r="CN225" s="35"/>
      <c r="CO225" s="35"/>
      <c r="CP225" s="35"/>
      <c r="CQ225" s="35"/>
      <c r="CR225" s="35"/>
      <c r="CS225" s="35"/>
      <c r="CT225" s="35"/>
      <c r="CU225" s="35"/>
      <c r="CV225" s="35"/>
      <c r="CW225" s="35"/>
      <c r="CX225" s="35"/>
      <c r="CY225" s="35"/>
      <c r="CZ225" s="35"/>
      <c r="DA225" s="35"/>
      <c r="DB225" s="35"/>
      <c r="DC225" s="35"/>
      <c r="DD225" s="35"/>
      <c r="DE225" s="35"/>
      <c r="DF225" s="35"/>
      <c r="DG225" s="35"/>
      <c r="DH225" s="35"/>
      <c r="DI225" s="35"/>
      <c r="DJ225" s="35"/>
      <c r="DK225" s="35"/>
      <c r="DL225" s="35"/>
      <c r="DM225" s="35"/>
      <c r="DN225" s="35"/>
      <c r="DO225" s="35"/>
      <c r="DP225" s="35"/>
      <c r="DQ225" s="35"/>
      <c r="DR225" s="35"/>
      <c r="DS225" s="35"/>
      <c r="DT225" s="35"/>
      <c r="DU225" s="35"/>
      <c r="DV225" s="35"/>
      <c r="DW225" s="35"/>
      <c r="DX225" s="35"/>
      <c r="DY225" s="35"/>
      <c r="DZ225" s="35"/>
      <c r="EA225" s="35"/>
      <c r="EB225" s="35"/>
      <c r="EC225" s="35"/>
      <c r="ED225" s="35"/>
      <c r="EE225" s="35"/>
      <c r="EF225" s="35"/>
      <c r="EG225" s="35"/>
      <c r="EH225" s="35"/>
      <c r="EI225" s="35"/>
      <c r="EJ225" s="35"/>
      <c r="EK225" s="35"/>
      <c r="EL225" s="35"/>
      <c r="EM225" s="35"/>
      <c r="EN225" s="35"/>
      <c r="EO225" s="35"/>
      <c r="EP225" s="35"/>
      <c r="EQ225" s="35"/>
      <c r="ER225" s="35"/>
      <c r="ES225" s="35"/>
      <c r="ET225" s="35"/>
      <c r="EU225" s="35"/>
      <c r="EV225" s="35"/>
      <c r="EW225" s="35"/>
      <c r="EX225" s="35"/>
      <c r="EY225" s="35"/>
      <c r="EZ225" s="35"/>
      <c r="FA225" s="35"/>
      <c r="FB225" s="35"/>
      <c r="FC225" s="35"/>
      <c r="FD225" s="35"/>
      <c r="FE225" s="35"/>
      <c r="FF225" s="35"/>
      <c r="FG225" s="35"/>
      <c r="FH225" s="35"/>
      <c r="FI225" s="35"/>
      <c r="FJ225" s="35"/>
      <c r="FK225" s="35"/>
      <c r="FL225" s="35"/>
      <c r="FM225" s="35"/>
      <c r="FN225" s="35"/>
      <c r="FO225" s="35"/>
      <c r="FP225" s="35"/>
      <c r="FQ225" s="35"/>
      <c r="FR225" s="35"/>
      <c r="FS225" s="35"/>
      <c r="FT225" s="35"/>
      <c r="FU225" s="35"/>
      <c r="FV225" s="35"/>
      <c r="FW225" s="35"/>
      <c r="FX225" s="35"/>
      <c r="FY225" s="35"/>
      <c r="FZ225" s="35"/>
      <c r="GA225" s="35"/>
      <c r="GB225" s="35"/>
      <c r="GC225" s="35"/>
      <c r="GD225" s="35"/>
      <c r="GE225" s="35"/>
      <c r="GF225" s="35"/>
      <c r="GG225" s="35"/>
      <c r="GH225" s="35"/>
      <c r="GI225" s="35"/>
      <c r="GJ225" s="35"/>
      <c r="GK225" s="35"/>
      <c r="GL225" s="35"/>
      <c r="GM225" s="35"/>
      <c r="GN225" s="35"/>
      <c r="GO225" s="35"/>
      <c r="GP225" s="35"/>
      <c r="GQ225" s="35"/>
      <c r="GR225" s="35"/>
      <c r="GS225" s="35"/>
      <c r="GT225" s="35"/>
      <c r="GU225" s="35"/>
      <c r="GV225" s="35"/>
      <c r="GW225" s="35"/>
      <c r="GX225" s="35"/>
      <c r="GY225" s="35"/>
      <c r="GZ225" s="35"/>
      <c r="HA225" s="35"/>
      <c r="HB225" s="35"/>
      <c r="HC225" s="35"/>
      <c r="HD225" s="35"/>
      <c r="HE225" s="35"/>
      <c r="HF225" s="35"/>
      <c r="HG225" s="35"/>
      <c r="HH225" s="35"/>
      <c r="HI225" s="35"/>
      <c r="HJ225" s="35"/>
      <c r="HK225" s="35"/>
      <c r="HL225" s="35"/>
      <c r="HM225" s="35"/>
      <c r="HN225" s="35"/>
      <c r="HO225" s="35"/>
      <c r="HP225" s="35"/>
      <c r="HQ225" s="35"/>
      <c r="HR225" s="35"/>
      <c r="HS225" s="35"/>
      <c r="HT225" s="35"/>
      <c r="HU225" s="35"/>
      <c r="HV225" s="35"/>
      <c r="HW225" s="35"/>
      <c r="HX225" s="35"/>
      <c r="HY225" s="35"/>
      <c r="HZ225" s="35"/>
      <c r="IA225" s="35"/>
      <c r="IB225" s="35"/>
      <c r="IC225" s="35"/>
      <c r="ID225" s="35"/>
      <c r="IE225" s="35"/>
      <c r="IF225" s="35"/>
      <c r="IG225" s="35"/>
      <c r="IH225" s="35"/>
      <c r="II225" s="35"/>
      <c r="IJ225" s="35"/>
      <c r="IK225" s="35"/>
      <c r="IL225" s="35"/>
      <c r="IM225" s="35"/>
      <c r="IN225" s="35"/>
      <c r="IO225" s="35"/>
      <c r="IP225" s="35"/>
      <c r="IQ225" s="35"/>
      <c r="IR225" s="35"/>
      <c r="IS225" s="35"/>
      <c r="IT225" s="35"/>
      <c r="IU225" s="35"/>
      <c r="IV225" s="35"/>
      <c r="IW225" s="35"/>
      <c r="IX225" s="35"/>
      <c r="IY225" s="35"/>
      <c r="IZ225" s="35"/>
      <c r="JA225" s="35"/>
      <c r="JB225" s="35"/>
      <c r="JC225" s="35"/>
      <c r="JD225" s="35"/>
      <c r="JE225" s="35"/>
    </row>
    <row r="226">
      <c r="A226" s="42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  <c r="CD226" s="35"/>
      <c r="CE226" s="35"/>
      <c r="CF226" s="35"/>
      <c r="CG226" s="35"/>
      <c r="CH226" s="35"/>
      <c r="CI226" s="35"/>
      <c r="CJ226" s="35"/>
      <c r="CK226" s="35"/>
      <c r="CL226" s="35"/>
      <c r="CM226" s="35"/>
      <c r="CN226" s="35"/>
      <c r="CO226" s="35"/>
      <c r="CP226" s="35"/>
      <c r="CQ226" s="35"/>
      <c r="CR226" s="35"/>
      <c r="CS226" s="35"/>
      <c r="CT226" s="35"/>
      <c r="CU226" s="35"/>
      <c r="CV226" s="35"/>
      <c r="CW226" s="35"/>
      <c r="CX226" s="35"/>
      <c r="CY226" s="35"/>
      <c r="CZ226" s="35"/>
      <c r="DA226" s="35"/>
      <c r="DB226" s="35"/>
      <c r="DC226" s="35"/>
      <c r="DD226" s="35"/>
      <c r="DE226" s="35"/>
      <c r="DF226" s="35"/>
      <c r="DG226" s="35"/>
      <c r="DH226" s="35"/>
      <c r="DI226" s="35"/>
      <c r="DJ226" s="35"/>
      <c r="DK226" s="35"/>
      <c r="DL226" s="35"/>
      <c r="DM226" s="35"/>
      <c r="DN226" s="35"/>
      <c r="DO226" s="35"/>
      <c r="DP226" s="35"/>
      <c r="DQ226" s="35"/>
      <c r="DR226" s="35"/>
      <c r="DS226" s="35"/>
      <c r="DT226" s="35"/>
      <c r="DU226" s="35"/>
      <c r="DV226" s="35"/>
      <c r="DW226" s="35"/>
      <c r="DX226" s="35"/>
      <c r="DY226" s="35"/>
      <c r="DZ226" s="35"/>
      <c r="EA226" s="35"/>
      <c r="EB226" s="35"/>
      <c r="EC226" s="35"/>
      <c r="ED226" s="35"/>
      <c r="EE226" s="35"/>
      <c r="EF226" s="35"/>
      <c r="EG226" s="35"/>
      <c r="EH226" s="35"/>
      <c r="EI226" s="35"/>
      <c r="EJ226" s="35"/>
      <c r="EK226" s="35"/>
      <c r="EL226" s="35"/>
      <c r="EM226" s="35"/>
      <c r="EN226" s="35"/>
      <c r="EO226" s="35"/>
      <c r="EP226" s="35"/>
      <c r="EQ226" s="35"/>
      <c r="ER226" s="35"/>
      <c r="ES226" s="35"/>
      <c r="ET226" s="35"/>
      <c r="EU226" s="35"/>
      <c r="EV226" s="35"/>
      <c r="EW226" s="35"/>
      <c r="EX226" s="35"/>
      <c r="EY226" s="35"/>
      <c r="EZ226" s="35"/>
      <c r="FA226" s="35"/>
      <c r="FB226" s="35"/>
      <c r="FC226" s="35"/>
      <c r="FD226" s="35"/>
      <c r="FE226" s="35"/>
      <c r="FF226" s="35"/>
      <c r="FG226" s="35"/>
      <c r="FH226" s="35"/>
      <c r="FI226" s="35"/>
      <c r="FJ226" s="35"/>
      <c r="FK226" s="35"/>
      <c r="FL226" s="35"/>
      <c r="FM226" s="35"/>
      <c r="FN226" s="35"/>
      <c r="FO226" s="35"/>
      <c r="FP226" s="35"/>
      <c r="FQ226" s="35"/>
      <c r="FR226" s="35"/>
      <c r="FS226" s="35"/>
      <c r="FT226" s="35"/>
      <c r="FU226" s="35"/>
      <c r="FV226" s="35"/>
      <c r="FW226" s="35"/>
      <c r="FX226" s="35"/>
      <c r="FY226" s="35"/>
      <c r="FZ226" s="35"/>
      <c r="GA226" s="35"/>
      <c r="GB226" s="35"/>
      <c r="GC226" s="35"/>
      <c r="GD226" s="35"/>
      <c r="GE226" s="35"/>
      <c r="GF226" s="35"/>
      <c r="GG226" s="35"/>
      <c r="GH226" s="35"/>
      <c r="GI226" s="35"/>
      <c r="GJ226" s="35"/>
      <c r="GK226" s="35"/>
      <c r="GL226" s="35"/>
      <c r="GM226" s="35"/>
      <c r="GN226" s="35"/>
      <c r="GO226" s="35"/>
      <c r="GP226" s="35"/>
      <c r="GQ226" s="35"/>
      <c r="GR226" s="35"/>
      <c r="GS226" s="35"/>
      <c r="GT226" s="35"/>
      <c r="GU226" s="35"/>
      <c r="GV226" s="35"/>
      <c r="GW226" s="35"/>
      <c r="GX226" s="35"/>
      <c r="GY226" s="35"/>
      <c r="GZ226" s="35"/>
      <c r="HA226" s="35"/>
      <c r="HB226" s="35"/>
      <c r="HC226" s="35"/>
      <c r="HD226" s="35"/>
      <c r="HE226" s="35"/>
      <c r="HF226" s="35"/>
      <c r="HG226" s="35"/>
      <c r="HH226" s="35"/>
      <c r="HI226" s="35"/>
      <c r="HJ226" s="35"/>
      <c r="HK226" s="35"/>
      <c r="HL226" s="35"/>
      <c r="HM226" s="35"/>
      <c r="HN226" s="35"/>
      <c r="HO226" s="35"/>
      <c r="HP226" s="35"/>
      <c r="HQ226" s="35"/>
      <c r="HR226" s="35"/>
      <c r="HS226" s="35"/>
      <c r="HT226" s="35"/>
      <c r="HU226" s="35"/>
      <c r="HV226" s="35"/>
      <c r="HW226" s="35"/>
      <c r="HX226" s="35"/>
      <c r="HY226" s="35"/>
      <c r="HZ226" s="35"/>
      <c r="IA226" s="35"/>
      <c r="IB226" s="35"/>
      <c r="IC226" s="35"/>
      <c r="ID226" s="35"/>
      <c r="IE226" s="35"/>
      <c r="IF226" s="35"/>
      <c r="IG226" s="35"/>
      <c r="IH226" s="35"/>
      <c r="II226" s="35"/>
      <c r="IJ226" s="35"/>
      <c r="IK226" s="35"/>
      <c r="IL226" s="35"/>
      <c r="IM226" s="35"/>
      <c r="IN226" s="35"/>
      <c r="IO226" s="35"/>
      <c r="IP226" s="35"/>
      <c r="IQ226" s="35"/>
      <c r="IR226" s="35"/>
      <c r="IS226" s="35"/>
      <c r="IT226" s="35"/>
      <c r="IU226" s="35"/>
      <c r="IV226" s="35"/>
      <c r="IW226" s="35"/>
      <c r="IX226" s="35"/>
      <c r="IY226" s="35"/>
      <c r="IZ226" s="35"/>
      <c r="JA226" s="35"/>
      <c r="JB226" s="35"/>
      <c r="JC226" s="35"/>
      <c r="JD226" s="35"/>
      <c r="JE226" s="35"/>
    </row>
    <row r="227">
      <c r="A227" s="42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35"/>
      <c r="CE227" s="35"/>
      <c r="CF227" s="35"/>
      <c r="CG227" s="35"/>
      <c r="CH227" s="35"/>
      <c r="CI227" s="35"/>
      <c r="CJ227" s="35"/>
      <c r="CK227" s="35"/>
      <c r="CL227" s="35"/>
      <c r="CM227" s="35"/>
      <c r="CN227" s="35"/>
      <c r="CO227" s="35"/>
      <c r="CP227" s="35"/>
      <c r="CQ227" s="35"/>
      <c r="CR227" s="35"/>
      <c r="CS227" s="35"/>
      <c r="CT227" s="35"/>
      <c r="CU227" s="35"/>
      <c r="CV227" s="35"/>
      <c r="CW227" s="35"/>
      <c r="CX227" s="35"/>
      <c r="CY227" s="35"/>
      <c r="CZ227" s="35"/>
      <c r="DA227" s="35"/>
      <c r="DB227" s="35"/>
      <c r="DC227" s="35"/>
      <c r="DD227" s="35"/>
      <c r="DE227" s="35"/>
      <c r="DF227" s="35"/>
      <c r="DG227" s="35"/>
      <c r="DH227" s="35"/>
      <c r="DI227" s="35"/>
      <c r="DJ227" s="35"/>
      <c r="DK227" s="35"/>
      <c r="DL227" s="35"/>
      <c r="DM227" s="35"/>
      <c r="DN227" s="35"/>
      <c r="DO227" s="35"/>
      <c r="DP227" s="35"/>
      <c r="DQ227" s="35"/>
      <c r="DR227" s="35"/>
      <c r="DS227" s="35"/>
      <c r="DT227" s="35"/>
      <c r="DU227" s="35"/>
      <c r="DV227" s="35"/>
      <c r="DW227" s="35"/>
      <c r="DX227" s="35"/>
      <c r="DY227" s="35"/>
      <c r="DZ227" s="35"/>
      <c r="EA227" s="35"/>
      <c r="EB227" s="35"/>
      <c r="EC227" s="35"/>
      <c r="ED227" s="35"/>
      <c r="EE227" s="35"/>
      <c r="EF227" s="35"/>
      <c r="EG227" s="35"/>
      <c r="EH227" s="35"/>
      <c r="EI227" s="35"/>
      <c r="EJ227" s="35"/>
      <c r="EK227" s="35"/>
      <c r="EL227" s="35"/>
      <c r="EM227" s="35"/>
      <c r="EN227" s="35"/>
      <c r="EO227" s="35"/>
      <c r="EP227" s="35"/>
      <c r="EQ227" s="35"/>
      <c r="ER227" s="35"/>
      <c r="ES227" s="35"/>
      <c r="ET227" s="35"/>
      <c r="EU227" s="35"/>
      <c r="EV227" s="35"/>
      <c r="EW227" s="35"/>
      <c r="EX227" s="35"/>
      <c r="EY227" s="35"/>
      <c r="EZ227" s="35"/>
      <c r="FA227" s="35"/>
      <c r="FB227" s="35"/>
      <c r="FC227" s="35"/>
      <c r="FD227" s="35"/>
      <c r="FE227" s="35"/>
      <c r="FF227" s="35"/>
      <c r="FG227" s="35"/>
      <c r="FH227" s="35"/>
      <c r="FI227" s="35"/>
      <c r="FJ227" s="35"/>
      <c r="FK227" s="35"/>
      <c r="FL227" s="35"/>
      <c r="FM227" s="35"/>
      <c r="FN227" s="35"/>
      <c r="FO227" s="35"/>
      <c r="FP227" s="35"/>
      <c r="FQ227" s="35"/>
      <c r="FR227" s="35"/>
      <c r="FS227" s="35"/>
      <c r="FT227" s="35"/>
      <c r="FU227" s="35"/>
      <c r="FV227" s="35"/>
      <c r="FW227" s="35"/>
      <c r="FX227" s="35"/>
      <c r="FY227" s="35"/>
      <c r="FZ227" s="35"/>
      <c r="GA227" s="35"/>
      <c r="GB227" s="35"/>
      <c r="GC227" s="35"/>
      <c r="GD227" s="35"/>
      <c r="GE227" s="35"/>
      <c r="GF227" s="35"/>
      <c r="GG227" s="35"/>
      <c r="GH227" s="35"/>
      <c r="GI227" s="35"/>
      <c r="GJ227" s="35"/>
      <c r="GK227" s="35"/>
      <c r="GL227" s="35"/>
      <c r="GM227" s="35"/>
      <c r="GN227" s="35"/>
      <c r="GO227" s="35"/>
      <c r="GP227" s="35"/>
      <c r="GQ227" s="35"/>
      <c r="GR227" s="35"/>
      <c r="GS227" s="35"/>
      <c r="GT227" s="35"/>
      <c r="GU227" s="35"/>
      <c r="GV227" s="35"/>
      <c r="GW227" s="35"/>
      <c r="GX227" s="35"/>
      <c r="GY227" s="35"/>
      <c r="GZ227" s="35"/>
      <c r="HA227" s="35"/>
      <c r="HB227" s="35"/>
      <c r="HC227" s="35"/>
      <c r="HD227" s="35"/>
      <c r="HE227" s="35"/>
      <c r="HF227" s="35"/>
      <c r="HG227" s="35"/>
      <c r="HH227" s="35"/>
      <c r="HI227" s="35"/>
      <c r="HJ227" s="35"/>
      <c r="HK227" s="35"/>
      <c r="HL227" s="35"/>
      <c r="HM227" s="35"/>
      <c r="HN227" s="35"/>
      <c r="HO227" s="35"/>
      <c r="HP227" s="35"/>
      <c r="HQ227" s="35"/>
      <c r="HR227" s="35"/>
      <c r="HS227" s="35"/>
      <c r="HT227" s="35"/>
      <c r="HU227" s="35"/>
      <c r="HV227" s="35"/>
      <c r="HW227" s="35"/>
      <c r="HX227" s="35"/>
      <c r="HY227" s="35"/>
      <c r="HZ227" s="35"/>
      <c r="IA227" s="35"/>
      <c r="IB227" s="35"/>
      <c r="IC227" s="35"/>
      <c r="ID227" s="35"/>
      <c r="IE227" s="35"/>
      <c r="IF227" s="35"/>
      <c r="IG227" s="35"/>
      <c r="IH227" s="35"/>
      <c r="II227" s="35"/>
      <c r="IJ227" s="35"/>
      <c r="IK227" s="35"/>
      <c r="IL227" s="35"/>
      <c r="IM227" s="35"/>
      <c r="IN227" s="35"/>
      <c r="IO227" s="35"/>
      <c r="IP227" s="35"/>
      <c r="IQ227" s="35"/>
      <c r="IR227" s="35"/>
      <c r="IS227" s="35"/>
      <c r="IT227" s="35"/>
      <c r="IU227" s="35"/>
      <c r="IV227" s="35"/>
      <c r="IW227" s="35"/>
      <c r="IX227" s="35"/>
      <c r="IY227" s="35"/>
      <c r="IZ227" s="35"/>
      <c r="JA227" s="35"/>
      <c r="JB227" s="35"/>
      <c r="JC227" s="35"/>
      <c r="JD227" s="35"/>
      <c r="JE227" s="35"/>
    </row>
    <row r="228">
      <c r="A228" s="42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5"/>
      <c r="CA228" s="35"/>
      <c r="CB228" s="35"/>
      <c r="CC228" s="35"/>
      <c r="CD228" s="35"/>
      <c r="CE228" s="35"/>
      <c r="CF228" s="35"/>
      <c r="CG228" s="35"/>
      <c r="CH228" s="35"/>
      <c r="CI228" s="35"/>
      <c r="CJ228" s="35"/>
      <c r="CK228" s="35"/>
      <c r="CL228" s="35"/>
      <c r="CM228" s="35"/>
      <c r="CN228" s="35"/>
      <c r="CO228" s="35"/>
      <c r="CP228" s="35"/>
      <c r="CQ228" s="35"/>
      <c r="CR228" s="35"/>
      <c r="CS228" s="35"/>
      <c r="CT228" s="35"/>
      <c r="CU228" s="35"/>
      <c r="CV228" s="35"/>
      <c r="CW228" s="35"/>
      <c r="CX228" s="35"/>
      <c r="CY228" s="35"/>
      <c r="CZ228" s="35"/>
      <c r="DA228" s="35"/>
      <c r="DB228" s="35"/>
      <c r="DC228" s="35"/>
      <c r="DD228" s="35"/>
      <c r="DE228" s="35"/>
      <c r="DF228" s="35"/>
      <c r="DG228" s="35"/>
      <c r="DH228" s="35"/>
      <c r="DI228" s="35"/>
      <c r="DJ228" s="35"/>
      <c r="DK228" s="35"/>
      <c r="DL228" s="35"/>
      <c r="DM228" s="35"/>
      <c r="DN228" s="35"/>
      <c r="DO228" s="35"/>
      <c r="DP228" s="35"/>
      <c r="DQ228" s="35"/>
      <c r="DR228" s="35"/>
      <c r="DS228" s="35"/>
      <c r="DT228" s="35"/>
      <c r="DU228" s="35"/>
      <c r="DV228" s="35"/>
      <c r="DW228" s="35"/>
      <c r="DX228" s="35"/>
      <c r="DY228" s="35"/>
      <c r="DZ228" s="35"/>
      <c r="EA228" s="35"/>
      <c r="EB228" s="35"/>
      <c r="EC228" s="35"/>
      <c r="ED228" s="35"/>
      <c r="EE228" s="35"/>
      <c r="EF228" s="35"/>
      <c r="EG228" s="35"/>
      <c r="EH228" s="35"/>
      <c r="EI228" s="35"/>
      <c r="EJ228" s="35"/>
      <c r="EK228" s="35"/>
      <c r="EL228" s="35"/>
      <c r="EM228" s="35"/>
      <c r="EN228" s="35"/>
      <c r="EO228" s="35"/>
      <c r="EP228" s="35"/>
      <c r="EQ228" s="35"/>
      <c r="ER228" s="35"/>
      <c r="ES228" s="35"/>
      <c r="ET228" s="35"/>
      <c r="EU228" s="35"/>
      <c r="EV228" s="35"/>
      <c r="EW228" s="35"/>
      <c r="EX228" s="35"/>
      <c r="EY228" s="35"/>
      <c r="EZ228" s="35"/>
      <c r="FA228" s="35"/>
      <c r="FB228" s="35"/>
      <c r="FC228" s="35"/>
      <c r="FD228" s="35"/>
      <c r="FE228" s="35"/>
      <c r="FF228" s="35"/>
      <c r="FG228" s="35"/>
      <c r="FH228" s="35"/>
      <c r="FI228" s="35"/>
      <c r="FJ228" s="35"/>
      <c r="FK228" s="35"/>
      <c r="FL228" s="35"/>
      <c r="FM228" s="35"/>
      <c r="FN228" s="35"/>
      <c r="FO228" s="35"/>
      <c r="FP228" s="35"/>
      <c r="FQ228" s="35"/>
      <c r="FR228" s="35"/>
      <c r="FS228" s="35"/>
      <c r="FT228" s="35"/>
      <c r="FU228" s="35"/>
      <c r="FV228" s="35"/>
      <c r="FW228" s="35"/>
      <c r="FX228" s="35"/>
      <c r="FY228" s="35"/>
      <c r="FZ228" s="35"/>
      <c r="GA228" s="35"/>
      <c r="GB228" s="35"/>
      <c r="GC228" s="35"/>
      <c r="GD228" s="35"/>
      <c r="GE228" s="35"/>
      <c r="GF228" s="35"/>
      <c r="GG228" s="35"/>
      <c r="GH228" s="35"/>
      <c r="GI228" s="35"/>
      <c r="GJ228" s="35"/>
      <c r="GK228" s="35"/>
      <c r="GL228" s="35"/>
      <c r="GM228" s="35"/>
      <c r="GN228" s="35"/>
      <c r="GO228" s="35"/>
      <c r="GP228" s="35"/>
      <c r="GQ228" s="35"/>
      <c r="GR228" s="35"/>
      <c r="GS228" s="35"/>
      <c r="GT228" s="35"/>
      <c r="GU228" s="35"/>
      <c r="GV228" s="35"/>
      <c r="GW228" s="35"/>
      <c r="GX228" s="35"/>
      <c r="GY228" s="35"/>
      <c r="GZ228" s="35"/>
      <c r="HA228" s="35"/>
      <c r="HB228" s="35"/>
      <c r="HC228" s="35"/>
      <c r="HD228" s="35"/>
      <c r="HE228" s="35"/>
      <c r="HF228" s="35"/>
      <c r="HG228" s="35"/>
      <c r="HH228" s="35"/>
      <c r="HI228" s="35"/>
      <c r="HJ228" s="35"/>
      <c r="HK228" s="35"/>
      <c r="HL228" s="35"/>
      <c r="HM228" s="35"/>
      <c r="HN228" s="35"/>
      <c r="HO228" s="35"/>
      <c r="HP228" s="35"/>
      <c r="HQ228" s="35"/>
      <c r="HR228" s="35"/>
      <c r="HS228" s="35"/>
      <c r="HT228" s="35"/>
      <c r="HU228" s="35"/>
      <c r="HV228" s="35"/>
      <c r="HW228" s="35"/>
      <c r="HX228" s="35"/>
      <c r="HY228" s="35"/>
      <c r="HZ228" s="35"/>
      <c r="IA228" s="35"/>
      <c r="IB228" s="35"/>
      <c r="IC228" s="35"/>
      <c r="ID228" s="35"/>
      <c r="IE228" s="35"/>
      <c r="IF228" s="35"/>
      <c r="IG228" s="35"/>
      <c r="IH228" s="35"/>
      <c r="II228" s="35"/>
      <c r="IJ228" s="35"/>
      <c r="IK228" s="35"/>
      <c r="IL228" s="35"/>
      <c r="IM228" s="35"/>
      <c r="IN228" s="35"/>
      <c r="IO228" s="35"/>
      <c r="IP228" s="35"/>
      <c r="IQ228" s="35"/>
      <c r="IR228" s="35"/>
      <c r="IS228" s="35"/>
      <c r="IT228" s="35"/>
      <c r="IU228" s="35"/>
      <c r="IV228" s="35"/>
      <c r="IW228" s="35"/>
      <c r="IX228" s="35"/>
      <c r="IY228" s="35"/>
      <c r="IZ228" s="35"/>
      <c r="JA228" s="35"/>
      <c r="JB228" s="35"/>
      <c r="JC228" s="35"/>
      <c r="JD228" s="35"/>
      <c r="JE228" s="35"/>
    </row>
    <row r="229">
      <c r="A229" s="42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K229" s="35"/>
      <c r="CL229" s="35"/>
      <c r="CM229" s="35"/>
      <c r="CN229" s="35"/>
      <c r="CO229" s="35"/>
      <c r="CP229" s="35"/>
      <c r="CQ229" s="35"/>
      <c r="CR229" s="35"/>
      <c r="CS229" s="35"/>
      <c r="CT229" s="35"/>
      <c r="CU229" s="35"/>
      <c r="CV229" s="35"/>
      <c r="CW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  <c r="DL229" s="35"/>
      <c r="DM229" s="35"/>
      <c r="DN229" s="35"/>
      <c r="DO229" s="35"/>
      <c r="DP229" s="35"/>
      <c r="DQ229" s="35"/>
      <c r="DR229" s="35"/>
      <c r="DS229" s="35"/>
      <c r="DT229" s="35"/>
      <c r="DU229" s="35"/>
      <c r="DV229" s="35"/>
      <c r="DW229" s="35"/>
      <c r="DX229" s="35"/>
      <c r="DY229" s="35"/>
      <c r="DZ229" s="35"/>
      <c r="EA229" s="35"/>
      <c r="EB229" s="35"/>
      <c r="EC229" s="35"/>
      <c r="ED229" s="35"/>
      <c r="EE229" s="35"/>
      <c r="EF229" s="35"/>
      <c r="EG229" s="35"/>
      <c r="EH229" s="35"/>
      <c r="EI229" s="35"/>
      <c r="EJ229" s="35"/>
      <c r="EK229" s="35"/>
      <c r="EL229" s="35"/>
      <c r="EM229" s="35"/>
      <c r="EN229" s="35"/>
      <c r="EO229" s="35"/>
      <c r="EP229" s="35"/>
      <c r="EQ229" s="35"/>
      <c r="ER229" s="35"/>
      <c r="ES229" s="35"/>
      <c r="ET229" s="35"/>
      <c r="EU229" s="35"/>
      <c r="EV229" s="35"/>
      <c r="EW229" s="35"/>
      <c r="EX229" s="35"/>
      <c r="EY229" s="35"/>
      <c r="EZ229" s="35"/>
      <c r="FA229" s="35"/>
      <c r="FB229" s="35"/>
      <c r="FC229" s="35"/>
      <c r="FD229" s="35"/>
      <c r="FE229" s="35"/>
      <c r="FF229" s="35"/>
      <c r="FG229" s="35"/>
      <c r="FH229" s="35"/>
      <c r="FI229" s="35"/>
      <c r="FJ229" s="35"/>
      <c r="FK229" s="35"/>
      <c r="FL229" s="35"/>
      <c r="FM229" s="35"/>
      <c r="FN229" s="35"/>
      <c r="FO229" s="35"/>
      <c r="FP229" s="35"/>
      <c r="FQ229" s="35"/>
      <c r="FR229" s="35"/>
      <c r="FS229" s="35"/>
      <c r="FT229" s="35"/>
      <c r="FU229" s="35"/>
      <c r="FV229" s="35"/>
      <c r="FW229" s="35"/>
      <c r="FX229" s="35"/>
      <c r="FY229" s="35"/>
      <c r="FZ229" s="35"/>
      <c r="GA229" s="35"/>
      <c r="GB229" s="35"/>
      <c r="GC229" s="35"/>
      <c r="GD229" s="35"/>
      <c r="GE229" s="35"/>
      <c r="GF229" s="35"/>
      <c r="GG229" s="35"/>
      <c r="GH229" s="35"/>
      <c r="GI229" s="35"/>
      <c r="GJ229" s="35"/>
      <c r="GK229" s="35"/>
      <c r="GL229" s="35"/>
      <c r="GM229" s="35"/>
      <c r="GN229" s="35"/>
      <c r="GO229" s="35"/>
      <c r="GP229" s="35"/>
      <c r="GQ229" s="35"/>
      <c r="GR229" s="35"/>
      <c r="GS229" s="35"/>
      <c r="GT229" s="35"/>
      <c r="GU229" s="35"/>
      <c r="GV229" s="35"/>
      <c r="GW229" s="35"/>
      <c r="GX229" s="35"/>
      <c r="GY229" s="35"/>
      <c r="GZ229" s="35"/>
      <c r="HA229" s="35"/>
      <c r="HB229" s="35"/>
      <c r="HC229" s="35"/>
      <c r="HD229" s="35"/>
      <c r="HE229" s="35"/>
      <c r="HF229" s="35"/>
      <c r="HG229" s="35"/>
      <c r="HH229" s="35"/>
      <c r="HI229" s="35"/>
      <c r="HJ229" s="35"/>
      <c r="HK229" s="35"/>
      <c r="HL229" s="35"/>
      <c r="HM229" s="35"/>
      <c r="HN229" s="35"/>
      <c r="HO229" s="35"/>
      <c r="HP229" s="35"/>
      <c r="HQ229" s="35"/>
      <c r="HR229" s="35"/>
      <c r="HS229" s="35"/>
      <c r="HT229" s="35"/>
      <c r="HU229" s="35"/>
      <c r="HV229" s="35"/>
      <c r="HW229" s="35"/>
      <c r="HX229" s="35"/>
      <c r="HY229" s="35"/>
      <c r="HZ229" s="35"/>
      <c r="IA229" s="35"/>
      <c r="IB229" s="35"/>
      <c r="IC229" s="35"/>
      <c r="ID229" s="35"/>
      <c r="IE229" s="35"/>
      <c r="IF229" s="35"/>
      <c r="IG229" s="35"/>
      <c r="IH229" s="35"/>
      <c r="II229" s="35"/>
      <c r="IJ229" s="35"/>
      <c r="IK229" s="35"/>
      <c r="IL229" s="35"/>
      <c r="IM229" s="35"/>
      <c r="IN229" s="35"/>
      <c r="IO229" s="35"/>
      <c r="IP229" s="35"/>
      <c r="IQ229" s="35"/>
      <c r="IR229" s="35"/>
      <c r="IS229" s="35"/>
      <c r="IT229" s="35"/>
      <c r="IU229" s="35"/>
      <c r="IV229" s="35"/>
      <c r="IW229" s="35"/>
      <c r="IX229" s="35"/>
      <c r="IY229" s="35"/>
      <c r="IZ229" s="35"/>
      <c r="JA229" s="35"/>
      <c r="JB229" s="35"/>
      <c r="JC229" s="35"/>
      <c r="JD229" s="35"/>
      <c r="JE229" s="35"/>
    </row>
    <row r="230">
      <c r="A230" s="42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K230" s="35"/>
      <c r="CL230" s="35"/>
      <c r="CM230" s="35"/>
      <c r="CN230" s="35"/>
      <c r="CO230" s="35"/>
      <c r="CP230" s="35"/>
      <c r="CQ230" s="35"/>
      <c r="CR230" s="35"/>
      <c r="CS230" s="35"/>
      <c r="CT230" s="35"/>
      <c r="CU230" s="35"/>
      <c r="CV230" s="35"/>
      <c r="CW230" s="35"/>
      <c r="CX230" s="35"/>
      <c r="CY230" s="35"/>
      <c r="CZ230" s="35"/>
      <c r="DA230" s="35"/>
      <c r="DB230" s="35"/>
      <c r="DC230" s="35"/>
      <c r="DD230" s="35"/>
      <c r="DE230" s="35"/>
      <c r="DF230" s="35"/>
      <c r="DG230" s="35"/>
      <c r="DH230" s="35"/>
      <c r="DI230" s="35"/>
      <c r="DJ230" s="35"/>
      <c r="DK230" s="35"/>
      <c r="DL230" s="35"/>
      <c r="DM230" s="35"/>
      <c r="DN230" s="35"/>
      <c r="DO230" s="35"/>
      <c r="DP230" s="35"/>
      <c r="DQ230" s="35"/>
      <c r="DR230" s="35"/>
      <c r="DS230" s="35"/>
      <c r="DT230" s="35"/>
      <c r="DU230" s="35"/>
      <c r="DV230" s="35"/>
      <c r="DW230" s="35"/>
      <c r="DX230" s="35"/>
      <c r="DY230" s="35"/>
      <c r="DZ230" s="35"/>
      <c r="EA230" s="35"/>
      <c r="EB230" s="35"/>
      <c r="EC230" s="35"/>
      <c r="ED230" s="35"/>
      <c r="EE230" s="35"/>
      <c r="EF230" s="35"/>
      <c r="EG230" s="35"/>
      <c r="EH230" s="35"/>
      <c r="EI230" s="35"/>
      <c r="EJ230" s="35"/>
      <c r="EK230" s="35"/>
      <c r="EL230" s="35"/>
      <c r="EM230" s="35"/>
      <c r="EN230" s="35"/>
      <c r="EO230" s="35"/>
      <c r="EP230" s="35"/>
      <c r="EQ230" s="35"/>
      <c r="ER230" s="35"/>
      <c r="ES230" s="35"/>
      <c r="ET230" s="35"/>
      <c r="EU230" s="35"/>
      <c r="EV230" s="35"/>
      <c r="EW230" s="35"/>
      <c r="EX230" s="35"/>
      <c r="EY230" s="35"/>
      <c r="EZ230" s="35"/>
      <c r="FA230" s="35"/>
      <c r="FB230" s="35"/>
      <c r="FC230" s="35"/>
      <c r="FD230" s="35"/>
      <c r="FE230" s="35"/>
      <c r="FF230" s="35"/>
      <c r="FG230" s="35"/>
      <c r="FH230" s="35"/>
      <c r="FI230" s="35"/>
      <c r="FJ230" s="35"/>
      <c r="FK230" s="35"/>
      <c r="FL230" s="35"/>
      <c r="FM230" s="35"/>
      <c r="FN230" s="35"/>
      <c r="FO230" s="35"/>
      <c r="FP230" s="35"/>
      <c r="FQ230" s="35"/>
      <c r="FR230" s="35"/>
      <c r="FS230" s="35"/>
      <c r="FT230" s="35"/>
      <c r="FU230" s="35"/>
      <c r="FV230" s="35"/>
      <c r="FW230" s="35"/>
      <c r="FX230" s="35"/>
      <c r="FY230" s="35"/>
      <c r="FZ230" s="35"/>
      <c r="GA230" s="35"/>
      <c r="GB230" s="35"/>
      <c r="GC230" s="35"/>
      <c r="GD230" s="35"/>
      <c r="GE230" s="35"/>
      <c r="GF230" s="35"/>
      <c r="GG230" s="35"/>
      <c r="GH230" s="35"/>
      <c r="GI230" s="35"/>
      <c r="GJ230" s="35"/>
      <c r="GK230" s="35"/>
      <c r="GL230" s="35"/>
      <c r="GM230" s="35"/>
      <c r="GN230" s="35"/>
      <c r="GO230" s="35"/>
      <c r="GP230" s="35"/>
      <c r="GQ230" s="35"/>
      <c r="GR230" s="35"/>
      <c r="GS230" s="35"/>
      <c r="GT230" s="35"/>
      <c r="GU230" s="35"/>
      <c r="GV230" s="35"/>
      <c r="GW230" s="35"/>
      <c r="GX230" s="35"/>
      <c r="GY230" s="35"/>
      <c r="GZ230" s="35"/>
      <c r="HA230" s="35"/>
      <c r="HB230" s="35"/>
      <c r="HC230" s="35"/>
      <c r="HD230" s="35"/>
      <c r="HE230" s="35"/>
      <c r="HF230" s="35"/>
      <c r="HG230" s="35"/>
      <c r="HH230" s="35"/>
      <c r="HI230" s="35"/>
      <c r="HJ230" s="35"/>
      <c r="HK230" s="35"/>
      <c r="HL230" s="35"/>
      <c r="HM230" s="35"/>
      <c r="HN230" s="35"/>
      <c r="HO230" s="35"/>
      <c r="HP230" s="35"/>
      <c r="HQ230" s="35"/>
      <c r="HR230" s="35"/>
      <c r="HS230" s="35"/>
      <c r="HT230" s="35"/>
      <c r="HU230" s="35"/>
      <c r="HV230" s="35"/>
      <c r="HW230" s="35"/>
      <c r="HX230" s="35"/>
      <c r="HY230" s="35"/>
      <c r="HZ230" s="35"/>
      <c r="IA230" s="35"/>
      <c r="IB230" s="35"/>
      <c r="IC230" s="35"/>
      <c r="ID230" s="35"/>
      <c r="IE230" s="35"/>
      <c r="IF230" s="35"/>
      <c r="IG230" s="35"/>
      <c r="IH230" s="35"/>
      <c r="II230" s="35"/>
      <c r="IJ230" s="35"/>
      <c r="IK230" s="35"/>
      <c r="IL230" s="35"/>
      <c r="IM230" s="35"/>
      <c r="IN230" s="35"/>
      <c r="IO230" s="35"/>
      <c r="IP230" s="35"/>
      <c r="IQ230" s="35"/>
      <c r="IR230" s="35"/>
      <c r="IS230" s="35"/>
      <c r="IT230" s="35"/>
      <c r="IU230" s="35"/>
      <c r="IV230" s="35"/>
      <c r="IW230" s="35"/>
      <c r="IX230" s="35"/>
      <c r="IY230" s="35"/>
      <c r="IZ230" s="35"/>
      <c r="JA230" s="35"/>
      <c r="JB230" s="35"/>
      <c r="JC230" s="35"/>
      <c r="JD230" s="35"/>
      <c r="JE230" s="35"/>
    </row>
    <row r="231">
      <c r="A231" s="42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  <c r="CD231" s="35"/>
      <c r="CE231" s="35"/>
      <c r="CF231" s="35"/>
      <c r="CG231" s="35"/>
      <c r="CH231" s="35"/>
      <c r="CI231" s="35"/>
      <c r="CJ231" s="35"/>
      <c r="CK231" s="35"/>
      <c r="CL231" s="35"/>
      <c r="CM231" s="35"/>
      <c r="CN231" s="35"/>
      <c r="CO231" s="35"/>
      <c r="CP231" s="35"/>
      <c r="CQ231" s="35"/>
      <c r="CR231" s="35"/>
      <c r="CS231" s="35"/>
      <c r="CT231" s="35"/>
      <c r="CU231" s="35"/>
      <c r="CV231" s="35"/>
      <c r="CW231" s="35"/>
      <c r="CX231" s="35"/>
      <c r="CY231" s="35"/>
      <c r="CZ231" s="35"/>
      <c r="DA231" s="35"/>
      <c r="DB231" s="35"/>
      <c r="DC231" s="35"/>
      <c r="DD231" s="35"/>
      <c r="DE231" s="35"/>
      <c r="DF231" s="35"/>
      <c r="DG231" s="35"/>
      <c r="DH231" s="35"/>
      <c r="DI231" s="35"/>
      <c r="DJ231" s="35"/>
      <c r="DK231" s="35"/>
      <c r="DL231" s="35"/>
      <c r="DM231" s="35"/>
      <c r="DN231" s="35"/>
      <c r="DO231" s="35"/>
      <c r="DP231" s="35"/>
      <c r="DQ231" s="35"/>
      <c r="DR231" s="35"/>
      <c r="DS231" s="35"/>
      <c r="DT231" s="35"/>
      <c r="DU231" s="35"/>
      <c r="DV231" s="35"/>
      <c r="DW231" s="35"/>
      <c r="DX231" s="35"/>
      <c r="DY231" s="35"/>
      <c r="DZ231" s="35"/>
      <c r="EA231" s="35"/>
      <c r="EB231" s="35"/>
      <c r="EC231" s="35"/>
      <c r="ED231" s="35"/>
      <c r="EE231" s="35"/>
      <c r="EF231" s="35"/>
      <c r="EG231" s="35"/>
      <c r="EH231" s="35"/>
      <c r="EI231" s="35"/>
      <c r="EJ231" s="35"/>
      <c r="EK231" s="35"/>
      <c r="EL231" s="35"/>
      <c r="EM231" s="35"/>
      <c r="EN231" s="35"/>
      <c r="EO231" s="35"/>
      <c r="EP231" s="35"/>
      <c r="EQ231" s="35"/>
      <c r="ER231" s="35"/>
      <c r="ES231" s="35"/>
      <c r="ET231" s="35"/>
      <c r="EU231" s="35"/>
      <c r="EV231" s="35"/>
      <c r="EW231" s="35"/>
      <c r="EX231" s="35"/>
      <c r="EY231" s="35"/>
      <c r="EZ231" s="35"/>
      <c r="FA231" s="35"/>
      <c r="FB231" s="35"/>
      <c r="FC231" s="35"/>
      <c r="FD231" s="35"/>
      <c r="FE231" s="35"/>
      <c r="FF231" s="35"/>
      <c r="FG231" s="35"/>
      <c r="FH231" s="35"/>
      <c r="FI231" s="35"/>
      <c r="FJ231" s="35"/>
      <c r="FK231" s="35"/>
      <c r="FL231" s="35"/>
      <c r="FM231" s="35"/>
      <c r="FN231" s="35"/>
      <c r="FO231" s="35"/>
      <c r="FP231" s="35"/>
      <c r="FQ231" s="35"/>
      <c r="FR231" s="35"/>
      <c r="FS231" s="35"/>
      <c r="FT231" s="35"/>
      <c r="FU231" s="35"/>
      <c r="FV231" s="35"/>
      <c r="FW231" s="35"/>
      <c r="FX231" s="35"/>
      <c r="FY231" s="35"/>
      <c r="FZ231" s="35"/>
      <c r="GA231" s="35"/>
      <c r="GB231" s="35"/>
      <c r="GC231" s="35"/>
      <c r="GD231" s="35"/>
      <c r="GE231" s="35"/>
      <c r="GF231" s="35"/>
      <c r="GG231" s="35"/>
      <c r="GH231" s="35"/>
      <c r="GI231" s="35"/>
      <c r="GJ231" s="35"/>
      <c r="GK231" s="35"/>
      <c r="GL231" s="35"/>
      <c r="GM231" s="35"/>
      <c r="GN231" s="35"/>
      <c r="GO231" s="35"/>
      <c r="GP231" s="35"/>
      <c r="GQ231" s="35"/>
      <c r="GR231" s="35"/>
      <c r="GS231" s="35"/>
      <c r="GT231" s="35"/>
      <c r="GU231" s="35"/>
      <c r="GV231" s="35"/>
      <c r="GW231" s="35"/>
      <c r="GX231" s="35"/>
      <c r="GY231" s="35"/>
      <c r="GZ231" s="35"/>
      <c r="HA231" s="35"/>
      <c r="HB231" s="35"/>
      <c r="HC231" s="35"/>
      <c r="HD231" s="35"/>
      <c r="HE231" s="35"/>
      <c r="HF231" s="35"/>
      <c r="HG231" s="35"/>
      <c r="HH231" s="35"/>
      <c r="HI231" s="35"/>
      <c r="HJ231" s="35"/>
      <c r="HK231" s="35"/>
      <c r="HL231" s="35"/>
      <c r="HM231" s="35"/>
      <c r="HN231" s="35"/>
      <c r="HO231" s="35"/>
      <c r="HP231" s="35"/>
      <c r="HQ231" s="35"/>
      <c r="HR231" s="35"/>
      <c r="HS231" s="35"/>
      <c r="HT231" s="35"/>
      <c r="HU231" s="35"/>
      <c r="HV231" s="35"/>
      <c r="HW231" s="35"/>
      <c r="HX231" s="35"/>
      <c r="HY231" s="35"/>
      <c r="HZ231" s="35"/>
      <c r="IA231" s="35"/>
      <c r="IB231" s="35"/>
      <c r="IC231" s="35"/>
      <c r="ID231" s="35"/>
      <c r="IE231" s="35"/>
      <c r="IF231" s="35"/>
      <c r="IG231" s="35"/>
      <c r="IH231" s="35"/>
      <c r="II231" s="35"/>
      <c r="IJ231" s="35"/>
      <c r="IK231" s="35"/>
      <c r="IL231" s="35"/>
      <c r="IM231" s="35"/>
      <c r="IN231" s="35"/>
      <c r="IO231" s="35"/>
      <c r="IP231" s="35"/>
      <c r="IQ231" s="35"/>
      <c r="IR231" s="35"/>
      <c r="IS231" s="35"/>
      <c r="IT231" s="35"/>
      <c r="IU231" s="35"/>
      <c r="IV231" s="35"/>
      <c r="IW231" s="35"/>
      <c r="IX231" s="35"/>
      <c r="IY231" s="35"/>
      <c r="IZ231" s="35"/>
      <c r="JA231" s="35"/>
      <c r="JB231" s="35"/>
      <c r="JC231" s="35"/>
      <c r="JD231" s="35"/>
      <c r="JE231" s="35"/>
    </row>
    <row r="232">
      <c r="A232" s="42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35"/>
      <c r="BU232" s="35"/>
      <c r="BV232" s="35"/>
      <c r="BW232" s="35"/>
      <c r="BX232" s="35"/>
      <c r="BY232" s="35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K232" s="35"/>
      <c r="CL232" s="35"/>
      <c r="CM232" s="35"/>
      <c r="CN232" s="35"/>
      <c r="CO232" s="35"/>
      <c r="CP232" s="35"/>
      <c r="CQ232" s="35"/>
      <c r="CR232" s="35"/>
      <c r="CS232" s="35"/>
      <c r="CT232" s="35"/>
      <c r="CU232" s="35"/>
      <c r="CV232" s="35"/>
      <c r="CW232" s="35"/>
      <c r="CX232" s="35"/>
      <c r="CY232" s="35"/>
      <c r="CZ232" s="35"/>
      <c r="DA232" s="35"/>
      <c r="DB232" s="35"/>
      <c r="DC232" s="35"/>
      <c r="DD232" s="35"/>
      <c r="DE232" s="35"/>
      <c r="DF232" s="35"/>
      <c r="DG232" s="35"/>
      <c r="DH232" s="35"/>
      <c r="DI232" s="35"/>
      <c r="DJ232" s="35"/>
      <c r="DK232" s="35"/>
      <c r="DL232" s="35"/>
      <c r="DM232" s="35"/>
      <c r="DN232" s="35"/>
      <c r="DO232" s="35"/>
      <c r="DP232" s="35"/>
      <c r="DQ232" s="35"/>
      <c r="DR232" s="35"/>
      <c r="DS232" s="35"/>
      <c r="DT232" s="35"/>
      <c r="DU232" s="35"/>
      <c r="DV232" s="35"/>
      <c r="DW232" s="35"/>
      <c r="DX232" s="35"/>
      <c r="DY232" s="35"/>
      <c r="DZ232" s="35"/>
      <c r="EA232" s="35"/>
      <c r="EB232" s="35"/>
      <c r="EC232" s="35"/>
      <c r="ED232" s="35"/>
      <c r="EE232" s="35"/>
      <c r="EF232" s="35"/>
      <c r="EG232" s="35"/>
      <c r="EH232" s="35"/>
      <c r="EI232" s="35"/>
      <c r="EJ232" s="35"/>
      <c r="EK232" s="35"/>
      <c r="EL232" s="35"/>
      <c r="EM232" s="35"/>
      <c r="EN232" s="35"/>
      <c r="EO232" s="35"/>
      <c r="EP232" s="35"/>
      <c r="EQ232" s="35"/>
      <c r="ER232" s="35"/>
      <c r="ES232" s="35"/>
      <c r="ET232" s="35"/>
      <c r="EU232" s="35"/>
      <c r="EV232" s="35"/>
      <c r="EW232" s="35"/>
      <c r="EX232" s="35"/>
      <c r="EY232" s="35"/>
      <c r="EZ232" s="35"/>
      <c r="FA232" s="35"/>
      <c r="FB232" s="35"/>
      <c r="FC232" s="35"/>
      <c r="FD232" s="35"/>
      <c r="FE232" s="35"/>
      <c r="FF232" s="35"/>
      <c r="FG232" s="35"/>
      <c r="FH232" s="35"/>
      <c r="FI232" s="35"/>
      <c r="FJ232" s="35"/>
      <c r="FK232" s="35"/>
      <c r="FL232" s="35"/>
      <c r="FM232" s="35"/>
      <c r="FN232" s="35"/>
      <c r="FO232" s="35"/>
      <c r="FP232" s="35"/>
      <c r="FQ232" s="35"/>
      <c r="FR232" s="35"/>
      <c r="FS232" s="35"/>
      <c r="FT232" s="35"/>
      <c r="FU232" s="35"/>
      <c r="FV232" s="35"/>
      <c r="FW232" s="35"/>
      <c r="FX232" s="35"/>
      <c r="FY232" s="35"/>
      <c r="FZ232" s="35"/>
      <c r="GA232" s="35"/>
      <c r="GB232" s="35"/>
      <c r="GC232" s="35"/>
      <c r="GD232" s="35"/>
      <c r="GE232" s="35"/>
      <c r="GF232" s="35"/>
      <c r="GG232" s="35"/>
      <c r="GH232" s="35"/>
      <c r="GI232" s="35"/>
      <c r="GJ232" s="35"/>
      <c r="GK232" s="35"/>
      <c r="GL232" s="35"/>
      <c r="GM232" s="35"/>
      <c r="GN232" s="35"/>
      <c r="GO232" s="35"/>
      <c r="GP232" s="35"/>
      <c r="GQ232" s="35"/>
      <c r="GR232" s="35"/>
      <c r="GS232" s="35"/>
      <c r="GT232" s="35"/>
      <c r="GU232" s="35"/>
      <c r="GV232" s="35"/>
      <c r="GW232" s="35"/>
      <c r="GX232" s="35"/>
      <c r="GY232" s="35"/>
      <c r="GZ232" s="35"/>
      <c r="HA232" s="35"/>
      <c r="HB232" s="35"/>
      <c r="HC232" s="35"/>
      <c r="HD232" s="35"/>
      <c r="HE232" s="35"/>
      <c r="HF232" s="35"/>
      <c r="HG232" s="35"/>
      <c r="HH232" s="35"/>
      <c r="HI232" s="35"/>
      <c r="HJ232" s="35"/>
      <c r="HK232" s="35"/>
      <c r="HL232" s="35"/>
      <c r="HM232" s="35"/>
      <c r="HN232" s="35"/>
      <c r="HO232" s="35"/>
      <c r="HP232" s="35"/>
      <c r="HQ232" s="35"/>
      <c r="HR232" s="35"/>
      <c r="HS232" s="35"/>
      <c r="HT232" s="35"/>
      <c r="HU232" s="35"/>
      <c r="HV232" s="35"/>
      <c r="HW232" s="35"/>
      <c r="HX232" s="35"/>
      <c r="HY232" s="35"/>
      <c r="HZ232" s="35"/>
      <c r="IA232" s="35"/>
      <c r="IB232" s="35"/>
      <c r="IC232" s="35"/>
      <c r="ID232" s="35"/>
      <c r="IE232" s="35"/>
      <c r="IF232" s="35"/>
      <c r="IG232" s="35"/>
      <c r="IH232" s="35"/>
      <c r="II232" s="35"/>
      <c r="IJ232" s="35"/>
      <c r="IK232" s="35"/>
      <c r="IL232" s="35"/>
      <c r="IM232" s="35"/>
      <c r="IN232" s="35"/>
      <c r="IO232" s="35"/>
      <c r="IP232" s="35"/>
      <c r="IQ232" s="35"/>
      <c r="IR232" s="35"/>
      <c r="IS232" s="35"/>
      <c r="IT232" s="35"/>
      <c r="IU232" s="35"/>
      <c r="IV232" s="35"/>
      <c r="IW232" s="35"/>
      <c r="IX232" s="35"/>
      <c r="IY232" s="35"/>
      <c r="IZ232" s="35"/>
      <c r="JA232" s="35"/>
      <c r="JB232" s="35"/>
      <c r="JC232" s="35"/>
      <c r="JD232" s="35"/>
      <c r="JE232" s="35"/>
    </row>
    <row r="233">
      <c r="A233" s="42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5"/>
      <c r="CA233" s="35"/>
      <c r="CB233" s="35"/>
      <c r="CC233" s="35"/>
      <c r="CD233" s="35"/>
      <c r="CE233" s="35"/>
      <c r="CF233" s="35"/>
      <c r="CG233" s="35"/>
      <c r="CH233" s="35"/>
      <c r="CI233" s="35"/>
      <c r="CJ233" s="35"/>
      <c r="CK233" s="35"/>
      <c r="CL233" s="35"/>
      <c r="CM233" s="35"/>
      <c r="CN233" s="35"/>
      <c r="CO233" s="35"/>
      <c r="CP233" s="35"/>
      <c r="CQ233" s="35"/>
      <c r="CR233" s="35"/>
      <c r="CS233" s="35"/>
      <c r="CT233" s="35"/>
      <c r="CU233" s="35"/>
      <c r="CV233" s="35"/>
      <c r="CW233" s="35"/>
      <c r="CX233" s="35"/>
      <c r="CY233" s="35"/>
      <c r="CZ233" s="35"/>
      <c r="DA233" s="35"/>
      <c r="DB233" s="35"/>
      <c r="DC233" s="35"/>
      <c r="DD233" s="35"/>
      <c r="DE233" s="35"/>
      <c r="DF233" s="35"/>
      <c r="DG233" s="35"/>
      <c r="DH233" s="35"/>
      <c r="DI233" s="35"/>
      <c r="DJ233" s="35"/>
      <c r="DK233" s="35"/>
      <c r="DL233" s="35"/>
      <c r="DM233" s="35"/>
      <c r="DN233" s="35"/>
      <c r="DO233" s="35"/>
      <c r="DP233" s="35"/>
      <c r="DQ233" s="35"/>
      <c r="DR233" s="35"/>
      <c r="DS233" s="35"/>
      <c r="DT233" s="35"/>
      <c r="DU233" s="35"/>
      <c r="DV233" s="35"/>
      <c r="DW233" s="35"/>
      <c r="DX233" s="35"/>
      <c r="DY233" s="35"/>
      <c r="DZ233" s="35"/>
      <c r="EA233" s="35"/>
      <c r="EB233" s="35"/>
      <c r="EC233" s="35"/>
      <c r="ED233" s="35"/>
      <c r="EE233" s="35"/>
      <c r="EF233" s="35"/>
      <c r="EG233" s="35"/>
      <c r="EH233" s="35"/>
      <c r="EI233" s="35"/>
      <c r="EJ233" s="35"/>
      <c r="EK233" s="35"/>
      <c r="EL233" s="35"/>
      <c r="EM233" s="35"/>
      <c r="EN233" s="35"/>
      <c r="EO233" s="35"/>
      <c r="EP233" s="35"/>
      <c r="EQ233" s="35"/>
      <c r="ER233" s="35"/>
      <c r="ES233" s="35"/>
      <c r="ET233" s="35"/>
      <c r="EU233" s="35"/>
      <c r="EV233" s="35"/>
      <c r="EW233" s="35"/>
      <c r="EX233" s="35"/>
      <c r="EY233" s="35"/>
      <c r="EZ233" s="35"/>
      <c r="FA233" s="35"/>
      <c r="FB233" s="35"/>
      <c r="FC233" s="35"/>
      <c r="FD233" s="35"/>
      <c r="FE233" s="35"/>
      <c r="FF233" s="35"/>
      <c r="FG233" s="35"/>
      <c r="FH233" s="35"/>
      <c r="FI233" s="35"/>
      <c r="FJ233" s="35"/>
      <c r="FK233" s="35"/>
      <c r="FL233" s="35"/>
      <c r="FM233" s="35"/>
      <c r="FN233" s="35"/>
      <c r="FO233" s="35"/>
      <c r="FP233" s="35"/>
      <c r="FQ233" s="35"/>
      <c r="FR233" s="35"/>
      <c r="FS233" s="35"/>
      <c r="FT233" s="35"/>
      <c r="FU233" s="35"/>
      <c r="FV233" s="35"/>
      <c r="FW233" s="35"/>
      <c r="FX233" s="35"/>
      <c r="FY233" s="35"/>
      <c r="FZ233" s="35"/>
      <c r="GA233" s="35"/>
      <c r="GB233" s="35"/>
      <c r="GC233" s="35"/>
      <c r="GD233" s="35"/>
      <c r="GE233" s="35"/>
      <c r="GF233" s="35"/>
      <c r="GG233" s="35"/>
      <c r="GH233" s="35"/>
      <c r="GI233" s="35"/>
      <c r="GJ233" s="35"/>
      <c r="GK233" s="35"/>
      <c r="GL233" s="35"/>
      <c r="GM233" s="35"/>
      <c r="GN233" s="35"/>
      <c r="GO233" s="35"/>
      <c r="GP233" s="35"/>
      <c r="GQ233" s="35"/>
      <c r="GR233" s="35"/>
      <c r="GS233" s="35"/>
      <c r="GT233" s="35"/>
      <c r="GU233" s="35"/>
      <c r="GV233" s="35"/>
      <c r="GW233" s="35"/>
      <c r="GX233" s="35"/>
      <c r="GY233" s="35"/>
      <c r="GZ233" s="35"/>
      <c r="HA233" s="35"/>
      <c r="HB233" s="35"/>
      <c r="HC233" s="35"/>
      <c r="HD233" s="35"/>
      <c r="HE233" s="35"/>
      <c r="HF233" s="35"/>
      <c r="HG233" s="35"/>
      <c r="HH233" s="35"/>
      <c r="HI233" s="35"/>
      <c r="HJ233" s="35"/>
      <c r="HK233" s="35"/>
      <c r="HL233" s="35"/>
      <c r="HM233" s="35"/>
      <c r="HN233" s="35"/>
      <c r="HO233" s="35"/>
      <c r="HP233" s="35"/>
      <c r="HQ233" s="35"/>
      <c r="HR233" s="35"/>
      <c r="HS233" s="35"/>
      <c r="HT233" s="35"/>
      <c r="HU233" s="35"/>
      <c r="HV233" s="35"/>
      <c r="HW233" s="35"/>
      <c r="HX233" s="35"/>
      <c r="HY233" s="35"/>
      <c r="HZ233" s="35"/>
      <c r="IA233" s="35"/>
      <c r="IB233" s="35"/>
      <c r="IC233" s="35"/>
      <c r="ID233" s="35"/>
      <c r="IE233" s="35"/>
      <c r="IF233" s="35"/>
      <c r="IG233" s="35"/>
      <c r="IH233" s="35"/>
      <c r="II233" s="35"/>
      <c r="IJ233" s="35"/>
      <c r="IK233" s="35"/>
      <c r="IL233" s="35"/>
      <c r="IM233" s="35"/>
      <c r="IN233" s="35"/>
      <c r="IO233" s="35"/>
      <c r="IP233" s="35"/>
      <c r="IQ233" s="35"/>
      <c r="IR233" s="35"/>
      <c r="IS233" s="35"/>
      <c r="IT233" s="35"/>
      <c r="IU233" s="35"/>
      <c r="IV233" s="35"/>
      <c r="IW233" s="35"/>
      <c r="IX233" s="35"/>
      <c r="IY233" s="35"/>
      <c r="IZ233" s="35"/>
      <c r="JA233" s="35"/>
      <c r="JB233" s="35"/>
      <c r="JC233" s="35"/>
      <c r="JD233" s="35"/>
      <c r="JE233" s="35"/>
    </row>
    <row r="234">
      <c r="A234" s="42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K234" s="35"/>
      <c r="CL234" s="35"/>
      <c r="CM234" s="35"/>
      <c r="CN234" s="35"/>
      <c r="CO234" s="35"/>
      <c r="CP234" s="35"/>
      <c r="CQ234" s="35"/>
      <c r="CR234" s="35"/>
      <c r="CS234" s="35"/>
      <c r="CT234" s="35"/>
      <c r="CU234" s="35"/>
      <c r="CV234" s="35"/>
      <c r="CW234" s="35"/>
      <c r="CX234" s="35"/>
      <c r="CY234" s="35"/>
      <c r="CZ234" s="35"/>
      <c r="DA234" s="35"/>
      <c r="DB234" s="35"/>
      <c r="DC234" s="35"/>
      <c r="DD234" s="35"/>
      <c r="DE234" s="35"/>
      <c r="DF234" s="35"/>
      <c r="DG234" s="35"/>
      <c r="DH234" s="35"/>
      <c r="DI234" s="35"/>
      <c r="DJ234" s="35"/>
      <c r="DK234" s="35"/>
      <c r="DL234" s="35"/>
      <c r="DM234" s="35"/>
      <c r="DN234" s="35"/>
      <c r="DO234" s="35"/>
      <c r="DP234" s="35"/>
      <c r="DQ234" s="35"/>
      <c r="DR234" s="35"/>
      <c r="DS234" s="35"/>
      <c r="DT234" s="35"/>
      <c r="DU234" s="35"/>
      <c r="DV234" s="35"/>
      <c r="DW234" s="35"/>
      <c r="DX234" s="35"/>
      <c r="DY234" s="35"/>
      <c r="DZ234" s="35"/>
      <c r="EA234" s="35"/>
      <c r="EB234" s="35"/>
      <c r="EC234" s="35"/>
      <c r="ED234" s="35"/>
      <c r="EE234" s="35"/>
      <c r="EF234" s="35"/>
      <c r="EG234" s="35"/>
      <c r="EH234" s="35"/>
      <c r="EI234" s="35"/>
      <c r="EJ234" s="35"/>
      <c r="EK234" s="35"/>
      <c r="EL234" s="35"/>
      <c r="EM234" s="35"/>
      <c r="EN234" s="35"/>
      <c r="EO234" s="35"/>
      <c r="EP234" s="35"/>
      <c r="EQ234" s="35"/>
      <c r="ER234" s="35"/>
      <c r="ES234" s="35"/>
      <c r="ET234" s="35"/>
      <c r="EU234" s="35"/>
      <c r="EV234" s="35"/>
      <c r="EW234" s="35"/>
      <c r="EX234" s="35"/>
      <c r="EY234" s="35"/>
      <c r="EZ234" s="35"/>
      <c r="FA234" s="35"/>
      <c r="FB234" s="35"/>
      <c r="FC234" s="35"/>
      <c r="FD234" s="35"/>
      <c r="FE234" s="35"/>
      <c r="FF234" s="35"/>
      <c r="FG234" s="35"/>
      <c r="FH234" s="35"/>
      <c r="FI234" s="35"/>
      <c r="FJ234" s="35"/>
      <c r="FK234" s="35"/>
      <c r="FL234" s="35"/>
      <c r="FM234" s="35"/>
      <c r="FN234" s="35"/>
      <c r="FO234" s="35"/>
      <c r="FP234" s="35"/>
      <c r="FQ234" s="35"/>
      <c r="FR234" s="35"/>
      <c r="FS234" s="35"/>
      <c r="FT234" s="35"/>
      <c r="FU234" s="35"/>
      <c r="FV234" s="35"/>
      <c r="FW234" s="35"/>
      <c r="FX234" s="35"/>
      <c r="FY234" s="35"/>
      <c r="FZ234" s="35"/>
      <c r="GA234" s="35"/>
      <c r="GB234" s="35"/>
      <c r="GC234" s="35"/>
      <c r="GD234" s="35"/>
      <c r="GE234" s="35"/>
      <c r="GF234" s="35"/>
      <c r="GG234" s="35"/>
      <c r="GH234" s="35"/>
      <c r="GI234" s="35"/>
      <c r="GJ234" s="35"/>
      <c r="GK234" s="35"/>
      <c r="GL234" s="35"/>
      <c r="GM234" s="35"/>
      <c r="GN234" s="35"/>
      <c r="GO234" s="35"/>
      <c r="GP234" s="35"/>
      <c r="GQ234" s="35"/>
      <c r="GR234" s="35"/>
      <c r="GS234" s="35"/>
      <c r="GT234" s="35"/>
      <c r="GU234" s="35"/>
      <c r="GV234" s="35"/>
      <c r="GW234" s="35"/>
      <c r="GX234" s="35"/>
      <c r="GY234" s="35"/>
      <c r="GZ234" s="35"/>
      <c r="HA234" s="35"/>
      <c r="HB234" s="35"/>
      <c r="HC234" s="35"/>
      <c r="HD234" s="35"/>
      <c r="HE234" s="35"/>
      <c r="HF234" s="35"/>
      <c r="HG234" s="35"/>
      <c r="HH234" s="35"/>
      <c r="HI234" s="35"/>
      <c r="HJ234" s="35"/>
      <c r="HK234" s="35"/>
      <c r="HL234" s="35"/>
      <c r="HM234" s="35"/>
      <c r="HN234" s="35"/>
      <c r="HO234" s="35"/>
      <c r="HP234" s="35"/>
      <c r="HQ234" s="35"/>
      <c r="HR234" s="35"/>
      <c r="HS234" s="35"/>
      <c r="HT234" s="35"/>
      <c r="HU234" s="35"/>
      <c r="HV234" s="35"/>
      <c r="HW234" s="35"/>
      <c r="HX234" s="35"/>
      <c r="HY234" s="35"/>
      <c r="HZ234" s="35"/>
      <c r="IA234" s="35"/>
      <c r="IB234" s="35"/>
      <c r="IC234" s="35"/>
      <c r="ID234" s="35"/>
      <c r="IE234" s="35"/>
      <c r="IF234" s="35"/>
      <c r="IG234" s="35"/>
      <c r="IH234" s="35"/>
      <c r="II234" s="35"/>
      <c r="IJ234" s="35"/>
      <c r="IK234" s="35"/>
      <c r="IL234" s="35"/>
      <c r="IM234" s="35"/>
      <c r="IN234" s="35"/>
      <c r="IO234" s="35"/>
      <c r="IP234" s="35"/>
      <c r="IQ234" s="35"/>
      <c r="IR234" s="35"/>
      <c r="IS234" s="35"/>
      <c r="IT234" s="35"/>
      <c r="IU234" s="35"/>
      <c r="IV234" s="35"/>
      <c r="IW234" s="35"/>
      <c r="IX234" s="35"/>
      <c r="IY234" s="35"/>
      <c r="IZ234" s="35"/>
      <c r="JA234" s="35"/>
      <c r="JB234" s="35"/>
      <c r="JC234" s="35"/>
      <c r="JD234" s="35"/>
      <c r="JE234" s="35"/>
    </row>
    <row r="235">
      <c r="A235" s="42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5"/>
      <c r="BU235" s="35"/>
      <c r="BV235" s="35"/>
      <c r="BW235" s="35"/>
      <c r="BX235" s="35"/>
      <c r="BY235" s="35"/>
      <c r="BZ235" s="35"/>
      <c r="CA235" s="35"/>
      <c r="CB235" s="35"/>
      <c r="CC235" s="35"/>
      <c r="CD235" s="35"/>
      <c r="CE235" s="35"/>
      <c r="CF235" s="35"/>
      <c r="CG235" s="35"/>
      <c r="CH235" s="35"/>
      <c r="CI235" s="35"/>
      <c r="CJ235" s="35"/>
      <c r="CK235" s="35"/>
      <c r="CL235" s="35"/>
      <c r="CM235" s="35"/>
      <c r="CN235" s="35"/>
      <c r="CO235" s="35"/>
      <c r="CP235" s="35"/>
      <c r="CQ235" s="35"/>
      <c r="CR235" s="35"/>
      <c r="CS235" s="35"/>
      <c r="CT235" s="35"/>
      <c r="CU235" s="35"/>
      <c r="CV235" s="35"/>
      <c r="CW235" s="35"/>
      <c r="CX235" s="35"/>
      <c r="CY235" s="35"/>
      <c r="CZ235" s="35"/>
      <c r="DA235" s="35"/>
      <c r="DB235" s="35"/>
      <c r="DC235" s="35"/>
      <c r="DD235" s="35"/>
      <c r="DE235" s="35"/>
      <c r="DF235" s="35"/>
      <c r="DG235" s="35"/>
      <c r="DH235" s="35"/>
      <c r="DI235" s="35"/>
      <c r="DJ235" s="35"/>
      <c r="DK235" s="35"/>
      <c r="DL235" s="35"/>
      <c r="DM235" s="35"/>
      <c r="DN235" s="35"/>
      <c r="DO235" s="35"/>
      <c r="DP235" s="35"/>
      <c r="DQ235" s="35"/>
      <c r="DR235" s="35"/>
      <c r="DS235" s="35"/>
      <c r="DT235" s="35"/>
      <c r="DU235" s="35"/>
      <c r="DV235" s="35"/>
      <c r="DW235" s="35"/>
      <c r="DX235" s="35"/>
      <c r="DY235" s="35"/>
      <c r="DZ235" s="35"/>
      <c r="EA235" s="35"/>
      <c r="EB235" s="35"/>
      <c r="EC235" s="35"/>
      <c r="ED235" s="35"/>
      <c r="EE235" s="35"/>
      <c r="EF235" s="35"/>
      <c r="EG235" s="35"/>
      <c r="EH235" s="35"/>
      <c r="EI235" s="35"/>
      <c r="EJ235" s="35"/>
      <c r="EK235" s="35"/>
      <c r="EL235" s="35"/>
      <c r="EM235" s="35"/>
      <c r="EN235" s="35"/>
      <c r="EO235" s="35"/>
      <c r="EP235" s="35"/>
      <c r="EQ235" s="35"/>
      <c r="ER235" s="35"/>
      <c r="ES235" s="35"/>
      <c r="ET235" s="35"/>
      <c r="EU235" s="35"/>
      <c r="EV235" s="35"/>
      <c r="EW235" s="35"/>
      <c r="EX235" s="35"/>
      <c r="EY235" s="35"/>
      <c r="EZ235" s="35"/>
      <c r="FA235" s="35"/>
      <c r="FB235" s="35"/>
      <c r="FC235" s="35"/>
      <c r="FD235" s="35"/>
      <c r="FE235" s="35"/>
      <c r="FF235" s="35"/>
      <c r="FG235" s="35"/>
      <c r="FH235" s="35"/>
      <c r="FI235" s="35"/>
      <c r="FJ235" s="35"/>
      <c r="FK235" s="35"/>
      <c r="FL235" s="35"/>
      <c r="FM235" s="35"/>
      <c r="FN235" s="35"/>
      <c r="FO235" s="35"/>
      <c r="FP235" s="35"/>
      <c r="FQ235" s="35"/>
      <c r="FR235" s="35"/>
      <c r="FS235" s="35"/>
      <c r="FT235" s="35"/>
      <c r="FU235" s="35"/>
      <c r="FV235" s="35"/>
      <c r="FW235" s="35"/>
      <c r="FX235" s="35"/>
      <c r="FY235" s="35"/>
      <c r="FZ235" s="35"/>
      <c r="GA235" s="35"/>
      <c r="GB235" s="35"/>
      <c r="GC235" s="35"/>
      <c r="GD235" s="35"/>
      <c r="GE235" s="35"/>
      <c r="GF235" s="35"/>
      <c r="GG235" s="35"/>
      <c r="GH235" s="35"/>
      <c r="GI235" s="35"/>
      <c r="GJ235" s="35"/>
      <c r="GK235" s="35"/>
      <c r="GL235" s="35"/>
      <c r="GM235" s="35"/>
      <c r="GN235" s="35"/>
      <c r="GO235" s="35"/>
      <c r="GP235" s="35"/>
      <c r="GQ235" s="35"/>
      <c r="GR235" s="35"/>
      <c r="GS235" s="35"/>
      <c r="GT235" s="35"/>
      <c r="GU235" s="35"/>
      <c r="GV235" s="35"/>
      <c r="GW235" s="35"/>
      <c r="GX235" s="35"/>
      <c r="GY235" s="35"/>
      <c r="GZ235" s="35"/>
      <c r="HA235" s="35"/>
      <c r="HB235" s="35"/>
      <c r="HC235" s="35"/>
      <c r="HD235" s="35"/>
      <c r="HE235" s="35"/>
      <c r="HF235" s="35"/>
      <c r="HG235" s="35"/>
      <c r="HH235" s="35"/>
      <c r="HI235" s="35"/>
      <c r="HJ235" s="35"/>
      <c r="HK235" s="35"/>
      <c r="HL235" s="35"/>
      <c r="HM235" s="35"/>
      <c r="HN235" s="35"/>
      <c r="HO235" s="35"/>
      <c r="HP235" s="35"/>
      <c r="HQ235" s="35"/>
      <c r="HR235" s="35"/>
      <c r="HS235" s="35"/>
      <c r="HT235" s="35"/>
      <c r="HU235" s="35"/>
      <c r="HV235" s="35"/>
      <c r="HW235" s="35"/>
      <c r="HX235" s="35"/>
      <c r="HY235" s="35"/>
      <c r="HZ235" s="35"/>
      <c r="IA235" s="35"/>
      <c r="IB235" s="35"/>
      <c r="IC235" s="35"/>
      <c r="ID235" s="35"/>
      <c r="IE235" s="35"/>
      <c r="IF235" s="35"/>
      <c r="IG235" s="35"/>
      <c r="IH235" s="35"/>
      <c r="II235" s="35"/>
      <c r="IJ235" s="35"/>
      <c r="IK235" s="35"/>
      <c r="IL235" s="35"/>
      <c r="IM235" s="35"/>
      <c r="IN235" s="35"/>
      <c r="IO235" s="35"/>
      <c r="IP235" s="35"/>
      <c r="IQ235" s="35"/>
      <c r="IR235" s="35"/>
      <c r="IS235" s="35"/>
      <c r="IT235" s="35"/>
      <c r="IU235" s="35"/>
      <c r="IV235" s="35"/>
      <c r="IW235" s="35"/>
      <c r="IX235" s="35"/>
      <c r="IY235" s="35"/>
      <c r="IZ235" s="35"/>
      <c r="JA235" s="35"/>
      <c r="JB235" s="35"/>
      <c r="JC235" s="35"/>
      <c r="JD235" s="35"/>
      <c r="JE235" s="35"/>
    </row>
    <row r="236">
      <c r="A236" s="42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35"/>
      <c r="BU236" s="35"/>
      <c r="BV236" s="35"/>
      <c r="BW236" s="35"/>
      <c r="BX236" s="35"/>
      <c r="BY236" s="35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K236" s="35"/>
      <c r="CL236" s="35"/>
      <c r="CM236" s="35"/>
      <c r="CN236" s="35"/>
      <c r="CO236" s="35"/>
      <c r="CP236" s="35"/>
      <c r="CQ236" s="35"/>
      <c r="CR236" s="35"/>
      <c r="CS236" s="35"/>
      <c r="CT236" s="35"/>
      <c r="CU236" s="35"/>
      <c r="CV236" s="35"/>
      <c r="CW236" s="35"/>
      <c r="CX236" s="35"/>
      <c r="CY236" s="35"/>
      <c r="CZ236" s="35"/>
      <c r="DA236" s="35"/>
      <c r="DB236" s="35"/>
      <c r="DC236" s="35"/>
      <c r="DD236" s="35"/>
      <c r="DE236" s="35"/>
      <c r="DF236" s="35"/>
      <c r="DG236" s="35"/>
      <c r="DH236" s="35"/>
      <c r="DI236" s="35"/>
      <c r="DJ236" s="35"/>
      <c r="DK236" s="35"/>
      <c r="DL236" s="35"/>
      <c r="DM236" s="35"/>
      <c r="DN236" s="35"/>
      <c r="DO236" s="35"/>
      <c r="DP236" s="35"/>
      <c r="DQ236" s="35"/>
      <c r="DR236" s="35"/>
      <c r="DS236" s="35"/>
      <c r="DT236" s="35"/>
      <c r="DU236" s="35"/>
      <c r="DV236" s="35"/>
      <c r="DW236" s="35"/>
      <c r="DX236" s="35"/>
      <c r="DY236" s="35"/>
      <c r="DZ236" s="35"/>
      <c r="EA236" s="35"/>
      <c r="EB236" s="35"/>
      <c r="EC236" s="35"/>
      <c r="ED236" s="35"/>
      <c r="EE236" s="35"/>
      <c r="EF236" s="35"/>
      <c r="EG236" s="35"/>
      <c r="EH236" s="35"/>
      <c r="EI236" s="35"/>
      <c r="EJ236" s="35"/>
      <c r="EK236" s="35"/>
      <c r="EL236" s="35"/>
      <c r="EM236" s="35"/>
      <c r="EN236" s="35"/>
      <c r="EO236" s="35"/>
      <c r="EP236" s="35"/>
      <c r="EQ236" s="35"/>
      <c r="ER236" s="35"/>
      <c r="ES236" s="35"/>
      <c r="ET236" s="35"/>
      <c r="EU236" s="35"/>
      <c r="EV236" s="35"/>
      <c r="EW236" s="35"/>
      <c r="EX236" s="35"/>
      <c r="EY236" s="35"/>
      <c r="EZ236" s="35"/>
      <c r="FA236" s="35"/>
      <c r="FB236" s="35"/>
      <c r="FC236" s="35"/>
      <c r="FD236" s="35"/>
      <c r="FE236" s="35"/>
      <c r="FF236" s="35"/>
      <c r="FG236" s="35"/>
      <c r="FH236" s="35"/>
      <c r="FI236" s="35"/>
      <c r="FJ236" s="35"/>
      <c r="FK236" s="35"/>
      <c r="FL236" s="35"/>
      <c r="FM236" s="35"/>
      <c r="FN236" s="35"/>
      <c r="FO236" s="35"/>
      <c r="FP236" s="35"/>
      <c r="FQ236" s="35"/>
      <c r="FR236" s="35"/>
      <c r="FS236" s="35"/>
      <c r="FT236" s="35"/>
      <c r="FU236" s="35"/>
      <c r="FV236" s="35"/>
      <c r="FW236" s="35"/>
      <c r="FX236" s="35"/>
      <c r="FY236" s="35"/>
      <c r="FZ236" s="35"/>
      <c r="GA236" s="35"/>
      <c r="GB236" s="35"/>
      <c r="GC236" s="35"/>
      <c r="GD236" s="35"/>
      <c r="GE236" s="35"/>
      <c r="GF236" s="35"/>
      <c r="GG236" s="35"/>
      <c r="GH236" s="35"/>
      <c r="GI236" s="35"/>
      <c r="GJ236" s="35"/>
      <c r="GK236" s="35"/>
      <c r="GL236" s="35"/>
      <c r="GM236" s="35"/>
      <c r="GN236" s="35"/>
      <c r="GO236" s="35"/>
      <c r="GP236" s="35"/>
      <c r="GQ236" s="35"/>
      <c r="GR236" s="35"/>
      <c r="GS236" s="35"/>
      <c r="GT236" s="35"/>
      <c r="GU236" s="35"/>
      <c r="GV236" s="35"/>
      <c r="GW236" s="35"/>
      <c r="GX236" s="35"/>
      <c r="GY236" s="35"/>
      <c r="GZ236" s="35"/>
      <c r="HA236" s="35"/>
      <c r="HB236" s="35"/>
      <c r="HC236" s="35"/>
      <c r="HD236" s="35"/>
      <c r="HE236" s="35"/>
      <c r="HF236" s="35"/>
      <c r="HG236" s="35"/>
      <c r="HH236" s="35"/>
      <c r="HI236" s="35"/>
      <c r="HJ236" s="35"/>
      <c r="HK236" s="35"/>
      <c r="HL236" s="35"/>
      <c r="HM236" s="35"/>
      <c r="HN236" s="35"/>
      <c r="HO236" s="35"/>
      <c r="HP236" s="35"/>
      <c r="HQ236" s="35"/>
      <c r="HR236" s="35"/>
      <c r="HS236" s="35"/>
      <c r="HT236" s="35"/>
      <c r="HU236" s="35"/>
      <c r="HV236" s="35"/>
      <c r="HW236" s="35"/>
      <c r="HX236" s="35"/>
      <c r="HY236" s="35"/>
      <c r="HZ236" s="35"/>
      <c r="IA236" s="35"/>
      <c r="IB236" s="35"/>
      <c r="IC236" s="35"/>
      <c r="ID236" s="35"/>
      <c r="IE236" s="35"/>
      <c r="IF236" s="35"/>
      <c r="IG236" s="35"/>
      <c r="IH236" s="35"/>
      <c r="II236" s="35"/>
      <c r="IJ236" s="35"/>
      <c r="IK236" s="35"/>
      <c r="IL236" s="35"/>
      <c r="IM236" s="35"/>
      <c r="IN236" s="35"/>
      <c r="IO236" s="35"/>
      <c r="IP236" s="35"/>
      <c r="IQ236" s="35"/>
      <c r="IR236" s="35"/>
      <c r="IS236" s="35"/>
      <c r="IT236" s="35"/>
      <c r="IU236" s="35"/>
      <c r="IV236" s="35"/>
      <c r="IW236" s="35"/>
      <c r="IX236" s="35"/>
      <c r="IY236" s="35"/>
      <c r="IZ236" s="35"/>
      <c r="JA236" s="35"/>
      <c r="JB236" s="35"/>
      <c r="JC236" s="35"/>
      <c r="JD236" s="35"/>
      <c r="JE236" s="35"/>
    </row>
    <row r="237">
      <c r="A237" s="42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/>
      <c r="CM237" s="35"/>
      <c r="CN237" s="35"/>
      <c r="CO237" s="35"/>
      <c r="CP237" s="35"/>
      <c r="CQ237" s="35"/>
      <c r="CR237" s="35"/>
      <c r="CS237" s="35"/>
      <c r="CT237" s="35"/>
      <c r="CU237" s="35"/>
      <c r="CV237" s="35"/>
      <c r="CW237" s="35"/>
      <c r="CX237" s="35"/>
      <c r="CY237" s="35"/>
      <c r="CZ237" s="35"/>
      <c r="DA237" s="35"/>
      <c r="DB237" s="35"/>
      <c r="DC237" s="35"/>
      <c r="DD237" s="35"/>
      <c r="DE237" s="35"/>
      <c r="DF237" s="35"/>
      <c r="DG237" s="35"/>
      <c r="DH237" s="35"/>
      <c r="DI237" s="35"/>
      <c r="DJ237" s="35"/>
      <c r="DK237" s="35"/>
      <c r="DL237" s="35"/>
      <c r="DM237" s="35"/>
      <c r="DN237" s="35"/>
      <c r="DO237" s="35"/>
      <c r="DP237" s="35"/>
      <c r="DQ237" s="35"/>
      <c r="DR237" s="35"/>
      <c r="DS237" s="35"/>
      <c r="DT237" s="35"/>
      <c r="DU237" s="35"/>
      <c r="DV237" s="35"/>
      <c r="DW237" s="35"/>
      <c r="DX237" s="35"/>
      <c r="DY237" s="35"/>
      <c r="DZ237" s="35"/>
      <c r="EA237" s="35"/>
      <c r="EB237" s="35"/>
      <c r="EC237" s="35"/>
      <c r="ED237" s="35"/>
      <c r="EE237" s="35"/>
      <c r="EF237" s="35"/>
      <c r="EG237" s="35"/>
      <c r="EH237" s="35"/>
      <c r="EI237" s="35"/>
      <c r="EJ237" s="35"/>
      <c r="EK237" s="35"/>
      <c r="EL237" s="35"/>
      <c r="EM237" s="35"/>
      <c r="EN237" s="35"/>
      <c r="EO237" s="35"/>
      <c r="EP237" s="35"/>
      <c r="EQ237" s="35"/>
      <c r="ER237" s="35"/>
      <c r="ES237" s="35"/>
      <c r="ET237" s="35"/>
      <c r="EU237" s="35"/>
      <c r="EV237" s="35"/>
      <c r="EW237" s="35"/>
      <c r="EX237" s="35"/>
      <c r="EY237" s="35"/>
      <c r="EZ237" s="35"/>
      <c r="FA237" s="35"/>
      <c r="FB237" s="35"/>
      <c r="FC237" s="35"/>
      <c r="FD237" s="35"/>
      <c r="FE237" s="35"/>
      <c r="FF237" s="35"/>
      <c r="FG237" s="35"/>
      <c r="FH237" s="35"/>
      <c r="FI237" s="35"/>
      <c r="FJ237" s="35"/>
      <c r="FK237" s="35"/>
      <c r="FL237" s="35"/>
      <c r="FM237" s="35"/>
      <c r="FN237" s="35"/>
      <c r="FO237" s="35"/>
      <c r="FP237" s="35"/>
      <c r="FQ237" s="35"/>
      <c r="FR237" s="35"/>
      <c r="FS237" s="35"/>
      <c r="FT237" s="35"/>
      <c r="FU237" s="35"/>
      <c r="FV237" s="35"/>
      <c r="FW237" s="35"/>
      <c r="FX237" s="35"/>
      <c r="FY237" s="35"/>
      <c r="FZ237" s="35"/>
      <c r="GA237" s="35"/>
      <c r="GB237" s="35"/>
      <c r="GC237" s="35"/>
      <c r="GD237" s="35"/>
      <c r="GE237" s="35"/>
      <c r="GF237" s="35"/>
      <c r="GG237" s="35"/>
      <c r="GH237" s="35"/>
      <c r="GI237" s="35"/>
      <c r="GJ237" s="35"/>
      <c r="GK237" s="35"/>
      <c r="GL237" s="35"/>
      <c r="GM237" s="35"/>
      <c r="GN237" s="35"/>
      <c r="GO237" s="35"/>
      <c r="GP237" s="35"/>
      <c r="GQ237" s="35"/>
      <c r="GR237" s="35"/>
      <c r="GS237" s="35"/>
      <c r="GT237" s="35"/>
      <c r="GU237" s="35"/>
      <c r="GV237" s="35"/>
      <c r="GW237" s="35"/>
      <c r="GX237" s="35"/>
      <c r="GY237" s="35"/>
      <c r="GZ237" s="35"/>
      <c r="HA237" s="35"/>
      <c r="HB237" s="35"/>
      <c r="HC237" s="35"/>
      <c r="HD237" s="35"/>
      <c r="HE237" s="35"/>
      <c r="HF237" s="35"/>
      <c r="HG237" s="35"/>
      <c r="HH237" s="35"/>
      <c r="HI237" s="35"/>
      <c r="HJ237" s="35"/>
      <c r="HK237" s="35"/>
      <c r="HL237" s="35"/>
      <c r="HM237" s="35"/>
      <c r="HN237" s="35"/>
      <c r="HO237" s="35"/>
      <c r="HP237" s="35"/>
      <c r="HQ237" s="35"/>
      <c r="HR237" s="35"/>
      <c r="HS237" s="35"/>
      <c r="HT237" s="35"/>
      <c r="HU237" s="35"/>
      <c r="HV237" s="35"/>
      <c r="HW237" s="35"/>
      <c r="HX237" s="35"/>
      <c r="HY237" s="35"/>
      <c r="HZ237" s="35"/>
      <c r="IA237" s="35"/>
      <c r="IB237" s="35"/>
      <c r="IC237" s="35"/>
      <c r="ID237" s="35"/>
      <c r="IE237" s="35"/>
      <c r="IF237" s="35"/>
      <c r="IG237" s="35"/>
      <c r="IH237" s="35"/>
      <c r="II237" s="35"/>
      <c r="IJ237" s="35"/>
      <c r="IK237" s="35"/>
      <c r="IL237" s="35"/>
      <c r="IM237" s="35"/>
      <c r="IN237" s="35"/>
      <c r="IO237" s="35"/>
      <c r="IP237" s="35"/>
      <c r="IQ237" s="35"/>
      <c r="IR237" s="35"/>
      <c r="IS237" s="35"/>
      <c r="IT237" s="35"/>
      <c r="IU237" s="35"/>
      <c r="IV237" s="35"/>
      <c r="IW237" s="35"/>
      <c r="IX237" s="35"/>
      <c r="IY237" s="35"/>
      <c r="IZ237" s="35"/>
      <c r="JA237" s="35"/>
      <c r="JB237" s="35"/>
      <c r="JC237" s="35"/>
      <c r="JD237" s="35"/>
      <c r="JE237" s="35"/>
    </row>
    <row r="238">
      <c r="A238" s="42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/>
      <c r="BX238" s="35"/>
      <c r="BY238" s="35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K238" s="35"/>
      <c r="CL238" s="35"/>
      <c r="CM238" s="35"/>
      <c r="CN238" s="35"/>
      <c r="CO238" s="35"/>
      <c r="CP238" s="35"/>
      <c r="CQ238" s="35"/>
      <c r="CR238" s="35"/>
      <c r="CS238" s="35"/>
      <c r="CT238" s="35"/>
      <c r="CU238" s="35"/>
      <c r="CV238" s="35"/>
      <c r="CW238" s="35"/>
      <c r="CX238" s="35"/>
      <c r="CY238" s="35"/>
      <c r="CZ238" s="35"/>
      <c r="DA238" s="35"/>
      <c r="DB238" s="35"/>
      <c r="DC238" s="35"/>
      <c r="DD238" s="35"/>
      <c r="DE238" s="35"/>
      <c r="DF238" s="35"/>
      <c r="DG238" s="35"/>
      <c r="DH238" s="35"/>
      <c r="DI238" s="35"/>
      <c r="DJ238" s="35"/>
      <c r="DK238" s="35"/>
      <c r="DL238" s="35"/>
      <c r="DM238" s="35"/>
      <c r="DN238" s="35"/>
      <c r="DO238" s="35"/>
      <c r="DP238" s="35"/>
      <c r="DQ238" s="35"/>
      <c r="DR238" s="35"/>
      <c r="DS238" s="35"/>
      <c r="DT238" s="35"/>
      <c r="DU238" s="35"/>
      <c r="DV238" s="35"/>
      <c r="DW238" s="35"/>
      <c r="DX238" s="35"/>
      <c r="DY238" s="35"/>
      <c r="DZ238" s="35"/>
      <c r="EA238" s="35"/>
      <c r="EB238" s="35"/>
      <c r="EC238" s="35"/>
      <c r="ED238" s="35"/>
      <c r="EE238" s="35"/>
      <c r="EF238" s="35"/>
      <c r="EG238" s="35"/>
      <c r="EH238" s="35"/>
      <c r="EI238" s="35"/>
      <c r="EJ238" s="35"/>
      <c r="EK238" s="35"/>
      <c r="EL238" s="35"/>
      <c r="EM238" s="35"/>
      <c r="EN238" s="35"/>
      <c r="EO238" s="35"/>
      <c r="EP238" s="35"/>
      <c r="EQ238" s="35"/>
      <c r="ER238" s="35"/>
      <c r="ES238" s="35"/>
      <c r="ET238" s="35"/>
      <c r="EU238" s="35"/>
      <c r="EV238" s="35"/>
      <c r="EW238" s="35"/>
      <c r="EX238" s="35"/>
      <c r="EY238" s="35"/>
      <c r="EZ238" s="35"/>
      <c r="FA238" s="35"/>
      <c r="FB238" s="35"/>
      <c r="FC238" s="35"/>
      <c r="FD238" s="35"/>
      <c r="FE238" s="35"/>
      <c r="FF238" s="35"/>
      <c r="FG238" s="35"/>
      <c r="FH238" s="35"/>
      <c r="FI238" s="35"/>
      <c r="FJ238" s="35"/>
      <c r="FK238" s="35"/>
      <c r="FL238" s="35"/>
      <c r="FM238" s="35"/>
      <c r="FN238" s="35"/>
      <c r="FO238" s="35"/>
      <c r="FP238" s="35"/>
      <c r="FQ238" s="35"/>
      <c r="FR238" s="35"/>
      <c r="FS238" s="35"/>
      <c r="FT238" s="35"/>
      <c r="FU238" s="35"/>
      <c r="FV238" s="35"/>
      <c r="FW238" s="35"/>
      <c r="FX238" s="35"/>
      <c r="FY238" s="35"/>
      <c r="FZ238" s="35"/>
      <c r="GA238" s="35"/>
      <c r="GB238" s="35"/>
      <c r="GC238" s="35"/>
      <c r="GD238" s="35"/>
      <c r="GE238" s="35"/>
      <c r="GF238" s="35"/>
      <c r="GG238" s="35"/>
      <c r="GH238" s="35"/>
      <c r="GI238" s="35"/>
      <c r="GJ238" s="35"/>
      <c r="GK238" s="35"/>
      <c r="GL238" s="35"/>
      <c r="GM238" s="35"/>
      <c r="GN238" s="35"/>
      <c r="GO238" s="35"/>
      <c r="GP238" s="35"/>
      <c r="GQ238" s="35"/>
      <c r="GR238" s="35"/>
      <c r="GS238" s="35"/>
      <c r="GT238" s="35"/>
      <c r="GU238" s="35"/>
      <c r="GV238" s="35"/>
      <c r="GW238" s="35"/>
      <c r="GX238" s="35"/>
      <c r="GY238" s="35"/>
      <c r="GZ238" s="35"/>
      <c r="HA238" s="35"/>
      <c r="HB238" s="35"/>
      <c r="HC238" s="35"/>
      <c r="HD238" s="35"/>
      <c r="HE238" s="35"/>
      <c r="HF238" s="35"/>
      <c r="HG238" s="35"/>
      <c r="HH238" s="35"/>
      <c r="HI238" s="35"/>
      <c r="HJ238" s="35"/>
      <c r="HK238" s="35"/>
      <c r="HL238" s="35"/>
      <c r="HM238" s="35"/>
      <c r="HN238" s="35"/>
      <c r="HO238" s="35"/>
      <c r="HP238" s="35"/>
      <c r="HQ238" s="35"/>
      <c r="HR238" s="35"/>
      <c r="HS238" s="35"/>
      <c r="HT238" s="35"/>
      <c r="HU238" s="35"/>
      <c r="HV238" s="35"/>
      <c r="HW238" s="35"/>
      <c r="HX238" s="35"/>
      <c r="HY238" s="35"/>
      <c r="HZ238" s="35"/>
      <c r="IA238" s="35"/>
      <c r="IB238" s="35"/>
      <c r="IC238" s="35"/>
      <c r="ID238" s="35"/>
      <c r="IE238" s="35"/>
      <c r="IF238" s="35"/>
      <c r="IG238" s="35"/>
      <c r="IH238" s="35"/>
      <c r="II238" s="35"/>
      <c r="IJ238" s="35"/>
      <c r="IK238" s="35"/>
      <c r="IL238" s="35"/>
      <c r="IM238" s="35"/>
      <c r="IN238" s="35"/>
      <c r="IO238" s="35"/>
      <c r="IP238" s="35"/>
      <c r="IQ238" s="35"/>
      <c r="IR238" s="35"/>
      <c r="IS238" s="35"/>
      <c r="IT238" s="35"/>
      <c r="IU238" s="35"/>
      <c r="IV238" s="35"/>
      <c r="IW238" s="35"/>
      <c r="IX238" s="35"/>
      <c r="IY238" s="35"/>
      <c r="IZ238" s="35"/>
      <c r="JA238" s="35"/>
      <c r="JB238" s="35"/>
      <c r="JC238" s="35"/>
      <c r="JD238" s="35"/>
      <c r="JE238" s="35"/>
    </row>
    <row r="239">
      <c r="A239" s="42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K239" s="35"/>
      <c r="CL239" s="35"/>
      <c r="CM239" s="35"/>
      <c r="CN239" s="35"/>
      <c r="CO239" s="35"/>
      <c r="CP239" s="35"/>
      <c r="CQ239" s="35"/>
      <c r="CR239" s="35"/>
      <c r="CS239" s="35"/>
      <c r="CT239" s="35"/>
      <c r="CU239" s="35"/>
      <c r="CV239" s="35"/>
      <c r="CW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  <c r="DL239" s="35"/>
      <c r="DM239" s="35"/>
      <c r="DN239" s="35"/>
      <c r="DO239" s="35"/>
      <c r="DP239" s="35"/>
      <c r="DQ239" s="35"/>
      <c r="DR239" s="35"/>
      <c r="DS239" s="35"/>
      <c r="DT239" s="35"/>
      <c r="DU239" s="35"/>
      <c r="DV239" s="35"/>
      <c r="DW239" s="35"/>
      <c r="DX239" s="35"/>
      <c r="DY239" s="35"/>
      <c r="DZ239" s="35"/>
      <c r="EA239" s="35"/>
      <c r="EB239" s="35"/>
      <c r="EC239" s="35"/>
      <c r="ED239" s="35"/>
      <c r="EE239" s="35"/>
      <c r="EF239" s="35"/>
      <c r="EG239" s="35"/>
      <c r="EH239" s="35"/>
      <c r="EI239" s="35"/>
      <c r="EJ239" s="35"/>
      <c r="EK239" s="35"/>
      <c r="EL239" s="35"/>
      <c r="EM239" s="35"/>
      <c r="EN239" s="35"/>
      <c r="EO239" s="35"/>
      <c r="EP239" s="35"/>
      <c r="EQ239" s="35"/>
      <c r="ER239" s="35"/>
      <c r="ES239" s="35"/>
      <c r="ET239" s="35"/>
      <c r="EU239" s="35"/>
      <c r="EV239" s="35"/>
      <c r="EW239" s="35"/>
      <c r="EX239" s="35"/>
      <c r="EY239" s="35"/>
      <c r="EZ239" s="35"/>
      <c r="FA239" s="35"/>
      <c r="FB239" s="35"/>
      <c r="FC239" s="35"/>
      <c r="FD239" s="35"/>
      <c r="FE239" s="35"/>
      <c r="FF239" s="35"/>
      <c r="FG239" s="35"/>
      <c r="FH239" s="35"/>
      <c r="FI239" s="35"/>
      <c r="FJ239" s="35"/>
      <c r="FK239" s="35"/>
      <c r="FL239" s="35"/>
      <c r="FM239" s="35"/>
      <c r="FN239" s="35"/>
      <c r="FO239" s="35"/>
      <c r="FP239" s="35"/>
      <c r="FQ239" s="35"/>
      <c r="FR239" s="35"/>
      <c r="FS239" s="35"/>
      <c r="FT239" s="35"/>
      <c r="FU239" s="35"/>
      <c r="FV239" s="35"/>
      <c r="FW239" s="35"/>
      <c r="FX239" s="35"/>
      <c r="FY239" s="35"/>
      <c r="FZ239" s="35"/>
      <c r="GA239" s="35"/>
      <c r="GB239" s="35"/>
      <c r="GC239" s="35"/>
      <c r="GD239" s="35"/>
      <c r="GE239" s="35"/>
      <c r="GF239" s="35"/>
      <c r="GG239" s="35"/>
      <c r="GH239" s="35"/>
      <c r="GI239" s="35"/>
      <c r="GJ239" s="35"/>
      <c r="GK239" s="35"/>
      <c r="GL239" s="35"/>
      <c r="GM239" s="35"/>
      <c r="GN239" s="35"/>
      <c r="GO239" s="35"/>
      <c r="GP239" s="35"/>
      <c r="GQ239" s="35"/>
      <c r="GR239" s="35"/>
      <c r="GS239" s="35"/>
      <c r="GT239" s="35"/>
      <c r="GU239" s="35"/>
      <c r="GV239" s="35"/>
      <c r="GW239" s="35"/>
      <c r="GX239" s="35"/>
      <c r="GY239" s="35"/>
      <c r="GZ239" s="35"/>
      <c r="HA239" s="35"/>
      <c r="HB239" s="35"/>
      <c r="HC239" s="35"/>
      <c r="HD239" s="35"/>
      <c r="HE239" s="35"/>
      <c r="HF239" s="35"/>
      <c r="HG239" s="35"/>
      <c r="HH239" s="35"/>
      <c r="HI239" s="35"/>
      <c r="HJ239" s="35"/>
      <c r="HK239" s="35"/>
      <c r="HL239" s="35"/>
      <c r="HM239" s="35"/>
      <c r="HN239" s="35"/>
      <c r="HO239" s="35"/>
      <c r="HP239" s="35"/>
      <c r="HQ239" s="35"/>
      <c r="HR239" s="35"/>
      <c r="HS239" s="35"/>
      <c r="HT239" s="35"/>
      <c r="HU239" s="35"/>
      <c r="HV239" s="35"/>
      <c r="HW239" s="35"/>
      <c r="HX239" s="35"/>
      <c r="HY239" s="35"/>
      <c r="HZ239" s="35"/>
      <c r="IA239" s="35"/>
      <c r="IB239" s="35"/>
      <c r="IC239" s="35"/>
      <c r="ID239" s="35"/>
      <c r="IE239" s="35"/>
      <c r="IF239" s="35"/>
      <c r="IG239" s="35"/>
      <c r="IH239" s="35"/>
      <c r="II239" s="35"/>
      <c r="IJ239" s="35"/>
      <c r="IK239" s="35"/>
      <c r="IL239" s="35"/>
      <c r="IM239" s="35"/>
      <c r="IN239" s="35"/>
      <c r="IO239" s="35"/>
      <c r="IP239" s="35"/>
      <c r="IQ239" s="35"/>
      <c r="IR239" s="35"/>
      <c r="IS239" s="35"/>
      <c r="IT239" s="35"/>
      <c r="IU239" s="35"/>
      <c r="IV239" s="35"/>
      <c r="IW239" s="35"/>
      <c r="IX239" s="35"/>
      <c r="IY239" s="35"/>
      <c r="IZ239" s="35"/>
      <c r="JA239" s="35"/>
      <c r="JB239" s="35"/>
      <c r="JC239" s="35"/>
      <c r="JD239" s="35"/>
      <c r="JE239" s="35"/>
    </row>
    <row r="240">
      <c r="A240" s="42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35"/>
      <c r="BS240" s="35"/>
      <c r="BT240" s="35"/>
      <c r="BU240" s="35"/>
      <c r="BV240" s="35"/>
      <c r="BW240" s="35"/>
      <c r="BX240" s="35"/>
      <c r="BY240" s="35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K240" s="35"/>
      <c r="CL240" s="35"/>
      <c r="CM240" s="35"/>
      <c r="CN240" s="35"/>
      <c r="CO240" s="35"/>
      <c r="CP240" s="35"/>
      <c r="CQ240" s="35"/>
      <c r="CR240" s="35"/>
      <c r="CS240" s="35"/>
      <c r="CT240" s="35"/>
      <c r="CU240" s="35"/>
      <c r="CV240" s="35"/>
      <c r="CW240" s="35"/>
      <c r="CX240" s="35"/>
      <c r="CY240" s="35"/>
      <c r="CZ240" s="35"/>
      <c r="DA240" s="35"/>
      <c r="DB240" s="35"/>
      <c r="DC240" s="35"/>
      <c r="DD240" s="35"/>
      <c r="DE240" s="35"/>
      <c r="DF240" s="35"/>
      <c r="DG240" s="35"/>
      <c r="DH240" s="35"/>
      <c r="DI240" s="35"/>
      <c r="DJ240" s="35"/>
      <c r="DK240" s="35"/>
      <c r="DL240" s="35"/>
      <c r="DM240" s="35"/>
      <c r="DN240" s="35"/>
      <c r="DO240" s="35"/>
      <c r="DP240" s="35"/>
      <c r="DQ240" s="35"/>
      <c r="DR240" s="35"/>
      <c r="DS240" s="35"/>
      <c r="DT240" s="35"/>
      <c r="DU240" s="35"/>
      <c r="DV240" s="35"/>
      <c r="DW240" s="35"/>
      <c r="DX240" s="35"/>
      <c r="DY240" s="35"/>
      <c r="DZ240" s="35"/>
      <c r="EA240" s="35"/>
      <c r="EB240" s="35"/>
      <c r="EC240" s="35"/>
      <c r="ED240" s="35"/>
      <c r="EE240" s="35"/>
      <c r="EF240" s="35"/>
      <c r="EG240" s="35"/>
      <c r="EH240" s="35"/>
      <c r="EI240" s="35"/>
      <c r="EJ240" s="35"/>
      <c r="EK240" s="35"/>
      <c r="EL240" s="35"/>
      <c r="EM240" s="35"/>
      <c r="EN240" s="35"/>
      <c r="EO240" s="35"/>
      <c r="EP240" s="35"/>
      <c r="EQ240" s="35"/>
      <c r="ER240" s="35"/>
      <c r="ES240" s="35"/>
      <c r="ET240" s="35"/>
      <c r="EU240" s="35"/>
      <c r="EV240" s="35"/>
      <c r="EW240" s="35"/>
      <c r="EX240" s="35"/>
      <c r="EY240" s="35"/>
      <c r="EZ240" s="35"/>
      <c r="FA240" s="35"/>
      <c r="FB240" s="35"/>
      <c r="FC240" s="35"/>
      <c r="FD240" s="35"/>
      <c r="FE240" s="35"/>
      <c r="FF240" s="35"/>
      <c r="FG240" s="35"/>
      <c r="FH240" s="35"/>
      <c r="FI240" s="35"/>
      <c r="FJ240" s="35"/>
      <c r="FK240" s="35"/>
      <c r="FL240" s="35"/>
      <c r="FM240" s="35"/>
      <c r="FN240" s="35"/>
      <c r="FO240" s="35"/>
      <c r="FP240" s="35"/>
      <c r="FQ240" s="35"/>
      <c r="FR240" s="35"/>
      <c r="FS240" s="35"/>
      <c r="FT240" s="35"/>
      <c r="FU240" s="35"/>
      <c r="FV240" s="35"/>
      <c r="FW240" s="35"/>
      <c r="FX240" s="35"/>
      <c r="FY240" s="35"/>
      <c r="FZ240" s="35"/>
      <c r="GA240" s="35"/>
      <c r="GB240" s="35"/>
      <c r="GC240" s="35"/>
      <c r="GD240" s="35"/>
      <c r="GE240" s="35"/>
      <c r="GF240" s="35"/>
      <c r="GG240" s="35"/>
      <c r="GH240" s="35"/>
      <c r="GI240" s="35"/>
      <c r="GJ240" s="35"/>
      <c r="GK240" s="35"/>
      <c r="GL240" s="35"/>
      <c r="GM240" s="35"/>
      <c r="GN240" s="35"/>
      <c r="GO240" s="35"/>
      <c r="GP240" s="35"/>
      <c r="GQ240" s="35"/>
      <c r="GR240" s="35"/>
      <c r="GS240" s="35"/>
      <c r="GT240" s="35"/>
      <c r="GU240" s="35"/>
      <c r="GV240" s="35"/>
      <c r="GW240" s="35"/>
      <c r="GX240" s="35"/>
      <c r="GY240" s="35"/>
      <c r="GZ240" s="35"/>
      <c r="HA240" s="35"/>
      <c r="HB240" s="35"/>
      <c r="HC240" s="35"/>
      <c r="HD240" s="35"/>
      <c r="HE240" s="35"/>
      <c r="HF240" s="35"/>
      <c r="HG240" s="35"/>
      <c r="HH240" s="35"/>
      <c r="HI240" s="35"/>
      <c r="HJ240" s="35"/>
      <c r="HK240" s="35"/>
      <c r="HL240" s="35"/>
      <c r="HM240" s="35"/>
      <c r="HN240" s="35"/>
      <c r="HO240" s="35"/>
      <c r="HP240" s="35"/>
      <c r="HQ240" s="35"/>
      <c r="HR240" s="35"/>
      <c r="HS240" s="35"/>
      <c r="HT240" s="35"/>
      <c r="HU240" s="35"/>
      <c r="HV240" s="35"/>
      <c r="HW240" s="35"/>
      <c r="HX240" s="35"/>
      <c r="HY240" s="35"/>
      <c r="HZ240" s="35"/>
      <c r="IA240" s="35"/>
      <c r="IB240" s="35"/>
      <c r="IC240" s="35"/>
      <c r="ID240" s="35"/>
      <c r="IE240" s="35"/>
      <c r="IF240" s="35"/>
      <c r="IG240" s="35"/>
      <c r="IH240" s="35"/>
      <c r="II240" s="35"/>
      <c r="IJ240" s="35"/>
      <c r="IK240" s="35"/>
      <c r="IL240" s="35"/>
      <c r="IM240" s="35"/>
      <c r="IN240" s="35"/>
      <c r="IO240" s="35"/>
      <c r="IP240" s="35"/>
      <c r="IQ240" s="35"/>
      <c r="IR240" s="35"/>
      <c r="IS240" s="35"/>
      <c r="IT240" s="35"/>
      <c r="IU240" s="35"/>
      <c r="IV240" s="35"/>
      <c r="IW240" s="35"/>
      <c r="IX240" s="35"/>
      <c r="IY240" s="35"/>
      <c r="IZ240" s="35"/>
      <c r="JA240" s="35"/>
      <c r="JB240" s="35"/>
      <c r="JC240" s="35"/>
      <c r="JD240" s="35"/>
      <c r="JE240" s="35"/>
    </row>
    <row r="241">
      <c r="A241" s="42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35"/>
      <c r="BU241" s="35"/>
      <c r="BV241" s="35"/>
      <c r="BW241" s="35"/>
      <c r="BX241" s="35"/>
      <c r="BY241" s="35"/>
      <c r="BZ241" s="35"/>
      <c r="CA241" s="35"/>
      <c r="CB241" s="35"/>
      <c r="CC241" s="35"/>
      <c r="CD241" s="35"/>
      <c r="CE241" s="35"/>
      <c r="CF241" s="35"/>
      <c r="CG241" s="35"/>
      <c r="CH241" s="35"/>
      <c r="CI241" s="35"/>
      <c r="CJ241" s="35"/>
      <c r="CK241" s="35"/>
      <c r="CL241" s="35"/>
      <c r="CM241" s="35"/>
      <c r="CN241" s="35"/>
      <c r="CO241" s="35"/>
      <c r="CP241" s="35"/>
      <c r="CQ241" s="35"/>
      <c r="CR241" s="35"/>
      <c r="CS241" s="35"/>
      <c r="CT241" s="35"/>
      <c r="CU241" s="35"/>
      <c r="CV241" s="35"/>
      <c r="CW241" s="35"/>
      <c r="CX241" s="35"/>
      <c r="CY241" s="35"/>
      <c r="CZ241" s="35"/>
      <c r="DA241" s="35"/>
      <c r="DB241" s="35"/>
      <c r="DC241" s="35"/>
      <c r="DD241" s="35"/>
      <c r="DE241" s="35"/>
      <c r="DF241" s="35"/>
      <c r="DG241" s="35"/>
      <c r="DH241" s="35"/>
      <c r="DI241" s="35"/>
      <c r="DJ241" s="35"/>
      <c r="DK241" s="35"/>
      <c r="DL241" s="35"/>
      <c r="DM241" s="35"/>
      <c r="DN241" s="35"/>
      <c r="DO241" s="35"/>
      <c r="DP241" s="35"/>
      <c r="DQ241" s="35"/>
      <c r="DR241" s="35"/>
      <c r="DS241" s="35"/>
      <c r="DT241" s="35"/>
      <c r="DU241" s="35"/>
      <c r="DV241" s="35"/>
      <c r="DW241" s="35"/>
      <c r="DX241" s="35"/>
      <c r="DY241" s="35"/>
      <c r="DZ241" s="35"/>
      <c r="EA241" s="35"/>
      <c r="EB241" s="35"/>
      <c r="EC241" s="35"/>
      <c r="ED241" s="35"/>
      <c r="EE241" s="35"/>
      <c r="EF241" s="35"/>
      <c r="EG241" s="35"/>
      <c r="EH241" s="35"/>
      <c r="EI241" s="35"/>
      <c r="EJ241" s="35"/>
      <c r="EK241" s="35"/>
      <c r="EL241" s="35"/>
      <c r="EM241" s="35"/>
      <c r="EN241" s="35"/>
      <c r="EO241" s="35"/>
      <c r="EP241" s="35"/>
      <c r="EQ241" s="35"/>
      <c r="ER241" s="35"/>
      <c r="ES241" s="35"/>
      <c r="ET241" s="35"/>
      <c r="EU241" s="35"/>
      <c r="EV241" s="35"/>
      <c r="EW241" s="35"/>
      <c r="EX241" s="35"/>
      <c r="EY241" s="35"/>
      <c r="EZ241" s="35"/>
      <c r="FA241" s="35"/>
      <c r="FB241" s="35"/>
      <c r="FC241" s="35"/>
      <c r="FD241" s="35"/>
      <c r="FE241" s="35"/>
      <c r="FF241" s="35"/>
      <c r="FG241" s="35"/>
      <c r="FH241" s="35"/>
      <c r="FI241" s="35"/>
      <c r="FJ241" s="35"/>
      <c r="FK241" s="35"/>
      <c r="FL241" s="35"/>
      <c r="FM241" s="35"/>
      <c r="FN241" s="35"/>
      <c r="FO241" s="35"/>
      <c r="FP241" s="35"/>
      <c r="FQ241" s="35"/>
      <c r="FR241" s="35"/>
      <c r="FS241" s="35"/>
      <c r="FT241" s="35"/>
      <c r="FU241" s="35"/>
      <c r="FV241" s="35"/>
      <c r="FW241" s="35"/>
      <c r="FX241" s="35"/>
      <c r="FY241" s="35"/>
      <c r="FZ241" s="35"/>
      <c r="GA241" s="35"/>
      <c r="GB241" s="35"/>
      <c r="GC241" s="35"/>
      <c r="GD241" s="35"/>
      <c r="GE241" s="35"/>
      <c r="GF241" s="35"/>
      <c r="GG241" s="35"/>
      <c r="GH241" s="35"/>
      <c r="GI241" s="35"/>
      <c r="GJ241" s="35"/>
      <c r="GK241" s="35"/>
      <c r="GL241" s="35"/>
      <c r="GM241" s="35"/>
      <c r="GN241" s="35"/>
      <c r="GO241" s="35"/>
      <c r="GP241" s="35"/>
      <c r="GQ241" s="35"/>
      <c r="GR241" s="35"/>
      <c r="GS241" s="35"/>
      <c r="GT241" s="35"/>
      <c r="GU241" s="35"/>
      <c r="GV241" s="35"/>
      <c r="GW241" s="35"/>
      <c r="GX241" s="35"/>
      <c r="GY241" s="35"/>
      <c r="GZ241" s="35"/>
      <c r="HA241" s="35"/>
      <c r="HB241" s="35"/>
      <c r="HC241" s="35"/>
      <c r="HD241" s="35"/>
      <c r="HE241" s="35"/>
      <c r="HF241" s="35"/>
      <c r="HG241" s="35"/>
      <c r="HH241" s="35"/>
      <c r="HI241" s="35"/>
      <c r="HJ241" s="35"/>
      <c r="HK241" s="35"/>
      <c r="HL241" s="35"/>
      <c r="HM241" s="35"/>
      <c r="HN241" s="35"/>
      <c r="HO241" s="35"/>
      <c r="HP241" s="35"/>
      <c r="HQ241" s="35"/>
      <c r="HR241" s="35"/>
      <c r="HS241" s="35"/>
      <c r="HT241" s="35"/>
      <c r="HU241" s="35"/>
      <c r="HV241" s="35"/>
      <c r="HW241" s="35"/>
      <c r="HX241" s="35"/>
      <c r="HY241" s="35"/>
      <c r="HZ241" s="35"/>
      <c r="IA241" s="35"/>
      <c r="IB241" s="35"/>
      <c r="IC241" s="35"/>
      <c r="ID241" s="35"/>
      <c r="IE241" s="35"/>
      <c r="IF241" s="35"/>
      <c r="IG241" s="35"/>
      <c r="IH241" s="35"/>
      <c r="II241" s="35"/>
      <c r="IJ241" s="35"/>
      <c r="IK241" s="35"/>
      <c r="IL241" s="35"/>
      <c r="IM241" s="35"/>
      <c r="IN241" s="35"/>
      <c r="IO241" s="35"/>
      <c r="IP241" s="35"/>
      <c r="IQ241" s="35"/>
      <c r="IR241" s="35"/>
      <c r="IS241" s="35"/>
      <c r="IT241" s="35"/>
      <c r="IU241" s="35"/>
      <c r="IV241" s="35"/>
      <c r="IW241" s="35"/>
      <c r="IX241" s="35"/>
      <c r="IY241" s="35"/>
      <c r="IZ241" s="35"/>
      <c r="JA241" s="35"/>
      <c r="JB241" s="35"/>
      <c r="JC241" s="35"/>
      <c r="JD241" s="35"/>
      <c r="JE241" s="35"/>
    </row>
    <row r="242">
      <c r="A242" s="42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35"/>
      <c r="BW242" s="35"/>
      <c r="BX242" s="35"/>
      <c r="BY242" s="35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K242" s="35"/>
      <c r="CL242" s="35"/>
      <c r="CM242" s="35"/>
      <c r="CN242" s="35"/>
      <c r="CO242" s="35"/>
      <c r="CP242" s="35"/>
      <c r="CQ242" s="35"/>
      <c r="CR242" s="35"/>
      <c r="CS242" s="35"/>
      <c r="CT242" s="35"/>
      <c r="CU242" s="35"/>
      <c r="CV242" s="35"/>
      <c r="CW242" s="35"/>
      <c r="CX242" s="35"/>
      <c r="CY242" s="35"/>
      <c r="CZ242" s="35"/>
      <c r="DA242" s="35"/>
      <c r="DB242" s="35"/>
      <c r="DC242" s="35"/>
      <c r="DD242" s="35"/>
      <c r="DE242" s="35"/>
      <c r="DF242" s="35"/>
      <c r="DG242" s="35"/>
      <c r="DH242" s="35"/>
      <c r="DI242" s="35"/>
      <c r="DJ242" s="35"/>
      <c r="DK242" s="35"/>
      <c r="DL242" s="35"/>
      <c r="DM242" s="35"/>
      <c r="DN242" s="35"/>
      <c r="DO242" s="35"/>
      <c r="DP242" s="35"/>
      <c r="DQ242" s="35"/>
      <c r="DR242" s="35"/>
      <c r="DS242" s="35"/>
      <c r="DT242" s="35"/>
      <c r="DU242" s="35"/>
      <c r="DV242" s="35"/>
      <c r="DW242" s="35"/>
      <c r="DX242" s="35"/>
      <c r="DY242" s="35"/>
      <c r="DZ242" s="35"/>
      <c r="EA242" s="35"/>
      <c r="EB242" s="35"/>
      <c r="EC242" s="35"/>
      <c r="ED242" s="35"/>
      <c r="EE242" s="35"/>
      <c r="EF242" s="35"/>
      <c r="EG242" s="35"/>
      <c r="EH242" s="35"/>
      <c r="EI242" s="35"/>
      <c r="EJ242" s="35"/>
      <c r="EK242" s="35"/>
      <c r="EL242" s="35"/>
      <c r="EM242" s="35"/>
      <c r="EN242" s="35"/>
      <c r="EO242" s="35"/>
      <c r="EP242" s="35"/>
      <c r="EQ242" s="35"/>
      <c r="ER242" s="35"/>
      <c r="ES242" s="35"/>
      <c r="ET242" s="35"/>
      <c r="EU242" s="35"/>
      <c r="EV242" s="35"/>
      <c r="EW242" s="35"/>
      <c r="EX242" s="35"/>
      <c r="EY242" s="35"/>
      <c r="EZ242" s="35"/>
      <c r="FA242" s="35"/>
      <c r="FB242" s="35"/>
      <c r="FC242" s="35"/>
      <c r="FD242" s="35"/>
      <c r="FE242" s="35"/>
      <c r="FF242" s="35"/>
      <c r="FG242" s="35"/>
      <c r="FH242" s="35"/>
      <c r="FI242" s="35"/>
      <c r="FJ242" s="35"/>
      <c r="FK242" s="35"/>
      <c r="FL242" s="35"/>
      <c r="FM242" s="35"/>
      <c r="FN242" s="35"/>
      <c r="FO242" s="35"/>
      <c r="FP242" s="35"/>
      <c r="FQ242" s="35"/>
      <c r="FR242" s="35"/>
      <c r="FS242" s="35"/>
      <c r="FT242" s="35"/>
      <c r="FU242" s="35"/>
      <c r="FV242" s="35"/>
      <c r="FW242" s="35"/>
      <c r="FX242" s="35"/>
      <c r="FY242" s="35"/>
      <c r="FZ242" s="35"/>
      <c r="GA242" s="35"/>
      <c r="GB242" s="35"/>
      <c r="GC242" s="35"/>
      <c r="GD242" s="35"/>
      <c r="GE242" s="35"/>
      <c r="GF242" s="35"/>
      <c r="GG242" s="35"/>
      <c r="GH242" s="35"/>
      <c r="GI242" s="35"/>
      <c r="GJ242" s="35"/>
      <c r="GK242" s="35"/>
      <c r="GL242" s="35"/>
      <c r="GM242" s="35"/>
      <c r="GN242" s="35"/>
      <c r="GO242" s="35"/>
      <c r="GP242" s="35"/>
      <c r="GQ242" s="35"/>
      <c r="GR242" s="35"/>
      <c r="GS242" s="35"/>
      <c r="GT242" s="35"/>
      <c r="GU242" s="35"/>
      <c r="GV242" s="35"/>
      <c r="GW242" s="35"/>
      <c r="GX242" s="35"/>
      <c r="GY242" s="35"/>
      <c r="GZ242" s="35"/>
      <c r="HA242" s="35"/>
      <c r="HB242" s="35"/>
      <c r="HC242" s="35"/>
      <c r="HD242" s="35"/>
      <c r="HE242" s="35"/>
      <c r="HF242" s="35"/>
      <c r="HG242" s="35"/>
      <c r="HH242" s="35"/>
      <c r="HI242" s="35"/>
      <c r="HJ242" s="35"/>
      <c r="HK242" s="35"/>
      <c r="HL242" s="35"/>
      <c r="HM242" s="35"/>
      <c r="HN242" s="35"/>
      <c r="HO242" s="35"/>
      <c r="HP242" s="35"/>
      <c r="HQ242" s="35"/>
      <c r="HR242" s="35"/>
      <c r="HS242" s="35"/>
      <c r="HT242" s="35"/>
      <c r="HU242" s="35"/>
      <c r="HV242" s="35"/>
      <c r="HW242" s="35"/>
      <c r="HX242" s="35"/>
      <c r="HY242" s="35"/>
      <c r="HZ242" s="35"/>
      <c r="IA242" s="35"/>
      <c r="IB242" s="35"/>
      <c r="IC242" s="35"/>
      <c r="ID242" s="35"/>
      <c r="IE242" s="35"/>
      <c r="IF242" s="35"/>
      <c r="IG242" s="35"/>
      <c r="IH242" s="35"/>
      <c r="II242" s="35"/>
      <c r="IJ242" s="35"/>
      <c r="IK242" s="35"/>
      <c r="IL242" s="35"/>
      <c r="IM242" s="35"/>
      <c r="IN242" s="35"/>
      <c r="IO242" s="35"/>
      <c r="IP242" s="35"/>
      <c r="IQ242" s="35"/>
      <c r="IR242" s="35"/>
      <c r="IS242" s="35"/>
      <c r="IT242" s="35"/>
      <c r="IU242" s="35"/>
      <c r="IV242" s="35"/>
      <c r="IW242" s="35"/>
      <c r="IX242" s="35"/>
      <c r="IY242" s="35"/>
      <c r="IZ242" s="35"/>
      <c r="JA242" s="35"/>
      <c r="JB242" s="35"/>
      <c r="JC242" s="35"/>
      <c r="JD242" s="35"/>
      <c r="JE242" s="35"/>
    </row>
    <row r="243">
      <c r="A243" s="42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35"/>
      <c r="CE243" s="35"/>
      <c r="CF243" s="35"/>
      <c r="CG243" s="35"/>
      <c r="CH243" s="35"/>
      <c r="CI243" s="35"/>
      <c r="CJ243" s="35"/>
      <c r="CK243" s="35"/>
      <c r="CL243" s="35"/>
      <c r="CM243" s="35"/>
      <c r="CN243" s="35"/>
      <c r="CO243" s="35"/>
      <c r="CP243" s="35"/>
      <c r="CQ243" s="35"/>
      <c r="CR243" s="35"/>
      <c r="CS243" s="35"/>
      <c r="CT243" s="35"/>
      <c r="CU243" s="35"/>
      <c r="CV243" s="35"/>
      <c r="CW243" s="35"/>
      <c r="CX243" s="35"/>
      <c r="CY243" s="35"/>
      <c r="CZ243" s="35"/>
      <c r="DA243" s="35"/>
      <c r="DB243" s="35"/>
      <c r="DC243" s="35"/>
      <c r="DD243" s="35"/>
      <c r="DE243" s="35"/>
      <c r="DF243" s="35"/>
      <c r="DG243" s="35"/>
      <c r="DH243" s="35"/>
      <c r="DI243" s="35"/>
      <c r="DJ243" s="35"/>
      <c r="DK243" s="35"/>
      <c r="DL243" s="35"/>
      <c r="DM243" s="35"/>
      <c r="DN243" s="35"/>
      <c r="DO243" s="35"/>
      <c r="DP243" s="35"/>
      <c r="DQ243" s="35"/>
      <c r="DR243" s="35"/>
      <c r="DS243" s="35"/>
      <c r="DT243" s="35"/>
      <c r="DU243" s="35"/>
      <c r="DV243" s="35"/>
      <c r="DW243" s="35"/>
      <c r="DX243" s="35"/>
      <c r="DY243" s="35"/>
      <c r="DZ243" s="35"/>
      <c r="EA243" s="35"/>
      <c r="EB243" s="35"/>
      <c r="EC243" s="35"/>
      <c r="ED243" s="35"/>
      <c r="EE243" s="35"/>
      <c r="EF243" s="35"/>
      <c r="EG243" s="35"/>
      <c r="EH243" s="35"/>
      <c r="EI243" s="35"/>
      <c r="EJ243" s="35"/>
      <c r="EK243" s="35"/>
      <c r="EL243" s="35"/>
      <c r="EM243" s="35"/>
      <c r="EN243" s="35"/>
      <c r="EO243" s="35"/>
      <c r="EP243" s="35"/>
      <c r="EQ243" s="35"/>
      <c r="ER243" s="35"/>
      <c r="ES243" s="35"/>
      <c r="ET243" s="35"/>
      <c r="EU243" s="35"/>
      <c r="EV243" s="35"/>
      <c r="EW243" s="35"/>
      <c r="EX243" s="35"/>
      <c r="EY243" s="35"/>
      <c r="EZ243" s="35"/>
      <c r="FA243" s="35"/>
      <c r="FB243" s="35"/>
      <c r="FC243" s="35"/>
      <c r="FD243" s="35"/>
      <c r="FE243" s="35"/>
      <c r="FF243" s="35"/>
      <c r="FG243" s="35"/>
      <c r="FH243" s="35"/>
      <c r="FI243" s="35"/>
      <c r="FJ243" s="35"/>
      <c r="FK243" s="35"/>
      <c r="FL243" s="35"/>
      <c r="FM243" s="35"/>
      <c r="FN243" s="35"/>
      <c r="FO243" s="35"/>
      <c r="FP243" s="35"/>
      <c r="FQ243" s="35"/>
      <c r="FR243" s="35"/>
      <c r="FS243" s="35"/>
      <c r="FT243" s="35"/>
      <c r="FU243" s="35"/>
      <c r="FV243" s="35"/>
      <c r="FW243" s="35"/>
      <c r="FX243" s="35"/>
      <c r="FY243" s="35"/>
      <c r="FZ243" s="35"/>
      <c r="GA243" s="35"/>
      <c r="GB243" s="35"/>
      <c r="GC243" s="35"/>
      <c r="GD243" s="35"/>
      <c r="GE243" s="35"/>
      <c r="GF243" s="35"/>
      <c r="GG243" s="35"/>
      <c r="GH243" s="35"/>
      <c r="GI243" s="35"/>
      <c r="GJ243" s="35"/>
      <c r="GK243" s="35"/>
      <c r="GL243" s="35"/>
      <c r="GM243" s="35"/>
      <c r="GN243" s="35"/>
      <c r="GO243" s="35"/>
      <c r="GP243" s="35"/>
      <c r="GQ243" s="35"/>
      <c r="GR243" s="35"/>
      <c r="GS243" s="35"/>
      <c r="GT243" s="35"/>
      <c r="GU243" s="35"/>
      <c r="GV243" s="35"/>
      <c r="GW243" s="35"/>
      <c r="GX243" s="35"/>
      <c r="GY243" s="35"/>
      <c r="GZ243" s="35"/>
      <c r="HA243" s="35"/>
      <c r="HB243" s="35"/>
      <c r="HC243" s="35"/>
      <c r="HD243" s="35"/>
      <c r="HE243" s="35"/>
      <c r="HF243" s="35"/>
      <c r="HG243" s="35"/>
      <c r="HH243" s="35"/>
      <c r="HI243" s="35"/>
      <c r="HJ243" s="35"/>
      <c r="HK243" s="35"/>
      <c r="HL243" s="35"/>
      <c r="HM243" s="35"/>
      <c r="HN243" s="35"/>
      <c r="HO243" s="35"/>
      <c r="HP243" s="35"/>
      <c r="HQ243" s="35"/>
      <c r="HR243" s="35"/>
      <c r="HS243" s="35"/>
      <c r="HT243" s="35"/>
      <c r="HU243" s="35"/>
      <c r="HV243" s="35"/>
      <c r="HW243" s="35"/>
      <c r="HX243" s="35"/>
      <c r="HY243" s="35"/>
      <c r="HZ243" s="35"/>
      <c r="IA243" s="35"/>
      <c r="IB243" s="35"/>
      <c r="IC243" s="35"/>
      <c r="ID243" s="35"/>
      <c r="IE243" s="35"/>
      <c r="IF243" s="35"/>
      <c r="IG243" s="35"/>
      <c r="IH243" s="35"/>
      <c r="II243" s="35"/>
      <c r="IJ243" s="35"/>
      <c r="IK243" s="35"/>
      <c r="IL243" s="35"/>
      <c r="IM243" s="35"/>
      <c r="IN243" s="35"/>
      <c r="IO243" s="35"/>
      <c r="IP243" s="35"/>
      <c r="IQ243" s="35"/>
      <c r="IR243" s="35"/>
      <c r="IS243" s="35"/>
      <c r="IT243" s="35"/>
      <c r="IU243" s="35"/>
      <c r="IV243" s="35"/>
      <c r="IW243" s="35"/>
      <c r="IX243" s="35"/>
      <c r="IY243" s="35"/>
      <c r="IZ243" s="35"/>
      <c r="JA243" s="35"/>
      <c r="JB243" s="35"/>
      <c r="JC243" s="35"/>
      <c r="JD243" s="35"/>
      <c r="JE243" s="35"/>
    </row>
    <row r="244">
      <c r="A244" s="42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K244" s="35"/>
      <c r="CL244" s="35"/>
      <c r="CM244" s="35"/>
      <c r="CN244" s="35"/>
      <c r="CO244" s="35"/>
      <c r="CP244" s="35"/>
      <c r="CQ244" s="35"/>
      <c r="CR244" s="35"/>
      <c r="CS244" s="35"/>
      <c r="CT244" s="35"/>
      <c r="CU244" s="35"/>
      <c r="CV244" s="35"/>
      <c r="CW244" s="35"/>
      <c r="CX244" s="35"/>
      <c r="CY244" s="35"/>
      <c r="CZ244" s="35"/>
      <c r="DA244" s="35"/>
      <c r="DB244" s="35"/>
      <c r="DC244" s="35"/>
      <c r="DD244" s="35"/>
      <c r="DE244" s="35"/>
      <c r="DF244" s="35"/>
      <c r="DG244" s="35"/>
      <c r="DH244" s="35"/>
      <c r="DI244" s="35"/>
      <c r="DJ244" s="35"/>
      <c r="DK244" s="35"/>
      <c r="DL244" s="35"/>
      <c r="DM244" s="35"/>
      <c r="DN244" s="35"/>
      <c r="DO244" s="35"/>
      <c r="DP244" s="35"/>
      <c r="DQ244" s="35"/>
      <c r="DR244" s="35"/>
      <c r="DS244" s="35"/>
      <c r="DT244" s="35"/>
      <c r="DU244" s="35"/>
      <c r="DV244" s="35"/>
      <c r="DW244" s="35"/>
      <c r="DX244" s="35"/>
      <c r="DY244" s="35"/>
      <c r="DZ244" s="35"/>
      <c r="EA244" s="35"/>
      <c r="EB244" s="35"/>
      <c r="EC244" s="35"/>
      <c r="ED244" s="35"/>
      <c r="EE244" s="35"/>
      <c r="EF244" s="35"/>
      <c r="EG244" s="35"/>
      <c r="EH244" s="35"/>
      <c r="EI244" s="35"/>
      <c r="EJ244" s="35"/>
      <c r="EK244" s="35"/>
      <c r="EL244" s="35"/>
      <c r="EM244" s="35"/>
      <c r="EN244" s="35"/>
      <c r="EO244" s="35"/>
      <c r="EP244" s="35"/>
      <c r="EQ244" s="35"/>
      <c r="ER244" s="35"/>
      <c r="ES244" s="35"/>
      <c r="ET244" s="35"/>
      <c r="EU244" s="35"/>
      <c r="EV244" s="35"/>
      <c r="EW244" s="35"/>
      <c r="EX244" s="35"/>
      <c r="EY244" s="35"/>
      <c r="EZ244" s="35"/>
      <c r="FA244" s="35"/>
      <c r="FB244" s="35"/>
      <c r="FC244" s="35"/>
      <c r="FD244" s="35"/>
      <c r="FE244" s="35"/>
      <c r="FF244" s="35"/>
      <c r="FG244" s="35"/>
      <c r="FH244" s="35"/>
      <c r="FI244" s="35"/>
      <c r="FJ244" s="35"/>
      <c r="FK244" s="35"/>
      <c r="FL244" s="35"/>
      <c r="FM244" s="35"/>
      <c r="FN244" s="35"/>
      <c r="FO244" s="35"/>
      <c r="FP244" s="35"/>
      <c r="FQ244" s="35"/>
      <c r="FR244" s="35"/>
      <c r="FS244" s="35"/>
      <c r="FT244" s="35"/>
      <c r="FU244" s="35"/>
      <c r="FV244" s="35"/>
      <c r="FW244" s="35"/>
      <c r="FX244" s="35"/>
      <c r="FY244" s="35"/>
      <c r="FZ244" s="35"/>
      <c r="GA244" s="35"/>
      <c r="GB244" s="35"/>
      <c r="GC244" s="35"/>
      <c r="GD244" s="35"/>
      <c r="GE244" s="35"/>
      <c r="GF244" s="35"/>
      <c r="GG244" s="35"/>
      <c r="GH244" s="35"/>
      <c r="GI244" s="35"/>
      <c r="GJ244" s="35"/>
      <c r="GK244" s="35"/>
      <c r="GL244" s="35"/>
      <c r="GM244" s="35"/>
      <c r="GN244" s="35"/>
      <c r="GO244" s="35"/>
      <c r="GP244" s="35"/>
      <c r="GQ244" s="35"/>
      <c r="GR244" s="35"/>
      <c r="GS244" s="35"/>
      <c r="GT244" s="35"/>
      <c r="GU244" s="35"/>
      <c r="GV244" s="35"/>
      <c r="GW244" s="35"/>
      <c r="GX244" s="35"/>
      <c r="GY244" s="35"/>
      <c r="GZ244" s="35"/>
      <c r="HA244" s="35"/>
      <c r="HB244" s="35"/>
      <c r="HC244" s="35"/>
      <c r="HD244" s="35"/>
      <c r="HE244" s="35"/>
      <c r="HF244" s="35"/>
      <c r="HG244" s="35"/>
      <c r="HH244" s="35"/>
      <c r="HI244" s="35"/>
      <c r="HJ244" s="35"/>
      <c r="HK244" s="35"/>
      <c r="HL244" s="35"/>
      <c r="HM244" s="35"/>
      <c r="HN244" s="35"/>
      <c r="HO244" s="35"/>
      <c r="HP244" s="35"/>
      <c r="HQ244" s="35"/>
      <c r="HR244" s="35"/>
      <c r="HS244" s="35"/>
      <c r="HT244" s="35"/>
      <c r="HU244" s="35"/>
      <c r="HV244" s="35"/>
      <c r="HW244" s="35"/>
      <c r="HX244" s="35"/>
      <c r="HY244" s="35"/>
      <c r="HZ244" s="35"/>
      <c r="IA244" s="35"/>
      <c r="IB244" s="35"/>
      <c r="IC244" s="35"/>
      <c r="ID244" s="35"/>
      <c r="IE244" s="35"/>
      <c r="IF244" s="35"/>
      <c r="IG244" s="35"/>
      <c r="IH244" s="35"/>
      <c r="II244" s="35"/>
      <c r="IJ244" s="35"/>
      <c r="IK244" s="35"/>
      <c r="IL244" s="35"/>
      <c r="IM244" s="35"/>
      <c r="IN244" s="35"/>
      <c r="IO244" s="35"/>
      <c r="IP244" s="35"/>
      <c r="IQ244" s="35"/>
      <c r="IR244" s="35"/>
      <c r="IS244" s="35"/>
      <c r="IT244" s="35"/>
      <c r="IU244" s="35"/>
      <c r="IV244" s="35"/>
      <c r="IW244" s="35"/>
      <c r="IX244" s="35"/>
      <c r="IY244" s="35"/>
      <c r="IZ244" s="35"/>
      <c r="JA244" s="35"/>
      <c r="JB244" s="35"/>
      <c r="JC244" s="35"/>
      <c r="JD244" s="35"/>
      <c r="JE244" s="35"/>
    </row>
    <row r="245">
      <c r="A245" s="42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K245" s="35"/>
      <c r="CL245" s="35"/>
      <c r="CM245" s="35"/>
      <c r="CN245" s="35"/>
      <c r="CO245" s="35"/>
      <c r="CP245" s="35"/>
      <c r="CQ245" s="35"/>
      <c r="CR245" s="35"/>
      <c r="CS245" s="35"/>
      <c r="CT245" s="35"/>
      <c r="CU245" s="35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  <c r="DL245" s="35"/>
      <c r="DM245" s="35"/>
      <c r="DN245" s="35"/>
      <c r="DO245" s="35"/>
      <c r="DP245" s="35"/>
      <c r="DQ245" s="35"/>
      <c r="DR245" s="35"/>
      <c r="DS245" s="35"/>
      <c r="DT245" s="35"/>
      <c r="DU245" s="35"/>
      <c r="DV245" s="35"/>
      <c r="DW245" s="35"/>
      <c r="DX245" s="35"/>
      <c r="DY245" s="35"/>
      <c r="DZ245" s="35"/>
      <c r="EA245" s="35"/>
      <c r="EB245" s="35"/>
      <c r="EC245" s="35"/>
      <c r="ED245" s="35"/>
      <c r="EE245" s="35"/>
      <c r="EF245" s="35"/>
      <c r="EG245" s="35"/>
      <c r="EH245" s="35"/>
      <c r="EI245" s="35"/>
      <c r="EJ245" s="35"/>
      <c r="EK245" s="35"/>
      <c r="EL245" s="35"/>
      <c r="EM245" s="35"/>
      <c r="EN245" s="35"/>
      <c r="EO245" s="35"/>
      <c r="EP245" s="35"/>
      <c r="EQ245" s="35"/>
      <c r="ER245" s="35"/>
      <c r="ES245" s="35"/>
      <c r="ET245" s="35"/>
      <c r="EU245" s="35"/>
      <c r="EV245" s="35"/>
      <c r="EW245" s="35"/>
      <c r="EX245" s="35"/>
      <c r="EY245" s="35"/>
      <c r="EZ245" s="35"/>
      <c r="FA245" s="35"/>
      <c r="FB245" s="35"/>
      <c r="FC245" s="35"/>
      <c r="FD245" s="35"/>
      <c r="FE245" s="35"/>
      <c r="FF245" s="35"/>
      <c r="FG245" s="35"/>
      <c r="FH245" s="35"/>
      <c r="FI245" s="35"/>
      <c r="FJ245" s="35"/>
      <c r="FK245" s="35"/>
      <c r="FL245" s="35"/>
      <c r="FM245" s="35"/>
      <c r="FN245" s="35"/>
      <c r="FO245" s="35"/>
      <c r="FP245" s="35"/>
      <c r="FQ245" s="35"/>
      <c r="FR245" s="35"/>
      <c r="FS245" s="35"/>
      <c r="FT245" s="35"/>
      <c r="FU245" s="35"/>
      <c r="FV245" s="35"/>
      <c r="FW245" s="35"/>
      <c r="FX245" s="35"/>
      <c r="FY245" s="35"/>
      <c r="FZ245" s="35"/>
      <c r="GA245" s="35"/>
      <c r="GB245" s="35"/>
      <c r="GC245" s="35"/>
      <c r="GD245" s="35"/>
      <c r="GE245" s="35"/>
      <c r="GF245" s="35"/>
      <c r="GG245" s="35"/>
      <c r="GH245" s="35"/>
      <c r="GI245" s="35"/>
      <c r="GJ245" s="35"/>
      <c r="GK245" s="35"/>
      <c r="GL245" s="35"/>
      <c r="GM245" s="35"/>
      <c r="GN245" s="35"/>
      <c r="GO245" s="35"/>
      <c r="GP245" s="35"/>
      <c r="GQ245" s="35"/>
      <c r="GR245" s="35"/>
      <c r="GS245" s="35"/>
      <c r="GT245" s="35"/>
      <c r="GU245" s="35"/>
      <c r="GV245" s="35"/>
      <c r="GW245" s="35"/>
      <c r="GX245" s="35"/>
      <c r="GY245" s="35"/>
      <c r="GZ245" s="35"/>
      <c r="HA245" s="35"/>
      <c r="HB245" s="35"/>
      <c r="HC245" s="35"/>
      <c r="HD245" s="35"/>
      <c r="HE245" s="35"/>
      <c r="HF245" s="35"/>
      <c r="HG245" s="35"/>
      <c r="HH245" s="35"/>
      <c r="HI245" s="35"/>
      <c r="HJ245" s="35"/>
      <c r="HK245" s="35"/>
      <c r="HL245" s="35"/>
      <c r="HM245" s="35"/>
      <c r="HN245" s="35"/>
      <c r="HO245" s="35"/>
      <c r="HP245" s="35"/>
      <c r="HQ245" s="35"/>
      <c r="HR245" s="35"/>
      <c r="HS245" s="35"/>
      <c r="HT245" s="35"/>
      <c r="HU245" s="35"/>
      <c r="HV245" s="35"/>
      <c r="HW245" s="35"/>
      <c r="HX245" s="35"/>
      <c r="HY245" s="35"/>
      <c r="HZ245" s="35"/>
      <c r="IA245" s="35"/>
      <c r="IB245" s="35"/>
      <c r="IC245" s="35"/>
      <c r="ID245" s="35"/>
      <c r="IE245" s="35"/>
      <c r="IF245" s="35"/>
      <c r="IG245" s="35"/>
      <c r="IH245" s="35"/>
      <c r="II245" s="35"/>
      <c r="IJ245" s="35"/>
      <c r="IK245" s="35"/>
      <c r="IL245" s="35"/>
      <c r="IM245" s="35"/>
      <c r="IN245" s="35"/>
      <c r="IO245" s="35"/>
      <c r="IP245" s="35"/>
      <c r="IQ245" s="35"/>
      <c r="IR245" s="35"/>
      <c r="IS245" s="35"/>
      <c r="IT245" s="35"/>
      <c r="IU245" s="35"/>
      <c r="IV245" s="35"/>
      <c r="IW245" s="35"/>
      <c r="IX245" s="35"/>
      <c r="IY245" s="35"/>
      <c r="IZ245" s="35"/>
      <c r="JA245" s="35"/>
      <c r="JB245" s="35"/>
      <c r="JC245" s="35"/>
      <c r="JD245" s="35"/>
      <c r="JE245" s="35"/>
    </row>
    <row r="246">
      <c r="A246" s="42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5"/>
      <c r="CM246" s="35"/>
      <c r="CN246" s="35"/>
      <c r="CO246" s="35"/>
      <c r="CP246" s="35"/>
      <c r="CQ246" s="35"/>
      <c r="CR246" s="35"/>
      <c r="CS246" s="35"/>
      <c r="CT246" s="35"/>
      <c r="CU246" s="35"/>
      <c r="CV246" s="35"/>
      <c r="CW246" s="35"/>
      <c r="CX246" s="35"/>
      <c r="CY246" s="35"/>
      <c r="CZ246" s="35"/>
      <c r="DA246" s="35"/>
      <c r="DB246" s="35"/>
      <c r="DC246" s="35"/>
      <c r="DD246" s="35"/>
      <c r="DE246" s="35"/>
      <c r="DF246" s="35"/>
      <c r="DG246" s="35"/>
      <c r="DH246" s="35"/>
      <c r="DI246" s="35"/>
      <c r="DJ246" s="35"/>
      <c r="DK246" s="35"/>
      <c r="DL246" s="35"/>
      <c r="DM246" s="35"/>
      <c r="DN246" s="35"/>
      <c r="DO246" s="35"/>
      <c r="DP246" s="35"/>
      <c r="DQ246" s="35"/>
      <c r="DR246" s="35"/>
      <c r="DS246" s="35"/>
      <c r="DT246" s="35"/>
      <c r="DU246" s="35"/>
      <c r="DV246" s="35"/>
      <c r="DW246" s="35"/>
      <c r="DX246" s="35"/>
      <c r="DY246" s="35"/>
      <c r="DZ246" s="35"/>
      <c r="EA246" s="35"/>
      <c r="EB246" s="35"/>
      <c r="EC246" s="35"/>
      <c r="ED246" s="35"/>
      <c r="EE246" s="35"/>
      <c r="EF246" s="35"/>
      <c r="EG246" s="35"/>
      <c r="EH246" s="35"/>
      <c r="EI246" s="35"/>
      <c r="EJ246" s="35"/>
      <c r="EK246" s="35"/>
      <c r="EL246" s="35"/>
      <c r="EM246" s="35"/>
      <c r="EN246" s="35"/>
      <c r="EO246" s="35"/>
      <c r="EP246" s="35"/>
      <c r="EQ246" s="35"/>
      <c r="ER246" s="35"/>
      <c r="ES246" s="35"/>
      <c r="ET246" s="35"/>
      <c r="EU246" s="35"/>
      <c r="EV246" s="35"/>
      <c r="EW246" s="35"/>
      <c r="EX246" s="35"/>
      <c r="EY246" s="35"/>
      <c r="EZ246" s="35"/>
      <c r="FA246" s="35"/>
      <c r="FB246" s="35"/>
      <c r="FC246" s="35"/>
      <c r="FD246" s="35"/>
      <c r="FE246" s="35"/>
      <c r="FF246" s="35"/>
      <c r="FG246" s="35"/>
      <c r="FH246" s="35"/>
      <c r="FI246" s="35"/>
      <c r="FJ246" s="35"/>
      <c r="FK246" s="35"/>
      <c r="FL246" s="35"/>
      <c r="FM246" s="35"/>
      <c r="FN246" s="35"/>
      <c r="FO246" s="35"/>
      <c r="FP246" s="35"/>
      <c r="FQ246" s="35"/>
      <c r="FR246" s="35"/>
      <c r="FS246" s="35"/>
      <c r="FT246" s="35"/>
      <c r="FU246" s="35"/>
      <c r="FV246" s="35"/>
      <c r="FW246" s="35"/>
      <c r="FX246" s="35"/>
      <c r="FY246" s="35"/>
      <c r="FZ246" s="35"/>
      <c r="GA246" s="35"/>
      <c r="GB246" s="35"/>
      <c r="GC246" s="35"/>
      <c r="GD246" s="35"/>
      <c r="GE246" s="35"/>
      <c r="GF246" s="35"/>
      <c r="GG246" s="35"/>
      <c r="GH246" s="35"/>
      <c r="GI246" s="35"/>
      <c r="GJ246" s="35"/>
      <c r="GK246" s="35"/>
      <c r="GL246" s="35"/>
      <c r="GM246" s="35"/>
      <c r="GN246" s="35"/>
      <c r="GO246" s="35"/>
      <c r="GP246" s="35"/>
      <c r="GQ246" s="35"/>
      <c r="GR246" s="35"/>
      <c r="GS246" s="35"/>
      <c r="GT246" s="35"/>
      <c r="GU246" s="35"/>
      <c r="GV246" s="35"/>
      <c r="GW246" s="35"/>
      <c r="GX246" s="35"/>
      <c r="GY246" s="35"/>
      <c r="GZ246" s="35"/>
      <c r="HA246" s="35"/>
      <c r="HB246" s="35"/>
      <c r="HC246" s="35"/>
      <c r="HD246" s="35"/>
      <c r="HE246" s="35"/>
      <c r="HF246" s="35"/>
      <c r="HG246" s="35"/>
      <c r="HH246" s="35"/>
      <c r="HI246" s="35"/>
      <c r="HJ246" s="35"/>
      <c r="HK246" s="35"/>
      <c r="HL246" s="35"/>
      <c r="HM246" s="35"/>
      <c r="HN246" s="35"/>
      <c r="HO246" s="35"/>
      <c r="HP246" s="35"/>
      <c r="HQ246" s="35"/>
      <c r="HR246" s="35"/>
      <c r="HS246" s="35"/>
      <c r="HT246" s="35"/>
      <c r="HU246" s="35"/>
      <c r="HV246" s="35"/>
      <c r="HW246" s="35"/>
      <c r="HX246" s="35"/>
      <c r="HY246" s="35"/>
      <c r="HZ246" s="35"/>
      <c r="IA246" s="35"/>
      <c r="IB246" s="35"/>
      <c r="IC246" s="35"/>
      <c r="ID246" s="35"/>
      <c r="IE246" s="35"/>
      <c r="IF246" s="35"/>
      <c r="IG246" s="35"/>
      <c r="IH246" s="35"/>
      <c r="II246" s="35"/>
      <c r="IJ246" s="35"/>
      <c r="IK246" s="35"/>
      <c r="IL246" s="35"/>
      <c r="IM246" s="35"/>
      <c r="IN246" s="35"/>
      <c r="IO246" s="35"/>
      <c r="IP246" s="35"/>
      <c r="IQ246" s="35"/>
      <c r="IR246" s="35"/>
      <c r="IS246" s="35"/>
      <c r="IT246" s="35"/>
      <c r="IU246" s="35"/>
      <c r="IV246" s="35"/>
      <c r="IW246" s="35"/>
      <c r="IX246" s="35"/>
      <c r="IY246" s="35"/>
      <c r="IZ246" s="35"/>
      <c r="JA246" s="35"/>
      <c r="JB246" s="35"/>
      <c r="JC246" s="35"/>
      <c r="JD246" s="35"/>
      <c r="JE246" s="35"/>
    </row>
    <row r="247">
      <c r="A247" s="42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  <c r="CB247" s="35"/>
      <c r="CC247" s="35"/>
      <c r="CD247" s="35"/>
      <c r="CE247" s="35"/>
      <c r="CF247" s="35"/>
      <c r="CG247" s="35"/>
      <c r="CH247" s="35"/>
      <c r="CI247" s="35"/>
      <c r="CJ247" s="35"/>
      <c r="CK247" s="35"/>
      <c r="CL247" s="35"/>
      <c r="CM247" s="35"/>
      <c r="CN247" s="35"/>
      <c r="CO247" s="35"/>
      <c r="CP247" s="35"/>
      <c r="CQ247" s="35"/>
      <c r="CR247" s="35"/>
      <c r="CS247" s="35"/>
      <c r="CT247" s="35"/>
      <c r="CU247" s="35"/>
      <c r="CV247" s="35"/>
      <c r="CW247" s="35"/>
      <c r="CX247" s="35"/>
      <c r="CY247" s="35"/>
      <c r="CZ247" s="35"/>
      <c r="DA247" s="35"/>
      <c r="DB247" s="35"/>
      <c r="DC247" s="35"/>
      <c r="DD247" s="35"/>
      <c r="DE247" s="35"/>
      <c r="DF247" s="35"/>
      <c r="DG247" s="35"/>
      <c r="DH247" s="35"/>
      <c r="DI247" s="35"/>
      <c r="DJ247" s="35"/>
      <c r="DK247" s="35"/>
      <c r="DL247" s="35"/>
      <c r="DM247" s="35"/>
      <c r="DN247" s="35"/>
      <c r="DO247" s="35"/>
      <c r="DP247" s="35"/>
      <c r="DQ247" s="35"/>
      <c r="DR247" s="35"/>
      <c r="DS247" s="35"/>
      <c r="DT247" s="35"/>
      <c r="DU247" s="35"/>
      <c r="DV247" s="35"/>
      <c r="DW247" s="35"/>
      <c r="DX247" s="35"/>
      <c r="DY247" s="35"/>
      <c r="DZ247" s="35"/>
      <c r="EA247" s="35"/>
      <c r="EB247" s="35"/>
      <c r="EC247" s="35"/>
      <c r="ED247" s="35"/>
      <c r="EE247" s="35"/>
      <c r="EF247" s="35"/>
      <c r="EG247" s="35"/>
      <c r="EH247" s="35"/>
      <c r="EI247" s="35"/>
      <c r="EJ247" s="35"/>
      <c r="EK247" s="35"/>
      <c r="EL247" s="35"/>
      <c r="EM247" s="35"/>
      <c r="EN247" s="35"/>
      <c r="EO247" s="35"/>
      <c r="EP247" s="35"/>
      <c r="EQ247" s="35"/>
      <c r="ER247" s="35"/>
      <c r="ES247" s="35"/>
      <c r="ET247" s="35"/>
      <c r="EU247" s="35"/>
      <c r="EV247" s="35"/>
      <c r="EW247" s="35"/>
      <c r="EX247" s="35"/>
      <c r="EY247" s="35"/>
      <c r="EZ247" s="35"/>
      <c r="FA247" s="35"/>
      <c r="FB247" s="35"/>
      <c r="FC247" s="35"/>
      <c r="FD247" s="35"/>
      <c r="FE247" s="35"/>
      <c r="FF247" s="35"/>
      <c r="FG247" s="35"/>
      <c r="FH247" s="35"/>
      <c r="FI247" s="35"/>
      <c r="FJ247" s="35"/>
      <c r="FK247" s="35"/>
      <c r="FL247" s="35"/>
      <c r="FM247" s="35"/>
      <c r="FN247" s="35"/>
      <c r="FO247" s="35"/>
      <c r="FP247" s="35"/>
      <c r="FQ247" s="35"/>
      <c r="FR247" s="35"/>
      <c r="FS247" s="35"/>
      <c r="FT247" s="35"/>
      <c r="FU247" s="35"/>
      <c r="FV247" s="35"/>
      <c r="FW247" s="35"/>
      <c r="FX247" s="35"/>
      <c r="FY247" s="35"/>
      <c r="FZ247" s="35"/>
      <c r="GA247" s="35"/>
      <c r="GB247" s="35"/>
      <c r="GC247" s="35"/>
      <c r="GD247" s="35"/>
      <c r="GE247" s="35"/>
      <c r="GF247" s="35"/>
      <c r="GG247" s="35"/>
      <c r="GH247" s="35"/>
      <c r="GI247" s="35"/>
      <c r="GJ247" s="35"/>
      <c r="GK247" s="35"/>
      <c r="GL247" s="35"/>
      <c r="GM247" s="35"/>
      <c r="GN247" s="35"/>
      <c r="GO247" s="35"/>
      <c r="GP247" s="35"/>
      <c r="GQ247" s="35"/>
      <c r="GR247" s="35"/>
      <c r="GS247" s="35"/>
      <c r="GT247" s="35"/>
      <c r="GU247" s="35"/>
      <c r="GV247" s="35"/>
      <c r="GW247" s="35"/>
      <c r="GX247" s="35"/>
      <c r="GY247" s="35"/>
      <c r="GZ247" s="35"/>
      <c r="HA247" s="35"/>
      <c r="HB247" s="35"/>
      <c r="HC247" s="35"/>
      <c r="HD247" s="35"/>
      <c r="HE247" s="35"/>
      <c r="HF247" s="35"/>
      <c r="HG247" s="35"/>
      <c r="HH247" s="35"/>
      <c r="HI247" s="35"/>
      <c r="HJ247" s="35"/>
      <c r="HK247" s="35"/>
      <c r="HL247" s="35"/>
      <c r="HM247" s="35"/>
      <c r="HN247" s="35"/>
      <c r="HO247" s="35"/>
      <c r="HP247" s="35"/>
      <c r="HQ247" s="35"/>
      <c r="HR247" s="35"/>
      <c r="HS247" s="35"/>
      <c r="HT247" s="35"/>
      <c r="HU247" s="35"/>
      <c r="HV247" s="35"/>
      <c r="HW247" s="35"/>
      <c r="HX247" s="35"/>
      <c r="HY247" s="35"/>
      <c r="HZ247" s="35"/>
      <c r="IA247" s="35"/>
      <c r="IB247" s="35"/>
      <c r="IC247" s="35"/>
      <c r="ID247" s="35"/>
      <c r="IE247" s="35"/>
      <c r="IF247" s="35"/>
      <c r="IG247" s="35"/>
      <c r="IH247" s="35"/>
      <c r="II247" s="35"/>
      <c r="IJ247" s="35"/>
      <c r="IK247" s="35"/>
      <c r="IL247" s="35"/>
      <c r="IM247" s="35"/>
      <c r="IN247" s="35"/>
      <c r="IO247" s="35"/>
      <c r="IP247" s="35"/>
      <c r="IQ247" s="35"/>
      <c r="IR247" s="35"/>
      <c r="IS247" s="35"/>
      <c r="IT247" s="35"/>
      <c r="IU247" s="35"/>
      <c r="IV247" s="35"/>
      <c r="IW247" s="35"/>
      <c r="IX247" s="35"/>
      <c r="IY247" s="35"/>
      <c r="IZ247" s="35"/>
      <c r="JA247" s="35"/>
      <c r="JB247" s="35"/>
      <c r="JC247" s="35"/>
      <c r="JD247" s="35"/>
      <c r="JE247" s="35"/>
    </row>
    <row r="248">
      <c r="A248" s="42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  <c r="BR248" s="35"/>
      <c r="BS248" s="35"/>
      <c r="BT248" s="35"/>
      <c r="BU248" s="35"/>
      <c r="BV248" s="35"/>
      <c r="BW248" s="35"/>
      <c r="BX248" s="35"/>
      <c r="BY248" s="35"/>
      <c r="BZ248" s="35"/>
      <c r="CA248" s="35"/>
      <c r="CB248" s="35"/>
      <c r="CC248" s="35"/>
      <c r="CD248" s="35"/>
      <c r="CE248" s="35"/>
      <c r="CF248" s="35"/>
      <c r="CG248" s="35"/>
      <c r="CH248" s="35"/>
      <c r="CI248" s="35"/>
      <c r="CJ248" s="35"/>
      <c r="CK248" s="35"/>
      <c r="CL248" s="35"/>
      <c r="CM248" s="35"/>
      <c r="CN248" s="35"/>
      <c r="CO248" s="35"/>
      <c r="CP248" s="35"/>
      <c r="CQ248" s="35"/>
      <c r="CR248" s="35"/>
      <c r="CS248" s="35"/>
      <c r="CT248" s="35"/>
      <c r="CU248" s="35"/>
      <c r="CV248" s="35"/>
      <c r="CW248" s="35"/>
      <c r="CX248" s="35"/>
      <c r="CY248" s="35"/>
      <c r="CZ248" s="35"/>
      <c r="DA248" s="35"/>
      <c r="DB248" s="35"/>
      <c r="DC248" s="35"/>
      <c r="DD248" s="35"/>
      <c r="DE248" s="35"/>
      <c r="DF248" s="35"/>
      <c r="DG248" s="35"/>
      <c r="DH248" s="35"/>
      <c r="DI248" s="35"/>
      <c r="DJ248" s="35"/>
      <c r="DK248" s="35"/>
      <c r="DL248" s="35"/>
      <c r="DM248" s="35"/>
      <c r="DN248" s="35"/>
      <c r="DO248" s="35"/>
      <c r="DP248" s="35"/>
      <c r="DQ248" s="35"/>
      <c r="DR248" s="35"/>
      <c r="DS248" s="35"/>
      <c r="DT248" s="35"/>
      <c r="DU248" s="35"/>
      <c r="DV248" s="35"/>
      <c r="DW248" s="35"/>
      <c r="DX248" s="35"/>
      <c r="DY248" s="35"/>
      <c r="DZ248" s="35"/>
      <c r="EA248" s="35"/>
      <c r="EB248" s="35"/>
      <c r="EC248" s="35"/>
      <c r="ED248" s="35"/>
      <c r="EE248" s="35"/>
      <c r="EF248" s="35"/>
      <c r="EG248" s="35"/>
      <c r="EH248" s="35"/>
      <c r="EI248" s="35"/>
      <c r="EJ248" s="35"/>
      <c r="EK248" s="35"/>
      <c r="EL248" s="35"/>
      <c r="EM248" s="35"/>
      <c r="EN248" s="35"/>
      <c r="EO248" s="35"/>
      <c r="EP248" s="35"/>
      <c r="EQ248" s="35"/>
      <c r="ER248" s="35"/>
      <c r="ES248" s="35"/>
      <c r="ET248" s="35"/>
      <c r="EU248" s="35"/>
      <c r="EV248" s="35"/>
      <c r="EW248" s="35"/>
      <c r="EX248" s="35"/>
      <c r="EY248" s="35"/>
      <c r="EZ248" s="35"/>
      <c r="FA248" s="35"/>
      <c r="FB248" s="35"/>
      <c r="FC248" s="35"/>
      <c r="FD248" s="35"/>
      <c r="FE248" s="35"/>
      <c r="FF248" s="35"/>
      <c r="FG248" s="35"/>
      <c r="FH248" s="35"/>
      <c r="FI248" s="35"/>
      <c r="FJ248" s="35"/>
      <c r="FK248" s="35"/>
      <c r="FL248" s="35"/>
      <c r="FM248" s="35"/>
      <c r="FN248" s="35"/>
      <c r="FO248" s="35"/>
      <c r="FP248" s="35"/>
      <c r="FQ248" s="35"/>
      <c r="FR248" s="35"/>
      <c r="FS248" s="35"/>
      <c r="FT248" s="35"/>
      <c r="FU248" s="35"/>
      <c r="FV248" s="35"/>
      <c r="FW248" s="35"/>
      <c r="FX248" s="35"/>
      <c r="FY248" s="35"/>
      <c r="FZ248" s="35"/>
      <c r="GA248" s="35"/>
      <c r="GB248" s="35"/>
      <c r="GC248" s="35"/>
      <c r="GD248" s="35"/>
      <c r="GE248" s="35"/>
      <c r="GF248" s="35"/>
      <c r="GG248" s="35"/>
      <c r="GH248" s="35"/>
      <c r="GI248" s="35"/>
      <c r="GJ248" s="35"/>
      <c r="GK248" s="35"/>
      <c r="GL248" s="35"/>
      <c r="GM248" s="35"/>
      <c r="GN248" s="35"/>
      <c r="GO248" s="35"/>
      <c r="GP248" s="35"/>
      <c r="GQ248" s="35"/>
      <c r="GR248" s="35"/>
      <c r="GS248" s="35"/>
      <c r="GT248" s="35"/>
      <c r="GU248" s="35"/>
      <c r="GV248" s="35"/>
      <c r="GW248" s="35"/>
      <c r="GX248" s="35"/>
      <c r="GY248" s="35"/>
      <c r="GZ248" s="35"/>
      <c r="HA248" s="35"/>
      <c r="HB248" s="35"/>
      <c r="HC248" s="35"/>
      <c r="HD248" s="35"/>
      <c r="HE248" s="35"/>
      <c r="HF248" s="35"/>
      <c r="HG248" s="35"/>
      <c r="HH248" s="35"/>
      <c r="HI248" s="35"/>
      <c r="HJ248" s="35"/>
      <c r="HK248" s="35"/>
      <c r="HL248" s="35"/>
      <c r="HM248" s="35"/>
      <c r="HN248" s="35"/>
      <c r="HO248" s="35"/>
      <c r="HP248" s="35"/>
      <c r="HQ248" s="35"/>
      <c r="HR248" s="35"/>
      <c r="HS248" s="35"/>
      <c r="HT248" s="35"/>
      <c r="HU248" s="35"/>
      <c r="HV248" s="35"/>
      <c r="HW248" s="35"/>
      <c r="HX248" s="35"/>
      <c r="HY248" s="35"/>
      <c r="HZ248" s="35"/>
      <c r="IA248" s="35"/>
      <c r="IB248" s="35"/>
      <c r="IC248" s="35"/>
      <c r="ID248" s="35"/>
      <c r="IE248" s="35"/>
      <c r="IF248" s="35"/>
      <c r="IG248" s="35"/>
      <c r="IH248" s="35"/>
      <c r="II248" s="35"/>
      <c r="IJ248" s="35"/>
      <c r="IK248" s="35"/>
      <c r="IL248" s="35"/>
      <c r="IM248" s="35"/>
      <c r="IN248" s="35"/>
      <c r="IO248" s="35"/>
      <c r="IP248" s="35"/>
      <c r="IQ248" s="35"/>
      <c r="IR248" s="35"/>
      <c r="IS248" s="35"/>
      <c r="IT248" s="35"/>
      <c r="IU248" s="35"/>
      <c r="IV248" s="35"/>
      <c r="IW248" s="35"/>
      <c r="IX248" s="35"/>
      <c r="IY248" s="35"/>
      <c r="IZ248" s="35"/>
      <c r="JA248" s="35"/>
      <c r="JB248" s="35"/>
      <c r="JC248" s="35"/>
      <c r="JD248" s="35"/>
      <c r="JE248" s="35"/>
    </row>
    <row r="249">
      <c r="A249" s="42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K249" s="35"/>
      <c r="CL249" s="35"/>
      <c r="CM249" s="35"/>
      <c r="CN249" s="35"/>
      <c r="CO249" s="35"/>
      <c r="CP249" s="35"/>
      <c r="CQ249" s="35"/>
      <c r="CR249" s="35"/>
      <c r="CS249" s="35"/>
      <c r="CT249" s="35"/>
      <c r="CU249" s="35"/>
      <c r="CV249" s="35"/>
      <c r="CW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  <c r="DL249" s="35"/>
      <c r="DM249" s="35"/>
      <c r="DN249" s="35"/>
      <c r="DO249" s="35"/>
      <c r="DP249" s="35"/>
      <c r="DQ249" s="35"/>
      <c r="DR249" s="35"/>
      <c r="DS249" s="35"/>
      <c r="DT249" s="35"/>
      <c r="DU249" s="35"/>
      <c r="DV249" s="35"/>
      <c r="DW249" s="35"/>
      <c r="DX249" s="35"/>
      <c r="DY249" s="35"/>
      <c r="DZ249" s="35"/>
      <c r="EA249" s="35"/>
      <c r="EB249" s="35"/>
      <c r="EC249" s="35"/>
      <c r="ED249" s="35"/>
      <c r="EE249" s="35"/>
      <c r="EF249" s="35"/>
      <c r="EG249" s="35"/>
      <c r="EH249" s="35"/>
      <c r="EI249" s="35"/>
      <c r="EJ249" s="35"/>
      <c r="EK249" s="35"/>
      <c r="EL249" s="35"/>
      <c r="EM249" s="35"/>
      <c r="EN249" s="35"/>
      <c r="EO249" s="35"/>
      <c r="EP249" s="35"/>
      <c r="EQ249" s="35"/>
      <c r="ER249" s="35"/>
      <c r="ES249" s="35"/>
      <c r="ET249" s="35"/>
      <c r="EU249" s="35"/>
      <c r="EV249" s="35"/>
      <c r="EW249" s="35"/>
      <c r="EX249" s="35"/>
      <c r="EY249" s="35"/>
      <c r="EZ249" s="35"/>
      <c r="FA249" s="35"/>
      <c r="FB249" s="35"/>
      <c r="FC249" s="35"/>
      <c r="FD249" s="35"/>
      <c r="FE249" s="35"/>
      <c r="FF249" s="35"/>
      <c r="FG249" s="35"/>
      <c r="FH249" s="35"/>
      <c r="FI249" s="35"/>
      <c r="FJ249" s="35"/>
      <c r="FK249" s="35"/>
      <c r="FL249" s="35"/>
      <c r="FM249" s="35"/>
      <c r="FN249" s="35"/>
      <c r="FO249" s="35"/>
      <c r="FP249" s="35"/>
      <c r="FQ249" s="35"/>
      <c r="FR249" s="35"/>
      <c r="FS249" s="35"/>
      <c r="FT249" s="35"/>
      <c r="FU249" s="35"/>
      <c r="FV249" s="35"/>
      <c r="FW249" s="35"/>
      <c r="FX249" s="35"/>
      <c r="FY249" s="35"/>
      <c r="FZ249" s="35"/>
      <c r="GA249" s="35"/>
      <c r="GB249" s="35"/>
      <c r="GC249" s="35"/>
      <c r="GD249" s="35"/>
      <c r="GE249" s="35"/>
      <c r="GF249" s="35"/>
      <c r="GG249" s="35"/>
      <c r="GH249" s="35"/>
      <c r="GI249" s="35"/>
      <c r="GJ249" s="35"/>
      <c r="GK249" s="35"/>
      <c r="GL249" s="35"/>
      <c r="GM249" s="35"/>
      <c r="GN249" s="35"/>
      <c r="GO249" s="35"/>
      <c r="GP249" s="35"/>
      <c r="GQ249" s="35"/>
      <c r="GR249" s="35"/>
      <c r="GS249" s="35"/>
      <c r="GT249" s="35"/>
      <c r="GU249" s="35"/>
      <c r="GV249" s="35"/>
      <c r="GW249" s="35"/>
      <c r="GX249" s="35"/>
      <c r="GY249" s="35"/>
      <c r="GZ249" s="35"/>
      <c r="HA249" s="35"/>
      <c r="HB249" s="35"/>
      <c r="HC249" s="35"/>
      <c r="HD249" s="35"/>
      <c r="HE249" s="35"/>
      <c r="HF249" s="35"/>
      <c r="HG249" s="35"/>
      <c r="HH249" s="35"/>
      <c r="HI249" s="35"/>
      <c r="HJ249" s="35"/>
      <c r="HK249" s="35"/>
      <c r="HL249" s="35"/>
      <c r="HM249" s="35"/>
      <c r="HN249" s="35"/>
      <c r="HO249" s="35"/>
      <c r="HP249" s="35"/>
      <c r="HQ249" s="35"/>
      <c r="HR249" s="35"/>
      <c r="HS249" s="35"/>
      <c r="HT249" s="35"/>
      <c r="HU249" s="35"/>
      <c r="HV249" s="35"/>
      <c r="HW249" s="35"/>
      <c r="HX249" s="35"/>
      <c r="HY249" s="35"/>
      <c r="HZ249" s="35"/>
      <c r="IA249" s="35"/>
      <c r="IB249" s="35"/>
      <c r="IC249" s="35"/>
      <c r="ID249" s="35"/>
      <c r="IE249" s="35"/>
      <c r="IF249" s="35"/>
      <c r="IG249" s="35"/>
      <c r="IH249" s="35"/>
      <c r="II249" s="35"/>
      <c r="IJ249" s="35"/>
      <c r="IK249" s="35"/>
      <c r="IL249" s="35"/>
      <c r="IM249" s="35"/>
      <c r="IN249" s="35"/>
      <c r="IO249" s="35"/>
      <c r="IP249" s="35"/>
      <c r="IQ249" s="35"/>
      <c r="IR249" s="35"/>
      <c r="IS249" s="35"/>
      <c r="IT249" s="35"/>
      <c r="IU249" s="35"/>
      <c r="IV249" s="35"/>
      <c r="IW249" s="35"/>
      <c r="IX249" s="35"/>
      <c r="IY249" s="35"/>
      <c r="IZ249" s="35"/>
      <c r="JA249" s="35"/>
      <c r="JB249" s="35"/>
      <c r="JC249" s="35"/>
      <c r="JD249" s="35"/>
      <c r="JE249" s="35"/>
    </row>
    <row r="250">
      <c r="A250" s="42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35"/>
      <c r="CE250" s="35"/>
      <c r="CF250" s="35"/>
      <c r="CG250" s="35"/>
      <c r="CH250" s="35"/>
      <c r="CI250" s="35"/>
      <c r="CJ250" s="35"/>
      <c r="CK250" s="35"/>
      <c r="CL250" s="35"/>
      <c r="CM250" s="35"/>
      <c r="CN250" s="35"/>
      <c r="CO250" s="35"/>
      <c r="CP250" s="35"/>
      <c r="CQ250" s="35"/>
      <c r="CR250" s="35"/>
      <c r="CS250" s="35"/>
      <c r="CT250" s="35"/>
      <c r="CU250" s="35"/>
      <c r="CV250" s="35"/>
      <c r="CW250" s="35"/>
      <c r="CX250" s="35"/>
      <c r="CY250" s="35"/>
      <c r="CZ250" s="35"/>
      <c r="DA250" s="35"/>
      <c r="DB250" s="35"/>
      <c r="DC250" s="35"/>
      <c r="DD250" s="35"/>
      <c r="DE250" s="35"/>
      <c r="DF250" s="35"/>
      <c r="DG250" s="35"/>
      <c r="DH250" s="35"/>
      <c r="DI250" s="35"/>
      <c r="DJ250" s="35"/>
      <c r="DK250" s="35"/>
      <c r="DL250" s="35"/>
      <c r="DM250" s="35"/>
      <c r="DN250" s="35"/>
      <c r="DO250" s="35"/>
      <c r="DP250" s="35"/>
      <c r="DQ250" s="35"/>
      <c r="DR250" s="35"/>
      <c r="DS250" s="35"/>
      <c r="DT250" s="35"/>
      <c r="DU250" s="35"/>
      <c r="DV250" s="35"/>
      <c r="DW250" s="35"/>
      <c r="DX250" s="35"/>
      <c r="DY250" s="35"/>
      <c r="DZ250" s="35"/>
      <c r="EA250" s="35"/>
      <c r="EB250" s="35"/>
      <c r="EC250" s="35"/>
      <c r="ED250" s="35"/>
      <c r="EE250" s="35"/>
      <c r="EF250" s="35"/>
      <c r="EG250" s="35"/>
      <c r="EH250" s="35"/>
      <c r="EI250" s="35"/>
      <c r="EJ250" s="35"/>
      <c r="EK250" s="35"/>
      <c r="EL250" s="35"/>
      <c r="EM250" s="35"/>
      <c r="EN250" s="35"/>
      <c r="EO250" s="35"/>
      <c r="EP250" s="35"/>
      <c r="EQ250" s="35"/>
      <c r="ER250" s="35"/>
      <c r="ES250" s="35"/>
      <c r="ET250" s="35"/>
      <c r="EU250" s="35"/>
      <c r="EV250" s="35"/>
      <c r="EW250" s="35"/>
      <c r="EX250" s="35"/>
      <c r="EY250" s="35"/>
      <c r="EZ250" s="35"/>
      <c r="FA250" s="35"/>
      <c r="FB250" s="35"/>
      <c r="FC250" s="35"/>
      <c r="FD250" s="35"/>
      <c r="FE250" s="35"/>
      <c r="FF250" s="35"/>
      <c r="FG250" s="35"/>
      <c r="FH250" s="35"/>
      <c r="FI250" s="35"/>
      <c r="FJ250" s="35"/>
      <c r="FK250" s="35"/>
      <c r="FL250" s="35"/>
      <c r="FM250" s="35"/>
      <c r="FN250" s="35"/>
      <c r="FO250" s="35"/>
      <c r="FP250" s="35"/>
      <c r="FQ250" s="35"/>
      <c r="FR250" s="35"/>
      <c r="FS250" s="35"/>
      <c r="FT250" s="35"/>
      <c r="FU250" s="35"/>
      <c r="FV250" s="35"/>
      <c r="FW250" s="35"/>
      <c r="FX250" s="35"/>
      <c r="FY250" s="35"/>
      <c r="FZ250" s="35"/>
      <c r="GA250" s="35"/>
      <c r="GB250" s="35"/>
      <c r="GC250" s="35"/>
      <c r="GD250" s="35"/>
      <c r="GE250" s="35"/>
      <c r="GF250" s="35"/>
      <c r="GG250" s="35"/>
      <c r="GH250" s="35"/>
      <c r="GI250" s="35"/>
      <c r="GJ250" s="35"/>
      <c r="GK250" s="35"/>
      <c r="GL250" s="35"/>
      <c r="GM250" s="35"/>
      <c r="GN250" s="35"/>
      <c r="GO250" s="35"/>
      <c r="GP250" s="35"/>
      <c r="GQ250" s="35"/>
      <c r="GR250" s="35"/>
      <c r="GS250" s="35"/>
      <c r="GT250" s="35"/>
      <c r="GU250" s="35"/>
      <c r="GV250" s="35"/>
      <c r="GW250" s="35"/>
      <c r="GX250" s="35"/>
      <c r="GY250" s="35"/>
      <c r="GZ250" s="35"/>
      <c r="HA250" s="35"/>
      <c r="HB250" s="35"/>
      <c r="HC250" s="35"/>
      <c r="HD250" s="35"/>
      <c r="HE250" s="35"/>
      <c r="HF250" s="35"/>
      <c r="HG250" s="35"/>
      <c r="HH250" s="35"/>
      <c r="HI250" s="35"/>
      <c r="HJ250" s="35"/>
      <c r="HK250" s="35"/>
      <c r="HL250" s="35"/>
      <c r="HM250" s="35"/>
      <c r="HN250" s="35"/>
      <c r="HO250" s="35"/>
      <c r="HP250" s="35"/>
      <c r="HQ250" s="35"/>
      <c r="HR250" s="35"/>
      <c r="HS250" s="35"/>
      <c r="HT250" s="35"/>
      <c r="HU250" s="35"/>
      <c r="HV250" s="35"/>
      <c r="HW250" s="35"/>
      <c r="HX250" s="35"/>
      <c r="HY250" s="35"/>
      <c r="HZ250" s="35"/>
      <c r="IA250" s="35"/>
      <c r="IB250" s="35"/>
      <c r="IC250" s="35"/>
      <c r="ID250" s="35"/>
      <c r="IE250" s="35"/>
      <c r="IF250" s="35"/>
      <c r="IG250" s="35"/>
      <c r="IH250" s="35"/>
      <c r="II250" s="35"/>
      <c r="IJ250" s="35"/>
      <c r="IK250" s="35"/>
      <c r="IL250" s="35"/>
      <c r="IM250" s="35"/>
      <c r="IN250" s="35"/>
      <c r="IO250" s="35"/>
      <c r="IP250" s="35"/>
      <c r="IQ250" s="35"/>
      <c r="IR250" s="35"/>
      <c r="IS250" s="35"/>
      <c r="IT250" s="35"/>
      <c r="IU250" s="35"/>
      <c r="IV250" s="35"/>
      <c r="IW250" s="35"/>
      <c r="IX250" s="35"/>
      <c r="IY250" s="35"/>
      <c r="IZ250" s="35"/>
      <c r="JA250" s="35"/>
      <c r="JB250" s="35"/>
      <c r="JC250" s="35"/>
      <c r="JD250" s="35"/>
      <c r="JE250" s="35"/>
    </row>
    <row r="251">
      <c r="A251" s="42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K251" s="35"/>
      <c r="CL251" s="35"/>
      <c r="CM251" s="35"/>
      <c r="CN251" s="35"/>
      <c r="CO251" s="35"/>
      <c r="CP251" s="35"/>
      <c r="CQ251" s="35"/>
      <c r="CR251" s="35"/>
      <c r="CS251" s="35"/>
      <c r="CT251" s="35"/>
      <c r="CU251" s="35"/>
      <c r="CV251" s="35"/>
      <c r="CW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35"/>
      <c r="DJ251" s="35"/>
      <c r="DK251" s="35"/>
      <c r="DL251" s="35"/>
      <c r="DM251" s="35"/>
      <c r="DN251" s="35"/>
      <c r="DO251" s="35"/>
      <c r="DP251" s="35"/>
      <c r="DQ251" s="35"/>
      <c r="DR251" s="35"/>
      <c r="DS251" s="35"/>
      <c r="DT251" s="35"/>
      <c r="DU251" s="35"/>
      <c r="DV251" s="35"/>
      <c r="DW251" s="35"/>
      <c r="DX251" s="35"/>
      <c r="DY251" s="35"/>
      <c r="DZ251" s="35"/>
      <c r="EA251" s="35"/>
      <c r="EB251" s="35"/>
      <c r="EC251" s="35"/>
      <c r="ED251" s="35"/>
      <c r="EE251" s="35"/>
      <c r="EF251" s="35"/>
      <c r="EG251" s="35"/>
      <c r="EH251" s="35"/>
      <c r="EI251" s="35"/>
      <c r="EJ251" s="35"/>
      <c r="EK251" s="35"/>
      <c r="EL251" s="35"/>
      <c r="EM251" s="35"/>
      <c r="EN251" s="35"/>
      <c r="EO251" s="35"/>
      <c r="EP251" s="35"/>
      <c r="EQ251" s="35"/>
      <c r="ER251" s="35"/>
      <c r="ES251" s="35"/>
      <c r="ET251" s="35"/>
      <c r="EU251" s="35"/>
      <c r="EV251" s="35"/>
      <c r="EW251" s="35"/>
      <c r="EX251" s="35"/>
      <c r="EY251" s="35"/>
      <c r="EZ251" s="35"/>
      <c r="FA251" s="35"/>
      <c r="FB251" s="35"/>
      <c r="FC251" s="35"/>
      <c r="FD251" s="35"/>
      <c r="FE251" s="35"/>
      <c r="FF251" s="35"/>
      <c r="FG251" s="35"/>
      <c r="FH251" s="35"/>
      <c r="FI251" s="35"/>
      <c r="FJ251" s="35"/>
      <c r="FK251" s="35"/>
      <c r="FL251" s="35"/>
      <c r="FM251" s="35"/>
      <c r="FN251" s="35"/>
      <c r="FO251" s="35"/>
      <c r="FP251" s="35"/>
      <c r="FQ251" s="35"/>
      <c r="FR251" s="35"/>
      <c r="FS251" s="35"/>
      <c r="FT251" s="35"/>
      <c r="FU251" s="35"/>
      <c r="FV251" s="35"/>
      <c r="FW251" s="35"/>
      <c r="FX251" s="35"/>
      <c r="FY251" s="35"/>
      <c r="FZ251" s="35"/>
      <c r="GA251" s="35"/>
      <c r="GB251" s="35"/>
      <c r="GC251" s="35"/>
      <c r="GD251" s="35"/>
      <c r="GE251" s="35"/>
      <c r="GF251" s="35"/>
      <c r="GG251" s="35"/>
      <c r="GH251" s="35"/>
      <c r="GI251" s="35"/>
      <c r="GJ251" s="35"/>
      <c r="GK251" s="35"/>
      <c r="GL251" s="35"/>
      <c r="GM251" s="35"/>
      <c r="GN251" s="35"/>
      <c r="GO251" s="35"/>
      <c r="GP251" s="35"/>
      <c r="GQ251" s="35"/>
      <c r="GR251" s="35"/>
      <c r="GS251" s="35"/>
      <c r="GT251" s="35"/>
      <c r="GU251" s="35"/>
      <c r="GV251" s="35"/>
      <c r="GW251" s="35"/>
      <c r="GX251" s="35"/>
      <c r="GY251" s="35"/>
      <c r="GZ251" s="35"/>
      <c r="HA251" s="35"/>
      <c r="HB251" s="35"/>
      <c r="HC251" s="35"/>
      <c r="HD251" s="35"/>
      <c r="HE251" s="35"/>
      <c r="HF251" s="35"/>
      <c r="HG251" s="35"/>
      <c r="HH251" s="35"/>
      <c r="HI251" s="35"/>
      <c r="HJ251" s="35"/>
      <c r="HK251" s="35"/>
      <c r="HL251" s="35"/>
      <c r="HM251" s="35"/>
      <c r="HN251" s="35"/>
      <c r="HO251" s="35"/>
      <c r="HP251" s="35"/>
      <c r="HQ251" s="35"/>
      <c r="HR251" s="35"/>
      <c r="HS251" s="35"/>
      <c r="HT251" s="35"/>
      <c r="HU251" s="35"/>
      <c r="HV251" s="35"/>
      <c r="HW251" s="35"/>
      <c r="HX251" s="35"/>
      <c r="HY251" s="35"/>
      <c r="HZ251" s="35"/>
      <c r="IA251" s="35"/>
      <c r="IB251" s="35"/>
      <c r="IC251" s="35"/>
      <c r="ID251" s="35"/>
      <c r="IE251" s="35"/>
      <c r="IF251" s="35"/>
      <c r="IG251" s="35"/>
      <c r="IH251" s="35"/>
      <c r="II251" s="35"/>
      <c r="IJ251" s="35"/>
      <c r="IK251" s="35"/>
      <c r="IL251" s="35"/>
      <c r="IM251" s="35"/>
      <c r="IN251" s="35"/>
      <c r="IO251" s="35"/>
      <c r="IP251" s="35"/>
      <c r="IQ251" s="35"/>
      <c r="IR251" s="35"/>
      <c r="IS251" s="35"/>
      <c r="IT251" s="35"/>
      <c r="IU251" s="35"/>
      <c r="IV251" s="35"/>
      <c r="IW251" s="35"/>
      <c r="IX251" s="35"/>
      <c r="IY251" s="35"/>
      <c r="IZ251" s="35"/>
      <c r="JA251" s="35"/>
      <c r="JB251" s="35"/>
      <c r="JC251" s="35"/>
      <c r="JD251" s="35"/>
      <c r="JE251" s="35"/>
    </row>
    <row r="252">
      <c r="A252" s="42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K252" s="35"/>
      <c r="CL252" s="35"/>
      <c r="CM252" s="35"/>
      <c r="CN252" s="35"/>
      <c r="CO252" s="35"/>
      <c r="CP252" s="35"/>
      <c r="CQ252" s="35"/>
      <c r="CR252" s="35"/>
      <c r="CS252" s="35"/>
      <c r="CT252" s="35"/>
      <c r="CU252" s="35"/>
      <c r="CV252" s="35"/>
      <c r="CW252" s="35"/>
      <c r="CX252" s="35"/>
      <c r="CY252" s="35"/>
      <c r="CZ252" s="35"/>
      <c r="DA252" s="35"/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  <c r="DL252" s="35"/>
      <c r="DM252" s="35"/>
      <c r="DN252" s="35"/>
      <c r="DO252" s="35"/>
      <c r="DP252" s="35"/>
      <c r="DQ252" s="35"/>
      <c r="DR252" s="35"/>
      <c r="DS252" s="35"/>
      <c r="DT252" s="35"/>
      <c r="DU252" s="35"/>
      <c r="DV252" s="35"/>
      <c r="DW252" s="35"/>
      <c r="DX252" s="35"/>
      <c r="DY252" s="35"/>
      <c r="DZ252" s="35"/>
      <c r="EA252" s="35"/>
      <c r="EB252" s="35"/>
      <c r="EC252" s="35"/>
      <c r="ED252" s="35"/>
      <c r="EE252" s="35"/>
      <c r="EF252" s="35"/>
      <c r="EG252" s="35"/>
      <c r="EH252" s="35"/>
      <c r="EI252" s="35"/>
      <c r="EJ252" s="35"/>
      <c r="EK252" s="35"/>
      <c r="EL252" s="35"/>
      <c r="EM252" s="35"/>
      <c r="EN252" s="35"/>
      <c r="EO252" s="35"/>
      <c r="EP252" s="35"/>
      <c r="EQ252" s="35"/>
      <c r="ER252" s="35"/>
      <c r="ES252" s="35"/>
      <c r="ET252" s="35"/>
      <c r="EU252" s="35"/>
      <c r="EV252" s="35"/>
      <c r="EW252" s="35"/>
      <c r="EX252" s="35"/>
      <c r="EY252" s="35"/>
      <c r="EZ252" s="35"/>
      <c r="FA252" s="35"/>
      <c r="FB252" s="35"/>
      <c r="FC252" s="35"/>
      <c r="FD252" s="35"/>
      <c r="FE252" s="35"/>
      <c r="FF252" s="35"/>
      <c r="FG252" s="35"/>
      <c r="FH252" s="35"/>
      <c r="FI252" s="35"/>
      <c r="FJ252" s="35"/>
      <c r="FK252" s="35"/>
      <c r="FL252" s="35"/>
      <c r="FM252" s="35"/>
      <c r="FN252" s="35"/>
      <c r="FO252" s="35"/>
      <c r="FP252" s="35"/>
      <c r="FQ252" s="35"/>
      <c r="FR252" s="35"/>
      <c r="FS252" s="35"/>
      <c r="FT252" s="35"/>
      <c r="FU252" s="35"/>
      <c r="FV252" s="35"/>
      <c r="FW252" s="35"/>
      <c r="FX252" s="35"/>
      <c r="FY252" s="35"/>
      <c r="FZ252" s="35"/>
      <c r="GA252" s="35"/>
      <c r="GB252" s="35"/>
      <c r="GC252" s="35"/>
      <c r="GD252" s="35"/>
      <c r="GE252" s="35"/>
      <c r="GF252" s="35"/>
      <c r="GG252" s="35"/>
      <c r="GH252" s="35"/>
      <c r="GI252" s="35"/>
      <c r="GJ252" s="35"/>
      <c r="GK252" s="35"/>
      <c r="GL252" s="35"/>
      <c r="GM252" s="35"/>
      <c r="GN252" s="35"/>
      <c r="GO252" s="35"/>
      <c r="GP252" s="35"/>
      <c r="GQ252" s="35"/>
      <c r="GR252" s="35"/>
      <c r="GS252" s="35"/>
      <c r="GT252" s="35"/>
      <c r="GU252" s="35"/>
      <c r="GV252" s="35"/>
      <c r="GW252" s="35"/>
      <c r="GX252" s="35"/>
      <c r="GY252" s="35"/>
      <c r="GZ252" s="35"/>
      <c r="HA252" s="35"/>
      <c r="HB252" s="35"/>
      <c r="HC252" s="35"/>
      <c r="HD252" s="35"/>
      <c r="HE252" s="35"/>
      <c r="HF252" s="35"/>
      <c r="HG252" s="35"/>
      <c r="HH252" s="35"/>
      <c r="HI252" s="35"/>
      <c r="HJ252" s="35"/>
      <c r="HK252" s="35"/>
      <c r="HL252" s="35"/>
      <c r="HM252" s="35"/>
      <c r="HN252" s="35"/>
      <c r="HO252" s="35"/>
      <c r="HP252" s="35"/>
      <c r="HQ252" s="35"/>
      <c r="HR252" s="35"/>
      <c r="HS252" s="35"/>
      <c r="HT252" s="35"/>
      <c r="HU252" s="35"/>
      <c r="HV252" s="35"/>
      <c r="HW252" s="35"/>
      <c r="HX252" s="35"/>
      <c r="HY252" s="35"/>
      <c r="HZ252" s="35"/>
      <c r="IA252" s="35"/>
      <c r="IB252" s="35"/>
      <c r="IC252" s="35"/>
      <c r="ID252" s="35"/>
      <c r="IE252" s="35"/>
      <c r="IF252" s="35"/>
      <c r="IG252" s="35"/>
      <c r="IH252" s="35"/>
      <c r="II252" s="35"/>
      <c r="IJ252" s="35"/>
      <c r="IK252" s="35"/>
      <c r="IL252" s="35"/>
      <c r="IM252" s="35"/>
      <c r="IN252" s="35"/>
      <c r="IO252" s="35"/>
      <c r="IP252" s="35"/>
      <c r="IQ252" s="35"/>
      <c r="IR252" s="35"/>
      <c r="IS252" s="35"/>
      <c r="IT252" s="35"/>
      <c r="IU252" s="35"/>
      <c r="IV252" s="35"/>
      <c r="IW252" s="35"/>
      <c r="IX252" s="35"/>
      <c r="IY252" s="35"/>
      <c r="IZ252" s="35"/>
      <c r="JA252" s="35"/>
      <c r="JB252" s="35"/>
      <c r="JC252" s="35"/>
      <c r="JD252" s="35"/>
      <c r="JE252" s="35"/>
    </row>
    <row r="253">
      <c r="A253" s="42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K253" s="35"/>
      <c r="CL253" s="35"/>
      <c r="CM253" s="35"/>
      <c r="CN253" s="35"/>
      <c r="CO253" s="35"/>
      <c r="CP253" s="35"/>
      <c r="CQ253" s="35"/>
      <c r="CR253" s="35"/>
      <c r="CS253" s="35"/>
      <c r="CT253" s="35"/>
      <c r="CU253" s="35"/>
      <c r="CV253" s="35"/>
      <c r="CW253" s="35"/>
      <c r="CX253" s="35"/>
      <c r="CY253" s="35"/>
      <c r="CZ253" s="35"/>
      <c r="DA253" s="35"/>
      <c r="DB253" s="35"/>
      <c r="DC253" s="35"/>
      <c r="DD253" s="35"/>
      <c r="DE253" s="35"/>
      <c r="DF253" s="35"/>
      <c r="DG253" s="35"/>
      <c r="DH253" s="35"/>
      <c r="DI253" s="35"/>
      <c r="DJ253" s="35"/>
      <c r="DK253" s="35"/>
      <c r="DL253" s="35"/>
      <c r="DM253" s="35"/>
      <c r="DN253" s="35"/>
      <c r="DO253" s="35"/>
      <c r="DP253" s="35"/>
      <c r="DQ253" s="35"/>
      <c r="DR253" s="35"/>
      <c r="DS253" s="35"/>
      <c r="DT253" s="35"/>
      <c r="DU253" s="35"/>
      <c r="DV253" s="35"/>
      <c r="DW253" s="35"/>
      <c r="DX253" s="35"/>
      <c r="DY253" s="35"/>
      <c r="DZ253" s="35"/>
      <c r="EA253" s="35"/>
      <c r="EB253" s="35"/>
      <c r="EC253" s="35"/>
      <c r="ED253" s="35"/>
      <c r="EE253" s="35"/>
      <c r="EF253" s="35"/>
      <c r="EG253" s="35"/>
      <c r="EH253" s="35"/>
      <c r="EI253" s="35"/>
      <c r="EJ253" s="35"/>
      <c r="EK253" s="35"/>
      <c r="EL253" s="35"/>
      <c r="EM253" s="35"/>
      <c r="EN253" s="35"/>
      <c r="EO253" s="35"/>
      <c r="EP253" s="35"/>
      <c r="EQ253" s="35"/>
      <c r="ER253" s="35"/>
      <c r="ES253" s="35"/>
      <c r="ET253" s="35"/>
      <c r="EU253" s="35"/>
      <c r="EV253" s="35"/>
      <c r="EW253" s="35"/>
      <c r="EX253" s="35"/>
      <c r="EY253" s="35"/>
      <c r="EZ253" s="35"/>
      <c r="FA253" s="35"/>
      <c r="FB253" s="35"/>
      <c r="FC253" s="35"/>
      <c r="FD253" s="35"/>
      <c r="FE253" s="35"/>
      <c r="FF253" s="35"/>
      <c r="FG253" s="35"/>
      <c r="FH253" s="35"/>
      <c r="FI253" s="35"/>
      <c r="FJ253" s="35"/>
      <c r="FK253" s="35"/>
      <c r="FL253" s="35"/>
      <c r="FM253" s="35"/>
      <c r="FN253" s="35"/>
      <c r="FO253" s="35"/>
      <c r="FP253" s="35"/>
      <c r="FQ253" s="35"/>
      <c r="FR253" s="35"/>
      <c r="FS253" s="35"/>
      <c r="FT253" s="35"/>
      <c r="FU253" s="35"/>
      <c r="FV253" s="35"/>
      <c r="FW253" s="35"/>
      <c r="FX253" s="35"/>
      <c r="FY253" s="35"/>
      <c r="FZ253" s="35"/>
      <c r="GA253" s="35"/>
      <c r="GB253" s="35"/>
      <c r="GC253" s="35"/>
      <c r="GD253" s="35"/>
      <c r="GE253" s="35"/>
      <c r="GF253" s="35"/>
      <c r="GG253" s="35"/>
      <c r="GH253" s="35"/>
      <c r="GI253" s="35"/>
      <c r="GJ253" s="35"/>
      <c r="GK253" s="35"/>
      <c r="GL253" s="35"/>
      <c r="GM253" s="35"/>
      <c r="GN253" s="35"/>
      <c r="GO253" s="35"/>
      <c r="GP253" s="35"/>
      <c r="GQ253" s="35"/>
      <c r="GR253" s="35"/>
      <c r="GS253" s="35"/>
      <c r="GT253" s="35"/>
      <c r="GU253" s="35"/>
      <c r="GV253" s="35"/>
      <c r="GW253" s="35"/>
      <c r="GX253" s="35"/>
      <c r="GY253" s="35"/>
      <c r="GZ253" s="35"/>
      <c r="HA253" s="35"/>
      <c r="HB253" s="35"/>
      <c r="HC253" s="35"/>
      <c r="HD253" s="35"/>
      <c r="HE253" s="35"/>
      <c r="HF253" s="35"/>
      <c r="HG253" s="35"/>
      <c r="HH253" s="35"/>
      <c r="HI253" s="35"/>
      <c r="HJ253" s="35"/>
      <c r="HK253" s="35"/>
      <c r="HL253" s="35"/>
      <c r="HM253" s="35"/>
      <c r="HN253" s="35"/>
      <c r="HO253" s="35"/>
      <c r="HP253" s="35"/>
      <c r="HQ253" s="35"/>
      <c r="HR253" s="35"/>
      <c r="HS253" s="35"/>
      <c r="HT253" s="35"/>
      <c r="HU253" s="35"/>
      <c r="HV253" s="35"/>
      <c r="HW253" s="35"/>
      <c r="HX253" s="35"/>
      <c r="HY253" s="35"/>
      <c r="HZ253" s="35"/>
      <c r="IA253" s="35"/>
      <c r="IB253" s="35"/>
      <c r="IC253" s="35"/>
      <c r="ID253" s="35"/>
      <c r="IE253" s="35"/>
      <c r="IF253" s="35"/>
      <c r="IG253" s="35"/>
      <c r="IH253" s="35"/>
      <c r="II253" s="35"/>
      <c r="IJ253" s="35"/>
      <c r="IK253" s="35"/>
      <c r="IL253" s="35"/>
      <c r="IM253" s="35"/>
      <c r="IN253" s="35"/>
      <c r="IO253" s="35"/>
      <c r="IP253" s="35"/>
      <c r="IQ253" s="35"/>
      <c r="IR253" s="35"/>
      <c r="IS253" s="35"/>
      <c r="IT253" s="35"/>
      <c r="IU253" s="35"/>
      <c r="IV253" s="35"/>
      <c r="IW253" s="35"/>
      <c r="IX253" s="35"/>
      <c r="IY253" s="35"/>
      <c r="IZ253" s="35"/>
      <c r="JA253" s="35"/>
      <c r="JB253" s="35"/>
      <c r="JC253" s="35"/>
      <c r="JD253" s="35"/>
      <c r="JE253" s="35"/>
    </row>
    <row r="254">
      <c r="A254" s="42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35"/>
      <c r="CM254" s="35"/>
      <c r="CN254" s="35"/>
      <c r="CO254" s="35"/>
      <c r="CP254" s="35"/>
      <c r="CQ254" s="35"/>
      <c r="CR254" s="35"/>
      <c r="CS254" s="35"/>
      <c r="CT254" s="35"/>
      <c r="CU254" s="35"/>
      <c r="CV254" s="35"/>
      <c r="CW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35"/>
      <c r="DJ254" s="35"/>
      <c r="DK254" s="35"/>
      <c r="DL254" s="35"/>
      <c r="DM254" s="35"/>
      <c r="DN254" s="35"/>
      <c r="DO254" s="35"/>
      <c r="DP254" s="35"/>
      <c r="DQ254" s="35"/>
      <c r="DR254" s="35"/>
      <c r="DS254" s="35"/>
      <c r="DT254" s="35"/>
      <c r="DU254" s="35"/>
      <c r="DV254" s="35"/>
      <c r="DW254" s="35"/>
      <c r="DX254" s="35"/>
      <c r="DY254" s="35"/>
      <c r="DZ254" s="35"/>
      <c r="EA254" s="35"/>
      <c r="EB254" s="35"/>
      <c r="EC254" s="35"/>
      <c r="ED254" s="35"/>
      <c r="EE254" s="35"/>
      <c r="EF254" s="35"/>
      <c r="EG254" s="35"/>
      <c r="EH254" s="35"/>
      <c r="EI254" s="35"/>
      <c r="EJ254" s="35"/>
      <c r="EK254" s="35"/>
      <c r="EL254" s="35"/>
      <c r="EM254" s="35"/>
      <c r="EN254" s="35"/>
      <c r="EO254" s="35"/>
      <c r="EP254" s="35"/>
      <c r="EQ254" s="35"/>
      <c r="ER254" s="35"/>
      <c r="ES254" s="35"/>
      <c r="ET254" s="35"/>
      <c r="EU254" s="35"/>
      <c r="EV254" s="35"/>
      <c r="EW254" s="35"/>
      <c r="EX254" s="35"/>
      <c r="EY254" s="35"/>
      <c r="EZ254" s="35"/>
      <c r="FA254" s="35"/>
      <c r="FB254" s="35"/>
      <c r="FC254" s="35"/>
      <c r="FD254" s="35"/>
      <c r="FE254" s="35"/>
      <c r="FF254" s="35"/>
      <c r="FG254" s="35"/>
      <c r="FH254" s="35"/>
      <c r="FI254" s="35"/>
      <c r="FJ254" s="35"/>
      <c r="FK254" s="35"/>
      <c r="FL254" s="35"/>
      <c r="FM254" s="35"/>
      <c r="FN254" s="35"/>
      <c r="FO254" s="35"/>
      <c r="FP254" s="35"/>
      <c r="FQ254" s="35"/>
      <c r="FR254" s="35"/>
      <c r="FS254" s="35"/>
      <c r="FT254" s="35"/>
      <c r="FU254" s="35"/>
      <c r="FV254" s="35"/>
      <c r="FW254" s="35"/>
      <c r="FX254" s="35"/>
      <c r="FY254" s="35"/>
      <c r="FZ254" s="35"/>
      <c r="GA254" s="35"/>
      <c r="GB254" s="35"/>
      <c r="GC254" s="35"/>
      <c r="GD254" s="35"/>
      <c r="GE254" s="35"/>
      <c r="GF254" s="35"/>
      <c r="GG254" s="35"/>
      <c r="GH254" s="35"/>
      <c r="GI254" s="35"/>
      <c r="GJ254" s="35"/>
      <c r="GK254" s="35"/>
      <c r="GL254" s="35"/>
      <c r="GM254" s="35"/>
      <c r="GN254" s="35"/>
      <c r="GO254" s="35"/>
      <c r="GP254" s="35"/>
      <c r="GQ254" s="35"/>
      <c r="GR254" s="35"/>
      <c r="GS254" s="35"/>
      <c r="GT254" s="35"/>
      <c r="GU254" s="35"/>
      <c r="GV254" s="35"/>
      <c r="GW254" s="35"/>
      <c r="GX254" s="35"/>
      <c r="GY254" s="35"/>
      <c r="GZ254" s="35"/>
      <c r="HA254" s="35"/>
      <c r="HB254" s="35"/>
      <c r="HC254" s="35"/>
      <c r="HD254" s="35"/>
      <c r="HE254" s="35"/>
      <c r="HF254" s="35"/>
      <c r="HG254" s="35"/>
      <c r="HH254" s="35"/>
      <c r="HI254" s="35"/>
      <c r="HJ254" s="35"/>
      <c r="HK254" s="35"/>
      <c r="HL254" s="35"/>
      <c r="HM254" s="35"/>
      <c r="HN254" s="35"/>
      <c r="HO254" s="35"/>
      <c r="HP254" s="35"/>
      <c r="HQ254" s="35"/>
      <c r="HR254" s="35"/>
      <c r="HS254" s="35"/>
      <c r="HT254" s="35"/>
      <c r="HU254" s="35"/>
      <c r="HV254" s="35"/>
      <c r="HW254" s="35"/>
      <c r="HX254" s="35"/>
      <c r="HY254" s="35"/>
      <c r="HZ254" s="35"/>
      <c r="IA254" s="35"/>
      <c r="IB254" s="35"/>
      <c r="IC254" s="35"/>
      <c r="ID254" s="35"/>
      <c r="IE254" s="35"/>
      <c r="IF254" s="35"/>
      <c r="IG254" s="35"/>
      <c r="IH254" s="35"/>
      <c r="II254" s="35"/>
      <c r="IJ254" s="35"/>
      <c r="IK254" s="35"/>
      <c r="IL254" s="35"/>
      <c r="IM254" s="35"/>
      <c r="IN254" s="35"/>
      <c r="IO254" s="35"/>
      <c r="IP254" s="35"/>
      <c r="IQ254" s="35"/>
      <c r="IR254" s="35"/>
      <c r="IS254" s="35"/>
      <c r="IT254" s="35"/>
      <c r="IU254" s="35"/>
      <c r="IV254" s="35"/>
      <c r="IW254" s="35"/>
      <c r="IX254" s="35"/>
      <c r="IY254" s="35"/>
      <c r="IZ254" s="35"/>
      <c r="JA254" s="35"/>
      <c r="JB254" s="35"/>
      <c r="JC254" s="35"/>
      <c r="JD254" s="35"/>
      <c r="JE254" s="35"/>
    </row>
    <row r="255">
      <c r="A255" s="42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K255" s="35"/>
      <c r="CL255" s="35"/>
      <c r="CM255" s="35"/>
      <c r="CN255" s="35"/>
      <c r="CO255" s="35"/>
      <c r="CP255" s="35"/>
      <c r="CQ255" s="35"/>
      <c r="CR255" s="35"/>
      <c r="CS255" s="35"/>
      <c r="CT255" s="35"/>
      <c r="CU255" s="35"/>
      <c r="CV255" s="35"/>
      <c r="CW255" s="35"/>
      <c r="CX255" s="35"/>
      <c r="CY255" s="35"/>
      <c r="CZ255" s="35"/>
      <c r="DA255" s="35"/>
      <c r="DB255" s="35"/>
      <c r="DC255" s="35"/>
      <c r="DD255" s="35"/>
      <c r="DE255" s="35"/>
      <c r="DF255" s="35"/>
      <c r="DG255" s="35"/>
      <c r="DH255" s="35"/>
      <c r="DI255" s="35"/>
      <c r="DJ255" s="35"/>
      <c r="DK255" s="35"/>
      <c r="DL255" s="35"/>
      <c r="DM255" s="35"/>
      <c r="DN255" s="35"/>
      <c r="DO255" s="35"/>
      <c r="DP255" s="35"/>
      <c r="DQ255" s="35"/>
      <c r="DR255" s="35"/>
      <c r="DS255" s="35"/>
      <c r="DT255" s="35"/>
      <c r="DU255" s="35"/>
      <c r="DV255" s="35"/>
      <c r="DW255" s="35"/>
      <c r="DX255" s="35"/>
      <c r="DY255" s="35"/>
      <c r="DZ255" s="35"/>
      <c r="EA255" s="35"/>
      <c r="EB255" s="35"/>
      <c r="EC255" s="35"/>
      <c r="ED255" s="35"/>
      <c r="EE255" s="35"/>
      <c r="EF255" s="35"/>
      <c r="EG255" s="35"/>
      <c r="EH255" s="35"/>
      <c r="EI255" s="35"/>
      <c r="EJ255" s="35"/>
      <c r="EK255" s="35"/>
      <c r="EL255" s="35"/>
      <c r="EM255" s="35"/>
      <c r="EN255" s="35"/>
      <c r="EO255" s="35"/>
      <c r="EP255" s="35"/>
      <c r="EQ255" s="35"/>
      <c r="ER255" s="35"/>
      <c r="ES255" s="35"/>
      <c r="ET255" s="35"/>
      <c r="EU255" s="35"/>
      <c r="EV255" s="35"/>
      <c r="EW255" s="35"/>
      <c r="EX255" s="35"/>
      <c r="EY255" s="35"/>
      <c r="EZ255" s="35"/>
      <c r="FA255" s="35"/>
      <c r="FB255" s="35"/>
      <c r="FC255" s="35"/>
      <c r="FD255" s="35"/>
      <c r="FE255" s="35"/>
      <c r="FF255" s="35"/>
      <c r="FG255" s="35"/>
      <c r="FH255" s="35"/>
      <c r="FI255" s="35"/>
      <c r="FJ255" s="35"/>
      <c r="FK255" s="35"/>
      <c r="FL255" s="35"/>
      <c r="FM255" s="35"/>
      <c r="FN255" s="35"/>
      <c r="FO255" s="35"/>
      <c r="FP255" s="35"/>
      <c r="FQ255" s="35"/>
      <c r="FR255" s="35"/>
      <c r="FS255" s="35"/>
      <c r="FT255" s="35"/>
      <c r="FU255" s="35"/>
      <c r="FV255" s="35"/>
      <c r="FW255" s="35"/>
      <c r="FX255" s="35"/>
      <c r="FY255" s="35"/>
      <c r="FZ255" s="35"/>
      <c r="GA255" s="35"/>
      <c r="GB255" s="35"/>
      <c r="GC255" s="35"/>
      <c r="GD255" s="35"/>
      <c r="GE255" s="35"/>
      <c r="GF255" s="35"/>
      <c r="GG255" s="35"/>
      <c r="GH255" s="35"/>
      <c r="GI255" s="35"/>
      <c r="GJ255" s="35"/>
      <c r="GK255" s="35"/>
      <c r="GL255" s="35"/>
      <c r="GM255" s="35"/>
      <c r="GN255" s="35"/>
      <c r="GO255" s="35"/>
      <c r="GP255" s="35"/>
      <c r="GQ255" s="35"/>
      <c r="GR255" s="35"/>
      <c r="GS255" s="35"/>
      <c r="GT255" s="35"/>
      <c r="GU255" s="35"/>
      <c r="GV255" s="35"/>
      <c r="GW255" s="35"/>
      <c r="GX255" s="35"/>
      <c r="GY255" s="35"/>
      <c r="GZ255" s="35"/>
      <c r="HA255" s="35"/>
      <c r="HB255" s="35"/>
      <c r="HC255" s="35"/>
      <c r="HD255" s="35"/>
      <c r="HE255" s="35"/>
      <c r="HF255" s="35"/>
      <c r="HG255" s="35"/>
      <c r="HH255" s="35"/>
      <c r="HI255" s="35"/>
      <c r="HJ255" s="35"/>
      <c r="HK255" s="35"/>
      <c r="HL255" s="35"/>
      <c r="HM255" s="35"/>
      <c r="HN255" s="35"/>
      <c r="HO255" s="35"/>
      <c r="HP255" s="35"/>
      <c r="HQ255" s="35"/>
      <c r="HR255" s="35"/>
      <c r="HS255" s="35"/>
      <c r="HT255" s="35"/>
      <c r="HU255" s="35"/>
      <c r="HV255" s="35"/>
      <c r="HW255" s="35"/>
      <c r="HX255" s="35"/>
      <c r="HY255" s="35"/>
      <c r="HZ255" s="35"/>
      <c r="IA255" s="35"/>
      <c r="IB255" s="35"/>
      <c r="IC255" s="35"/>
      <c r="ID255" s="35"/>
      <c r="IE255" s="35"/>
      <c r="IF255" s="35"/>
      <c r="IG255" s="35"/>
      <c r="IH255" s="35"/>
      <c r="II255" s="35"/>
      <c r="IJ255" s="35"/>
      <c r="IK255" s="35"/>
      <c r="IL255" s="35"/>
      <c r="IM255" s="35"/>
      <c r="IN255" s="35"/>
      <c r="IO255" s="35"/>
      <c r="IP255" s="35"/>
      <c r="IQ255" s="35"/>
      <c r="IR255" s="35"/>
      <c r="IS255" s="35"/>
      <c r="IT255" s="35"/>
      <c r="IU255" s="35"/>
      <c r="IV255" s="35"/>
      <c r="IW255" s="35"/>
      <c r="IX255" s="35"/>
      <c r="IY255" s="35"/>
      <c r="IZ255" s="35"/>
      <c r="JA255" s="35"/>
      <c r="JB255" s="35"/>
      <c r="JC255" s="35"/>
      <c r="JD255" s="35"/>
      <c r="JE255" s="35"/>
    </row>
    <row r="256">
      <c r="A256" s="42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K256" s="35"/>
      <c r="CL256" s="35"/>
      <c r="CM256" s="35"/>
      <c r="CN256" s="35"/>
      <c r="CO256" s="35"/>
      <c r="CP256" s="35"/>
      <c r="CQ256" s="35"/>
      <c r="CR256" s="35"/>
      <c r="CS256" s="35"/>
      <c r="CT256" s="35"/>
      <c r="CU256" s="35"/>
      <c r="CV256" s="35"/>
      <c r="CW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35"/>
      <c r="DJ256" s="35"/>
      <c r="DK256" s="35"/>
      <c r="DL256" s="35"/>
      <c r="DM256" s="35"/>
      <c r="DN256" s="35"/>
      <c r="DO256" s="35"/>
      <c r="DP256" s="35"/>
      <c r="DQ256" s="35"/>
      <c r="DR256" s="35"/>
      <c r="DS256" s="35"/>
      <c r="DT256" s="35"/>
      <c r="DU256" s="35"/>
      <c r="DV256" s="35"/>
      <c r="DW256" s="35"/>
      <c r="DX256" s="35"/>
      <c r="DY256" s="35"/>
      <c r="DZ256" s="35"/>
      <c r="EA256" s="35"/>
      <c r="EB256" s="35"/>
      <c r="EC256" s="35"/>
      <c r="ED256" s="35"/>
      <c r="EE256" s="35"/>
      <c r="EF256" s="35"/>
      <c r="EG256" s="35"/>
      <c r="EH256" s="35"/>
      <c r="EI256" s="35"/>
      <c r="EJ256" s="35"/>
      <c r="EK256" s="35"/>
      <c r="EL256" s="35"/>
      <c r="EM256" s="35"/>
      <c r="EN256" s="35"/>
      <c r="EO256" s="35"/>
      <c r="EP256" s="35"/>
      <c r="EQ256" s="35"/>
      <c r="ER256" s="35"/>
      <c r="ES256" s="35"/>
      <c r="ET256" s="35"/>
      <c r="EU256" s="35"/>
      <c r="EV256" s="35"/>
      <c r="EW256" s="35"/>
      <c r="EX256" s="35"/>
      <c r="EY256" s="35"/>
      <c r="EZ256" s="35"/>
      <c r="FA256" s="35"/>
      <c r="FB256" s="35"/>
      <c r="FC256" s="35"/>
      <c r="FD256" s="35"/>
      <c r="FE256" s="35"/>
      <c r="FF256" s="35"/>
      <c r="FG256" s="35"/>
      <c r="FH256" s="35"/>
      <c r="FI256" s="35"/>
      <c r="FJ256" s="35"/>
      <c r="FK256" s="35"/>
      <c r="FL256" s="35"/>
      <c r="FM256" s="35"/>
      <c r="FN256" s="35"/>
      <c r="FO256" s="35"/>
      <c r="FP256" s="35"/>
      <c r="FQ256" s="35"/>
      <c r="FR256" s="35"/>
      <c r="FS256" s="35"/>
      <c r="FT256" s="35"/>
      <c r="FU256" s="35"/>
      <c r="FV256" s="35"/>
      <c r="FW256" s="35"/>
      <c r="FX256" s="35"/>
      <c r="FY256" s="35"/>
      <c r="FZ256" s="35"/>
      <c r="GA256" s="35"/>
      <c r="GB256" s="35"/>
      <c r="GC256" s="35"/>
      <c r="GD256" s="35"/>
      <c r="GE256" s="35"/>
      <c r="GF256" s="35"/>
      <c r="GG256" s="35"/>
      <c r="GH256" s="35"/>
      <c r="GI256" s="35"/>
      <c r="GJ256" s="35"/>
      <c r="GK256" s="35"/>
      <c r="GL256" s="35"/>
      <c r="GM256" s="35"/>
      <c r="GN256" s="35"/>
      <c r="GO256" s="35"/>
      <c r="GP256" s="35"/>
      <c r="GQ256" s="35"/>
      <c r="GR256" s="35"/>
      <c r="GS256" s="35"/>
      <c r="GT256" s="35"/>
      <c r="GU256" s="35"/>
      <c r="GV256" s="35"/>
      <c r="GW256" s="35"/>
      <c r="GX256" s="35"/>
      <c r="GY256" s="35"/>
      <c r="GZ256" s="35"/>
      <c r="HA256" s="35"/>
      <c r="HB256" s="35"/>
      <c r="HC256" s="35"/>
      <c r="HD256" s="35"/>
      <c r="HE256" s="35"/>
      <c r="HF256" s="35"/>
      <c r="HG256" s="35"/>
      <c r="HH256" s="35"/>
      <c r="HI256" s="35"/>
      <c r="HJ256" s="35"/>
      <c r="HK256" s="35"/>
      <c r="HL256" s="35"/>
      <c r="HM256" s="35"/>
      <c r="HN256" s="35"/>
      <c r="HO256" s="35"/>
      <c r="HP256" s="35"/>
      <c r="HQ256" s="35"/>
      <c r="HR256" s="35"/>
      <c r="HS256" s="35"/>
      <c r="HT256" s="35"/>
      <c r="HU256" s="35"/>
      <c r="HV256" s="35"/>
      <c r="HW256" s="35"/>
      <c r="HX256" s="35"/>
      <c r="HY256" s="35"/>
      <c r="HZ256" s="35"/>
      <c r="IA256" s="35"/>
      <c r="IB256" s="35"/>
      <c r="IC256" s="35"/>
      <c r="ID256" s="35"/>
      <c r="IE256" s="35"/>
      <c r="IF256" s="35"/>
      <c r="IG256" s="35"/>
      <c r="IH256" s="35"/>
      <c r="II256" s="35"/>
      <c r="IJ256" s="35"/>
      <c r="IK256" s="35"/>
      <c r="IL256" s="35"/>
      <c r="IM256" s="35"/>
      <c r="IN256" s="35"/>
      <c r="IO256" s="35"/>
      <c r="IP256" s="35"/>
      <c r="IQ256" s="35"/>
      <c r="IR256" s="35"/>
      <c r="IS256" s="35"/>
      <c r="IT256" s="35"/>
      <c r="IU256" s="35"/>
      <c r="IV256" s="35"/>
      <c r="IW256" s="35"/>
      <c r="IX256" s="35"/>
      <c r="IY256" s="35"/>
      <c r="IZ256" s="35"/>
      <c r="JA256" s="35"/>
      <c r="JB256" s="35"/>
      <c r="JC256" s="35"/>
      <c r="JD256" s="35"/>
      <c r="JE256" s="35"/>
    </row>
    <row r="257">
      <c r="A257" s="42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  <c r="CB257" s="35"/>
      <c r="CC257" s="35"/>
      <c r="CD257" s="35"/>
      <c r="CE257" s="35"/>
      <c r="CF257" s="35"/>
      <c r="CG257" s="35"/>
      <c r="CH257" s="35"/>
      <c r="CI257" s="35"/>
      <c r="CJ257" s="35"/>
      <c r="CK257" s="35"/>
      <c r="CL257" s="35"/>
      <c r="CM257" s="35"/>
      <c r="CN257" s="35"/>
      <c r="CO257" s="35"/>
      <c r="CP257" s="35"/>
      <c r="CQ257" s="35"/>
      <c r="CR257" s="35"/>
      <c r="CS257" s="35"/>
      <c r="CT257" s="35"/>
      <c r="CU257" s="35"/>
      <c r="CV257" s="35"/>
      <c r="CW257" s="35"/>
      <c r="CX257" s="35"/>
      <c r="CY257" s="35"/>
      <c r="CZ257" s="35"/>
      <c r="DA257" s="35"/>
      <c r="DB257" s="35"/>
      <c r="DC257" s="35"/>
      <c r="DD257" s="35"/>
      <c r="DE257" s="35"/>
      <c r="DF257" s="35"/>
      <c r="DG257" s="35"/>
      <c r="DH257" s="35"/>
      <c r="DI257" s="35"/>
      <c r="DJ257" s="35"/>
      <c r="DK257" s="35"/>
      <c r="DL257" s="35"/>
      <c r="DM257" s="35"/>
      <c r="DN257" s="35"/>
      <c r="DO257" s="35"/>
      <c r="DP257" s="35"/>
      <c r="DQ257" s="35"/>
      <c r="DR257" s="35"/>
      <c r="DS257" s="35"/>
      <c r="DT257" s="35"/>
      <c r="DU257" s="35"/>
      <c r="DV257" s="35"/>
      <c r="DW257" s="35"/>
      <c r="DX257" s="35"/>
      <c r="DY257" s="35"/>
      <c r="DZ257" s="35"/>
      <c r="EA257" s="35"/>
      <c r="EB257" s="35"/>
      <c r="EC257" s="35"/>
      <c r="ED257" s="35"/>
      <c r="EE257" s="35"/>
      <c r="EF257" s="35"/>
      <c r="EG257" s="35"/>
      <c r="EH257" s="35"/>
      <c r="EI257" s="35"/>
      <c r="EJ257" s="35"/>
      <c r="EK257" s="35"/>
      <c r="EL257" s="35"/>
      <c r="EM257" s="35"/>
      <c r="EN257" s="35"/>
      <c r="EO257" s="35"/>
      <c r="EP257" s="35"/>
      <c r="EQ257" s="35"/>
      <c r="ER257" s="35"/>
      <c r="ES257" s="35"/>
      <c r="ET257" s="35"/>
      <c r="EU257" s="35"/>
      <c r="EV257" s="35"/>
      <c r="EW257" s="35"/>
      <c r="EX257" s="35"/>
      <c r="EY257" s="35"/>
      <c r="EZ257" s="35"/>
      <c r="FA257" s="35"/>
      <c r="FB257" s="35"/>
      <c r="FC257" s="35"/>
      <c r="FD257" s="35"/>
      <c r="FE257" s="35"/>
      <c r="FF257" s="35"/>
      <c r="FG257" s="35"/>
      <c r="FH257" s="35"/>
      <c r="FI257" s="35"/>
      <c r="FJ257" s="35"/>
      <c r="FK257" s="35"/>
      <c r="FL257" s="35"/>
      <c r="FM257" s="35"/>
      <c r="FN257" s="35"/>
      <c r="FO257" s="35"/>
      <c r="FP257" s="35"/>
      <c r="FQ257" s="35"/>
      <c r="FR257" s="35"/>
      <c r="FS257" s="35"/>
      <c r="FT257" s="35"/>
      <c r="FU257" s="35"/>
      <c r="FV257" s="35"/>
      <c r="FW257" s="35"/>
      <c r="FX257" s="35"/>
      <c r="FY257" s="35"/>
      <c r="FZ257" s="35"/>
      <c r="GA257" s="35"/>
      <c r="GB257" s="35"/>
      <c r="GC257" s="35"/>
      <c r="GD257" s="35"/>
      <c r="GE257" s="35"/>
      <c r="GF257" s="35"/>
      <c r="GG257" s="35"/>
      <c r="GH257" s="35"/>
      <c r="GI257" s="35"/>
      <c r="GJ257" s="35"/>
      <c r="GK257" s="35"/>
      <c r="GL257" s="35"/>
      <c r="GM257" s="35"/>
      <c r="GN257" s="35"/>
      <c r="GO257" s="35"/>
      <c r="GP257" s="35"/>
      <c r="GQ257" s="35"/>
      <c r="GR257" s="35"/>
      <c r="GS257" s="35"/>
      <c r="GT257" s="35"/>
      <c r="GU257" s="35"/>
      <c r="GV257" s="35"/>
      <c r="GW257" s="35"/>
      <c r="GX257" s="35"/>
      <c r="GY257" s="35"/>
      <c r="GZ257" s="35"/>
      <c r="HA257" s="35"/>
      <c r="HB257" s="35"/>
      <c r="HC257" s="35"/>
      <c r="HD257" s="35"/>
      <c r="HE257" s="35"/>
      <c r="HF257" s="35"/>
      <c r="HG257" s="35"/>
      <c r="HH257" s="35"/>
      <c r="HI257" s="35"/>
      <c r="HJ257" s="35"/>
      <c r="HK257" s="35"/>
      <c r="HL257" s="35"/>
      <c r="HM257" s="35"/>
      <c r="HN257" s="35"/>
      <c r="HO257" s="35"/>
      <c r="HP257" s="35"/>
      <c r="HQ257" s="35"/>
      <c r="HR257" s="35"/>
      <c r="HS257" s="35"/>
      <c r="HT257" s="35"/>
      <c r="HU257" s="35"/>
      <c r="HV257" s="35"/>
      <c r="HW257" s="35"/>
      <c r="HX257" s="35"/>
      <c r="HY257" s="35"/>
      <c r="HZ257" s="35"/>
      <c r="IA257" s="35"/>
      <c r="IB257" s="35"/>
      <c r="IC257" s="35"/>
      <c r="ID257" s="35"/>
      <c r="IE257" s="35"/>
      <c r="IF257" s="35"/>
      <c r="IG257" s="35"/>
      <c r="IH257" s="35"/>
      <c r="II257" s="35"/>
      <c r="IJ257" s="35"/>
      <c r="IK257" s="35"/>
      <c r="IL257" s="35"/>
      <c r="IM257" s="35"/>
      <c r="IN257" s="35"/>
      <c r="IO257" s="35"/>
      <c r="IP257" s="35"/>
      <c r="IQ257" s="35"/>
      <c r="IR257" s="35"/>
      <c r="IS257" s="35"/>
      <c r="IT257" s="35"/>
      <c r="IU257" s="35"/>
      <c r="IV257" s="35"/>
      <c r="IW257" s="35"/>
      <c r="IX257" s="35"/>
      <c r="IY257" s="35"/>
      <c r="IZ257" s="35"/>
      <c r="JA257" s="35"/>
      <c r="JB257" s="35"/>
      <c r="JC257" s="35"/>
      <c r="JD257" s="35"/>
      <c r="JE257" s="35"/>
    </row>
    <row r="258">
      <c r="A258" s="42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35"/>
      <c r="CM258" s="35"/>
      <c r="CN258" s="35"/>
      <c r="CO258" s="35"/>
      <c r="CP258" s="35"/>
      <c r="CQ258" s="35"/>
      <c r="CR258" s="35"/>
      <c r="CS258" s="35"/>
      <c r="CT258" s="35"/>
      <c r="CU258" s="35"/>
      <c r="CV258" s="35"/>
      <c r="CW258" s="35"/>
      <c r="CX258" s="35"/>
      <c r="CY258" s="35"/>
      <c r="CZ258" s="35"/>
      <c r="DA258" s="35"/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  <c r="DL258" s="35"/>
      <c r="DM258" s="35"/>
      <c r="DN258" s="35"/>
      <c r="DO258" s="35"/>
      <c r="DP258" s="35"/>
      <c r="DQ258" s="35"/>
      <c r="DR258" s="35"/>
      <c r="DS258" s="35"/>
      <c r="DT258" s="35"/>
      <c r="DU258" s="35"/>
      <c r="DV258" s="35"/>
      <c r="DW258" s="35"/>
      <c r="DX258" s="35"/>
      <c r="DY258" s="35"/>
      <c r="DZ258" s="35"/>
      <c r="EA258" s="35"/>
      <c r="EB258" s="35"/>
      <c r="EC258" s="35"/>
      <c r="ED258" s="35"/>
      <c r="EE258" s="35"/>
      <c r="EF258" s="35"/>
      <c r="EG258" s="35"/>
      <c r="EH258" s="35"/>
      <c r="EI258" s="35"/>
      <c r="EJ258" s="35"/>
      <c r="EK258" s="35"/>
      <c r="EL258" s="35"/>
      <c r="EM258" s="35"/>
      <c r="EN258" s="35"/>
      <c r="EO258" s="35"/>
      <c r="EP258" s="35"/>
      <c r="EQ258" s="35"/>
      <c r="ER258" s="35"/>
      <c r="ES258" s="35"/>
      <c r="ET258" s="35"/>
      <c r="EU258" s="35"/>
      <c r="EV258" s="35"/>
      <c r="EW258" s="35"/>
      <c r="EX258" s="35"/>
      <c r="EY258" s="35"/>
      <c r="EZ258" s="35"/>
      <c r="FA258" s="35"/>
      <c r="FB258" s="35"/>
      <c r="FC258" s="35"/>
      <c r="FD258" s="35"/>
      <c r="FE258" s="35"/>
      <c r="FF258" s="35"/>
      <c r="FG258" s="35"/>
      <c r="FH258" s="35"/>
      <c r="FI258" s="35"/>
      <c r="FJ258" s="35"/>
      <c r="FK258" s="35"/>
      <c r="FL258" s="35"/>
      <c r="FM258" s="35"/>
      <c r="FN258" s="35"/>
      <c r="FO258" s="35"/>
      <c r="FP258" s="35"/>
      <c r="FQ258" s="35"/>
      <c r="FR258" s="35"/>
      <c r="FS258" s="35"/>
      <c r="FT258" s="35"/>
      <c r="FU258" s="35"/>
      <c r="FV258" s="35"/>
      <c r="FW258" s="35"/>
      <c r="FX258" s="35"/>
      <c r="FY258" s="35"/>
      <c r="FZ258" s="35"/>
      <c r="GA258" s="35"/>
      <c r="GB258" s="35"/>
      <c r="GC258" s="35"/>
      <c r="GD258" s="35"/>
      <c r="GE258" s="35"/>
      <c r="GF258" s="35"/>
      <c r="GG258" s="35"/>
      <c r="GH258" s="35"/>
      <c r="GI258" s="35"/>
      <c r="GJ258" s="35"/>
      <c r="GK258" s="35"/>
      <c r="GL258" s="35"/>
      <c r="GM258" s="35"/>
      <c r="GN258" s="35"/>
      <c r="GO258" s="35"/>
      <c r="GP258" s="35"/>
      <c r="GQ258" s="35"/>
      <c r="GR258" s="35"/>
      <c r="GS258" s="35"/>
      <c r="GT258" s="35"/>
      <c r="GU258" s="35"/>
      <c r="GV258" s="35"/>
      <c r="GW258" s="35"/>
      <c r="GX258" s="35"/>
      <c r="GY258" s="35"/>
      <c r="GZ258" s="35"/>
      <c r="HA258" s="35"/>
      <c r="HB258" s="35"/>
      <c r="HC258" s="35"/>
      <c r="HD258" s="35"/>
      <c r="HE258" s="35"/>
      <c r="HF258" s="35"/>
      <c r="HG258" s="35"/>
      <c r="HH258" s="35"/>
      <c r="HI258" s="35"/>
      <c r="HJ258" s="35"/>
      <c r="HK258" s="35"/>
      <c r="HL258" s="35"/>
      <c r="HM258" s="35"/>
      <c r="HN258" s="35"/>
      <c r="HO258" s="35"/>
      <c r="HP258" s="35"/>
      <c r="HQ258" s="35"/>
      <c r="HR258" s="35"/>
      <c r="HS258" s="35"/>
      <c r="HT258" s="35"/>
      <c r="HU258" s="35"/>
      <c r="HV258" s="35"/>
      <c r="HW258" s="35"/>
      <c r="HX258" s="35"/>
      <c r="HY258" s="35"/>
      <c r="HZ258" s="35"/>
      <c r="IA258" s="35"/>
      <c r="IB258" s="35"/>
      <c r="IC258" s="35"/>
      <c r="ID258" s="35"/>
      <c r="IE258" s="35"/>
      <c r="IF258" s="35"/>
      <c r="IG258" s="35"/>
      <c r="IH258" s="35"/>
      <c r="II258" s="35"/>
      <c r="IJ258" s="35"/>
      <c r="IK258" s="35"/>
      <c r="IL258" s="35"/>
      <c r="IM258" s="35"/>
      <c r="IN258" s="35"/>
      <c r="IO258" s="35"/>
      <c r="IP258" s="35"/>
      <c r="IQ258" s="35"/>
      <c r="IR258" s="35"/>
      <c r="IS258" s="35"/>
      <c r="IT258" s="35"/>
      <c r="IU258" s="35"/>
      <c r="IV258" s="35"/>
      <c r="IW258" s="35"/>
      <c r="IX258" s="35"/>
      <c r="IY258" s="35"/>
      <c r="IZ258" s="35"/>
      <c r="JA258" s="35"/>
      <c r="JB258" s="35"/>
      <c r="JC258" s="35"/>
      <c r="JD258" s="35"/>
      <c r="JE258" s="35"/>
    </row>
    <row r="259">
      <c r="A259" s="42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K259" s="35"/>
      <c r="CL259" s="35"/>
      <c r="CM259" s="35"/>
      <c r="CN259" s="35"/>
      <c r="CO259" s="35"/>
      <c r="CP259" s="35"/>
      <c r="CQ259" s="35"/>
      <c r="CR259" s="35"/>
      <c r="CS259" s="35"/>
      <c r="CT259" s="35"/>
      <c r="CU259" s="35"/>
      <c r="CV259" s="35"/>
      <c r="CW259" s="35"/>
      <c r="CX259" s="35"/>
      <c r="CY259" s="35"/>
      <c r="CZ259" s="35"/>
      <c r="DA259" s="35"/>
      <c r="DB259" s="35"/>
      <c r="DC259" s="35"/>
      <c r="DD259" s="35"/>
      <c r="DE259" s="35"/>
      <c r="DF259" s="35"/>
      <c r="DG259" s="35"/>
      <c r="DH259" s="35"/>
      <c r="DI259" s="35"/>
      <c r="DJ259" s="35"/>
      <c r="DK259" s="35"/>
      <c r="DL259" s="35"/>
      <c r="DM259" s="35"/>
      <c r="DN259" s="35"/>
      <c r="DO259" s="35"/>
      <c r="DP259" s="35"/>
      <c r="DQ259" s="35"/>
      <c r="DR259" s="35"/>
      <c r="DS259" s="35"/>
      <c r="DT259" s="35"/>
      <c r="DU259" s="35"/>
      <c r="DV259" s="35"/>
      <c r="DW259" s="35"/>
      <c r="DX259" s="35"/>
      <c r="DY259" s="35"/>
      <c r="DZ259" s="35"/>
      <c r="EA259" s="35"/>
      <c r="EB259" s="35"/>
      <c r="EC259" s="35"/>
      <c r="ED259" s="35"/>
      <c r="EE259" s="35"/>
      <c r="EF259" s="35"/>
      <c r="EG259" s="35"/>
      <c r="EH259" s="35"/>
      <c r="EI259" s="35"/>
      <c r="EJ259" s="35"/>
      <c r="EK259" s="35"/>
      <c r="EL259" s="35"/>
      <c r="EM259" s="35"/>
      <c r="EN259" s="35"/>
      <c r="EO259" s="35"/>
      <c r="EP259" s="35"/>
      <c r="EQ259" s="35"/>
      <c r="ER259" s="35"/>
      <c r="ES259" s="35"/>
      <c r="ET259" s="35"/>
      <c r="EU259" s="35"/>
      <c r="EV259" s="35"/>
      <c r="EW259" s="35"/>
      <c r="EX259" s="35"/>
      <c r="EY259" s="35"/>
      <c r="EZ259" s="35"/>
      <c r="FA259" s="35"/>
      <c r="FB259" s="35"/>
      <c r="FC259" s="35"/>
      <c r="FD259" s="35"/>
      <c r="FE259" s="35"/>
      <c r="FF259" s="35"/>
      <c r="FG259" s="35"/>
      <c r="FH259" s="35"/>
      <c r="FI259" s="35"/>
      <c r="FJ259" s="35"/>
      <c r="FK259" s="35"/>
      <c r="FL259" s="35"/>
      <c r="FM259" s="35"/>
      <c r="FN259" s="35"/>
      <c r="FO259" s="35"/>
      <c r="FP259" s="35"/>
      <c r="FQ259" s="35"/>
      <c r="FR259" s="35"/>
      <c r="FS259" s="35"/>
      <c r="FT259" s="35"/>
      <c r="FU259" s="35"/>
      <c r="FV259" s="35"/>
      <c r="FW259" s="35"/>
      <c r="FX259" s="35"/>
      <c r="FY259" s="35"/>
      <c r="FZ259" s="35"/>
      <c r="GA259" s="35"/>
      <c r="GB259" s="35"/>
      <c r="GC259" s="35"/>
      <c r="GD259" s="35"/>
      <c r="GE259" s="35"/>
      <c r="GF259" s="35"/>
      <c r="GG259" s="35"/>
      <c r="GH259" s="35"/>
      <c r="GI259" s="35"/>
      <c r="GJ259" s="35"/>
      <c r="GK259" s="35"/>
      <c r="GL259" s="35"/>
      <c r="GM259" s="35"/>
      <c r="GN259" s="35"/>
      <c r="GO259" s="35"/>
      <c r="GP259" s="35"/>
      <c r="GQ259" s="35"/>
      <c r="GR259" s="35"/>
      <c r="GS259" s="35"/>
      <c r="GT259" s="35"/>
      <c r="GU259" s="35"/>
      <c r="GV259" s="35"/>
      <c r="GW259" s="35"/>
      <c r="GX259" s="35"/>
      <c r="GY259" s="35"/>
      <c r="GZ259" s="35"/>
      <c r="HA259" s="35"/>
      <c r="HB259" s="35"/>
      <c r="HC259" s="35"/>
      <c r="HD259" s="35"/>
      <c r="HE259" s="35"/>
      <c r="HF259" s="35"/>
      <c r="HG259" s="35"/>
      <c r="HH259" s="35"/>
      <c r="HI259" s="35"/>
      <c r="HJ259" s="35"/>
      <c r="HK259" s="35"/>
      <c r="HL259" s="35"/>
      <c r="HM259" s="35"/>
      <c r="HN259" s="35"/>
      <c r="HO259" s="35"/>
      <c r="HP259" s="35"/>
      <c r="HQ259" s="35"/>
      <c r="HR259" s="35"/>
      <c r="HS259" s="35"/>
      <c r="HT259" s="35"/>
      <c r="HU259" s="35"/>
      <c r="HV259" s="35"/>
      <c r="HW259" s="35"/>
      <c r="HX259" s="35"/>
      <c r="HY259" s="35"/>
      <c r="HZ259" s="35"/>
      <c r="IA259" s="35"/>
      <c r="IB259" s="35"/>
      <c r="IC259" s="35"/>
      <c r="ID259" s="35"/>
      <c r="IE259" s="35"/>
      <c r="IF259" s="35"/>
      <c r="IG259" s="35"/>
      <c r="IH259" s="35"/>
      <c r="II259" s="35"/>
      <c r="IJ259" s="35"/>
      <c r="IK259" s="35"/>
      <c r="IL259" s="35"/>
      <c r="IM259" s="35"/>
      <c r="IN259" s="35"/>
      <c r="IO259" s="35"/>
      <c r="IP259" s="35"/>
      <c r="IQ259" s="35"/>
      <c r="IR259" s="35"/>
      <c r="IS259" s="35"/>
      <c r="IT259" s="35"/>
      <c r="IU259" s="35"/>
      <c r="IV259" s="35"/>
      <c r="IW259" s="35"/>
      <c r="IX259" s="35"/>
      <c r="IY259" s="35"/>
      <c r="IZ259" s="35"/>
      <c r="JA259" s="35"/>
      <c r="JB259" s="35"/>
      <c r="JC259" s="35"/>
      <c r="JD259" s="35"/>
      <c r="JE259" s="35"/>
    </row>
    <row r="260">
      <c r="A260" s="42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35"/>
      <c r="CM260" s="35"/>
      <c r="CN260" s="35"/>
      <c r="CO260" s="35"/>
      <c r="CP260" s="35"/>
      <c r="CQ260" s="35"/>
      <c r="CR260" s="35"/>
      <c r="CS260" s="35"/>
      <c r="CT260" s="35"/>
      <c r="CU260" s="35"/>
      <c r="CV260" s="35"/>
      <c r="CW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35"/>
      <c r="DI260" s="35"/>
      <c r="DJ260" s="35"/>
      <c r="DK260" s="35"/>
      <c r="DL260" s="35"/>
      <c r="DM260" s="35"/>
      <c r="DN260" s="35"/>
      <c r="DO260" s="35"/>
      <c r="DP260" s="35"/>
      <c r="DQ260" s="35"/>
      <c r="DR260" s="35"/>
      <c r="DS260" s="35"/>
      <c r="DT260" s="35"/>
      <c r="DU260" s="35"/>
      <c r="DV260" s="35"/>
      <c r="DW260" s="35"/>
      <c r="DX260" s="35"/>
      <c r="DY260" s="35"/>
      <c r="DZ260" s="35"/>
      <c r="EA260" s="35"/>
      <c r="EB260" s="35"/>
      <c r="EC260" s="35"/>
      <c r="ED260" s="35"/>
      <c r="EE260" s="35"/>
      <c r="EF260" s="35"/>
      <c r="EG260" s="35"/>
      <c r="EH260" s="35"/>
      <c r="EI260" s="35"/>
      <c r="EJ260" s="35"/>
      <c r="EK260" s="35"/>
      <c r="EL260" s="35"/>
      <c r="EM260" s="35"/>
      <c r="EN260" s="35"/>
      <c r="EO260" s="35"/>
      <c r="EP260" s="35"/>
      <c r="EQ260" s="35"/>
      <c r="ER260" s="35"/>
      <c r="ES260" s="35"/>
      <c r="ET260" s="35"/>
      <c r="EU260" s="35"/>
      <c r="EV260" s="35"/>
      <c r="EW260" s="35"/>
      <c r="EX260" s="35"/>
      <c r="EY260" s="35"/>
      <c r="EZ260" s="35"/>
      <c r="FA260" s="35"/>
      <c r="FB260" s="35"/>
      <c r="FC260" s="35"/>
      <c r="FD260" s="35"/>
      <c r="FE260" s="35"/>
      <c r="FF260" s="35"/>
      <c r="FG260" s="35"/>
      <c r="FH260" s="35"/>
      <c r="FI260" s="35"/>
      <c r="FJ260" s="35"/>
      <c r="FK260" s="35"/>
      <c r="FL260" s="35"/>
      <c r="FM260" s="35"/>
      <c r="FN260" s="35"/>
      <c r="FO260" s="35"/>
      <c r="FP260" s="35"/>
      <c r="FQ260" s="35"/>
      <c r="FR260" s="35"/>
      <c r="FS260" s="35"/>
      <c r="FT260" s="35"/>
      <c r="FU260" s="35"/>
      <c r="FV260" s="35"/>
      <c r="FW260" s="35"/>
      <c r="FX260" s="35"/>
      <c r="FY260" s="35"/>
      <c r="FZ260" s="35"/>
      <c r="GA260" s="35"/>
      <c r="GB260" s="35"/>
      <c r="GC260" s="35"/>
      <c r="GD260" s="35"/>
      <c r="GE260" s="35"/>
      <c r="GF260" s="35"/>
      <c r="GG260" s="35"/>
      <c r="GH260" s="35"/>
      <c r="GI260" s="35"/>
      <c r="GJ260" s="35"/>
      <c r="GK260" s="35"/>
      <c r="GL260" s="35"/>
      <c r="GM260" s="35"/>
      <c r="GN260" s="35"/>
      <c r="GO260" s="35"/>
      <c r="GP260" s="35"/>
      <c r="GQ260" s="35"/>
      <c r="GR260" s="35"/>
      <c r="GS260" s="35"/>
      <c r="GT260" s="35"/>
      <c r="GU260" s="35"/>
      <c r="GV260" s="35"/>
      <c r="GW260" s="35"/>
      <c r="GX260" s="35"/>
      <c r="GY260" s="35"/>
      <c r="GZ260" s="35"/>
      <c r="HA260" s="35"/>
      <c r="HB260" s="35"/>
      <c r="HC260" s="35"/>
      <c r="HD260" s="35"/>
      <c r="HE260" s="35"/>
      <c r="HF260" s="35"/>
      <c r="HG260" s="35"/>
      <c r="HH260" s="35"/>
      <c r="HI260" s="35"/>
      <c r="HJ260" s="35"/>
      <c r="HK260" s="35"/>
      <c r="HL260" s="35"/>
      <c r="HM260" s="35"/>
      <c r="HN260" s="35"/>
      <c r="HO260" s="35"/>
      <c r="HP260" s="35"/>
      <c r="HQ260" s="35"/>
      <c r="HR260" s="35"/>
      <c r="HS260" s="35"/>
      <c r="HT260" s="35"/>
      <c r="HU260" s="35"/>
      <c r="HV260" s="35"/>
      <c r="HW260" s="35"/>
      <c r="HX260" s="35"/>
      <c r="HY260" s="35"/>
      <c r="HZ260" s="35"/>
      <c r="IA260" s="35"/>
      <c r="IB260" s="35"/>
      <c r="IC260" s="35"/>
      <c r="ID260" s="35"/>
      <c r="IE260" s="35"/>
      <c r="IF260" s="35"/>
      <c r="IG260" s="35"/>
      <c r="IH260" s="35"/>
      <c r="II260" s="35"/>
      <c r="IJ260" s="35"/>
      <c r="IK260" s="35"/>
      <c r="IL260" s="35"/>
      <c r="IM260" s="35"/>
      <c r="IN260" s="35"/>
      <c r="IO260" s="35"/>
      <c r="IP260" s="35"/>
      <c r="IQ260" s="35"/>
      <c r="IR260" s="35"/>
      <c r="IS260" s="35"/>
      <c r="IT260" s="35"/>
      <c r="IU260" s="35"/>
      <c r="IV260" s="35"/>
      <c r="IW260" s="35"/>
      <c r="IX260" s="35"/>
      <c r="IY260" s="35"/>
      <c r="IZ260" s="35"/>
      <c r="JA260" s="35"/>
      <c r="JB260" s="35"/>
      <c r="JC260" s="35"/>
      <c r="JD260" s="35"/>
      <c r="JE260" s="35"/>
    </row>
    <row r="261">
      <c r="A261" s="42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  <c r="BW261" s="35"/>
      <c r="BX261" s="35"/>
      <c r="BY261" s="35"/>
      <c r="BZ261" s="35"/>
      <c r="CA261" s="35"/>
      <c r="CB261" s="35"/>
      <c r="CC261" s="35"/>
      <c r="CD261" s="35"/>
      <c r="CE261" s="35"/>
      <c r="CF261" s="35"/>
      <c r="CG261" s="35"/>
      <c r="CH261" s="35"/>
      <c r="CI261" s="35"/>
      <c r="CJ261" s="35"/>
      <c r="CK261" s="35"/>
      <c r="CL261" s="35"/>
      <c r="CM261" s="35"/>
      <c r="CN261" s="35"/>
      <c r="CO261" s="35"/>
      <c r="CP261" s="35"/>
      <c r="CQ261" s="35"/>
      <c r="CR261" s="35"/>
      <c r="CS261" s="35"/>
      <c r="CT261" s="35"/>
      <c r="CU261" s="35"/>
      <c r="CV261" s="35"/>
      <c r="CW261" s="35"/>
      <c r="CX261" s="35"/>
      <c r="CY261" s="35"/>
      <c r="CZ261" s="35"/>
      <c r="DA261" s="35"/>
      <c r="DB261" s="35"/>
      <c r="DC261" s="35"/>
      <c r="DD261" s="35"/>
      <c r="DE261" s="35"/>
      <c r="DF261" s="35"/>
      <c r="DG261" s="35"/>
      <c r="DH261" s="35"/>
      <c r="DI261" s="35"/>
      <c r="DJ261" s="35"/>
      <c r="DK261" s="35"/>
      <c r="DL261" s="35"/>
      <c r="DM261" s="35"/>
      <c r="DN261" s="35"/>
      <c r="DO261" s="35"/>
      <c r="DP261" s="35"/>
      <c r="DQ261" s="35"/>
      <c r="DR261" s="35"/>
      <c r="DS261" s="35"/>
      <c r="DT261" s="35"/>
      <c r="DU261" s="35"/>
      <c r="DV261" s="35"/>
      <c r="DW261" s="35"/>
      <c r="DX261" s="35"/>
      <c r="DY261" s="35"/>
      <c r="DZ261" s="35"/>
      <c r="EA261" s="35"/>
      <c r="EB261" s="35"/>
      <c r="EC261" s="35"/>
      <c r="ED261" s="35"/>
      <c r="EE261" s="35"/>
      <c r="EF261" s="35"/>
      <c r="EG261" s="35"/>
      <c r="EH261" s="35"/>
      <c r="EI261" s="35"/>
      <c r="EJ261" s="35"/>
      <c r="EK261" s="35"/>
      <c r="EL261" s="35"/>
      <c r="EM261" s="35"/>
      <c r="EN261" s="35"/>
      <c r="EO261" s="35"/>
      <c r="EP261" s="35"/>
      <c r="EQ261" s="35"/>
      <c r="ER261" s="35"/>
      <c r="ES261" s="35"/>
      <c r="ET261" s="35"/>
      <c r="EU261" s="35"/>
      <c r="EV261" s="35"/>
      <c r="EW261" s="35"/>
      <c r="EX261" s="35"/>
      <c r="EY261" s="35"/>
      <c r="EZ261" s="35"/>
      <c r="FA261" s="35"/>
      <c r="FB261" s="35"/>
      <c r="FC261" s="35"/>
      <c r="FD261" s="35"/>
      <c r="FE261" s="35"/>
      <c r="FF261" s="35"/>
      <c r="FG261" s="35"/>
      <c r="FH261" s="35"/>
      <c r="FI261" s="35"/>
      <c r="FJ261" s="35"/>
      <c r="FK261" s="35"/>
      <c r="FL261" s="35"/>
      <c r="FM261" s="35"/>
      <c r="FN261" s="35"/>
      <c r="FO261" s="35"/>
      <c r="FP261" s="35"/>
      <c r="FQ261" s="35"/>
      <c r="FR261" s="35"/>
      <c r="FS261" s="35"/>
      <c r="FT261" s="35"/>
      <c r="FU261" s="35"/>
      <c r="FV261" s="35"/>
      <c r="FW261" s="35"/>
      <c r="FX261" s="35"/>
      <c r="FY261" s="35"/>
      <c r="FZ261" s="35"/>
      <c r="GA261" s="35"/>
      <c r="GB261" s="35"/>
      <c r="GC261" s="35"/>
      <c r="GD261" s="35"/>
      <c r="GE261" s="35"/>
      <c r="GF261" s="35"/>
      <c r="GG261" s="35"/>
      <c r="GH261" s="35"/>
      <c r="GI261" s="35"/>
      <c r="GJ261" s="35"/>
      <c r="GK261" s="35"/>
      <c r="GL261" s="35"/>
      <c r="GM261" s="35"/>
      <c r="GN261" s="35"/>
      <c r="GO261" s="35"/>
      <c r="GP261" s="35"/>
      <c r="GQ261" s="35"/>
      <c r="GR261" s="35"/>
      <c r="GS261" s="35"/>
      <c r="GT261" s="35"/>
      <c r="GU261" s="35"/>
      <c r="GV261" s="35"/>
      <c r="GW261" s="35"/>
      <c r="GX261" s="35"/>
      <c r="GY261" s="35"/>
      <c r="GZ261" s="35"/>
      <c r="HA261" s="35"/>
      <c r="HB261" s="35"/>
      <c r="HC261" s="35"/>
      <c r="HD261" s="35"/>
      <c r="HE261" s="35"/>
      <c r="HF261" s="35"/>
      <c r="HG261" s="35"/>
      <c r="HH261" s="35"/>
      <c r="HI261" s="35"/>
      <c r="HJ261" s="35"/>
      <c r="HK261" s="35"/>
      <c r="HL261" s="35"/>
      <c r="HM261" s="35"/>
      <c r="HN261" s="35"/>
      <c r="HO261" s="35"/>
      <c r="HP261" s="35"/>
      <c r="HQ261" s="35"/>
      <c r="HR261" s="35"/>
      <c r="HS261" s="35"/>
      <c r="HT261" s="35"/>
      <c r="HU261" s="35"/>
      <c r="HV261" s="35"/>
      <c r="HW261" s="35"/>
      <c r="HX261" s="35"/>
      <c r="HY261" s="35"/>
      <c r="HZ261" s="35"/>
      <c r="IA261" s="35"/>
      <c r="IB261" s="35"/>
      <c r="IC261" s="35"/>
      <c r="ID261" s="35"/>
      <c r="IE261" s="35"/>
      <c r="IF261" s="35"/>
      <c r="IG261" s="35"/>
      <c r="IH261" s="35"/>
      <c r="II261" s="35"/>
      <c r="IJ261" s="35"/>
      <c r="IK261" s="35"/>
      <c r="IL261" s="35"/>
      <c r="IM261" s="35"/>
      <c r="IN261" s="35"/>
      <c r="IO261" s="35"/>
      <c r="IP261" s="35"/>
      <c r="IQ261" s="35"/>
      <c r="IR261" s="35"/>
      <c r="IS261" s="35"/>
      <c r="IT261" s="35"/>
      <c r="IU261" s="35"/>
      <c r="IV261" s="35"/>
      <c r="IW261" s="35"/>
      <c r="IX261" s="35"/>
      <c r="IY261" s="35"/>
      <c r="IZ261" s="35"/>
      <c r="JA261" s="35"/>
      <c r="JB261" s="35"/>
      <c r="JC261" s="35"/>
      <c r="JD261" s="35"/>
      <c r="JE261" s="35"/>
    </row>
    <row r="262">
      <c r="A262" s="42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35"/>
      <c r="CM262" s="35"/>
      <c r="CN262" s="35"/>
      <c r="CO262" s="35"/>
      <c r="CP262" s="35"/>
      <c r="CQ262" s="35"/>
      <c r="CR262" s="35"/>
      <c r="CS262" s="35"/>
      <c r="CT262" s="35"/>
      <c r="CU262" s="35"/>
      <c r="CV262" s="35"/>
      <c r="CW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35"/>
      <c r="DJ262" s="35"/>
      <c r="DK262" s="35"/>
      <c r="DL262" s="35"/>
      <c r="DM262" s="35"/>
      <c r="DN262" s="35"/>
      <c r="DO262" s="35"/>
      <c r="DP262" s="35"/>
      <c r="DQ262" s="35"/>
      <c r="DR262" s="35"/>
      <c r="DS262" s="35"/>
      <c r="DT262" s="35"/>
      <c r="DU262" s="35"/>
      <c r="DV262" s="35"/>
      <c r="DW262" s="35"/>
      <c r="DX262" s="35"/>
      <c r="DY262" s="35"/>
      <c r="DZ262" s="35"/>
      <c r="EA262" s="35"/>
      <c r="EB262" s="35"/>
      <c r="EC262" s="35"/>
      <c r="ED262" s="35"/>
      <c r="EE262" s="35"/>
      <c r="EF262" s="35"/>
      <c r="EG262" s="35"/>
      <c r="EH262" s="35"/>
      <c r="EI262" s="35"/>
      <c r="EJ262" s="35"/>
      <c r="EK262" s="35"/>
      <c r="EL262" s="35"/>
      <c r="EM262" s="35"/>
      <c r="EN262" s="35"/>
      <c r="EO262" s="35"/>
      <c r="EP262" s="35"/>
      <c r="EQ262" s="35"/>
      <c r="ER262" s="35"/>
      <c r="ES262" s="35"/>
      <c r="ET262" s="35"/>
      <c r="EU262" s="35"/>
      <c r="EV262" s="35"/>
      <c r="EW262" s="35"/>
      <c r="EX262" s="35"/>
      <c r="EY262" s="35"/>
      <c r="EZ262" s="35"/>
      <c r="FA262" s="35"/>
      <c r="FB262" s="35"/>
      <c r="FC262" s="35"/>
      <c r="FD262" s="35"/>
      <c r="FE262" s="35"/>
      <c r="FF262" s="35"/>
      <c r="FG262" s="35"/>
      <c r="FH262" s="35"/>
      <c r="FI262" s="35"/>
      <c r="FJ262" s="35"/>
      <c r="FK262" s="35"/>
      <c r="FL262" s="35"/>
      <c r="FM262" s="35"/>
      <c r="FN262" s="35"/>
      <c r="FO262" s="35"/>
      <c r="FP262" s="35"/>
      <c r="FQ262" s="35"/>
      <c r="FR262" s="35"/>
      <c r="FS262" s="35"/>
      <c r="FT262" s="35"/>
      <c r="FU262" s="35"/>
      <c r="FV262" s="35"/>
      <c r="FW262" s="35"/>
      <c r="FX262" s="35"/>
      <c r="FY262" s="35"/>
      <c r="FZ262" s="35"/>
      <c r="GA262" s="35"/>
      <c r="GB262" s="35"/>
      <c r="GC262" s="35"/>
      <c r="GD262" s="35"/>
      <c r="GE262" s="35"/>
      <c r="GF262" s="35"/>
      <c r="GG262" s="35"/>
      <c r="GH262" s="35"/>
      <c r="GI262" s="35"/>
      <c r="GJ262" s="35"/>
      <c r="GK262" s="35"/>
      <c r="GL262" s="35"/>
      <c r="GM262" s="35"/>
      <c r="GN262" s="35"/>
      <c r="GO262" s="35"/>
      <c r="GP262" s="35"/>
      <c r="GQ262" s="35"/>
      <c r="GR262" s="35"/>
      <c r="GS262" s="35"/>
      <c r="GT262" s="35"/>
      <c r="GU262" s="35"/>
      <c r="GV262" s="35"/>
      <c r="GW262" s="35"/>
      <c r="GX262" s="35"/>
      <c r="GY262" s="35"/>
      <c r="GZ262" s="35"/>
      <c r="HA262" s="35"/>
      <c r="HB262" s="35"/>
      <c r="HC262" s="35"/>
      <c r="HD262" s="35"/>
      <c r="HE262" s="35"/>
      <c r="HF262" s="35"/>
      <c r="HG262" s="35"/>
      <c r="HH262" s="35"/>
      <c r="HI262" s="35"/>
      <c r="HJ262" s="35"/>
      <c r="HK262" s="35"/>
      <c r="HL262" s="35"/>
      <c r="HM262" s="35"/>
      <c r="HN262" s="35"/>
      <c r="HO262" s="35"/>
      <c r="HP262" s="35"/>
      <c r="HQ262" s="35"/>
      <c r="HR262" s="35"/>
      <c r="HS262" s="35"/>
      <c r="HT262" s="35"/>
      <c r="HU262" s="35"/>
      <c r="HV262" s="35"/>
      <c r="HW262" s="35"/>
      <c r="HX262" s="35"/>
      <c r="HY262" s="35"/>
      <c r="HZ262" s="35"/>
      <c r="IA262" s="35"/>
      <c r="IB262" s="35"/>
      <c r="IC262" s="35"/>
      <c r="ID262" s="35"/>
      <c r="IE262" s="35"/>
      <c r="IF262" s="35"/>
      <c r="IG262" s="35"/>
      <c r="IH262" s="35"/>
      <c r="II262" s="35"/>
      <c r="IJ262" s="35"/>
      <c r="IK262" s="35"/>
      <c r="IL262" s="35"/>
      <c r="IM262" s="35"/>
      <c r="IN262" s="35"/>
      <c r="IO262" s="35"/>
      <c r="IP262" s="35"/>
      <c r="IQ262" s="35"/>
      <c r="IR262" s="35"/>
      <c r="IS262" s="35"/>
      <c r="IT262" s="35"/>
      <c r="IU262" s="35"/>
      <c r="IV262" s="35"/>
      <c r="IW262" s="35"/>
      <c r="IX262" s="35"/>
      <c r="IY262" s="35"/>
      <c r="IZ262" s="35"/>
      <c r="JA262" s="35"/>
      <c r="JB262" s="35"/>
      <c r="JC262" s="35"/>
      <c r="JD262" s="35"/>
      <c r="JE262" s="35"/>
    </row>
    <row r="263">
      <c r="A263" s="42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K263" s="35"/>
      <c r="CL263" s="35"/>
      <c r="CM263" s="35"/>
      <c r="CN263" s="35"/>
      <c r="CO263" s="35"/>
      <c r="CP263" s="35"/>
      <c r="CQ263" s="35"/>
      <c r="CR263" s="35"/>
      <c r="CS263" s="35"/>
      <c r="CT263" s="35"/>
      <c r="CU263" s="35"/>
      <c r="CV263" s="35"/>
      <c r="CW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35"/>
      <c r="DL263" s="35"/>
      <c r="DM263" s="35"/>
      <c r="DN263" s="35"/>
      <c r="DO263" s="35"/>
      <c r="DP263" s="35"/>
      <c r="DQ263" s="35"/>
      <c r="DR263" s="35"/>
      <c r="DS263" s="35"/>
      <c r="DT263" s="35"/>
      <c r="DU263" s="35"/>
      <c r="DV263" s="35"/>
      <c r="DW263" s="35"/>
      <c r="DX263" s="35"/>
      <c r="DY263" s="35"/>
      <c r="DZ263" s="35"/>
      <c r="EA263" s="35"/>
      <c r="EB263" s="35"/>
      <c r="EC263" s="35"/>
      <c r="ED263" s="35"/>
      <c r="EE263" s="35"/>
      <c r="EF263" s="35"/>
      <c r="EG263" s="35"/>
      <c r="EH263" s="35"/>
      <c r="EI263" s="35"/>
      <c r="EJ263" s="35"/>
      <c r="EK263" s="35"/>
      <c r="EL263" s="35"/>
      <c r="EM263" s="35"/>
      <c r="EN263" s="35"/>
      <c r="EO263" s="35"/>
      <c r="EP263" s="35"/>
      <c r="EQ263" s="35"/>
      <c r="ER263" s="35"/>
      <c r="ES263" s="35"/>
      <c r="ET263" s="35"/>
      <c r="EU263" s="35"/>
      <c r="EV263" s="35"/>
      <c r="EW263" s="35"/>
      <c r="EX263" s="35"/>
      <c r="EY263" s="35"/>
      <c r="EZ263" s="35"/>
      <c r="FA263" s="35"/>
      <c r="FB263" s="35"/>
      <c r="FC263" s="35"/>
      <c r="FD263" s="35"/>
      <c r="FE263" s="35"/>
      <c r="FF263" s="35"/>
      <c r="FG263" s="35"/>
      <c r="FH263" s="35"/>
      <c r="FI263" s="35"/>
      <c r="FJ263" s="35"/>
      <c r="FK263" s="35"/>
      <c r="FL263" s="35"/>
      <c r="FM263" s="35"/>
      <c r="FN263" s="35"/>
      <c r="FO263" s="35"/>
      <c r="FP263" s="35"/>
      <c r="FQ263" s="35"/>
      <c r="FR263" s="35"/>
      <c r="FS263" s="35"/>
      <c r="FT263" s="35"/>
      <c r="FU263" s="35"/>
      <c r="FV263" s="35"/>
      <c r="FW263" s="35"/>
      <c r="FX263" s="35"/>
      <c r="FY263" s="35"/>
      <c r="FZ263" s="35"/>
      <c r="GA263" s="35"/>
      <c r="GB263" s="35"/>
      <c r="GC263" s="35"/>
      <c r="GD263" s="35"/>
      <c r="GE263" s="35"/>
      <c r="GF263" s="35"/>
      <c r="GG263" s="35"/>
      <c r="GH263" s="35"/>
      <c r="GI263" s="35"/>
      <c r="GJ263" s="35"/>
      <c r="GK263" s="35"/>
      <c r="GL263" s="35"/>
      <c r="GM263" s="35"/>
      <c r="GN263" s="35"/>
      <c r="GO263" s="35"/>
      <c r="GP263" s="35"/>
      <c r="GQ263" s="35"/>
      <c r="GR263" s="35"/>
      <c r="GS263" s="35"/>
      <c r="GT263" s="35"/>
      <c r="GU263" s="35"/>
      <c r="GV263" s="35"/>
      <c r="GW263" s="35"/>
      <c r="GX263" s="35"/>
      <c r="GY263" s="35"/>
      <c r="GZ263" s="35"/>
      <c r="HA263" s="35"/>
      <c r="HB263" s="35"/>
      <c r="HC263" s="35"/>
      <c r="HD263" s="35"/>
      <c r="HE263" s="35"/>
      <c r="HF263" s="35"/>
      <c r="HG263" s="35"/>
      <c r="HH263" s="35"/>
      <c r="HI263" s="35"/>
      <c r="HJ263" s="35"/>
      <c r="HK263" s="35"/>
      <c r="HL263" s="35"/>
      <c r="HM263" s="35"/>
      <c r="HN263" s="35"/>
      <c r="HO263" s="35"/>
      <c r="HP263" s="35"/>
      <c r="HQ263" s="35"/>
      <c r="HR263" s="35"/>
      <c r="HS263" s="35"/>
      <c r="HT263" s="35"/>
      <c r="HU263" s="35"/>
      <c r="HV263" s="35"/>
      <c r="HW263" s="35"/>
      <c r="HX263" s="35"/>
      <c r="HY263" s="35"/>
      <c r="HZ263" s="35"/>
      <c r="IA263" s="35"/>
      <c r="IB263" s="35"/>
      <c r="IC263" s="35"/>
      <c r="ID263" s="35"/>
      <c r="IE263" s="35"/>
      <c r="IF263" s="35"/>
      <c r="IG263" s="35"/>
      <c r="IH263" s="35"/>
      <c r="II263" s="35"/>
      <c r="IJ263" s="35"/>
      <c r="IK263" s="35"/>
      <c r="IL263" s="35"/>
      <c r="IM263" s="35"/>
      <c r="IN263" s="35"/>
      <c r="IO263" s="35"/>
      <c r="IP263" s="35"/>
      <c r="IQ263" s="35"/>
      <c r="IR263" s="35"/>
      <c r="IS263" s="35"/>
      <c r="IT263" s="35"/>
      <c r="IU263" s="35"/>
      <c r="IV263" s="35"/>
      <c r="IW263" s="35"/>
      <c r="IX263" s="35"/>
      <c r="IY263" s="35"/>
      <c r="IZ263" s="35"/>
      <c r="JA263" s="35"/>
      <c r="JB263" s="35"/>
      <c r="JC263" s="35"/>
      <c r="JD263" s="35"/>
      <c r="JE263" s="35"/>
    </row>
    <row r="264">
      <c r="A264" s="42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35"/>
      <c r="CO264" s="35"/>
      <c r="CP264" s="35"/>
      <c r="CQ264" s="35"/>
      <c r="CR264" s="35"/>
      <c r="CS264" s="35"/>
      <c r="CT264" s="35"/>
      <c r="CU264" s="35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35"/>
      <c r="DL264" s="35"/>
      <c r="DM264" s="35"/>
      <c r="DN264" s="35"/>
      <c r="DO264" s="35"/>
      <c r="DP264" s="35"/>
      <c r="DQ264" s="35"/>
      <c r="DR264" s="35"/>
      <c r="DS264" s="35"/>
      <c r="DT264" s="35"/>
      <c r="DU264" s="35"/>
      <c r="DV264" s="35"/>
      <c r="DW264" s="35"/>
      <c r="DX264" s="35"/>
      <c r="DY264" s="35"/>
      <c r="DZ264" s="35"/>
      <c r="EA264" s="35"/>
      <c r="EB264" s="35"/>
      <c r="EC264" s="35"/>
      <c r="ED264" s="35"/>
      <c r="EE264" s="35"/>
      <c r="EF264" s="35"/>
      <c r="EG264" s="35"/>
      <c r="EH264" s="35"/>
      <c r="EI264" s="35"/>
      <c r="EJ264" s="35"/>
      <c r="EK264" s="35"/>
      <c r="EL264" s="35"/>
      <c r="EM264" s="35"/>
      <c r="EN264" s="35"/>
      <c r="EO264" s="35"/>
      <c r="EP264" s="35"/>
      <c r="EQ264" s="35"/>
      <c r="ER264" s="35"/>
      <c r="ES264" s="35"/>
      <c r="ET264" s="35"/>
      <c r="EU264" s="35"/>
      <c r="EV264" s="35"/>
      <c r="EW264" s="35"/>
      <c r="EX264" s="35"/>
      <c r="EY264" s="35"/>
      <c r="EZ264" s="35"/>
      <c r="FA264" s="35"/>
      <c r="FB264" s="35"/>
      <c r="FC264" s="35"/>
      <c r="FD264" s="35"/>
      <c r="FE264" s="35"/>
      <c r="FF264" s="35"/>
      <c r="FG264" s="35"/>
      <c r="FH264" s="35"/>
      <c r="FI264" s="35"/>
      <c r="FJ264" s="35"/>
      <c r="FK264" s="35"/>
      <c r="FL264" s="35"/>
      <c r="FM264" s="35"/>
      <c r="FN264" s="35"/>
      <c r="FO264" s="35"/>
      <c r="FP264" s="35"/>
      <c r="FQ264" s="35"/>
      <c r="FR264" s="35"/>
      <c r="FS264" s="35"/>
      <c r="FT264" s="35"/>
      <c r="FU264" s="35"/>
      <c r="FV264" s="35"/>
      <c r="FW264" s="35"/>
      <c r="FX264" s="35"/>
      <c r="FY264" s="35"/>
      <c r="FZ264" s="35"/>
      <c r="GA264" s="35"/>
      <c r="GB264" s="35"/>
      <c r="GC264" s="35"/>
      <c r="GD264" s="35"/>
      <c r="GE264" s="35"/>
      <c r="GF264" s="35"/>
      <c r="GG264" s="35"/>
      <c r="GH264" s="35"/>
      <c r="GI264" s="35"/>
      <c r="GJ264" s="35"/>
      <c r="GK264" s="35"/>
      <c r="GL264" s="35"/>
      <c r="GM264" s="35"/>
      <c r="GN264" s="35"/>
      <c r="GO264" s="35"/>
      <c r="GP264" s="35"/>
      <c r="GQ264" s="35"/>
      <c r="GR264" s="35"/>
      <c r="GS264" s="35"/>
      <c r="GT264" s="35"/>
      <c r="GU264" s="35"/>
      <c r="GV264" s="35"/>
      <c r="GW264" s="35"/>
      <c r="GX264" s="35"/>
      <c r="GY264" s="35"/>
      <c r="GZ264" s="35"/>
      <c r="HA264" s="35"/>
      <c r="HB264" s="35"/>
      <c r="HC264" s="35"/>
      <c r="HD264" s="35"/>
      <c r="HE264" s="35"/>
      <c r="HF264" s="35"/>
      <c r="HG264" s="35"/>
      <c r="HH264" s="35"/>
      <c r="HI264" s="35"/>
      <c r="HJ264" s="35"/>
      <c r="HK264" s="35"/>
      <c r="HL264" s="35"/>
      <c r="HM264" s="35"/>
      <c r="HN264" s="35"/>
      <c r="HO264" s="35"/>
      <c r="HP264" s="35"/>
      <c r="HQ264" s="35"/>
      <c r="HR264" s="35"/>
      <c r="HS264" s="35"/>
      <c r="HT264" s="35"/>
      <c r="HU264" s="35"/>
      <c r="HV264" s="35"/>
      <c r="HW264" s="35"/>
      <c r="HX264" s="35"/>
      <c r="HY264" s="35"/>
      <c r="HZ264" s="35"/>
      <c r="IA264" s="35"/>
      <c r="IB264" s="35"/>
      <c r="IC264" s="35"/>
      <c r="ID264" s="35"/>
      <c r="IE264" s="35"/>
      <c r="IF264" s="35"/>
      <c r="IG264" s="35"/>
      <c r="IH264" s="35"/>
      <c r="II264" s="35"/>
      <c r="IJ264" s="35"/>
      <c r="IK264" s="35"/>
      <c r="IL264" s="35"/>
      <c r="IM264" s="35"/>
      <c r="IN264" s="35"/>
      <c r="IO264" s="35"/>
      <c r="IP264" s="35"/>
      <c r="IQ264" s="35"/>
      <c r="IR264" s="35"/>
      <c r="IS264" s="35"/>
      <c r="IT264" s="35"/>
      <c r="IU264" s="35"/>
      <c r="IV264" s="35"/>
      <c r="IW264" s="35"/>
      <c r="IX264" s="35"/>
      <c r="IY264" s="35"/>
      <c r="IZ264" s="35"/>
      <c r="JA264" s="35"/>
      <c r="JB264" s="35"/>
      <c r="JC264" s="35"/>
      <c r="JD264" s="35"/>
      <c r="JE264" s="35"/>
    </row>
    <row r="265">
      <c r="A265" s="42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35"/>
      <c r="CO265" s="35"/>
      <c r="CP265" s="35"/>
      <c r="CQ265" s="35"/>
      <c r="CR265" s="35"/>
      <c r="CS265" s="35"/>
      <c r="CT265" s="35"/>
      <c r="CU265" s="35"/>
      <c r="CV265" s="35"/>
      <c r="CW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35"/>
      <c r="DL265" s="35"/>
      <c r="DM265" s="35"/>
      <c r="DN265" s="35"/>
      <c r="DO265" s="35"/>
      <c r="DP265" s="35"/>
      <c r="DQ265" s="35"/>
      <c r="DR265" s="35"/>
      <c r="DS265" s="35"/>
      <c r="DT265" s="35"/>
      <c r="DU265" s="35"/>
      <c r="DV265" s="35"/>
      <c r="DW265" s="35"/>
      <c r="DX265" s="35"/>
      <c r="DY265" s="35"/>
      <c r="DZ265" s="35"/>
      <c r="EA265" s="35"/>
      <c r="EB265" s="35"/>
      <c r="EC265" s="35"/>
      <c r="ED265" s="35"/>
      <c r="EE265" s="35"/>
      <c r="EF265" s="35"/>
      <c r="EG265" s="35"/>
      <c r="EH265" s="35"/>
      <c r="EI265" s="35"/>
      <c r="EJ265" s="35"/>
      <c r="EK265" s="35"/>
      <c r="EL265" s="35"/>
      <c r="EM265" s="35"/>
      <c r="EN265" s="35"/>
      <c r="EO265" s="35"/>
      <c r="EP265" s="35"/>
      <c r="EQ265" s="35"/>
      <c r="ER265" s="35"/>
      <c r="ES265" s="35"/>
      <c r="ET265" s="35"/>
      <c r="EU265" s="35"/>
      <c r="EV265" s="35"/>
      <c r="EW265" s="35"/>
      <c r="EX265" s="35"/>
      <c r="EY265" s="35"/>
      <c r="EZ265" s="35"/>
      <c r="FA265" s="35"/>
      <c r="FB265" s="35"/>
      <c r="FC265" s="35"/>
      <c r="FD265" s="35"/>
      <c r="FE265" s="35"/>
      <c r="FF265" s="35"/>
      <c r="FG265" s="35"/>
      <c r="FH265" s="35"/>
      <c r="FI265" s="35"/>
      <c r="FJ265" s="35"/>
      <c r="FK265" s="35"/>
      <c r="FL265" s="35"/>
      <c r="FM265" s="35"/>
      <c r="FN265" s="35"/>
      <c r="FO265" s="35"/>
      <c r="FP265" s="35"/>
      <c r="FQ265" s="35"/>
      <c r="FR265" s="35"/>
      <c r="FS265" s="35"/>
      <c r="FT265" s="35"/>
      <c r="FU265" s="35"/>
      <c r="FV265" s="35"/>
      <c r="FW265" s="35"/>
      <c r="FX265" s="35"/>
      <c r="FY265" s="35"/>
      <c r="FZ265" s="35"/>
      <c r="GA265" s="35"/>
      <c r="GB265" s="35"/>
      <c r="GC265" s="35"/>
      <c r="GD265" s="35"/>
      <c r="GE265" s="35"/>
      <c r="GF265" s="35"/>
      <c r="GG265" s="35"/>
      <c r="GH265" s="35"/>
      <c r="GI265" s="35"/>
      <c r="GJ265" s="35"/>
      <c r="GK265" s="35"/>
      <c r="GL265" s="35"/>
      <c r="GM265" s="35"/>
      <c r="GN265" s="35"/>
      <c r="GO265" s="35"/>
      <c r="GP265" s="35"/>
      <c r="GQ265" s="35"/>
      <c r="GR265" s="35"/>
      <c r="GS265" s="35"/>
      <c r="GT265" s="35"/>
      <c r="GU265" s="35"/>
      <c r="GV265" s="35"/>
      <c r="GW265" s="35"/>
      <c r="GX265" s="35"/>
      <c r="GY265" s="35"/>
      <c r="GZ265" s="35"/>
      <c r="HA265" s="35"/>
      <c r="HB265" s="35"/>
      <c r="HC265" s="35"/>
      <c r="HD265" s="35"/>
      <c r="HE265" s="35"/>
      <c r="HF265" s="35"/>
      <c r="HG265" s="35"/>
      <c r="HH265" s="35"/>
      <c r="HI265" s="35"/>
      <c r="HJ265" s="35"/>
      <c r="HK265" s="35"/>
      <c r="HL265" s="35"/>
      <c r="HM265" s="35"/>
      <c r="HN265" s="35"/>
      <c r="HO265" s="35"/>
      <c r="HP265" s="35"/>
      <c r="HQ265" s="35"/>
      <c r="HR265" s="35"/>
      <c r="HS265" s="35"/>
      <c r="HT265" s="35"/>
      <c r="HU265" s="35"/>
      <c r="HV265" s="35"/>
      <c r="HW265" s="35"/>
      <c r="HX265" s="35"/>
      <c r="HY265" s="35"/>
      <c r="HZ265" s="35"/>
      <c r="IA265" s="35"/>
      <c r="IB265" s="35"/>
      <c r="IC265" s="35"/>
      <c r="ID265" s="35"/>
      <c r="IE265" s="35"/>
      <c r="IF265" s="35"/>
      <c r="IG265" s="35"/>
      <c r="IH265" s="35"/>
      <c r="II265" s="35"/>
      <c r="IJ265" s="35"/>
      <c r="IK265" s="35"/>
      <c r="IL265" s="35"/>
      <c r="IM265" s="35"/>
      <c r="IN265" s="35"/>
      <c r="IO265" s="35"/>
      <c r="IP265" s="35"/>
      <c r="IQ265" s="35"/>
      <c r="IR265" s="35"/>
      <c r="IS265" s="35"/>
      <c r="IT265" s="35"/>
      <c r="IU265" s="35"/>
      <c r="IV265" s="35"/>
      <c r="IW265" s="35"/>
      <c r="IX265" s="35"/>
      <c r="IY265" s="35"/>
      <c r="IZ265" s="35"/>
      <c r="JA265" s="35"/>
      <c r="JB265" s="35"/>
      <c r="JC265" s="35"/>
      <c r="JD265" s="35"/>
      <c r="JE265" s="35"/>
    </row>
    <row r="266">
      <c r="A266" s="42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35"/>
      <c r="EE266" s="35"/>
      <c r="EF266" s="35"/>
      <c r="EG266" s="35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  <c r="ER266" s="35"/>
      <c r="ES266" s="35"/>
      <c r="ET266" s="35"/>
      <c r="EU266" s="35"/>
      <c r="EV266" s="35"/>
      <c r="EW266" s="35"/>
      <c r="EX266" s="35"/>
      <c r="EY266" s="35"/>
      <c r="EZ266" s="35"/>
      <c r="FA266" s="35"/>
      <c r="FB266" s="35"/>
      <c r="FC266" s="35"/>
      <c r="FD266" s="35"/>
      <c r="FE266" s="35"/>
      <c r="FF266" s="35"/>
      <c r="FG266" s="35"/>
      <c r="FH266" s="35"/>
      <c r="FI266" s="35"/>
      <c r="FJ266" s="35"/>
      <c r="FK266" s="35"/>
      <c r="FL266" s="35"/>
      <c r="FM266" s="35"/>
      <c r="FN266" s="35"/>
      <c r="FO266" s="35"/>
      <c r="FP266" s="35"/>
      <c r="FQ266" s="35"/>
      <c r="FR266" s="35"/>
      <c r="FS266" s="35"/>
      <c r="FT266" s="35"/>
      <c r="FU266" s="35"/>
      <c r="FV266" s="35"/>
      <c r="FW266" s="35"/>
      <c r="FX266" s="35"/>
      <c r="FY266" s="35"/>
      <c r="FZ266" s="35"/>
      <c r="GA266" s="35"/>
      <c r="GB266" s="35"/>
      <c r="GC266" s="35"/>
      <c r="GD266" s="35"/>
      <c r="GE266" s="35"/>
      <c r="GF266" s="35"/>
      <c r="GG266" s="35"/>
      <c r="GH266" s="35"/>
      <c r="GI266" s="35"/>
      <c r="GJ266" s="35"/>
      <c r="GK266" s="35"/>
      <c r="GL266" s="35"/>
      <c r="GM266" s="35"/>
      <c r="GN266" s="35"/>
      <c r="GO266" s="35"/>
      <c r="GP266" s="35"/>
      <c r="GQ266" s="35"/>
      <c r="GR266" s="35"/>
      <c r="GS266" s="35"/>
      <c r="GT266" s="35"/>
      <c r="GU266" s="35"/>
      <c r="GV266" s="35"/>
      <c r="GW266" s="35"/>
      <c r="GX266" s="35"/>
      <c r="GY266" s="35"/>
      <c r="GZ266" s="35"/>
      <c r="HA266" s="35"/>
      <c r="HB266" s="35"/>
      <c r="HC266" s="35"/>
      <c r="HD266" s="35"/>
      <c r="HE266" s="35"/>
      <c r="HF266" s="35"/>
      <c r="HG266" s="35"/>
      <c r="HH266" s="35"/>
      <c r="HI266" s="35"/>
      <c r="HJ266" s="35"/>
      <c r="HK266" s="35"/>
      <c r="HL266" s="35"/>
      <c r="HM266" s="35"/>
      <c r="HN266" s="35"/>
      <c r="HO266" s="35"/>
      <c r="HP266" s="35"/>
      <c r="HQ266" s="35"/>
      <c r="HR266" s="35"/>
      <c r="HS266" s="35"/>
      <c r="HT266" s="35"/>
      <c r="HU266" s="35"/>
      <c r="HV266" s="35"/>
      <c r="HW266" s="35"/>
      <c r="HX266" s="35"/>
      <c r="HY266" s="35"/>
      <c r="HZ266" s="35"/>
      <c r="IA266" s="35"/>
      <c r="IB266" s="35"/>
      <c r="IC266" s="35"/>
      <c r="ID266" s="35"/>
      <c r="IE266" s="35"/>
      <c r="IF266" s="35"/>
      <c r="IG266" s="35"/>
      <c r="IH266" s="35"/>
      <c r="II266" s="35"/>
      <c r="IJ266" s="35"/>
      <c r="IK266" s="35"/>
      <c r="IL266" s="35"/>
      <c r="IM266" s="35"/>
      <c r="IN266" s="35"/>
      <c r="IO266" s="35"/>
      <c r="IP266" s="35"/>
      <c r="IQ266" s="35"/>
      <c r="IR266" s="35"/>
      <c r="IS266" s="35"/>
      <c r="IT266" s="35"/>
      <c r="IU266" s="35"/>
      <c r="IV266" s="35"/>
      <c r="IW266" s="35"/>
      <c r="IX266" s="35"/>
      <c r="IY266" s="35"/>
      <c r="IZ266" s="35"/>
      <c r="JA266" s="35"/>
      <c r="JB266" s="35"/>
      <c r="JC266" s="35"/>
      <c r="JD266" s="35"/>
      <c r="JE266" s="35"/>
    </row>
    <row r="267">
      <c r="A267" s="42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35"/>
      <c r="CO267" s="35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35"/>
      <c r="DJ267" s="35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35"/>
      <c r="EE267" s="35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35"/>
      <c r="EZ267" s="35"/>
      <c r="FA267" s="35"/>
      <c r="FB267" s="35"/>
      <c r="FC267" s="35"/>
      <c r="FD267" s="35"/>
      <c r="FE267" s="35"/>
      <c r="FF267" s="35"/>
      <c r="FG267" s="35"/>
      <c r="FH267" s="35"/>
      <c r="FI267" s="35"/>
      <c r="FJ267" s="35"/>
      <c r="FK267" s="35"/>
      <c r="FL267" s="35"/>
      <c r="FM267" s="35"/>
      <c r="FN267" s="35"/>
      <c r="FO267" s="35"/>
      <c r="FP267" s="35"/>
      <c r="FQ267" s="35"/>
      <c r="FR267" s="35"/>
      <c r="FS267" s="35"/>
      <c r="FT267" s="35"/>
      <c r="FU267" s="35"/>
      <c r="FV267" s="35"/>
      <c r="FW267" s="35"/>
      <c r="FX267" s="35"/>
      <c r="FY267" s="35"/>
      <c r="FZ267" s="35"/>
      <c r="GA267" s="35"/>
      <c r="GB267" s="35"/>
      <c r="GC267" s="35"/>
      <c r="GD267" s="35"/>
      <c r="GE267" s="35"/>
      <c r="GF267" s="35"/>
      <c r="GG267" s="35"/>
      <c r="GH267" s="35"/>
      <c r="GI267" s="35"/>
      <c r="GJ267" s="35"/>
      <c r="GK267" s="35"/>
      <c r="GL267" s="35"/>
      <c r="GM267" s="35"/>
      <c r="GN267" s="35"/>
      <c r="GO267" s="35"/>
      <c r="GP267" s="35"/>
      <c r="GQ267" s="35"/>
      <c r="GR267" s="35"/>
      <c r="GS267" s="35"/>
      <c r="GT267" s="35"/>
      <c r="GU267" s="35"/>
      <c r="GV267" s="35"/>
      <c r="GW267" s="35"/>
      <c r="GX267" s="35"/>
      <c r="GY267" s="35"/>
      <c r="GZ267" s="35"/>
      <c r="HA267" s="35"/>
      <c r="HB267" s="35"/>
      <c r="HC267" s="35"/>
      <c r="HD267" s="35"/>
      <c r="HE267" s="35"/>
      <c r="HF267" s="35"/>
      <c r="HG267" s="35"/>
      <c r="HH267" s="35"/>
      <c r="HI267" s="35"/>
      <c r="HJ267" s="35"/>
      <c r="HK267" s="35"/>
      <c r="HL267" s="35"/>
      <c r="HM267" s="35"/>
      <c r="HN267" s="35"/>
      <c r="HO267" s="35"/>
      <c r="HP267" s="35"/>
      <c r="HQ267" s="35"/>
      <c r="HR267" s="35"/>
      <c r="HS267" s="35"/>
      <c r="HT267" s="35"/>
      <c r="HU267" s="35"/>
      <c r="HV267" s="35"/>
      <c r="HW267" s="35"/>
      <c r="HX267" s="35"/>
      <c r="HY267" s="35"/>
      <c r="HZ267" s="35"/>
      <c r="IA267" s="35"/>
      <c r="IB267" s="35"/>
      <c r="IC267" s="35"/>
      <c r="ID267" s="35"/>
      <c r="IE267" s="35"/>
      <c r="IF267" s="35"/>
      <c r="IG267" s="35"/>
      <c r="IH267" s="35"/>
      <c r="II267" s="35"/>
      <c r="IJ267" s="35"/>
      <c r="IK267" s="35"/>
      <c r="IL267" s="35"/>
      <c r="IM267" s="35"/>
      <c r="IN267" s="35"/>
      <c r="IO267" s="35"/>
      <c r="IP267" s="35"/>
      <c r="IQ267" s="35"/>
      <c r="IR267" s="35"/>
      <c r="IS267" s="35"/>
      <c r="IT267" s="35"/>
      <c r="IU267" s="35"/>
      <c r="IV267" s="35"/>
      <c r="IW267" s="35"/>
      <c r="IX267" s="35"/>
      <c r="IY267" s="35"/>
      <c r="IZ267" s="35"/>
      <c r="JA267" s="35"/>
      <c r="JB267" s="35"/>
      <c r="JC267" s="35"/>
      <c r="JD267" s="35"/>
      <c r="JE267" s="35"/>
    </row>
    <row r="268">
      <c r="A268" s="42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35"/>
      <c r="CO268" s="35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35"/>
      <c r="DJ268" s="35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35"/>
      <c r="EE268" s="35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35"/>
      <c r="EZ268" s="35"/>
      <c r="FA268" s="35"/>
      <c r="FB268" s="35"/>
      <c r="FC268" s="35"/>
      <c r="FD268" s="35"/>
      <c r="FE268" s="35"/>
      <c r="FF268" s="35"/>
      <c r="FG268" s="35"/>
      <c r="FH268" s="35"/>
      <c r="FI268" s="35"/>
      <c r="FJ268" s="35"/>
      <c r="FK268" s="35"/>
      <c r="FL268" s="35"/>
      <c r="FM268" s="35"/>
      <c r="FN268" s="35"/>
      <c r="FO268" s="35"/>
      <c r="FP268" s="35"/>
      <c r="FQ268" s="35"/>
      <c r="FR268" s="35"/>
      <c r="FS268" s="35"/>
      <c r="FT268" s="35"/>
      <c r="FU268" s="35"/>
      <c r="FV268" s="35"/>
      <c r="FW268" s="35"/>
      <c r="FX268" s="35"/>
      <c r="FY268" s="35"/>
      <c r="FZ268" s="35"/>
      <c r="GA268" s="35"/>
      <c r="GB268" s="35"/>
      <c r="GC268" s="35"/>
      <c r="GD268" s="35"/>
      <c r="GE268" s="35"/>
      <c r="GF268" s="35"/>
      <c r="GG268" s="35"/>
      <c r="GH268" s="35"/>
      <c r="GI268" s="35"/>
      <c r="GJ268" s="35"/>
      <c r="GK268" s="35"/>
      <c r="GL268" s="35"/>
      <c r="GM268" s="35"/>
      <c r="GN268" s="35"/>
      <c r="GO268" s="35"/>
      <c r="GP268" s="35"/>
      <c r="GQ268" s="35"/>
      <c r="GR268" s="35"/>
      <c r="GS268" s="35"/>
      <c r="GT268" s="35"/>
      <c r="GU268" s="35"/>
      <c r="GV268" s="35"/>
      <c r="GW268" s="35"/>
      <c r="GX268" s="35"/>
      <c r="GY268" s="35"/>
      <c r="GZ268" s="35"/>
      <c r="HA268" s="35"/>
      <c r="HB268" s="35"/>
      <c r="HC268" s="35"/>
      <c r="HD268" s="35"/>
      <c r="HE268" s="35"/>
      <c r="HF268" s="35"/>
      <c r="HG268" s="35"/>
      <c r="HH268" s="35"/>
      <c r="HI268" s="35"/>
      <c r="HJ268" s="35"/>
      <c r="HK268" s="35"/>
      <c r="HL268" s="35"/>
      <c r="HM268" s="35"/>
      <c r="HN268" s="35"/>
      <c r="HO268" s="35"/>
      <c r="HP268" s="35"/>
      <c r="HQ268" s="35"/>
      <c r="HR268" s="35"/>
      <c r="HS268" s="35"/>
      <c r="HT268" s="35"/>
      <c r="HU268" s="35"/>
      <c r="HV268" s="35"/>
      <c r="HW268" s="35"/>
      <c r="HX268" s="35"/>
      <c r="HY268" s="35"/>
      <c r="HZ268" s="35"/>
      <c r="IA268" s="35"/>
      <c r="IB268" s="35"/>
      <c r="IC268" s="35"/>
      <c r="ID268" s="35"/>
      <c r="IE268" s="35"/>
      <c r="IF268" s="35"/>
      <c r="IG268" s="35"/>
      <c r="IH268" s="35"/>
      <c r="II268" s="35"/>
      <c r="IJ268" s="35"/>
      <c r="IK268" s="35"/>
      <c r="IL268" s="35"/>
      <c r="IM268" s="35"/>
      <c r="IN268" s="35"/>
      <c r="IO268" s="35"/>
      <c r="IP268" s="35"/>
      <c r="IQ268" s="35"/>
      <c r="IR268" s="35"/>
      <c r="IS268" s="35"/>
      <c r="IT268" s="35"/>
      <c r="IU268" s="35"/>
      <c r="IV268" s="35"/>
      <c r="IW268" s="35"/>
      <c r="IX268" s="35"/>
      <c r="IY268" s="35"/>
      <c r="IZ268" s="35"/>
      <c r="JA268" s="35"/>
      <c r="JB268" s="35"/>
      <c r="JC268" s="35"/>
      <c r="JD268" s="35"/>
      <c r="JE268" s="35"/>
    </row>
    <row r="269">
      <c r="A269" s="42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35"/>
      <c r="CO269" s="35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35"/>
      <c r="DJ269" s="35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35"/>
      <c r="EE269" s="35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35"/>
      <c r="EZ269" s="35"/>
      <c r="FA269" s="35"/>
      <c r="FB269" s="35"/>
      <c r="FC269" s="35"/>
      <c r="FD269" s="35"/>
      <c r="FE269" s="35"/>
      <c r="FF269" s="35"/>
      <c r="FG269" s="35"/>
      <c r="FH269" s="35"/>
      <c r="FI269" s="35"/>
      <c r="FJ269" s="35"/>
      <c r="FK269" s="35"/>
      <c r="FL269" s="35"/>
      <c r="FM269" s="35"/>
      <c r="FN269" s="35"/>
      <c r="FO269" s="35"/>
      <c r="FP269" s="35"/>
      <c r="FQ269" s="35"/>
      <c r="FR269" s="35"/>
      <c r="FS269" s="35"/>
      <c r="FT269" s="35"/>
      <c r="FU269" s="35"/>
      <c r="FV269" s="35"/>
      <c r="FW269" s="35"/>
      <c r="FX269" s="35"/>
      <c r="FY269" s="35"/>
      <c r="FZ269" s="35"/>
      <c r="GA269" s="35"/>
      <c r="GB269" s="35"/>
      <c r="GC269" s="35"/>
      <c r="GD269" s="35"/>
      <c r="GE269" s="35"/>
      <c r="GF269" s="35"/>
      <c r="GG269" s="35"/>
      <c r="GH269" s="35"/>
      <c r="GI269" s="35"/>
      <c r="GJ269" s="35"/>
      <c r="GK269" s="35"/>
      <c r="GL269" s="35"/>
      <c r="GM269" s="35"/>
      <c r="GN269" s="35"/>
      <c r="GO269" s="35"/>
      <c r="GP269" s="35"/>
      <c r="GQ269" s="35"/>
      <c r="GR269" s="35"/>
      <c r="GS269" s="35"/>
      <c r="GT269" s="35"/>
      <c r="GU269" s="35"/>
      <c r="GV269" s="35"/>
      <c r="GW269" s="35"/>
      <c r="GX269" s="35"/>
      <c r="GY269" s="35"/>
      <c r="GZ269" s="35"/>
      <c r="HA269" s="35"/>
      <c r="HB269" s="35"/>
      <c r="HC269" s="35"/>
      <c r="HD269" s="35"/>
      <c r="HE269" s="35"/>
      <c r="HF269" s="35"/>
      <c r="HG269" s="35"/>
      <c r="HH269" s="35"/>
      <c r="HI269" s="35"/>
      <c r="HJ269" s="35"/>
      <c r="HK269" s="35"/>
      <c r="HL269" s="35"/>
      <c r="HM269" s="35"/>
      <c r="HN269" s="35"/>
      <c r="HO269" s="35"/>
      <c r="HP269" s="35"/>
      <c r="HQ269" s="35"/>
      <c r="HR269" s="35"/>
      <c r="HS269" s="35"/>
      <c r="HT269" s="35"/>
      <c r="HU269" s="35"/>
      <c r="HV269" s="35"/>
      <c r="HW269" s="35"/>
      <c r="HX269" s="35"/>
      <c r="HY269" s="35"/>
      <c r="HZ269" s="35"/>
      <c r="IA269" s="35"/>
      <c r="IB269" s="35"/>
      <c r="IC269" s="35"/>
      <c r="ID269" s="35"/>
      <c r="IE269" s="35"/>
      <c r="IF269" s="35"/>
      <c r="IG269" s="35"/>
      <c r="IH269" s="35"/>
      <c r="II269" s="35"/>
      <c r="IJ269" s="35"/>
      <c r="IK269" s="35"/>
      <c r="IL269" s="35"/>
      <c r="IM269" s="35"/>
      <c r="IN269" s="35"/>
      <c r="IO269" s="35"/>
      <c r="IP269" s="35"/>
      <c r="IQ269" s="35"/>
      <c r="IR269" s="35"/>
      <c r="IS269" s="35"/>
      <c r="IT269" s="35"/>
      <c r="IU269" s="35"/>
      <c r="IV269" s="35"/>
      <c r="IW269" s="35"/>
      <c r="IX269" s="35"/>
      <c r="IY269" s="35"/>
      <c r="IZ269" s="35"/>
      <c r="JA269" s="35"/>
      <c r="JB269" s="35"/>
      <c r="JC269" s="35"/>
      <c r="JD269" s="35"/>
      <c r="JE269" s="35"/>
    </row>
    <row r="270">
      <c r="A270" s="42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35"/>
      <c r="CO270" s="35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35"/>
      <c r="EE270" s="35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35"/>
      <c r="EZ270" s="35"/>
      <c r="FA270" s="35"/>
      <c r="FB270" s="35"/>
      <c r="FC270" s="35"/>
      <c r="FD270" s="35"/>
      <c r="FE270" s="35"/>
      <c r="FF270" s="35"/>
      <c r="FG270" s="35"/>
      <c r="FH270" s="35"/>
      <c r="FI270" s="35"/>
      <c r="FJ270" s="35"/>
      <c r="FK270" s="35"/>
      <c r="FL270" s="35"/>
      <c r="FM270" s="35"/>
      <c r="FN270" s="35"/>
      <c r="FO270" s="35"/>
      <c r="FP270" s="35"/>
      <c r="FQ270" s="35"/>
      <c r="FR270" s="35"/>
      <c r="FS270" s="35"/>
      <c r="FT270" s="35"/>
      <c r="FU270" s="35"/>
      <c r="FV270" s="35"/>
      <c r="FW270" s="35"/>
      <c r="FX270" s="35"/>
      <c r="FY270" s="35"/>
      <c r="FZ270" s="35"/>
      <c r="GA270" s="35"/>
      <c r="GB270" s="35"/>
      <c r="GC270" s="35"/>
      <c r="GD270" s="35"/>
      <c r="GE270" s="35"/>
      <c r="GF270" s="35"/>
      <c r="GG270" s="35"/>
      <c r="GH270" s="35"/>
      <c r="GI270" s="35"/>
      <c r="GJ270" s="35"/>
      <c r="GK270" s="35"/>
      <c r="GL270" s="35"/>
      <c r="GM270" s="35"/>
      <c r="GN270" s="35"/>
      <c r="GO270" s="35"/>
      <c r="GP270" s="35"/>
      <c r="GQ270" s="35"/>
      <c r="GR270" s="35"/>
      <c r="GS270" s="35"/>
      <c r="GT270" s="35"/>
      <c r="GU270" s="35"/>
      <c r="GV270" s="35"/>
      <c r="GW270" s="35"/>
      <c r="GX270" s="35"/>
      <c r="GY270" s="35"/>
      <c r="GZ270" s="35"/>
      <c r="HA270" s="35"/>
      <c r="HB270" s="35"/>
      <c r="HC270" s="35"/>
      <c r="HD270" s="35"/>
      <c r="HE270" s="35"/>
      <c r="HF270" s="35"/>
      <c r="HG270" s="35"/>
      <c r="HH270" s="35"/>
      <c r="HI270" s="35"/>
      <c r="HJ270" s="35"/>
      <c r="HK270" s="35"/>
      <c r="HL270" s="35"/>
      <c r="HM270" s="35"/>
      <c r="HN270" s="35"/>
      <c r="HO270" s="35"/>
      <c r="HP270" s="35"/>
      <c r="HQ270" s="35"/>
      <c r="HR270" s="35"/>
      <c r="HS270" s="35"/>
      <c r="HT270" s="35"/>
      <c r="HU270" s="35"/>
      <c r="HV270" s="35"/>
      <c r="HW270" s="35"/>
      <c r="HX270" s="35"/>
      <c r="HY270" s="35"/>
      <c r="HZ270" s="35"/>
      <c r="IA270" s="35"/>
      <c r="IB270" s="35"/>
      <c r="IC270" s="35"/>
      <c r="ID270" s="35"/>
      <c r="IE270" s="35"/>
      <c r="IF270" s="35"/>
      <c r="IG270" s="35"/>
      <c r="IH270" s="35"/>
      <c r="II270" s="35"/>
      <c r="IJ270" s="35"/>
      <c r="IK270" s="35"/>
      <c r="IL270" s="35"/>
      <c r="IM270" s="35"/>
      <c r="IN270" s="35"/>
      <c r="IO270" s="35"/>
      <c r="IP270" s="35"/>
      <c r="IQ270" s="35"/>
      <c r="IR270" s="35"/>
      <c r="IS270" s="35"/>
      <c r="IT270" s="35"/>
      <c r="IU270" s="35"/>
      <c r="IV270" s="35"/>
      <c r="IW270" s="35"/>
      <c r="IX270" s="35"/>
      <c r="IY270" s="35"/>
      <c r="IZ270" s="35"/>
      <c r="JA270" s="35"/>
      <c r="JB270" s="35"/>
      <c r="JC270" s="35"/>
      <c r="JD270" s="35"/>
      <c r="JE270" s="35"/>
    </row>
    <row r="271">
      <c r="A271" s="42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  <c r="BR271" s="35"/>
      <c r="BS271" s="35"/>
      <c r="BT271" s="35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35"/>
      <c r="CO271" s="35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35"/>
      <c r="DJ271" s="35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35"/>
      <c r="EE271" s="35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35"/>
      <c r="EZ271" s="35"/>
      <c r="FA271" s="35"/>
      <c r="FB271" s="35"/>
      <c r="FC271" s="35"/>
      <c r="FD271" s="35"/>
      <c r="FE271" s="35"/>
      <c r="FF271" s="35"/>
      <c r="FG271" s="35"/>
      <c r="FH271" s="35"/>
      <c r="FI271" s="35"/>
      <c r="FJ271" s="35"/>
      <c r="FK271" s="35"/>
      <c r="FL271" s="35"/>
      <c r="FM271" s="35"/>
      <c r="FN271" s="35"/>
      <c r="FO271" s="35"/>
      <c r="FP271" s="35"/>
      <c r="FQ271" s="35"/>
      <c r="FR271" s="35"/>
      <c r="FS271" s="35"/>
      <c r="FT271" s="35"/>
      <c r="FU271" s="35"/>
      <c r="FV271" s="35"/>
      <c r="FW271" s="35"/>
      <c r="FX271" s="35"/>
      <c r="FY271" s="35"/>
      <c r="FZ271" s="35"/>
      <c r="GA271" s="35"/>
      <c r="GB271" s="35"/>
      <c r="GC271" s="35"/>
      <c r="GD271" s="35"/>
      <c r="GE271" s="35"/>
      <c r="GF271" s="35"/>
      <c r="GG271" s="35"/>
      <c r="GH271" s="35"/>
      <c r="GI271" s="35"/>
      <c r="GJ271" s="35"/>
      <c r="GK271" s="35"/>
      <c r="GL271" s="35"/>
      <c r="GM271" s="35"/>
      <c r="GN271" s="35"/>
      <c r="GO271" s="35"/>
      <c r="GP271" s="35"/>
      <c r="GQ271" s="35"/>
      <c r="GR271" s="35"/>
      <c r="GS271" s="35"/>
      <c r="GT271" s="35"/>
      <c r="GU271" s="35"/>
      <c r="GV271" s="35"/>
      <c r="GW271" s="35"/>
      <c r="GX271" s="35"/>
      <c r="GY271" s="35"/>
      <c r="GZ271" s="35"/>
      <c r="HA271" s="35"/>
      <c r="HB271" s="35"/>
      <c r="HC271" s="35"/>
      <c r="HD271" s="35"/>
      <c r="HE271" s="35"/>
      <c r="HF271" s="35"/>
      <c r="HG271" s="35"/>
      <c r="HH271" s="35"/>
      <c r="HI271" s="35"/>
      <c r="HJ271" s="35"/>
      <c r="HK271" s="35"/>
      <c r="HL271" s="35"/>
      <c r="HM271" s="35"/>
      <c r="HN271" s="35"/>
      <c r="HO271" s="35"/>
      <c r="HP271" s="35"/>
      <c r="HQ271" s="35"/>
      <c r="HR271" s="35"/>
      <c r="HS271" s="35"/>
      <c r="HT271" s="35"/>
      <c r="HU271" s="35"/>
      <c r="HV271" s="35"/>
      <c r="HW271" s="35"/>
      <c r="HX271" s="35"/>
      <c r="HY271" s="35"/>
      <c r="HZ271" s="35"/>
      <c r="IA271" s="35"/>
      <c r="IB271" s="35"/>
      <c r="IC271" s="35"/>
      <c r="ID271" s="35"/>
      <c r="IE271" s="35"/>
      <c r="IF271" s="35"/>
      <c r="IG271" s="35"/>
      <c r="IH271" s="35"/>
      <c r="II271" s="35"/>
      <c r="IJ271" s="35"/>
      <c r="IK271" s="35"/>
      <c r="IL271" s="35"/>
      <c r="IM271" s="35"/>
      <c r="IN271" s="35"/>
      <c r="IO271" s="35"/>
      <c r="IP271" s="35"/>
      <c r="IQ271" s="35"/>
      <c r="IR271" s="35"/>
      <c r="IS271" s="35"/>
      <c r="IT271" s="35"/>
      <c r="IU271" s="35"/>
      <c r="IV271" s="35"/>
      <c r="IW271" s="35"/>
      <c r="IX271" s="35"/>
      <c r="IY271" s="35"/>
      <c r="IZ271" s="35"/>
      <c r="JA271" s="35"/>
      <c r="JB271" s="35"/>
      <c r="JC271" s="35"/>
      <c r="JD271" s="35"/>
      <c r="JE271" s="35"/>
    </row>
    <row r="272">
      <c r="A272" s="42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35"/>
      <c r="CO272" s="35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35"/>
      <c r="EE272" s="35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35"/>
      <c r="EZ272" s="35"/>
      <c r="FA272" s="35"/>
      <c r="FB272" s="35"/>
      <c r="FC272" s="35"/>
      <c r="FD272" s="35"/>
      <c r="FE272" s="35"/>
      <c r="FF272" s="35"/>
      <c r="FG272" s="35"/>
      <c r="FH272" s="35"/>
      <c r="FI272" s="35"/>
      <c r="FJ272" s="35"/>
      <c r="FK272" s="35"/>
      <c r="FL272" s="35"/>
      <c r="FM272" s="35"/>
      <c r="FN272" s="35"/>
      <c r="FO272" s="35"/>
      <c r="FP272" s="35"/>
      <c r="FQ272" s="35"/>
      <c r="FR272" s="35"/>
      <c r="FS272" s="35"/>
      <c r="FT272" s="35"/>
      <c r="FU272" s="35"/>
      <c r="FV272" s="35"/>
      <c r="FW272" s="35"/>
      <c r="FX272" s="35"/>
      <c r="FY272" s="35"/>
      <c r="FZ272" s="35"/>
      <c r="GA272" s="35"/>
      <c r="GB272" s="35"/>
      <c r="GC272" s="35"/>
      <c r="GD272" s="35"/>
      <c r="GE272" s="35"/>
      <c r="GF272" s="35"/>
      <c r="GG272" s="35"/>
      <c r="GH272" s="35"/>
      <c r="GI272" s="35"/>
      <c r="GJ272" s="35"/>
      <c r="GK272" s="35"/>
      <c r="GL272" s="35"/>
      <c r="GM272" s="35"/>
      <c r="GN272" s="35"/>
      <c r="GO272" s="35"/>
      <c r="GP272" s="35"/>
      <c r="GQ272" s="35"/>
      <c r="GR272" s="35"/>
      <c r="GS272" s="35"/>
      <c r="GT272" s="35"/>
      <c r="GU272" s="35"/>
      <c r="GV272" s="35"/>
      <c r="GW272" s="35"/>
      <c r="GX272" s="35"/>
      <c r="GY272" s="35"/>
      <c r="GZ272" s="35"/>
      <c r="HA272" s="35"/>
      <c r="HB272" s="35"/>
      <c r="HC272" s="35"/>
      <c r="HD272" s="35"/>
      <c r="HE272" s="35"/>
      <c r="HF272" s="35"/>
      <c r="HG272" s="35"/>
      <c r="HH272" s="35"/>
      <c r="HI272" s="35"/>
      <c r="HJ272" s="35"/>
      <c r="HK272" s="35"/>
      <c r="HL272" s="35"/>
      <c r="HM272" s="35"/>
      <c r="HN272" s="35"/>
      <c r="HO272" s="35"/>
      <c r="HP272" s="35"/>
      <c r="HQ272" s="35"/>
      <c r="HR272" s="35"/>
      <c r="HS272" s="35"/>
      <c r="HT272" s="35"/>
      <c r="HU272" s="35"/>
      <c r="HV272" s="35"/>
      <c r="HW272" s="35"/>
      <c r="HX272" s="35"/>
      <c r="HY272" s="35"/>
      <c r="HZ272" s="35"/>
      <c r="IA272" s="35"/>
      <c r="IB272" s="35"/>
      <c r="IC272" s="35"/>
      <c r="ID272" s="35"/>
      <c r="IE272" s="35"/>
      <c r="IF272" s="35"/>
      <c r="IG272" s="35"/>
      <c r="IH272" s="35"/>
      <c r="II272" s="35"/>
      <c r="IJ272" s="35"/>
      <c r="IK272" s="35"/>
      <c r="IL272" s="35"/>
      <c r="IM272" s="35"/>
      <c r="IN272" s="35"/>
      <c r="IO272" s="35"/>
      <c r="IP272" s="35"/>
      <c r="IQ272" s="35"/>
      <c r="IR272" s="35"/>
      <c r="IS272" s="35"/>
      <c r="IT272" s="35"/>
      <c r="IU272" s="35"/>
      <c r="IV272" s="35"/>
      <c r="IW272" s="35"/>
      <c r="IX272" s="35"/>
      <c r="IY272" s="35"/>
      <c r="IZ272" s="35"/>
      <c r="JA272" s="35"/>
      <c r="JB272" s="35"/>
      <c r="JC272" s="35"/>
      <c r="JD272" s="35"/>
      <c r="JE272" s="35"/>
    </row>
    <row r="273">
      <c r="A273" s="42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35"/>
      <c r="CO273" s="35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35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35"/>
      <c r="EE273" s="35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35"/>
      <c r="EZ273" s="35"/>
      <c r="FA273" s="35"/>
      <c r="FB273" s="35"/>
      <c r="FC273" s="35"/>
      <c r="FD273" s="35"/>
      <c r="FE273" s="35"/>
      <c r="FF273" s="35"/>
      <c r="FG273" s="35"/>
      <c r="FH273" s="35"/>
      <c r="FI273" s="35"/>
      <c r="FJ273" s="35"/>
      <c r="FK273" s="35"/>
      <c r="FL273" s="35"/>
      <c r="FM273" s="35"/>
      <c r="FN273" s="35"/>
      <c r="FO273" s="35"/>
      <c r="FP273" s="35"/>
      <c r="FQ273" s="35"/>
      <c r="FR273" s="35"/>
      <c r="FS273" s="35"/>
      <c r="FT273" s="35"/>
      <c r="FU273" s="35"/>
      <c r="FV273" s="35"/>
      <c r="FW273" s="35"/>
      <c r="FX273" s="35"/>
      <c r="FY273" s="35"/>
      <c r="FZ273" s="35"/>
      <c r="GA273" s="35"/>
      <c r="GB273" s="35"/>
      <c r="GC273" s="35"/>
      <c r="GD273" s="35"/>
      <c r="GE273" s="35"/>
      <c r="GF273" s="35"/>
      <c r="GG273" s="35"/>
      <c r="GH273" s="35"/>
      <c r="GI273" s="35"/>
      <c r="GJ273" s="35"/>
      <c r="GK273" s="35"/>
      <c r="GL273" s="35"/>
      <c r="GM273" s="35"/>
      <c r="GN273" s="35"/>
      <c r="GO273" s="35"/>
      <c r="GP273" s="35"/>
      <c r="GQ273" s="35"/>
      <c r="GR273" s="35"/>
      <c r="GS273" s="35"/>
      <c r="GT273" s="35"/>
      <c r="GU273" s="35"/>
      <c r="GV273" s="35"/>
      <c r="GW273" s="35"/>
      <c r="GX273" s="35"/>
      <c r="GY273" s="35"/>
      <c r="GZ273" s="35"/>
      <c r="HA273" s="35"/>
      <c r="HB273" s="35"/>
      <c r="HC273" s="35"/>
      <c r="HD273" s="35"/>
      <c r="HE273" s="35"/>
      <c r="HF273" s="35"/>
      <c r="HG273" s="35"/>
      <c r="HH273" s="35"/>
      <c r="HI273" s="35"/>
      <c r="HJ273" s="35"/>
      <c r="HK273" s="35"/>
      <c r="HL273" s="35"/>
      <c r="HM273" s="35"/>
      <c r="HN273" s="35"/>
      <c r="HO273" s="35"/>
      <c r="HP273" s="35"/>
      <c r="HQ273" s="35"/>
      <c r="HR273" s="35"/>
      <c r="HS273" s="35"/>
      <c r="HT273" s="35"/>
      <c r="HU273" s="35"/>
      <c r="HV273" s="35"/>
      <c r="HW273" s="35"/>
      <c r="HX273" s="35"/>
      <c r="HY273" s="35"/>
      <c r="HZ273" s="35"/>
      <c r="IA273" s="35"/>
      <c r="IB273" s="35"/>
      <c r="IC273" s="35"/>
      <c r="ID273" s="35"/>
      <c r="IE273" s="35"/>
      <c r="IF273" s="35"/>
      <c r="IG273" s="35"/>
      <c r="IH273" s="35"/>
      <c r="II273" s="35"/>
      <c r="IJ273" s="35"/>
      <c r="IK273" s="35"/>
      <c r="IL273" s="35"/>
      <c r="IM273" s="35"/>
      <c r="IN273" s="35"/>
      <c r="IO273" s="35"/>
      <c r="IP273" s="35"/>
      <c r="IQ273" s="35"/>
      <c r="IR273" s="35"/>
      <c r="IS273" s="35"/>
      <c r="IT273" s="35"/>
      <c r="IU273" s="35"/>
      <c r="IV273" s="35"/>
      <c r="IW273" s="35"/>
      <c r="IX273" s="35"/>
      <c r="IY273" s="35"/>
      <c r="IZ273" s="35"/>
      <c r="JA273" s="35"/>
      <c r="JB273" s="35"/>
      <c r="JC273" s="35"/>
      <c r="JD273" s="35"/>
      <c r="JE273" s="35"/>
    </row>
    <row r="274">
      <c r="A274" s="42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35"/>
      <c r="CO274" s="35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35"/>
      <c r="DJ274" s="35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35"/>
      <c r="EE274" s="35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35"/>
      <c r="EZ274" s="35"/>
      <c r="FA274" s="35"/>
      <c r="FB274" s="35"/>
      <c r="FC274" s="35"/>
      <c r="FD274" s="35"/>
      <c r="FE274" s="35"/>
      <c r="FF274" s="35"/>
      <c r="FG274" s="35"/>
      <c r="FH274" s="35"/>
      <c r="FI274" s="35"/>
      <c r="FJ274" s="35"/>
      <c r="FK274" s="35"/>
      <c r="FL274" s="35"/>
      <c r="FM274" s="35"/>
      <c r="FN274" s="35"/>
      <c r="FO274" s="35"/>
      <c r="FP274" s="35"/>
      <c r="FQ274" s="35"/>
      <c r="FR274" s="35"/>
      <c r="FS274" s="35"/>
      <c r="FT274" s="35"/>
      <c r="FU274" s="35"/>
      <c r="FV274" s="35"/>
      <c r="FW274" s="35"/>
      <c r="FX274" s="35"/>
      <c r="FY274" s="35"/>
      <c r="FZ274" s="35"/>
      <c r="GA274" s="35"/>
      <c r="GB274" s="35"/>
      <c r="GC274" s="35"/>
      <c r="GD274" s="35"/>
      <c r="GE274" s="35"/>
      <c r="GF274" s="35"/>
      <c r="GG274" s="35"/>
      <c r="GH274" s="35"/>
      <c r="GI274" s="35"/>
      <c r="GJ274" s="35"/>
      <c r="GK274" s="35"/>
      <c r="GL274" s="35"/>
      <c r="GM274" s="35"/>
      <c r="GN274" s="35"/>
      <c r="GO274" s="35"/>
      <c r="GP274" s="35"/>
      <c r="GQ274" s="35"/>
      <c r="GR274" s="35"/>
      <c r="GS274" s="35"/>
      <c r="GT274" s="35"/>
      <c r="GU274" s="35"/>
      <c r="GV274" s="35"/>
      <c r="GW274" s="35"/>
      <c r="GX274" s="35"/>
      <c r="GY274" s="35"/>
      <c r="GZ274" s="35"/>
      <c r="HA274" s="35"/>
      <c r="HB274" s="35"/>
      <c r="HC274" s="35"/>
      <c r="HD274" s="35"/>
      <c r="HE274" s="35"/>
      <c r="HF274" s="35"/>
      <c r="HG274" s="35"/>
      <c r="HH274" s="35"/>
      <c r="HI274" s="35"/>
      <c r="HJ274" s="35"/>
      <c r="HK274" s="35"/>
      <c r="HL274" s="35"/>
      <c r="HM274" s="35"/>
      <c r="HN274" s="35"/>
      <c r="HO274" s="35"/>
      <c r="HP274" s="35"/>
      <c r="HQ274" s="35"/>
      <c r="HR274" s="35"/>
      <c r="HS274" s="35"/>
      <c r="HT274" s="35"/>
      <c r="HU274" s="35"/>
      <c r="HV274" s="35"/>
      <c r="HW274" s="35"/>
      <c r="HX274" s="35"/>
      <c r="HY274" s="35"/>
      <c r="HZ274" s="35"/>
      <c r="IA274" s="35"/>
      <c r="IB274" s="35"/>
      <c r="IC274" s="35"/>
      <c r="ID274" s="35"/>
      <c r="IE274" s="35"/>
      <c r="IF274" s="35"/>
      <c r="IG274" s="35"/>
      <c r="IH274" s="35"/>
      <c r="II274" s="35"/>
      <c r="IJ274" s="35"/>
      <c r="IK274" s="35"/>
      <c r="IL274" s="35"/>
      <c r="IM274" s="35"/>
      <c r="IN274" s="35"/>
      <c r="IO274" s="35"/>
      <c r="IP274" s="35"/>
      <c r="IQ274" s="35"/>
      <c r="IR274" s="35"/>
      <c r="IS274" s="35"/>
      <c r="IT274" s="35"/>
      <c r="IU274" s="35"/>
      <c r="IV274" s="35"/>
      <c r="IW274" s="35"/>
      <c r="IX274" s="35"/>
      <c r="IY274" s="35"/>
      <c r="IZ274" s="35"/>
      <c r="JA274" s="35"/>
      <c r="JB274" s="35"/>
      <c r="JC274" s="35"/>
      <c r="JD274" s="35"/>
      <c r="JE274" s="35"/>
    </row>
    <row r="275">
      <c r="A275" s="42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35"/>
      <c r="CO275" s="35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35"/>
      <c r="DJ275" s="35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35"/>
      <c r="EE275" s="35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35"/>
      <c r="EZ275" s="35"/>
      <c r="FA275" s="35"/>
      <c r="FB275" s="35"/>
      <c r="FC275" s="35"/>
      <c r="FD275" s="35"/>
      <c r="FE275" s="35"/>
      <c r="FF275" s="35"/>
      <c r="FG275" s="35"/>
      <c r="FH275" s="35"/>
      <c r="FI275" s="35"/>
      <c r="FJ275" s="35"/>
      <c r="FK275" s="35"/>
      <c r="FL275" s="35"/>
      <c r="FM275" s="35"/>
      <c r="FN275" s="35"/>
      <c r="FO275" s="35"/>
      <c r="FP275" s="35"/>
      <c r="FQ275" s="35"/>
      <c r="FR275" s="35"/>
      <c r="FS275" s="35"/>
      <c r="FT275" s="35"/>
      <c r="FU275" s="35"/>
      <c r="FV275" s="35"/>
      <c r="FW275" s="35"/>
      <c r="FX275" s="35"/>
      <c r="FY275" s="35"/>
      <c r="FZ275" s="35"/>
      <c r="GA275" s="35"/>
      <c r="GB275" s="35"/>
      <c r="GC275" s="35"/>
      <c r="GD275" s="35"/>
      <c r="GE275" s="35"/>
      <c r="GF275" s="35"/>
      <c r="GG275" s="35"/>
      <c r="GH275" s="35"/>
      <c r="GI275" s="35"/>
      <c r="GJ275" s="35"/>
      <c r="GK275" s="35"/>
      <c r="GL275" s="35"/>
      <c r="GM275" s="35"/>
      <c r="GN275" s="35"/>
      <c r="GO275" s="35"/>
      <c r="GP275" s="35"/>
      <c r="GQ275" s="35"/>
      <c r="GR275" s="35"/>
      <c r="GS275" s="35"/>
      <c r="GT275" s="35"/>
      <c r="GU275" s="35"/>
      <c r="GV275" s="35"/>
      <c r="GW275" s="35"/>
      <c r="GX275" s="35"/>
      <c r="GY275" s="35"/>
      <c r="GZ275" s="35"/>
      <c r="HA275" s="35"/>
      <c r="HB275" s="35"/>
      <c r="HC275" s="35"/>
      <c r="HD275" s="35"/>
      <c r="HE275" s="35"/>
      <c r="HF275" s="35"/>
      <c r="HG275" s="35"/>
      <c r="HH275" s="35"/>
      <c r="HI275" s="35"/>
      <c r="HJ275" s="35"/>
      <c r="HK275" s="35"/>
      <c r="HL275" s="35"/>
      <c r="HM275" s="35"/>
      <c r="HN275" s="35"/>
      <c r="HO275" s="35"/>
      <c r="HP275" s="35"/>
      <c r="HQ275" s="35"/>
      <c r="HR275" s="35"/>
      <c r="HS275" s="35"/>
      <c r="HT275" s="35"/>
      <c r="HU275" s="35"/>
      <c r="HV275" s="35"/>
      <c r="HW275" s="35"/>
      <c r="HX275" s="35"/>
      <c r="HY275" s="35"/>
      <c r="HZ275" s="35"/>
      <c r="IA275" s="35"/>
      <c r="IB275" s="35"/>
      <c r="IC275" s="35"/>
      <c r="ID275" s="35"/>
      <c r="IE275" s="35"/>
      <c r="IF275" s="35"/>
      <c r="IG275" s="35"/>
      <c r="IH275" s="35"/>
      <c r="II275" s="35"/>
      <c r="IJ275" s="35"/>
      <c r="IK275" s="35"/>
      <c r="IL275" s="35"/>
      <c r="IM275" s="35"/>
      <c r="IN275" s="35"/>
      <c r="IO275" s="35"/>
      <c r="IP275" s="35"/>
      <c r="IQ275" s="35"/>
      <c r="IR275" s="35"/>
      <c r="IS275" s="35"/>
      <c r="IT275" s="35"/>
      <c r="IU275" s="35"/>
      <c r="IV275" s="35"/>
      <c r="IW275" s="35"/>
      <c r="IX275" s="35"/>
      <c r="IY275" s="35"/>
      <c r="IZ275" s="35"/>
      <c r="JA275" s="35"/>
      <c r="JB275" s="35"/>
      <c r="JC275" s="35"/>
      <c r="JD275" s="35"/>
      <c r="JE275" s="35"/>
    </row>
    <row r="276">
      <c r="A276" s="42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35"/>
      <c r="CO276" s="35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35"/>
      <c r="DJ276" s="35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35"/>
      <c r="EE276" s="35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35"/>
      <c r="EZ276" s="35"/>
      <c r="FA276" s="35"/>
      <c r="FB276" s="35"/>
      <c r="FC276" s="35"/>
      <c r="FD276" s="35"/>
      <c r="FE276" s="35"/>
      <c r="FF276" s="35"/>
      <c r="FG276" s="35"/>
      <c r="FH276" s="35"/>
      <c r="FI276" s="35"/>
      <c r="FJ276" s="35"/>
      <c r="FK276" s="35"/>
      <c r="FL276" s="35"/>
      <c r="FM276" s="35"/>
      <c r="FN276" s="35"/>
      <c r="FO276" s="35"/>
      <c r="FP276" s="35"/>
      <c r="FQ276" s="35"/>
      <c r="FR276" s="35"/>
      <c r="FS276" s="35"/>
      <c r="FT276" s="35"/>
      <c r="FU276" s="35"/>
      <c r="FV276" s="35"/>
      <c r="FW276" s="35"/>
      <c r="FX276" s="35"/>
      <c r="FY276" s="35"/>
      <c r="FZ276" s="35"/>
      <c r="GA276" s="35"/>
      <c r="GB276" s="35"/>
      <c r="GC276" s="35"/>
      <c r="GD276" s="35"/>
      <c r="GE276" s="35"/>
      <c r="GF276" s="35"/>
      <c r="GG276" s="35"/>
      <c r="GH276" s="35"/>
      <c r="GI276" s="35"/>
      <c r="GJ276" s="35"/>
      <c r="GK276" s="35"/>
      <c r="GL276" s="35"/>
      <c r="GM276" s="35"/>
      <c r="GN276" s="35"/>
      <c r="GO276" s="35"/>
      <c r="GP276" s="35"/>
      <c r="GQ276" s="35"/>
      <c r="GR276" s="35"/>
      <c r="GS276" s="35"/>
      <c r="GT276" s="35"/>
      <c r="GU276" s="35"/>
      <c r="GV276" s="35"/>
      <c r="GW276" s="35"/>
      <c r="GX276" s="35"/>
      <c r="GY276" s="35"/>
      <c r="GZ276" s="35"/>
      <c r="HA276" s="35"/>
      <c r="HB276" s="35"/>
      <c r="HC276" s="35"/>
      <c r="HD276" s="35"/>
      <c r="HE276" s="35"/>
      <c r="HF276" s="35"/>
      <c r="HG276" s="35"/>
      <c r="HH276" s="35"/>
      <c r="HI276" s="35"/>
      <c r="HJ276" s="35"/>
      <c r="HK276" s="35"/>
      <c r="HL276" s="35"/>
      <c r="HM276" s="35"/>
      <c r="HN276" s="35"/>
      <c r="HO276" s="35"/>
      <c r="HP276" s="35"/>
      <c r="HQ276" s="35"/>
      <c r="HR276" s="35"/>
      <c r="HS276" s="35"/>
      <c r="HT276" s="35"/>
      <c r="HU276" s="35"/>
      <c r="HV276" s="35"/>
      <c r="HW276" s="35"/>
      <c r="HX276" s="35"/>
      <c r="HY276" s="35"/>
      <c r="HZ276" s="35"/>
      <c r="IA276" s="35"/>
      <c r="IB276" s="35"/>
      <c r="IC276" s="35"/>
      <c r="ID276" s="35"/>
      <c r="IE276" s="35"/>
      <c r="IF276" s="35"/>
      <c r="IG276" s="35"/>
      <c r="IH276" s="35"/>
      <c r="II276" s="35"/>
      <c r="IJ276" s="35"/>
      <c r="IK276" s="35"/>
      <c r="IL276" s="35"/>
      <c r="IM276" s="35"/>
      <c r="IN276" s="35"/>
      <c r="IO276" s="35"/>
      <c r="IP276" s="35"/>
      <c r="IQ276" s="35"/>
      <c r="IR276" s="35"/>
      <c r="IS276" s="35"/>
      <c r="IT276" s="35"/>
      <c r="IU276" s="35"/>
      <c r="IV276" s="35"/>
      <c r="IW276" s="35"/>
      <c r="IX276" s="35"/>
      <c r="IY276" s="35"/>
      <c r="IZ276" s="35"/>
      <c r="JA276" s="35"/>
      <c r="JB276" s="35"/>
      <c r="JC276" s="35"/>
      <c r="JD276" s="35"/>
      <c r="JE276" s="35"/>
    </row>
    <row r="277">
      <c r="A277" s="42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35"/>
      <c r="CO277" s="35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35"/>
      <c r="DJ277" s="35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35"/>
      <c r="EE277" s="35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35"/>
      <c r="EZ277" s="35"/>
      <c r="FA277" s="35"/>
      <c r="FB277" s="35"/>
      <c r="FC277" s="35"/>
      <c r="FD277" s="35"/>
      <c r="FE277" s="35"/>
      <c r="FF277" s="35"/>
      <c r="FG277" s="35"/>
      <c r="FH277" s="35"/>
      <c r="FI277" s="35"/>
      <c r="FJ277" s="35"/>
      <c r="FK277" s="35"/>
      <c r="FL277" s="35"/>
      <c r="FM277" s="35"/>
      <c r="FN277" s="35"/>
      <c r="FO277" s="35"/>
      <c r="FP277" s="35"/>
      <c r="FQ277" s="35"/>
      <c r="FR277" s="35"/>
      <c r="FS277" s="35"/>
      <c r="FT277" s="35"/>
      <c r="FU277" s="35"/>
      <c r="FV277" s="35"/>
      <c r="FW277" s="35"/>
      <c r="FX277" s="35"/>
      <c r="FY277" s="35"/>
      <c r="FZ277" s="35"/>
      <c r="GA277" s="35"/>
      <c r="GB277" s="35"/>
      <c r="GC277" s="35"/>
      <c r="GD277" s="35"/>
      <c r="GE277" s="35"/>
      <c r="GF277" s="35"/>
      <c r="GG277" s="35"/>
      <c r="GH277" s="35"/>
      <c r="GI277" s="35"/>
      <c r="GJ277" s="35"/>
      <c r="GK277" s="35"/>
      <c r="GL277" s="35"/>
      <c r="GM277" s="35"/>
      <c r="GN277" s="35"/>
      <c r="GO277" s="35"/>
      <c r="GP277" s="35"/>
      <c r="GQ277" s="35"/>
      <c r="GR277" s="35"/>
      <c r="GS277" s="35"/>
      <c r="GT277" s="35"/>
      <c r="GU277" s="35"/>
      <c r="GV277" s="35"/>
      <c r="GW277" s="35"/>
      <c r="GX277" s="35"/>
      <c r="GY277" s="35"/>
      <c r="GZ277" s="35"/>
      <c r="HA277" s="35"/>
      <c r="HB277" s="35"/>
      <c r="HC277" s="35"/>
      <c r="HD277" s="35"/>
      <c r="HE277" s="35"/>
      <c r="HF277" s="35"/>
      <c r="HG277" s="35"/>
      <c r="HH277" s="35"/>
      <c r="HI277" s="35"/>
      <c r="HJ277" s="35"/>
      <c r="HK277" s="35"/>
      <c r="HL277" s="35"/>
      <c r="HM277" s="35"/>
      <c r="HN277" s="35"/>
      <c r="HO277" s="35"/>
      <c r="HP277" s="35"/>
      <c r="HQ277" s="35"/>
      <c r="HR277" s="35"/>
      <c r="HS277" s="35"/>
      <c r="HT277" s="35"/>
      <c r="HU277" s="35"/>
      <c r="HV277" s="35"/>
      <c r="HW277" s="35"/>
      <c r="HX277" s="35"/>
      <c r="HY277" s="35"/>
      <c r="HZ277" s="35"/>
      <c r="IA277" s="35"/>
      <c r="IB277" s="35"/>
      <c r="IC277" s="35"/>
      <c r="ID277" s="35"/>
      <c r="IE277" s="35"/>
      <c r="IF277" s="35"/>
      <c r="IG277" s="35"/>
      <c r="IH277" s="35"/>
      <c r="II277" s="35"/>
      <c r="IJ277" s="35"/>
      <c r="IK277" s="35"/>
      <c r="IL277" s="35"/>
      <c r="IM277" s="35"/>
      <c r="IN277" s="35"/>
      <c r="IO277" s="35"/>
      <c r="IP277" s="35"/>
      <c r="IQ277" s="35"/>
      <c r="IR277" s="35"/>
      <c r="IS277" s="35"/>
      <c r="IT277" s="35"/>
      <c r="IU277" s="35"/>
      <c r="IV277" s="35"/>
      <c r="IW277" s="35"/>
      <c r="IX277" s="35"/>
      <c r="IY277" s="35"/>
      <c r="IZ277" s="35"/>
      <c r="JA277" s="35"/>
      <c r="JB277" s="35"/>
      <c r="JC277" s="35"/>
      <c r="JD277" s="35"/>
      <c r="JE277" s="35"/>
    </row>
    <row r="278">
      <c r="A278" s="42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35"/>
      <c r="CO278" s="35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35"/>
      <c r="DJ278" s="35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35"/>
      <c r="EE278" s="35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35"/>
      <c r="EZ278" s="35"/>
      <c r="FA278" s="35"/>
      <c r="FB278" s="35"/>
      <c r="FC278" s="35"/>
      <c r="FD278" s="35"/>
      <c r="FE278" s="35"/>
      <c r="FF278" s="35"/>
      <c r="FG278" s="35"/>
      <c r="FH278" s="35"/>
      <c r="FI278" s="35"/>
      <c r="FJ278" s="35"/>
      <c r="FK278" s="35"/>
      <c r="FL278" s="35"/>
      <c r="FM278" s="35"/>
      <c r="FN278" s="35"/>
      <c r="FO278" s="35"/>
      <c r="FP278" s="35"/>
      <c r="FQ278" s="35"/>
      <c r="FR278" s="35"/>
      <c r="FS278" s="35"/>
      <c r="FT278" s="35"/>
      <c r="FU278" s="35"/>
      <c r="FV278" s="35"/>
      <c r="FW278" s="35"/>
      <c r="FX278" s="35"/>
      <c r="FY278" s="35"/>
      <c r="FZ278" s="35"/>
      <c r="GA278" s="35"/>
      <c r="GB278" s="35"/>
      <c r="GC278" s="35"/>
      <c r="GD278" s="35"/>
      <c r="GE278" s="35"/>
      <c r="GF278" s="35"/>
      <c r="GG278" s="35"/>
      <c r="GH278" s="35"/>
      <c r="GI278" s="35"/>
      <c r="GJ278" s="35"/>
      <c r="GK278" s="35"/>
      <c r="GL278" s="35"/>
      <c r="GM278" s="35"/>
      <c r="GN278" s="35"/>
      <c r="GO278" s="35"/>
      <c r="GP278" s="35"/>
      <c r="GQ278" s="35"/>
      <c r="GR278" s="35"/>
      <c r="GS278" s="35"/>
      <c r="GT278" s="35"/>
      <c r="GU278" s="35"/>
      <c r="GV278" s="35"/>
      <c r="GW278" s="35"/>
      <c r="GX278" s="35"/>
      <c r="GY278" s="35"/>
      <c r="GZ278" s="35"/>
      <c r="HA278" s="35"/>
      <c r="HB278" s="35"/>
      <c r="HC278" s="35"/>
      <c r="HD278" s="35"/>
      <c r="HE278" s="35"/>
      <c r="HF278" s="35"/>
      <c r="HG278" s="35"/>
      <c r="HH278" s="35"/>
      <c r="HI278" s="35"/>
      <c r="HJ278" s="35"/>
      <c r="HK278" s="35"/>
      <c r="HL278" s="35"/>
      <c r="HM278" s="35"/>
      <c r="HN278" s="35"/>
      <c r="HO278" s="35"/>
      <c r="HP278" s="35"/>
      <c r="HQ278" s="35"/>
      <c r="HR278" s="35"/>
      <c r="HS278" s="35"/>
      <c r="HT278" s="35"/>
      <c r="HU278" s="35"/>
      <c r="HV278" s="35"/>
      <c r="HW278" s="35"/>
      <c r="HX278" s="35"/>
      <c r="HY278" s="35"/>
      <c r="HZ278" s="35"/>
      <c r="IA278" s="35"/>
      <c r="IB278" s="35"/>
      <c r="IC278" s="35"/>
      <c r="ID278" s="35"/>
      <c r="IE278" s="35"/>
      <c r="IF278" s="35"/>
      <c r="IG278" s="35"/>
      <c r="IH278" s="35"/>
      <c r="II278" s="35"/>
      <c r="IJ278" s="35"/>
      <c r="IK278" s="35"/>
      <c r="IL278" s="35"/>
      <c r="IM278" s="35"/>
      <c r="IN278" s="35"/>
      <c r="IO278" s="35"/>
      <c r="IP278" s="35"/>
      <c r="IQ278" s="35"/>
      <c r="IR278" s="35"/>
      <c r="IS278" s="35"/>
      <c r="IT278" s="35"/>
      <c r="IU278" s="35"/>
      <c r="IV278" s="35"/>
      <c r="IW278" s="35"/>
      <c r="IX278" s="35"/>
      <c r="IY278" s="35"/>
      <c r="IZ278" s="35"/>
      <c r="JA278" s="35"/>
      <c r="JB278" s="35"/>
      <c r="JC278" s="35"/>
      <c r="JD278" s="35"/>
      <c r="JE278" s="35"/>
    </row>
    <row r="279">
      <c r="A279" s="42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35"/>
      <c r="CO279" s="35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35"/>
      <c r="DJ279" s="35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35"/>
      <c r="EE279" s="35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35"/>
      <c r="EZ279" s="35"/>
      <c r="FA279" s="35"/>
      <c r="FB279" s="35"/>
      <c r="FC279" s="35"/>
      <c r="FD279" s="35"/>
      <c r="FE279" s="35"/>
      <c r="FF279" s="35"/>
      <c r="FG279" s="35"/>
      <c r="FH279" s="35"/>
      <c r="FI279" s="35"/>
      <c r="FJ279" s="35"/>
      <c r="FK279" s="35"/>
      <c r="FL279" s="35"/>
      <c r="FM279" s="35"/>
      <c r="FN279" s="35"/>
      <c r="FO279" s="35"/>
      <c r="FP279" s="35"/>
      <c r="FQ279" s="35"/>
      <c r="FR279" s="35"/>
      <c r="FS279" s="35"/>
      <c r="FT279" s="35"/>
      <c r="FU279" s="35"/>
      <c r="FV279" s="35"/>
      <c r="FW279" s="35"/>
      <c r="FX279" s="35"/>
      <c r="FY279" s="35"/>
      <c r="FZ279" s="35"/>
      <c r="GA279" s="35"/>
      <c r="GB279" s="35"/>
      <c r="GC279" s="35"/>
      <c r="GD279" s="35"/>
      <c r="GE279" s="35"/>
      <c r="GF279" s="35"/>
      <c r="GG279" s="35"/>
      <c r="GH279" s="35"/>
      <c r="GI279" s="35"/>
      <c r="GJ279" s="35"/>
      <c r="GK279" s="35"/>
      <c r="GL279" s="35"/>
      <c r="GM279" s="35"/>
      <c r="GN279" s="35"/>
      <c r="GO279" s="35"/>
      <c r="GP279" s="35"/>
      <c r="GQ279" s="35"/>
      <c r="GR279" s="35"/>
      <c r="GS279" s="35"/>
      <c r="GT279" s="35"/>
      <c r="GU279" s="35"/>
      <c r="GV279" s="35"/>
      <c r="GW279" s="35"/>
      <c r="GX279" s="35"/>
      <c r="GY279" s="35"/>
      <c r="GZ279" s="35"/>
      <c r="HA279" s="35"/>
      <c r="HB279" s="35"/>
      <c r="HC279" s="35"/>
      <c r="HD279" s="35"/>
      <c r="HE279" s="35"/>
      <c r="HF279" s="35"/>
      <c r="HG279" s="35"/>
      <c r="HH279" s="35"/>
      <c r="HI279" s="35"/>
      <c r="HJ279" s="35"/>
      <c r="HK279" s="35"/>
      <c r="HL279" s="35"/>
      <c r="HM279" s="35"/>
      <c r="HN279" s="35"/>
      <c r="HO279" s="35"/>
      <c r="HP279" s="35"/>
      <c r="HQ279" s="35"/>
      <c r="HR279" s="35"/>
      <c r="HS279" s="35"/>
      <c r="HT279" s="35"/>
      <c r="HU279" s="35"/>
      <c r="HV279" s="35"/>
      <c r="HW279" s="35"/>
      <c r="HX279" s="35"/>
      <c r="HY279" s="35"/>
      <c r="HZ279" s="35"/>
      <c r="IA279" s="35"/>
      <c r="IB279" s="35"/>
      <c r="IC279" s="35"/>
      <c r="ID279" s="35"/>
      <c r="IE279" s="35"/>
      <c r="IF279" s="35"/>
      <c r="IG279" s="35"/>
      <c r="IH279" s="35"/>
      <c r="II279" s="35"/>
      <c r="IJ279" s="35"/>
      <c r="IK279" s="35"/>
      <c r="IL279" s="35"/>
      <c r="IM279" s="35"/>
      <c r="IN279" s="35"/>
      <c r="IO279" s="35"/>
      <c r="IP279" s="35"/>
      <c r="IQ279" s="35"/>
      <c r="IR279" s="35"/>
      <c r="IS279" s="35"/>
      <c r="IT279" s="35"/>
      <c r="IU279" s="35"/>
      <c r="IV279" s="35"/>
      <c r="IW279" s="35"/>
      <c r="IX279" s="35"/>
      <c r="IY279" s="35"/>
      <c r="IZ279" s="35"/>
      <c r="JA279" s="35"/>
      <c r="JB279" s="35"/>
      <c r="JC279" s="35"/>
      <c r="JD279" s="35"/>
      <c r="JE279" s="35"/>
    </row>
    <row r="280">
      <c r="A280" s="42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35"/>
      <c r="CO280" s="35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35"/>
      <c r="EE280" s="35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35"/>
      <c r="EZ280" s="35"/>
      <c r="FA280" s="35"/>
      <c r="FB280" s="35"/>
      <c r="FC280" s="35"/>
      <c r="FD280" s="35"/>
      <c r="FE280" s="35"/>
      <c r="FF280" s="35"/>
      <c r="FG280" s="35"/>
      <c r="FH280" s="35"/>
      <c r="FI280" s="35"/>
      <c r="FJ280" s="35"/>
      <c r="FK280" s="35"/>
      <c r="FL280" s="35"/>
      <c r="FM280" s="35"/>
      <c r="FN280" s="35"/>
      <c r="FO280" s="35"/>
      <c r="FP280" s="35"/>
      <c r="FQ280" s="35"/>
      <c r="FR280" s="35"/>
      <c r="FS280" s="35"/>
      <c r="FT280" s="35"/>
      <c r="FU280" s="35"/>
      <c r="FV280" s="35"/>
      <c r="FW280" s="35"/>
      <c r="FX280" s="35"/>
      <c r="FY280" s="35"/>
      <c r="FZ280" s="35"/>
      <c r="GA280" s="35"/>
      <c r="GB280" s="35"/>
      <c r="GC280" s="35"/>
      <c r="GD280" s="35"/>
      <c r="GE280" s="35"/>
      <c r="GF280" s="35"/>
      <c r="GG280" s="35"/>
      <c r="GH280" s="35"/>
      <c r="GI280" s="35"/>
      <c r="GJ280" s="35"/>
      <c r="GK280" s="35"/>
      <c r="GL280" s="35"/>
      <c r="GM280" s="35"/>
      <c r="GN280" s="35"/>
      <c r="GO280" s="35"/>
      <c r="GP280" s="35"/>
      <c r="GQ280" s="35"/>
      <c r="GR280" s="35"/>
      <c r="GS280" s="35"/>
      <c r="GT280" s="35"/>
      <c r="GU280" s="35"/>
      <c r="GV280" s="35"/>
      <c r="GW280" s="35"/>
      <c r="GX280" s="35"/>
      <c r="GY280" s="35"/>
      <c r="GZ280" s="35"/>
      <c r="HA280" s="35"/>
      <c r="HB280" s="35"/>
      <c r="HC280" s="35"/>
      <c r="HD280" s="35"/>
      <c r="HE280" s="35"/>
      <c r="HF280" s="35"/>
      <c r="HG280" s="35"/>
      <c r="HH280" s="35"/>
      <c r="HI280" s="35"/>
      <c r="HJ280" s="35"/>
      <c r="HK280" s="35"/>
      <c r="HL280" s="35"/>
      <c r="HM280" s="35"/>
      <c r="HN280" s="35"/>
      <c r="HO280" s="35"/>
      <c r="HP280" s="35"/>
      <c r="HQ280" s="35"/>
      <c r="HR280" s="35"/>
      <c r="HS280" s="35"/>
      <c r="HT280" s="35"/>
      <c r="HU280" s="35"/>
      <c r="HV280" s="35"/>
      <c r="HW280" s="35"/>
      <c r="HX280" s="35"/>
      <c r="HY280" s="35"/>
      <c r="HZ280" s="35"/>
      <c r="IA280" s="35"/>
      <c r="IB280" s="35"/>
      <c r="IC280" s="35"/>
      <c r="ID280" s="35"/>
      <c r="IE280" s="35"/>
      <c r="IF280" s="35"/>
      <c r="IG280" s="35"/>
      <c r="IH280" s="35"/>
      <c r="II280" s="35"/>
      <c r="IJ280" s="35"/>
      <c r="IK280" s="35"/>
      <c r="IL280" s="35"/>
      <c r="IM280" s="35"/>
      <c r="IN280" s="35"/>
      <c r="IO280" s="35"/>
      <c r="IP280" s="35"/>
      <c r="IQ280" s="35"/>
      <c r="IR280" s="35"/>
      <c r="IS280" s="35"/>
      <c r="IT280" s="35"/>
      <c r="IU280" s="35"/>
      <c r="IV280" s="35"/>
      <c r="IW280" s="35"/>
      <c r="IX280" s="35"/>
      <c r="IY280" s="35"/>
      <c r="IZ280" s="35"/>
      <c r="JA280" s="35"/>
      <c r="JB280" s="35"/>
      <c r="JC280" s="35"/>
      <c r="JD280" s="35"/>
      <c r="JE280" s="35"/>
    </row>
    <row r="281">
      <c r="A281" s="42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35"/>
      <c r="CO281" s="35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35"/>
      <c r="DJ281" s="35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35"/>
      <c r="EE281" s="35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35"/>
      <c r="EZ281" s="35"/>
      <c r="FA281" s="35"/>
      <c r="FB281" s="35"/>
      <c r="FC281" s="35"/>
      <c r="FD281" s="35"/>
      <c r="FE281" s="35"/>
      <c r="FF281" s="35"/>
      <c r="FG281" s="35"/>
      <c r="FH281" s="35"/>
      <c r="FI281" s="35"/>
      <c r="FJ281" s="35"/>
      <c r="FK281" s="35"/>
      <c r="FL281" s="35"/>
      <c r="FM281" s="35"/>
      <c r="FN281" s="35"/>
      <c r="FO281" s="35"/>
      <c r="FP281" s="35"/>
      <c r="FQ281" s="35"/>
      <c r="FR281" s="35"/>
      <c r="FS281" s="35"/>
      <c r="FT281" s="35"/>
      <c r="FU281" s="35"/>
      <c r="FV281" s="35"/>
      <c r="FW281" s="35"/>
      <c r="FX281" s="35"/>
      <c r="FY281" s="35"/>
      <c r="FZ281" s="35"/>
      <c r="GA281" s="35"/>
      <c r="GB281" s="35"/>
      <c r="GC281" s="35"/>
      <c r="GD281" s="35"/>
      <c r="GE281" s="35"/>
      <c r="GF281" s="35"/>
      <c r="GG281" s="35"/>
      <c r="GH281" s="35"/>
      <c r="GI281" s="35"/>
      <c r="GJ281" s="35"/>
      <c r="GK281" s="35"/>
      <c r="GL281" s="35"/>
      <c r="GM281" s="35"/>
      <c r="GN281" s="35"/>
      <c r="GO281" s="35"/>
      <c r="GP281" s="35"/>
      <c r="GQ281" s="35"/>
      <c r="GR281" s="35"/>
      <c r="GS281" s="35"/>
      <c r="GT281" s="35"/>
      <c r="GU281" s="35"/>
      <c r="GV281" s="35"/>
      <c r="GW281" s="35"/>
      <c r="GX281" s="35"/>
      <c r="GY281" s="35"/>
      <c r="GZ281" s="35"/>
      <c r="HA281" s="35"/>
      <c r="HB281" s="35"/>
      <c r="HC281" s="35"/>
      <c r="HD281" s="35"/>
      <c r="HE281" s="35"/>
      <c r="HF281" s="35"/>
      <c r="HG281" s="35"/>
      <c r="HH281" s="35"/>
      <c r="HI281" s="35"/>
      <c r="HJ281" s="35"/>
      <c r="HK281" s="35"/>
      <c r="HL281" s="35"/>
      <c r="HM281" s="35"/>
      <c r="HN281" s="35"/>
      <c r="HO281" s="35"/>
      <c r="HP281" s="35"/>
      <c r="HQ281" s="35"/>
      <c r="HR281" s="35"/>
      <c r="HS281" s="35"/>
      <c r="HT281" s="35"/>
      <c r="HU281" s="35"/>
      <c r="HV281" s="35"/>
      <c r="HW281" s="35"/>
      <c r="HX281" s="35"/>
      <c r="HY281" s="35"/>
      <c r="HZ281" s="35"/>
      <c r="IA281" s="35"/>
      <c r="IB281" s="35"/>
      <c r="IC281" s="35"/>
      <c r="ID281" s="35"/>
      <c r="IE281" s="35"/>
      <c r="IF281" s="35"/>
      <c r="IG281" s="35"/>
      <c r="IH281" s="35"/>
      <c r="II281" s="35"/>
      <c r="IJ281" s="35"/>
      <c r="IK281" s="35"/>
      <c r="IL281" s="35"/>
      <c r="IM281" s="35"/>
      <c r="IN281" s="35"/>
      <c r="IO281" s="35"/>
      <c r="IP281" s="35"/>
      <c r="IQ281" s="35"/>
      <c r="IR281" s="35"/>
      <c r="IS281" s="35"/>
      <c r="IT281" s="35"/>
      <c r="IU281" s="35"/>
      <c r="IV281" s="35"/>
      <c r="IW281" s="35"/>
      <c r="IX281" s="35"/>
      <c r="IY281" s="35"/>
      <c r="IZ281" s="35"/>
      <c r="JA281" s="35"/>
      <c r="JB281" s="35"/>
      <c r="JC281" s="35"/>
      <c r="JD281" s="35"/>
      <c r="JE281" s="35"/>
    </row>
    <row r="282">
      <c r="A282" s="42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35"/>
      <c r="CO282" s="35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35"/>
      <c r="DJ282" s="35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35"/>
      <c r="EE282" s="35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35"/>
      <c r="EZ282" s="35"/>
      <c r="FA282" s="35"/>
      <c r="FB282" s="35"/>
      <c r="FC282" s="35"/>
      <c r="FD282" s="35"/>
      <c r="FE282" s="35"/>
      <c r="FF282" s="35"/>
      <c r="FG282" s="35"/>
      <c r="FH282" s="35"/>
      <c r="FI282" s="35"/>
      <c r="FJ282" s="35"/>
      <c r="FK282" s="35"/>
      <c r="FL282" s="35"/>
      <c r="FM282" s="35"/>
      <c r="FN282" s="35"/>
      <c r="FO282" s="35"/>
      <c r="FP282" s="35"/>
      <c r="FQ282" s="35"/>
      <c r="FR282" s="35"/>
      <c r="FS282" s="35"/>
      <c r="FT282" s="35"/>
      <c r="FU282" s="35"/>
      <c r="FV282" s="35"/>
      <c r="FW282" s="35"/>
      <c r="FX282" s="35"/>
      <c r="FY282" s="35"/>
      <c r="FZ282" s="35"/>
      <c r="GA282" s="35"/>
      <c r="GB282" s="35"/>
      <c r="GC282" s="35"/>
      <c r="GD282" s="35"/>
      <c r="GE282" s="35"/>
      <c r="GF282" s="35"/>
      <c r="GG282" s="35"/>
      <c r="GH282" s="35"/>
      <c r="GI282" s="35"/>
      <c r="GJ282" s="35"/>
      <c r="GK282" s="35"/>
      <c r="GL282" s="35"/>
      <c r="GM282" s="35"/>
      <c r="GN282" s="35"/>
      <c r="GO282" s="35"/>
      <c r="GP282" s="35"/>
      <c r="GQ282" s="35"/>
      <c r="GR282" s="35"/>
      <c r="GS282" s="35"/>
      <c r="GT282" s="35"/>
      <c r="GU282" s="35"/>
      <c r="GV282" s="35"/>
      <c r="GW282" s="35"/>
      <c r="GX282" s="35"/>
      <c r="GY282" s="35"/>
      <c r="GZ282" s="35"/>
      <c r="HA282" s="35"/>
      <c r="HB282" s="35"/>
      <c r="HC282" s="35"/>
      <c r="HD282" s="35"/>
      <c r="HE282" s="35"/>
      <c r="HF282" s="35"/>
      <c r="HG282" s="35"/>
      <c r="HH282" s="35"/>
      <c r="HI282" s="35"/>
      <c r="HJ282" s="35"/>
      <c r="HK282" s="35"/>
      <c r="HL282" s="35"/>
      <c r="HM282" s="35"/>
      <c r="HN282" s="35"/>
      <c r="HO282" s="35"/>
      <c r="HP282" s="35"/>
      <c r="HQ282" s="35"/>
      <c r="HR282" s="35"/>
      <c r="HS282" s="35"/>
      <c r="HT282" s="35"/>
      <c r="HU282" s="35"/>
      <c r="HV282" s="35"/>
      <c r="HW282" s="35"/>
      <c r="HX282" s="35"/>
      <c r="HY282" s="35"/>
      <c r="HZ282" s="35"/>
      <c r="IA282" s="35"/>
      <c r="IB282" s="35"/>
      <c r="IC282" s="35"/>
      <c r="ID282" s="35"/>
      <c r="IE282" s="35"/>
      <c r="IF282" s="35"/>
      <c r="IG282" s="35"/>
      <c r="IH282" s="35"/>
      <c r="II282" s="35"/>
      <c r="IJ282" s="35"/>
      <c r="IK282" s="35"/>
      <c r="IL282" s="35"/>
      <c r="IM282" s="35"/>
      <c r="IN282" s="35"/>
      <c r="IO282" s="35"/>
      <c r="IP282" s="35"/>
      <c r="IQ282" s="35"/>
      <c r="IR282" s="35"/>
      <c r="IS282" s="35"/>
      <c r="IT282" s="35"/>
      <c r="IU282" s="35"/>
      <c r="IV282" s="35"/>
      <c r="IW282" s="35"/>
      <c r="IX282" s="35"/>
      <c r="IY282" s="35"/>
      <c r="IZ282" s="35"/>
      <c r="JA282" s="35"/>
      <c r="JB282" s="35"/>
      <c r="JC282" s="35"/>
      <c r="JD282" s="35"/>
      <c r="JE282" s="35"/>
    </row>
    <row r="283">
      <c r="A283" s="42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35"/>
      <c r="CO283" s="35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35"/>
      <c r="DJ283" s="35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35"/>
      <c r="EE283" s="35"/>
      <c r="EF283" s="35"/>
      <c r="EG283" s="35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35"/>
      <c r="EZ283" s="35"/>
      <c r="FA283" s="35"/>
      <c r="FB283" s="35"/>
      <c r="FC283" s="35"/>
      <c r="FD283" s="35"/>
      <c r="FE283" s="35"/>
      <c r="FF283" s="35"/>
      <c r="FG283" s="35"/>
      <c r="FH283" s="35"/>
      <c r="FI283" s="35"/>
      <c r="FJ283" s="35"/>
      <c r="FK283" s="35"/>
      <c r="FL283" s="35"/>
      <c r="FM283" s="35"/>
      <c r="FN283" s="35"/>
      <c r="FO283" s="35"/>
      <c r="FP283" s="35"/>
      <c r="FQ283" s="35"/>
      <c r="FR283" s="35"/>
      <c r="FS283" s="35"/>
      <c r="FT283" s="35"/>
      <c r="FU283" s="35"/>
      <c r="FV283" s="35"/>
      <c r="FW283" s="35"/>
      <c r="FX283" s="35"/>
      <c r="FY283" s="35"/>
      <c r="FZ283" s="35"/>
      <c r="GA283" s="35"/>
      <c r="GB283" s="35"/>
      <c r="GC283" s="35"/>
      <c r="GD283" s="35"/>
      <c r="GE283" s="35"/>
      <c r="GF283" s="35"/>
      <c r="GG283" s="35"/>
      <c r="GH283" s="35"/>
      <c r="GI283" s="35"/>
      <c r="GJ283" s="35"/>
      <c r="GK283" s="35"/>
      <c r="GL283" s="35"/>
      <c r="GM283" s="35"/>
      <c r="GN283" s="35"/>
      <c r="GO283" s="35"/>
      <c r="GP283" s="35"/>
      <c r="GQ283" s="35"/>
      <c r="GR283" s="35"/>
      <c r="GS283" s="35"/>
      <c r="GT283" s="35"/>
      <c r="GU283" s="35"/>
      <c r="GV283" s="35"/>
      <c r="GW283" s="35"/>
      <c r="GX283" s="35"/>
      <c r="GY283" s="35"/>
      <c r="GZ283" s="35"/>
      <c r="HA283" s="35"/>
      <c r="HB283" s="35"/>
      <c r="HC283" s="35"/>
      <c r="HD283" s="35"/>
      <c r="HE283" s="35"/>
      <c r="HF283" s="35"/>
      <c r="HG283" s="35"/>
      <c r="HH283" s="35"/>
      <c r="HI283" s="35"/>
      <c r="HJ283" s="35"/>
      <c r="HK283" s="35"/>
      <c r="HL283" s="35"/>
      <c r="HM283" s="35"/>
      <c r="HN283" s="35"/>
      <c r="HO283" s="35"/>
      <c r="HP283" s="35"/>
      <c r="HQ283" s="35"/>
      <c r="HR283" s="35"/>
      <c r="HS283" s="35"/>
      <c r="HT283" s="35"/>
      <c r="HU283" s="35"/>
      <c r="HV283" s="35"/>
      <c r="HW283" s="35"/>
      <c r="HX283" s="35"/>
      <c r="HY283" s="35"/>
      <c r="HZ283" s="35"/>
      <c r="IA283" s="35"/>
      <c r="IB283" s="35"/>
      <c r="IC283" s="35"/>
      <c r="ID283" s="35"/>
      <c r="IE283" s="35"/>
      <c r="IF283" s="35"/>
      <c r="IG283" s="35"/>
      <c r="IH283" s="35"/>
      <c r="II283" s="35"/>
      <c r="IJ283" s="35"/>
      <c r="IK283" s="35"/>
      <c r="IL283" s="35"/>
      <c r="IM283" s="35"/>
      <c r="IN283" s="35"/>
      <c r="IO283" s="35"/>
      <c r="IP283" s="35"/>
      <c r="IQ283" s="35"/>
      <c r="IR283" s="35"/>
      <c r="IS283" s="35"/>
      <c r="IT283" s="35"/>
      <c r="IU283" s="35"/>
      <c r="IV283" s="35"/>
      <c r="IW283" s="35"/>
      <c r="IX283" s="35"/>
      <c r="IY283" s="35"/>
      <c r="IZ283" s="35"/>
      <c r="JA283" s="35"/>
      <c r="JB283" s="35"/>
      <c r="JC283" s="35"/>
      <c r="JD283" s="35"/>
      <c r="JE283" s="35"/>
    </row>
    <row r="284">
      <c r="A284" s="42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35"/>
      <c r="CO284" s="35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35"/>
      <c r="DJ284" s="35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35"/>
      <c r="EE284" s="35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35"/>
      <c r="EZ284" s="35"/>
      <c r="FA284" s="35"/>
      <c r="FB284" s="35"/>
      <c r="FC284" s="35"/>
      <c r="FD284" s="35"/>
      <c r="FE284" s="35"/>
      <c r="FF284" s="35"/>
      <c r="FG284" s="35"/>
      <c r="FH284" s="35"/>
      <c r="FI284" s="35"/>
      <c r="FJ284" s="35"/>
      <c r="FK284" s="35"/>
      <c r="FL284" s="35"/>
      <c r="FM284" s="35"/>
      <c r="FN284" s="35"/>
      <c r="FO284" s="35"/>
      <c r="FP284" s="35"/>
      <c r="FQ284" s="35"/>
      <c r="FR284" s="35"/>
      <c r="FS284" s="35"/>
      <c r="FT284" s="35"/>
      <c r="FU284" s="35"/>
      <c r="FV284" s="35"/>
      <c r="FW284" s="35"/>
      <c r="FX284" s="35"/>
      <c r="FY284" s="35"/>
      <c r="FZ284" s="35"/>
      <c r="GA284" s="35"/>
      <c r="GB284" s="35"/>
      <c r="GC284" s="35"/>
      <c r="GD284" s="35"/>
      <c r="GE284" s="35"/>
      <c r="GF284" s="35"/>
      <c r="GG284" s="35"/>
      <c r="GH284" s="35"/>
      <c r="GI284" s="35"/>
      <c r="GJ284" s="35"/>
      <c r="GK284" s="35"/>
      <c r="GL284" s="35"/>
      <c r="GM284" s="35"/>
      <c r="GN284" s="35"/>
      <c r="GO284" s="35"/>
      <c r="GP284" s="35"/>
      <c r="GQ284" s="35"/>
      <c r="GR284" s="35"/>
      <c r="GS284" s="35"/>
      <c r="GT284" s="35"/>
      <c r="GU284" s="35"/>
      <c r="GV284" s="35"/>
      <c r="GW284" s="35"/>
      <c r="GX284" s="35"/>
      <c r="GY284" s="35"/>
      <c r="GZ284" s="35"/>
      <c r="HA284" s="35"/>
      <c r="HB284" s="35"/>
      <c r="HC284" s="35"/>
      <c r="HD284" s="35"/>
      <c r="HE284" s="35"/>
      <c r="HF284" s="35"/>
      <c r="HG284" s="35"/>
      <c r="HH284" s="35"/>
      <c r="HI284" s="35"/>
      <c r="HJ284" s="35"/>
      <c r="HK284" s="35"/>
      <c r="HL284" s="35"/>
      <c r="HM284" s="35"/>
      <c r="HN284" s="35"/>
      <c r="HO284" s="35"/>
      <c r="HP284" s="35"/>
      <c r="HQ284" s="35"/>
      <c r="HR284" s="35"/>
      <c r="HS284" s="35"/>
      <c r="HT284" s="35"/>
      <c r="HU284" s="35"/>
      <c r="HV284" s="35"/>
      <c r="HW284" s="35"/>
      <c r="HX284" s="35"/>
      <c r="HY284" s="35"/>
      <c r="HZ284" s="35"/>
      <c r="IA284" s="35"/>
      <c r="IB284" s="35"/>
      <c r="IC284" s="35"/>
      <c r="ID284" s="35"/>
      <c r="IE284" s="35"/>
      <c r="IF284" s="35"/>
      <c r="IG284" s="35"/>
      <c r="IH284" s="35"/>
      <c r="II284" s="35"/>
      <c r="IJ284" s="35"/>
      <c r="IK284" s="35"/>
      <c r="IL284" s="35"/>
      <c r="IM284" s="35"/>
      <c r="IN284" s="35"/>
      <c r="IO284" s="35"/>
      <c r="IP284" s="35"/>
      <c r="IQ284" s="35"/>
      <c r="IR284" s="35"/>
      <c r="IS284" s="35"/>
      <c r="IT284" s="35"/>
      <c r="IU284" s="35"/>
      <c r="IV284" s="35"/>
      <c r="IW284" s="35"/>
      <c r="IX284" s="35"/>
      <c r="IY284" s="35"/>
      <c r="IZ284" s="35"/>
      <c r="JA284" s="35"/>
      <c r="JB284" s="35"/>
      <c r="JC284" s="35"/>
      <c r="JD284" s="35"/>
      <c r="JE284" s="35"/>
    </row>
    <row r="285">
      <c r="A285" s="42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35"/>
      <c r="CO285" s="35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35"/>
      <c r="DJ285" s="35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35"/>
      <c r="EE285" s="35"/>
      <c r="EF285" s="35"/>
      <c r="EG285" s="35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35"/>
      <c r="EZ285" s="35"/>
      <c r="FA285" s="35"/>
      <c r="FB285" s="35"/>
      <c r="FC285" s="35"/>
      <c r="FD285" s="35"/>
      <c r="FE285" s="35"/>
      <c r="FF285" s="35"/>
      <c r="FG285" s="35"/>
      <c r="FH285" s="35"/>
      <c r="FI285" s="35"/>
      <c r="FJ285" s="35"/>
      <c r="FK285" s="35"/>
      <c r="FL285" s="35"/>
      <c r="FM285" s="35"/>
      <c r="FN285" s="35"/>
      <c r="FO285" s="35"/>
      <c r="FP285" s="35"/>
      <c r="FQ285" s="35"/>
      <c r="FR285" s="35"/>
      <c r="FS285" s="35"/>
      <c r="FT285" s="35"/>
      <c r="FU285" s="35"/>
      <c r="FV285" s="35"/>
      <c r="FW285" s="35"/>
      <c r="FX285" s="35"/>
      <c r="FY285" s="35"/>
      <c r="FZ285" s="35"/>
      <c r="GA285" s="35"/>
      <c r="GB285" s="35"/>
      <c r="GC285" s="35"/>
      <c r="GD285" s="35"/>
      <c r="GE285" s="35"/>
      <c r="GF285" s="35"/>
      <c r="GG285" s="35"/>
      <c r="GH285" s="35"/>
      <c r="GI285" s="35"/>
      <c r="GJ285" s="35"/>
      <c r="GK285" s="35"/>
      <c r="GL285" s="35"/>
      <c r="GM285" s="35"/>
      <c r="GN285" s="35"/>
      <c r="GO285" s="35"/>
      <c r="GP285" s="35"/>
      <c r="GQ285" s="35"/>
      <c r="GR285" s="35"/>
      <c r="GS285" s="35"/>
      <c r="GT285" s="35"/>
      <c r="GU285" s="35"/>
      <c r="GV285" s="35"/>
      <c r="GW285" s="35"/>
      <c r="GX285" s="35"/>
      <c r="GY285" s="35"/>
      <c r="GZ285" s="35"/>
      <c r="HA285" s="35"/>
      <c r="HB285" s="35"/>
      <c r="HC285" s="35"/>
      <c r="HD285" s="35"/>
      <c r="HE285" s="35"/>
      <c r="HF285" s="35"/>
      <c r="HG285" s="35"/>
      <c r="HH285" s="35"/>
      <c r="HI285" s="35"/>
      <c r="HJ285" s="35"/>
      <c r="HK285" s="35"/>
      <c r="HL285" s="35"/>
      <c r="HM285" s="35"/>
      <c r="HN285" s="35"/>
      <c r="HO285" s="35"/>
      <c r="HP285" s="35"/>
      <c r="HQ285" s="35"/>
      <c r="HR285" s="35"/>
      <c r="HS285" s="35"/>
      <c r="HT285" s="35"/>
      <c r="HU285" s="35"/>
      <c r="HV285" s="35"/>
      <c r="HW285" s="35"/>
      <c r="HX285" s="35"/>
      <c r="HY285" s="35"/>
      <c r="HZ285" s="35"/>
      <c r="IA285" s="35"/>
      <c r="IB285" s="35"/>
      <c r="IC285" s="35"/>
      <c r="ID285" s="35"/>
      <c r="IE285" s="35"/>
      <c r="IF285" s="35"/>
      <c r="IG285" s="35"/>
      <c r="IH285" s="35"/>
      <c r="II285" s="35"/>
      <c r="IJ285" s="35"/>
      <c r="IK285" s="35"/>
      <c r="IL285" s="35"/>
      <c r="IM285" s="35"/>
      <c r="IN285" s="35"/>
      <c r="IO285" s="35"/>
      <c r="IP285" s="35"/>
      <c r="IQ285" s="35"/>
      <c r="IR285" s="35"/>
      <c r="IS285" s="35"/>
      <c r="IT285" s="35"/>
      <c r="IU285" s="35"/>
      <c r="IV285" s="35"/>
      <c r="IW285" s="35"/>
      <c r="IX285" s="35"/>
      <c r="IY285" s="35"/>
      <c r="IZ285" s="35"/>
      <c r="JA285" s="35"/>
      <c r="JB285" s="35"/>
      <c r="JC285" s="35"/>
      <c r="JD285" s="35"/>
      <c r="JE285" s="35"/>
    </row>
    <row r="286">
      <c r="A286" s="42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35"/>
      <c r="CO286" s="35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35"/>
      <c r="EE286" s="35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35"/>
      <c r="EZ286" s="35"/>
      <c r="FA286" s="35"/>
      <c r="FB286" s="35"/>
      <c r="FC286" s="35"/>
      <c r="FD286" s="35"/>
      <c r="FE286" s="35"/>
      <c r="FF286" s="35"/>
      <c r="FG286" s="35"/>
      <c r="FH286" s="35"/>
      <c r="FI286" s="35"/>
      <c r="FJ286" s="35"/>
      <c r="FK286" s="35"/>
      <c r="FL286" s="35"/>
      <c r="FM286" s="35"/>
      <c r="FN286" s="35"/>
      <c r="FO286" s="35"/>
      <c r="FP286" s="35"/>
      <c r="FQ286" s="35"/>
      <c r="FR286" s="35"/>
      <c r="FS286" s="35"/>
      <c r="FT286" s="35"/>
      <c r="FU286" s="35"/>
      <c r="FV286" s="35"/>
      <c r="FW286" s="35"/>
      <c r="FX286" s="35"/>
      <c r="FY286" s="35"/>
      <c r="FZ286" s="35"/>
      <c r="GA286" s="35"/>
      <c r="GB286" s="35"/>
      <c r="GC286" s="35"/>
      <c r="GD286" s="35"/>
      <c r="GE286" s="35"/>
      <c r="GF286" s="35"/>
      <c r="GG286" s="35"/>
      <c r="GH286" s="35"/>
      <c r="GI286" s="35"/>
      <c r="GJ286" s="35"/>
      <c r="GK286" s="35"/>
      <c r="GL286" s="35"/>
      <c r="GM286" s="35"/>
      <c r="GN286" s="35"/>
      <c r="GO286" s="35"/>
      <c r="GP286" s="35"/>
      <c r="GQ286" s="35"/>
      <c r="GR286" s="35"/>
      <c r="GS286" s="35"/>
      <c r="GT286" s="35"/>
      <c r="GU286" s="35"/>
      <c r="GV286" s="35"/>
      <c r="GW286" s="35"/>
      <c r="GX286" s="35"/>
      <c r="GY286" s="35"/>
      <c r="GZ286" s="35"/>
      <c r="HA286" s="35"/>
      <c r="HB286" s="35"/>
      <c r="HC286" s="35"/>
      <c r="HD286" s="35"/>
      <c r="HE286" s="35"/>
      <c r="HF286" s="35"/>
      <c r="HG286" s="35"/>
      <c r="HH286" s="35"/>
      <c r="HI286" s="35"/>
      <c r="HJ286" s="35"/>
      <c r="HK286" s="35"/>
      <c r="HL286" s="35"/>
      <c r="HM286" s="35"/>
      <c r="HN286" s="35"/>
      <c r="HO286" s="35"/>
      <c r="HP286" s="35"/>
      <c r="HQ286" s="35"/>
      <c r="HR286" s="35"/>
      <c r="HS286" s="35"/>
      <c r="HT286" s="35"/>
      <c r="HU286" s="35"/>
      <c r="HV286" s="35"/>
      <c r="HW286" s="35"/>
      <c r="HX286" s="35"/>
      <c r="HY286" s="35"/>
      <c r="HZ286" s="35"/>
      <c r="IA286" s="35"/>
      <c r="IB286" s="35"/>
      <c r="IC286" s="35"/>
      <c r="ID286" s="35"/>
      <c r="IE286" s="35"/>
      <c r="IF286" s="35"/>
      <c r="IG286" s="35"/>
      <c r="IH286" s="35"/>
      <c r="II286" s="35"/>
      <c r="IJ286" s="35"/>
      <c r="IK286" s="35"/>
      <c r="IL286" s="35"/>
      <c r="IM286" s="35"/>
      <c r="IN286" s="35"/>
      <c r="IO286" s="35"/>
      <c r="IP286" s="35"/>
      <c r="IQ286" s="35"/>
      <c r="IR286" s="35"/>
      <c r="IS286" s="35"/>
      <c r="IT286" s="35"/>
      <c r="IU286" s="35"/>
      <c r="IV286" s="35"/>
      <c r="IW286" s="35"/>
      <c r="IX286" s="35"/>
      <c r="IY286" s="35"/>
      <c r="IZ286" s="35"/>
      <c r="JA286" s="35"/>
      <c r="JB286" s="35"/>
      <c r="JC286" s="35"/>
      <c r="JD286" s="35"/>
      <c r="JE286" s="35"/>
    </row>
    <row r="287">
      <c r="A287" s="42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35"/>
      <c r="CO287" s="35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35"/>
      <c r="DJ287" s="35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35"/>
      <c r="EE287" s="35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35"/>
      <c r="EZ287" s="35"/>
      <c r="FA287" s="35"/>
      <c r="FB287" s="35"/>
      <c r="FC287" s="35"/>
      <c r="FD287" s="35"/>
      <c r="FE287" s="35"/>
      <c r="FF287" s="35"/>
      <c r="FG287" s="35"/>
      <c r="FH287" s="35"/>
      <c r="FI287" s="35"/>
      <c r="FJ287" s="35"/>
      <c r="FK287" s="35"/>
      <c r="FL287" s="35"/>
      <c r="FM287" s="35"/>
      <c r="FN287" s="35"/>
      <c r="FO287" s="35"/>
      <c r="FP287" s="35"/>
      <c r="FQ287" s="35"/>
      <c r="FR287" s="35"/>
      <c r="FS287" s="35"/>
      <c r="FT287" s="35"/>
      <c r="FU287" s="35"/>
      <c r="FV287" s="35"/>
      <c r="FW287" s="35"/>
      <c r="FX287" s="35"/>
      <c r="FY287" s="35"/>
      <c r="FZ287" s="35"/>
      <c r="GA287" s="35"/>
      <c r="GB287" s="35"/>
      <c r="GC287" s="35"/>
      <c r="GD287" s="35"/>
      <c r="GE287" s="35"/>
      <c r="GF287" s="35"/>
      <c r="GG287" s="35"/>
      <c r="GH287" s="35"/>
      <c r="GI287" s="35"/>
      <c r="GJ287" s="35"/>
      <c r="GK287" s="35"/>
      <c r="GL287" s="35"/>
      <c r="GM287" s="35"/>
      <c r="GN287" s="35"/>
      <c r="GO287" s="35"/>
      <c r="GP287" s="35"/>
      <c r="GQ287" s="35"/>
      <c r="GR287" s="35"/>
      <c r="GS287" s="35"/>
      <c r="GT287" s="35"/>
      <c r="GU287" s="35"/>
      <c r="GV287" s="35"/>
      <c r="GW287" s="35"/>
      <c r="GX287" s="35"/>
      <c r="GY287" s="35"/>
      <c r="GZ287" s="35"/>
      <c r="HA287" s="35"/>
      <c r="HB287" s="35"/>
      <c r="HC287" s="35"/>
      <c r="HD287" s="35"/>
      <c r="HE287" s="35"/>
      <c r="HF287" s="35"/>
      <c r="HG287" s="35"/>
      <c r="HH287" s="35"/>
      <c r="HI287" s="35"/>
      <c r="HJ287" s="35"/>
      <c r="HK287" s="35"/>
      <c r="HL287" s="35"/>
      <c r="HM287" s="35"/>
      <c r="HN287" s="35"/>
      <c r="HO287" s="35"/>
      <c r="HP287" s="35"/>
      <c r="HQ287" s="35"/>
      <c r="HR287" s="35"/>
      <c r="HS287" s="35"/>
      <c r="HT287" s="35"/>
      <c r="HU287" s="35"/>
      <c r="HV287" s="35"/>
      <c r="HW287" s="35"/>
      <c r="HX287" s="35"/>
      <c r="HY287" s="35"/>
      <c r="HZ287" s="35"/>
      <c r="IA287" s="35"/>
      <c r="IB287" s="35"/>
      <c r="IC287" s="35"/>
      <c r="ID287" s="35"/>
      <c r="IE287" s="35"/>
      <c r="IF287" s="35"/>
      <c r="IG287" s="35"/>
      <c r="IH287" s="35"/>
      <c r="II287" s="35"/>
      <c r="IJ287" s="35"/>
      <c r="IK287" s="35"/>
      <c r="IL287" s="35"/>
      <c r="IM287" s="35"/>
      <c r="IN287" s="35"/>
      <c r="IO287" s="35"/>
      <c r="IP287" s="35"/>
      <c r="IQ287" s="35"/>
      <c r="IR287" s="35"/>
      <c r="IS287" s="35"/>
      <c r="IT287" s="35"/>
      <c r="IU287" s="35"/>
      <c r="IV287" s="35"/>
      <c r="IW287" s="35"/>
      <c r="IX287" s="35"/>
      <c r="IY287" s="35"/>
      <c r="IZ287" s="35"/>
      <c r="JA287" s="35"/>
      <c r="JB287" s="35"/>
      <c r="JC287" s="35"/>
      <c r="JD287" s="35"/>
      <c r="JE287" s="35"/>
    </row>
    <row r="288">
      <c r="A288" s="42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35"/>
      <c r="CO288" s="35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35"/>
      <c r="DJ288" s="35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35"/>
      <c r="EE288" s="35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35"/>
      <c r="EZ288" s="35"/>
      <c r="FA288" s="35"/>
      <c r="FB288" s="35"/>
      <c r="FC288" s="35"/>
      <c r="FD288" s="35"/>
      <c r="FE288" s="35"/>
      <c r="FF288" s="35"/>
      <c r="FG288" s="35"/>
      <c r="FH288" s="35"/>
      <c r="FI288" s="35"/>
      <c r="FJ288" s="35"/>
      <c r="FK288" s="35"/>
      <c r="FL288" s="35"/>
      <c r="FM288" s="35"/>
      <c r="FN288" s="35"/>
      <c r="FO288" s="35"/>
      <c r="FP288" s="35"/>
      <c r="FQ288" s="35"/>
      <c r="FR288" s="35"/>
      <c r="FS288" s="35"/>
      <c r="FT288" s="35"/>
      <c r="FU288" s="35"/>
      <c r="FV288" s="35"/>
      <c r="FW288" s="35"/>
      <c r="FX288" s="35"/>
      <c r="FY288" s="35"/>
      <c r="FZ288" s="35"/>
      <c r="GA288" s="35"/>
      <c r="GB288" s="35"/>
      <c r="GC288" s="35"/>
      <c r="GD288" s="35"/>
      <c r="GE288" s="35"/>
      <c r="GF288" s="35"/>
      <c r="GG288" s="35"/>
      <c r="GH288" s="35"/>
      <c r="GI288" s="35"/>
      <c r="GJ288" s="35"/>
      <c r="GK288" s="35"/>
      <c r="GL288" s="35"/>
      <c r="GM288" s="35"/>
      <c r="GN288" s="35"/>
      <c r="GO288" s="35"/>
      <c r="GP288" s="35"/>
      <c r="GQ288" s="35"/>
      <c r="GR288" s="35"/>
      <c r="GS288" s="35"/>
      <c r="GT288" s="35"/>
      <c r="GU288" s="35"/>
      <c r="GV288" s="35"/>
      <c r="GW288" s="35"/>
      <c r="GX288" s="35"/>
      <c r="GY288" s="35"/>
      <c r="GZ288" s="35"/>
      <c r="HA288" s="35"/>
      <c r="HB288" s="35"/>
      <c r="HC288" s="35"/>
      <c r="HD288" s="35"/>
      <c r="HE288" s="35"/>
      <c r="HF288" s="35"/>
      <c r="HG288" s="35"/>
      <c r="HH288" s="35"/>
      <c r="HI288" s="35"/>
      <c r="HJ288" s="35"/>
      <c r="HK288" s="35"/>
      <c r="HL288" s="35"/>
      <c r="HM288" s="35"/>
      <c r="HN288" s="35"/>
      <c r="HO288" s="35"/>
      <c r="HP288" s="35"/>
      <c r="HQ288" s="35"/>
      <c r="HR288" s="35"/>
      <c r="HS288" s="35"/>
      <c r="HT288" s="35"/>
      <c r="HU288" s="35"/>
      <c r="HV288" s="35"/>
      <c r="HW288" s="35"/>
      <c r="HX288" s="35"/>
      <c r="HY288" s="35"/>
      <c r="HZ288" s="35"/>
      <c r="IA288" s="35"/>
      <c r="IB288" s="35"/>
      <c r="IC288" s="35"/>
      <c r="ID288" s="35"/>
      <c r="IE288" s="35"/>
      <c r="IF288" s="35"/>
      <c r="IG288" s="35"/>
      <c r="IH288" s="35"/>
      <c r="II288" s="35"/>
      <c r="IJ288" s="35"/>
      <c r="IK288" s="35"/>
      <c r="IL288" s="35"/>
      <c r="IM288" s="35"/>
      <c r="IN288" s="35"/>
      <c r="IO288" s="35"/>
      <c r="IP288" s="35"/>
      <c r="IQ288" s="35"/>
      <c r="IR288" s="35"/>
      <c r="IS288" s="35"/>
      <c r="IT288" s="35"/>
      <c r="IU288" s="35"/>
      <c r="IV288" s="35"/>
      <c r="IW288" s="35"/>
      <c r="IX288" s="35"/>
      <c r="IY288" s="35"/>
      <c r="IZ288" s="35"/>
      <c r="JA288" s="35"/>
      <c r="JB288" s="35"/>
      <c r="JC288" s="35"/>
      <c r="JD288" s="35"/>
      <c r="JE288" s="35"/>
    </row>
    <row r="289">
      <c r="A289" s="42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35"/>
      <c r="CO289" s="35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35"/>
      <c r="DJ289" s="35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35"/>
      <c r="EE289" s="35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35"/>
      <c r="EZ289" s="35"/>
      <c r="FA289" s="35"/>
      <c r="FB289" s="35"/>
      <c r="FC289" s="35"/>
      <c r="FD289" s="35"/>
      <c r="FE289" s="35"/>
      <c r="FF289" s="35"/>
      <c r="FG289" s="35"/>
      <c r="FH289" s="35"/>
      <c r="FI289" s="35"/>
      <c r="FJ289" s="35"/>
      <c r="FK289" s="35"/>
      <c r="FL289" s="35"/>
      <c r="FM289" s="35"/>
      <c r="FN289" s="35"/>
      <c r="FO289" s="35"/>
      <c r="FP289" s="35"/>
      <c r="FQ289" s="35"/>
      <c r="FR289" s="35"/>
      <c r="FS289" s="35"/>
      <c r="FT289" s="35"/>
      <c r="FU289" s="35"/>
      <c r="FV289" s="35"/>
      <c r="FW289" s="35"/>
      <c r="FX289" s="35"/>
      <c r="FY289" s="35"/>
      <c r="FZ289" s="35"/>
      <c r="GA289" s="35"/>
      <c r="GB289" s="35"/>
      <c r="GC289" s="35"/>
      <c r="GD289" s="35"/>
      <c r="GE289" s="35"/>
      <c r="GF289" s="35"/>
      <c r="GG289" s="35"/>
      <c r="GH289" s="35"/>
      <c r="GI289" s="35"/>
      <c r="GJ289" s="35"/>
      <c r="GK289" s="35"/>
      <c r="GL289" s="35"/>
      <c r="GM289" s="35"/>
      <c r="GN289" s="35"/>
      <c r="GO289" s="35"/>
      <c r="GP289" s="35"/>
      <c r="GQ289" s="35"/>
      <c r="GR289" s="35"/>
      <c r="GS289" s="35"/>
      <c r="GT289" s="35"/>
      <c r="GU289" s="35"/>
      <c r="GV289" s="35"/>
      <c r="GW289" s="35"/>
      <c r="GX289" s="35"/>
      <c r="GY289" s="35"/>
      <c r="GZ289" s="35"/>
      <c r="HA289" s="35"/>
      <c r="HB289" s="35"/>
      <c r="HC289" s="35"/>
      <c r="HD289" s="35"/>
      <c r="HE289" s="35"/>
      <c r="HF289" s="35"/>
      <c r="HG289" s="35"/>
      <c r="HH289" s="35"/>
      <c r="HI289" s="35"/>
      <c r="HJ289" s="35"/>
      <c r="HK289" s="35"/>
      <c r="HL289" s="35"/>
      <c r="HM289" s="35"/>
      <c r="HN289" s="35"/>
      <c r="HO289" s="35"/>
      <c r="HP289" s="35"/>
      <c r="HQ289" s="35"/>
      <c r="HR289" s="35"/>
      <c r="HS289" s="35"/>
      <c r="HT289" s="35"/>
      <c r="HU289" s="35"/>
      <c r="HV289" s="35"/>
      <c r="HW289" s="35"/>
      <c r="HX289" s="35"/>
      <c r="HY289" s="35"/>
      <c r="HZ289" s="35"/>
      <c r="IA289" s="35"/>
      <c r="IB289" s="35"/>
      <c r="IC289" s="35"/>
      <c r="ID289" s="35"/>
      <c r="IE289" s="35"/>
      <c r="IF289" s="35"/>
      <c r="IG289" s="35"/>
      <c r="IH289" s="35"/>
      <c r="II289" s="35"/>
      <c r="IJ289" s="35"/>
      <c r="IK289" s="35"/>
      <c r="IL289" s="35"/>
      <c r="IM289" s="35"/>
      <c r="IN289" s="35"/>
      <c r="IO289" s="35"/>
      <c r="IP289" s="35"/>
      <c r="IQ289" s="35"/>
      <c r="IR289" s="35"/>
      <c r="IS289" s="35"/>
      <c r="IT289" s="35"/>
      <c r="IU289" s="35"/>
      <c r="IV289" s="35"/>
      <c r="IW289" s="35"/>
      <c r="IX289" s="35"/>
      <c r="IY289" s="35"/>
      <c r="IZ289" s="35"/>
      <c r="JA289" s="35"/>
      <c r="JB289" s="35"/>
      <c r="JC289" s="35"/>
      <c r="JD289" s="35"/>
      <c r="JE289" s="35"/>
    </row>
    <row r="290">
      <c r="A290" s="42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35"/>
      <c r="CO290" s="35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35"/>
      <c r="DJ290" s="35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35"/>
      <c r="EE290" s="35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35"/>
      <c r="EZ290" s="35"/>
      <c r="FA290" s="35"/>
      <c r="FB290" s="35"/>
      <c r="FC290" s="35"/>
      <c r="FD290" s="35"/>
      <c r="FE290" s="35"/>
      <c r="FF290" s="35"/>
      <c r="FG290" s="35"/>
      <c r="FH290" s="35"/>
      <c r="FI290" s="35"/>
      <c r="FJ290" s="35"/>
      <c r="FK290" s="35"/>
      <c r="FL290" s="35"/>
      <c r="FM290" s="35"/>
      <c r="FN290" s="35"/>
      <c r="FO290" s="35"/>
      <c r="FP290" s="35"/>
      <c r="FQ290" s="35"/>
      <c r="FR290" s="35"/>
      <c r="FS290" s="35"/>
      <c r="FT290" s="35"/>
      <c r="FU290" s="35"/>
      <c r="FV290" s="35"/>
      <c r="FW290" s="35"/>
      <c r="FX290" s="35"/>
      <c r="FY290" s="35"/>
      <c r="FZ290" s="35"/>
      <c r="GA290" s="35"/>
      <c r="GB290" s="35"/>
      <c r="GC290" s="35"/>
      <c r="GD290" s="35"/>
      <c r="GE290" s="35"/>
      <c r="GF290" s="35"/>
      <c r="GG290" s="35"/>
      <c r="GH290" s="35"/>
      <c r="GI290" s="35"/>
      <c r="GJ290" s="35"/>
      <c r="GK290" s="35"/>
      <c r="GL290" s="35"/>
      <c r="GM290" s="35"/>
      <c r="GN290" s="35"/>
      <c r="GO290" s="35"/>
      <c r="GP290" s="35"/>
      <c r="GQ290" s="35"/>
      <c r="GR290" s="35"/>
      <c r="GS290" s="35"/>
      <c r="GT290" s="35"/>
      <c r="GU290" s="35"/>
      <c r="GV290" s="35"/>
      <c r="GW290" s="35"/>
      <c r="GX290" s="35"/>
      <c r="GY290" s="35"/>
      <c r="GZ290" s="35"/>
      <c r="HA290" s="35"/>
      <c r="HB290" s="35"/>
      <c r="HC290" s="35"/>
      <c r="HD290" s="35"/>
      <c r="HE290" s="35"/>
      <c r="HF290" s="35"/>
      <c r="HG290" s="35"/>
      <c r="HH290" s="35"/>
      <c r="HI290" s="35"/>
      <c r="HJ290" s="35"/>
      <c r="HK290" s="35"/>
      <c r="HL290" s="35"/>
      <c r="HM290" s="35"/>
      <c r="HN290" s="35"/>
      <c r="HO290" s="35"/>
      <c r="HP290" s="35"/>
      <c r="HQ290" s="35"/>
      <c r="HR290" s="35"/>
      <c r="HS290" s="35"/>
      <c r="HT290" s="35"/>
      <c r="HU290" s="35"/>
      <c r="HV290" s="35"/>
      <c r="HW290" s="35"/>
      <c r="HX290" s="35"/>
      <c r="HY290" s="35"/>
      <c r="HZ290" s="35"/>
      <c r="IA290" s="35"/>
      <c r="IB290" s="35"/>
      <c r="IC290" s="35"/>
      <c r="ID290" s="35"/>
      <c r="IE290" s="35"/>
      <c r="IF290" s="35"/>
      <c r="IG290" s="35"/>
      <c r="IH290" s="35"/>
      <c r="II290" s="35"/>
      <c r="IJ290" s="35"/>
      <c r="IK290" s="35"/>
      <c r="IL290" s="35"/>
      <c r="IM290" s="35"/>
      <c r="IN290" s="35"/>
      <c r="IO290" s="35"/>
      <c r="IP290" s="35"/>
      <c r="IQ290" s="35"/>
      <c r="IR290" s="35"/>
      <c r="IS290" s="35"/>
      <c r="IT290" s="35"/>
      <c r="IU290" s="35"/>
      <c r="IV290" s="35"/>
      <c r="IW290" s="35"/>
      <c r="IX290" s="35"/>
      <c r="IY290" s="35"/>
      <c r="IZ290" s="35"/>
      <c r="JA290" s="35"/>
      <c r="JB290" s="35"/>
      <c r="JC290" s="35"/>
      <c r="JD290" s="35"/>
      <c r="JE290" s="35"/>
    </row>
    <row r="291">
      <c r="A291" s="42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35"/>
      <c r="CO291" s="35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35"/>
      <c r="DJ291" s="35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35"/>
      <c r="EE291" s="35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35"/>
      <c r="EZ291" s="35"/>
      <c r="FA291" s="35"/>
      <c r="FB291" s="35"/>
      <c r="FC291" s="35"/>
      <c r="FD291" s="35"/>
      <c r="FE291" s="35"/>
      <c r="FF291" s="35"/>
      <c r="FG291" s="35"/>
      <c r="FH291" s="35"/>
      <c r="FI291" s="35"/>
      <c r="FJ291" s="35"/>
      <c r="FK291" s="35"/>
      <c r="FL291" s="35"/>
      <c r="FM291" s="35"/>
      <c r="FN291" s="35"/>
      <c r="FO291" s="35"/>
      <c r="FP291" s="35"/>
      <c r="FQ291" s="35"/>
      <c r="FR291" s="35"/>
      <c r="FS291" s="35"/>
      <c r="FT291" s="35"/>
      <c r="FU291" s="35"/>
      <c r="FV291" s="35"/>
      <c r="FW291" s="35"/>
      <c r="FX291" s="35"/>
      <c r="FY291" s="35"/>
      <c r="FZ291" s="35"/>
      <c r="GA291" s="35"/>
      <c r="GB291" s="35"/>
      <c r="GC291" s="35"/>
      <c r="GD291" s="35"/>
      <c r="GE291" s="35"/>
      <c r="GF291" s="35"/>
      <c r="GG291" s="35"/>
      <c r="GH291" s="35"/>
      <c r="GI291" s="35"/>
      <c r="GJ291" s="35"/>
      <c r="GK291" s="35"/>
      <c r="GL291" s="35"/>
      <c r="GM291" s="35"/>
      <c r="GN291" s="35"/>
      <c r="GO291" s="35"/>
      <c r="GP291" s="35"/>
      <c r="GQ291" s="35"/>
      <c r="GR291" s="35"/>
      <c r="GS291" s="35"/>
      <c r="GT291" s="35"/>
      <c r="GU291" s="35"/>
      <c r="GV291" s="35"/>
      <c r="GW291" s="35"/>
      <c r="GX291" s="35"/>
      <c r="GY291" s="35"/>
      <c r="GZ291" s="35"/>
      <c r="HA291" s="35"/>
      <c r="HB291" s="35"/>
      <c r="HC291" s="35"/>
      <c r="HD291" s="35"/>
      <c r="HE291" s="35"/>
      <c r="HF291" s="35"/>
      <c r="HG291" s="35"/>
      <c r="HH291" s="35"/>
      <c r="HI291" s="35"/>
      <c r="HJ291" s="35"/>
      <c r="HK291" s="35"/>
      <c r="HL291" s="35"/>
      <c r="HM291" s="35"/>
      <c r="HN291" s="35"/>
      <c r="HO291" s="35"/>
      <c r="HP291" s="35"/>
      <c r="HQ291" s="35"/>
      <c r="HR291" s="35"/>
      <c r="HS291" s="35"/>
      <c r="HT291" s="35"/>
      <c r="HU291" s="35"/>
      <c r="HV291" s="35"/>
      <c r="HW291" s="35"/>
      <c r="HX291" s="35"/>
      <c r="HY291" s="35"/>
      <c r="HZ291" s="35"/>
      <c r="IA291" s="35"/>
      <c r="IB291" s="35"/>
      <c r="IC291" s="35"/>
      <c r="ID291" s="35"/>
      <c r="IE291" s="35"/>
      <c r="IF291" s="35"/>
      <c r="IG291" s="35"/>
      <c r="IH291" s="35"/>
      <c r="II291" s="35"/>
      <c r="IJ291" s="35"/>
      <c r="IK291" s="35"/>
      <c r="IL291" s="35"/>
      <c r="IM291" s="35"/>
      <c r="IN291" s="35"/>
      <c r="IO291" s="35"/>
      <c r="IP291" s="35"/>
      <c r="IQ291" s="35"/>
      <c r="IR291" s="35"/>
      <c r="IS291" s="35"/>
      <c r="IT291" s="35"/>
      <c r="IU291" s="35"/>
      <c r="IV291" s="35"/>
      <c r="IW291" s="35"/>
      <c r="IX291" s="35"/>
      <c r="IY291" s="35"/>
      <c r="IZ291" s="35"/>
      <c r="JA291" s="35"/>
      <c r="JB291" s="35"/>
      <c r="JC291" s="35"/>
      <c r="JD291" s="35"/>
      <c r="JE291" s="35"/>
    </row>
    <row r="292">
      <c r="A292" s="42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35"/>
      <c r="CO292" s="35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35"/>
      <c r="DJ292" s="35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35"/>
      <c r="EE292" s="35"/>
      <c r="EF292" s="35"/>
      <c r="EG292" s="35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35"/>
      <c r="EZ292" s="35"/>
      <c r="FA292" s="35"/>
      <c r="FB292" s="35"/>
      <c r="FC292" s="35"/>
      <c r="FD292" s="35"/>
      <c r="FE292" s="35"/>
      <c r="FF292" s="35"/>
      <c r="FG292" s="35"/>
      <c r="FH292" s="35"/>
      <c r="FI292" s="35"/>
      <c r="FJ292" s="35"/>
      <c r="FK292" s="35"/>
      <c r="FL292" s="35"/>
      <c r="FM292" s="35"/>
      <c r="FN292" s="35"/>
      <c r="FO292" s="35"/>
      <c r="FP292" s="35"/>
      <c r="FQ292" s="35"/>
      <c r="FR292" s="35"/>
      <c r="FS292" s="35"/>
      <c r="FT292" s="35"/>
      <c r="FU292" s="35"/>
      <c r="FV292" s="35"/>
      <c r="FW292" s="35"/>
      <c r="FX292" s="35"/>
      <c r="FY292" s="35"/>
      <c r="FZ292" s="35"/>
      <c r="GA292" s="35"/>
      <c r="GB292" s="35"/>
      <c r="GC292" s="35"/>
      <c r="GD292" s="35"/>
      <c r="GE292" s="35"/>
      <c r="GF292" s="35"/>
      <c r="GG292" s="35"/>
      <c r="GH292" s="35"/>
      <c r="GI292" s="35"/>
      <c r="GJ292" s="35"/>
      <c r="GK292" s="35"/>
      <c r="GL292" s="35"/>
      <c r="GM292" s="35"/>
      <c r="GN292" s="35"/>
      <c r="GO292" s="35"/>
      <c r="GP292" s="35"/>
      <c r="GQ292" s="35"/>
      <c r="GR292" s="35"/>
      <c r="GS292" s="35"/>
      <c r="GT292" s="35"/>
      <c r="GU292" s="35"/>
      <c r="GV292" s="35"/>
      <c r="GW292" s="35"/>
      <c r="GX292" s="35"/>
      <c r="GY292" s="35"/>
      <c r="GZ292" s="35"/>
      <c r="HA292" s="35"/>
      <c r="HB292" s="35"/>
      <c r="HC292" s="35"/>
      <c r="HD292" s="35"/>
      <c r="HE292" s="35"/>
      <c r="HF292" s="35"/>
      <c r="HG292" s="35"/>
      <c r="HH292" s="35"/>
      <c r="HI292" s="35"/>
      <c r="HJ292" s="35"/>
      <c r="HK292" s="35"/>
      <c r="HL292" s="35"/>
      <c r="HM292" s="35"/>
      <c r="HN292" s="35"/>
      <c r="HO292" s="35"/>
      <c r="HP292" s="35"/>
      <c r="HQ292" s="35"/>
      <c r="HR292" s="35"/>
      <c r="HS292" s="35"/>
      <c r="HT292" s="35"/>
      <c r="HU292" s="35"/>
      <c r="HV292" s="35"/>
      <c r="HW292" s="35"/>
      <c r="HX292" s="35"/>
      <c r="HY292" s="35"/>
      <c r="HZ292" s="35"/>
      <c r="IA292" s="35"/>
      <c r="IB292" s="35"/>
      <c r="IC292" s="35"/>
      <c r="ID292" s="35"/>
      <c r="IE292" s="35"/>
      <c r="IF292" s="35"/>
      <c r="IG292" s="35"/>
      <c r="IH292" s="35"/>
      <c r="II292" s="35"/>
      <c r="IJ292" s="35"/>
      <c r="IK292" s="35"/>
      <c r="IL292" s="35"/>
      <c r="IM292" s="35"/>
      <c r="IN292" s="35"/>
      <c r="IO292" s="35"/>
      <c r="IP292" s="35"/>
      <c r="IQ292" s="35"/>
      <c r="IR292" s="35"/>
      <c r="IS292" s="35"/>
      <c r="IT292" s="35"/>
      <c r="IU292" s="35"/>
      <c r="IV292" s="35"/>
      <c r="IW292" s="35"/>
      <c r="IX292" s="35"/>
      <c r="IY292" s="35"/>
      <c r="IZ292" s="35"/>
      <c r="JA292" s="35"/>
      <c r="JB292" s="35"/>
      <c r="JC292" s="35"/>
      <c r="JD292" s="35"/>
      <c r="JE292" s="35"/>
    </row>
    <row r="293">
      <c r="A293" s="42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35"/>
      <c r="CO293" s="35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35"/>
      <c r="EE293" s="35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35"/>
      <c r="EZ293" s="35"/>
      <c r="FA293" s="35"/>
      <c r="FB293" s="35"/>
      <c r="FC293" s="35"/>
      <c r="FD293" s="35"/>
      <c r="FE293" s="35"/>
      <c r="FF293" s="35"/>
      <c r="FG293" s="35"/>
      <c r="FH293" s="35"/>
      <c r="FI293" s="35"/>
      <c r="FJ293" s="35"/>
      <c r="FK293" s="35"/>
      <c r="FL293" s="35"/>
      <c r="FM293" s="35"/>
      <c r="FN293" s="35"/>
      <c r="FO293" s="35"/>
      <c r="FP293" s="35"/>
      <c r="FQ293" s="35"/>
      <c r="FR293" s="35"/>
      <c r="FS293" s="35"/>
      <c r="FT293" s="35"/>
      <c r="FU293" s="35"/>
      <c r="FV293" s="35"/>
      <c r="FW293" s="35"/>
      <c r="FX293" s="35"/>
      <c r="FY293" s="35"/>
      <c r="FZ293" s="35"/>
      <c r="GA293" s="35"/>
      <c r="GB293" s="35"/>
      <c r="GC293" s="35"/>
      <c r="GD293" s="35"/>
      <c r="GE293" s="35"/>
      <c r="GF293" s="35"/>
      <c r="GG293" s="35"/>
      <c r="GH293" s="35"/>
      <c r="GI293" s="35"/>
      <c r="GJ293" s="35"/>
      <c r="GK293" s="35"/>
      <c r="GL293" s="35"/>
      <c r="GM293" s="35"/>
      <c r="GN293" s="35"/>
      <c r="GO293" s="35"/>
      <c r="GP293" s="35"/>
      <c r="GQ293" s="35"/>
      <c r="GR293" s="35"/>
      <c r="GS293" s="35"/>
      <c r="GT293" s="35"/>
      <c r="GU293" s="35"/>
      <c r="GV293" s="35"/>
      <c r="GW293" s="35"/>
      <c r="GX293" s="35"/>
      <c r="GY293" s="35"/>
      <c r="GZ293" s="35"/>
      <c r="HA293" s="35"/>
      <c r="HB293" s="35"/>
      <c r="HC293" s="35"/>
      <c r="HD293" s="35"/>
      <c r="HE293" s="35"/>
      <c r="HF293" s="35"/>
      <c r="HG293" s="35"/>
      <c r="HH293" s="35"/>
      <c r="HI293" s="35"/>
      <c r="HJ293" s="35"/>
      <c r="HK293" s="35"/>
      <c r="HL293" s="35"/>
      <c r="HM293" s="35"/>
      <c r="HN293" s="35"/>
      <c r="HO293" s="35"/>
      <c r="HP293" s="35"/>
      <c r="HQ293" s="35"/>
      <c r="HR293" s="35"/>
      <c r="HS293" s="35"/>
      <c r="HT293" s="35"/>
      <c r="HU293" s="35"/>
      <c r="HV293" s="35"/>
      <c r="HW293" s="35"/>
      <c r="HX293" s="35"/>
      <c r="HY293" s="35"/>
      <c r="HZ293" s="35"/>
      <c r="IA293" s="35"/>
      <c r="IB293" s="35"/>
      <c r="IC293" s="35"/>
      <c r="ID293" s="35"/>
      <c r="IE293" s="35"/>
      <c r="IF293" s="35"/>
      <c r="IG293" s="35"/>
      <c r="IH293" s="35"/>
      <c r="II293" s="35"/>
      <c r="IJ293" s="35"/>
      <c r="IK293" s="35"/>
      <c r="IL293" s="35"/>
      <c r="IM293" s="35"/>
      <c r="IN293" s="35"/>
      <c r="IO293" s="35"/>
      <c r="IP293" s="35"/>
      <c r="IQ293" s="35"/>
      <c r="IR293" s="35"/>
      <c r="IS293" s="35"/>
      <c r="IT293" s="35"/>
      <c r="IU293" s="35"/>
      <c r="IV293" s="35"/>
      <c r="IW293" s="35"/>
      <c r="IX293" s="35"/>
      <c r="IY293" s="35"/>
      <c r="IZ293" s="35"/>
      <c r="JA293" s="35"/>
      <c r="JB293" s="35"/>
      <c r="JC293" s="35"/>
      <c r="JD293" s="35"/>
      <c r="JE293" s="35"/>
    </row>
    <row r="294">
      <c r="A294" s="42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35"/>
      <c r="BS294" s="35"/>
      <c r="BT294" s="35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35"/>
      <c r="CO294" s="35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35"/>
      <c r="DJ294" s="35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35"/>
      <c r="EE294" s="35"/>
      <c r="EF294" s="35"/>
      <c r="EG294" s="35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35"/>
      <c r="EZ294" s="35"/>
      <c r="FA294" s="35"/>
      <c r="FB294" s="35"/>
      <c r="FC294" s="35"/>
      <c r="FD294" s="35"/>
      <c r="FE294" s="35"/>
      <c r="FF294" s="35"/>
      <c r="FG294" s="35"/>
      <c r="FH294" s="35"/>
      <c r="FI294" s="35"/>
      <c r="FJ294" s="35"/>
      <c r="FK294" s="35"/>
      <c r="FL294" s="35"/>
      <c r="FM294" s="35"/>
      <c r="FN294" s="35"/>
      <c r="FO294" s="35"/>
      <c r="FP294" s="35"/>
      <c r="FQ294" s="35"/>
      <c r="FR294" s="35"/>
      <c r="FS294" s="35"/>
      <c r="FT294" s="35"/>
      <c r="FU294" s="35"/>
      <c r="FV294" s="35"/>
      <c r="FW294" s="35"/>
      <c r="FX294" s="35"/>
      <c r="FY294" s="35"/>
      <c r="FZ294" s="35"/>
      <c r="GA294" s="35"/>
      <c r="GB294" s="35"/>
      <c r="GC294" s="35"/>
      <c r="GD294" s="35"/>
      <c r="GE294" s="35"/>
      <c r="GF294" s="35"/>
      <c r="GG294" s="35"/>
      <c r="GH294" s="35"/>
      <c r="GI294" s="35"/>
      <c r="GJ294" s="35"/>
      <c r="GK294" s="35"/>
      <c r="GL294" s="35"/>
      <c r="GM294" s="35"/>
      <c r="GN294" s="35"/>
      <c r="GO294" s="35"/>
      <c r="GP294" s="35"/>
      <c r="GQ294" s="35"/>
      <c r="GR294" s="35"/>
      <c r="GS294" s="35"/>
      <c r="GT294" s="35"/>
      <c r="GU294" s="35"/>
      <c r="GV294" s="35"/>
      <c r="GW294" s="35"/>
      <c r="GX294" s="35"/>
      <c r="GY294" s="35"/>
      <c r="GZ294" s="35"/>
      <c r="HA294" s="35"/>
      <c r="HB294" s="35"/>
      <c r="HC294" s="35"/>
      <c r="HD294" s="35"/>
      <c r="HE294" s="35"/>
      <c r="HF294" s="35"/>
      <c r="HG294" s="35"/>
      <c r="HH294" s="35"/>
      <c r="HI294" s="35"/>
      <c r="HJ294" s="35"/>
      <c r="HK294" s="35"/>
      <c r="HL294" s="35"/>
      <c r="HM294" s="35"/>
      <c r="HN294" s="35"/>
      <c r="HO294" s="35"/>
      <c r="HP294" s="35"/>
      <c r="HQ294" s="35"/>
      <c r="HR294" s="35"/>
      <c r="HS294" s="35"/>
      <c r="HT294" s="35"/>
      <c r="HU294" s="35"/>
      <c r="HV294" s="35"/>
      <c r="HW294" s="35"/>
      <c r="HX294" s="35"/>
      <c r="HY294" s="35"/>
      <c r="HZ294" s="35"/>
      <c r="IA294" s="35"/>
      <c r="IB294" s="35"/>
      <c r="IC294" s="35"/>
      <c r="ID294" s="35"/>
      <c r="IE294" s="35"/>
      <c r="IF294" s="35"/>
      <c r="IG294" s="35"/>
      <c r="IH294" s="35"/>
      <c r="II294" s="35"/>
      <c r="IJ294" s="35"/>
      <c r="IK294" s="35"/>
      <c r="IL294" s="35"/>
      <c r="IM294" s="35"/>
      <c r="IN294" s="35"/>
      <c r="IO294" s="35"/>
      <c r="IP294" s="35"/>
      <c r="IQ294" s="35"/>
      <c r="IR294" s="35"/>
      <c r="IS294" s="35"/>
      <c r="IT294" s="35"/>
      <c r="IU294" s="35"/>
      <c r="IV294" s="35"/>
      <c r="IW294" s="35"/>
      <c r="IX294" s="35"/>
      <c r="IY294" s="35"/>
      <c r="IZ294" s="35"/>
      <c r="JA294" s="35"/>
      <c r="JB294" s="35"/>
      <c r="JC294" s="35"/>
      <c r="JD294" s="35"/>
      <c r="JE294" s="35"/>
    </row>
    <row r="295">
      <c r="A295" s="42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35"/>
      <c r="CO295" s="35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35"/>
      <c r="DJ295" s="35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35"/>
      <c r="EE295" s="35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35"/>
      <c r="EZ295" s="35"/>
      <c r="FA295" s="35"/>
      <c r="FB295" s="35"/>
      <c r="FC295" s="35"/>
      <c r="FD295" s="35"/>
      <c r="FE295" s="35"/>
      <c r="FF295" s="35"/>
      <c r="FG295" s="35"/>
      <c r="FH295" s="35"/>
      <c r="FI295" s="35"/>
      <c r="FJ295" s="35"/>
      <c r="FK295" s="35"/>
      <c r="FL295" s="35"/>
      <c r="FM295" s="35"/>
      <c r="FN295" s="35"/>
      <c r="FO295" s="35"/>
      <c r="FP295" s="35"/>
      <c r="FQ295" s="35"/>
      <c r="FR295" s="35"/>
      <c r="FS295" s="35"/>
      <c r="FT295" s="35"/>
      <c r="FU295" s="35"/>
      <c r="FV295" s="35"/>
      <c r="FW295" s="35"/>
      <c r="FX295" s="35"/>
      <c r="FY295" s="35"/>
      <c r="FZ295" s="35"/>
      <c r="GA295" s="35"/>
      <c r="GB295" s="35"/>
      <c r="GC295" s="35"/>
      <c r="GD295" s="35"/>
      <c r="GE295" s="35"/>
      <c r="GF295" s="35"/>
      <c r="GG295" s="35"/>
      <c r="GH295" s="35"/>
      <c r="GI295" s="35"/>
      <c r="GJ295" s="35"/>
      <c r="GK295" s="35"/>
      <c r="GL295" s="35"/>
      <c r="GM295" s="35"/>
      <c r="GN295" s="35"/>
      <c r="GO295" s="35"/>
      <c r="GP295" s="35"/>
      <c r="GQ295" s="35"/>
      <c r="GR295" s="35"/>
      <c r="GS295" s="35"/>
      <c r="GT295" s="35"/>
      <c r="GU295" s="35"/>
      <c r="GV295" s="35"/>
      <c r="GW295" s="35"/>
      <c r="GX295" s="35"/>
      <c r="GY295" s="35"/>
      <c r="GZ295" s="35"/>
      <c r="HA295" s="35"/>
      <c r="HB295" s="35"/>
      <c r="HC295" s="35"/>
      <c r="HD295" s="35"/>
      <c r="HE295" s="35"/>
      <c r="HF295" s="35"/>
      <c r="HG295" s="35"/>
      <c r="HH295" s="35"/>
      <c r="HI295" s="35"/>
      <c r="HJ295" s="35"/>
      <c r="HK295" s="35"/>
      <c r="HL295" s="35"/>
      <c r="HM295" s="35"/>
      <c r="HN295" s="35"/>
      <c r="HO295" s="35"/>
      <c r="HP295" s="35"/>
      <c r="HQ295" s="35"/>
      <c r="HR295" s="35"/>
      <c r="HS295" s="35"/>
      <c r="HT295" s="35"/>
      <c r="HU295" s="35"/>
      <c r="HV295" s="35"/>
      <c r="HW295" s="35"/>
      <c r="HX295" s="35"/>
      <c r="HY295" s="35"/>
      <c r="HZ295" s="35"/>
      <c r="IA295" s="35"/>
      <c r="IB295" s="35"/>
      <c r="IC295" s="35"/>
      <c r="ID295" s="35"/>
      <c r="IE295" s="35"/>
      <c r="IF295" s="35"/>
      <c r="IG295" s="35"/>
      <c r="IH295" s="35"/>
      <c r="II295" s="35"/>
      <c r="IJ295" s="35"/>
      <c r="IK295" s="35"/>
      <c r="IL295" s="35"/>
      <c r="IM295" s="35"/>
      <c r="IN295" s="35"/>
      <c r="IO295" s="35"/>
      <c r="IP295" s="35"/>
      <c r="IQ295" s="35"/>
      <c r="IR295" s="35"/>
      <c r="IS295" s="35"/>
      <c r="IT295" s="35"/>
      <c r="IU295" s="35"/>
      <c r="IV295" s="35"/>
      <c r="IW295" s="35"/>
      <c r="IX295" s="35"/>
      <c r="IY295" s="35"/>
      <c r="IZ295" s="35"/>
      <c r="JA295" s="35"/>
      <c r="JB295" s="35"/>
      <c r="JC295" s="35"/>
      <c r="JD295" s="35"/>
      <c r="JE295" s="35"/>
    </row>
    <row r="296">
      <c r="A296" s="42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  <c r="BS296" s="35"/>
      <c r="BT296" s="35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35"/>
      <c r="CO296" s="35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35"/>
      <c r="DJ296" s="35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35"/>
      <c r="EE296" s="35"/>
      <c r="EF296" s="35"/>
      <c r="EG296" s="35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35"/>
      <c r="EZ296" s="35"/>
      <c r="FA296" s="35"/>
      <c r="FB296" s="35"/>
      <c r="FC296" s="35"/>
      <c r="FD296" s="35"/>
      <c r="FE296" s="35"/>
      <c r="FF296" s="35"/>
      <c r="FG296" s="35"/>
      <c r="FH296" s="35"/>
      <c r="FI296" s="35"/>
      <c r="FJ296" s="35"/>
      <c r="FK296" s="35"/>
      <c r="FL296" s="35"/>
      <c r="FM296" s="35"/>
      <c r="FN296" s="35"/>
      <c r="FO296" s="35"/>
      <c r="FP296" s="35"/>
      <c r="FQ296" s="35"/>
      <c r="FR296" s="35"/>
      <c r="FS296" s="35"/>
      <c r="FT296" s="35"/>
      <c r="FU296" s="35"/>
      <c r="FV296" s="35"/>
      <c r="FW296" s="35"/>
      <c r="FX296" s="35"/>
      <c r="FY296" s="35"/>
      <c r="FZ296" s="35"/>
      <c r="GA296" s="35"/>
      <c r="GB296" s="35"/>
      <c r="GC296" s="35"/>
      <c r="GD296" s="35"/>
      <c r="GE296" s="35"/>
      <c r="GF296" s="35"/>
      <c r="GG296" s="35"/>
      <c r="GH296" s="35"/>
      <c r="GI296" s="35"/>
      <c r="GJ296" s="35"/>
      <c r="GK296" s="35"/>
      <c r="GL296" s="35"/>
      <c r="GM296" s="35"/>
      <c r="GN296" s="35"/>
      <c r="GO296" s="35"/>
      <c r="GP296" s="35"/>
      <c r="GQ296" s="35"/>
      <c r="GR296" s="35"/>
      <c r="GS296" s="35"/>
      <c r="GT296" s="35"/>
      <c r="GU296" s="35"/>
      <c r="GV296" s="35"/>
      <c r="GW296" s="35"/>
      <c r="GX296" s="35"/>
      <c r="GY296" s="35"/>
      <c r="GZ296" s="35"/>
      <c r="HA296" s="35"/>
      <c r="HB296" s="35"/>
      <c r="HC296" s="35"/>
      <c r="HD296" s="35"/>
      <c r="HE296" s="35"/>
      <c r="HF296" s="35"/>
      <c r="HG296" s="35"/>
      <c r="HH296" s="35"/>
      <c r="HI296" s="35"/>
      <c r="HJ296" s="35"/>
      <c r="HK296" s="35"/>
      <c r="HL296" s="35"/>
      <c r="HM296" s="35"/>
      <c r="HN296" s="35"/>
      <c r="HO296" s="35"/>
      <c r="HP296" s="35"/>
      <c r="HQ296" s="35"/>
      <c r="HR296" s="35"/>
      <c r="HS296" s="35"/>
      <c r="HT296" s="35"/>
      <c r="HU296" s="35"/>
      <c r="HV296" s="35"/>
      <c r="HW296" s="35"/>
      <c r="HX296" s="35"/>
      <c r="HY296" s="35"/>
      <c r="HZ296" s="35"/>
      <c r="IA296" s="35"/>
      <c r="IB296" s="35"/>
      <c r="IC296" s="35"/>
      <c r="ID296" s="35"/>
      <c r="IE296" s="35"/>
      <c r="IF296" s="35"/>
      <c r="IG296" s="35"/>
      <c r="IH296" s="35"/>
      <c r="II296" s="35"/>
      <c r="IJ296" s="35"/>
      <c r="IK296" s="35"/>
      <c r="IL296" s="35"/>
      <c r="IM296" s="35"/>
      <c r="IN296" s="35"/>
      <c r="IO296" s="35"/>
      <c r="IP296" s="35"/>
      <c r="IQ296" s="35"/>
      <c r="IR296" s="35"/>
      <c r="IS296" s="35"/>
      <c r="IT296" s="35"/>
      <c r="IU296" s="35"/>
      <c r="IV296" s="35"/>
      <c r="IW296" s="35"/>
      <c r="IX296" s="35"/>
      <c r="IY296" s="35"/>
      <c r="IZ296" s="35"/>
      <c r="JA296" s="35"/>
      <c r="JB296" s="35"/>
      <c r="JC296" s="35"/>
      <c r="JD296" s="35"/>
      <c r="JE296" s="35"/>
    </row>
    <row r="297">
      <c r="A297" s="42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  <c r="BS297" s="35"/>
      <c r="BT297" s="35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35"/>
      <c r="CO297" s="35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35"/>
      <c r="DJ297" s="35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35"/>
      <c r="EE297" s="35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35"/>
      <c r="EZ297" s="35"/>
      <c r="FA297" s="35"/>
      <c r="FB297" s="35"/>
      <c r="FC297" s="35"/>
      <c r="FD297" s="35"/>
      <c r="FE297" s="35"/>
      <c r="FF297" s="35"/>
      <c r="FG297" s="35"/>
      <c r="FH297" s="35"/>
      <c r="FI297" s="35"/>
      <c r="FJ297" s="35"/>
      <c r="FK297" s="35"/>
      <c r="FL297" s="35"/>
      <c r="FM297" s="35"/>
      <c r="FN297" s="35"/>
      <c r="FO297" s="35"/>
      <c r="FP297" s="35"/>
      <c r="FQ297" s="35"/>
      <c r="FR297" s="35"/>
      <c r="FS297" s="35"/>
      <c r="FT297" s="35"/>
      <c r="FU297" s="35"/>
      <c r="FV297" s="35"/>
      <c r="FW297" s="35"/>
      <c r="FX297" s="35"/>
      <c r="FY297" s="35"/>
      <c r="FZ297" s="35"/>
      <c r="GA297" s="35"/>
      <c r="GB297" s="35"/>
      <c r="GC297" s="35"/>
      <c r="GD297" s="35"/>
      <c r="GE297" s="35"/>
      <c r="GF297" s="35"/>
      <c r="GG297" s="35"/>
      <c r="GH297" s="35"/>
      <c r="GI297" s="35"/>
      <c r="GJ297" s="35"/>
      <c r="GK297" s="35"/>
      <c r="GL297" s="35"/>
      <c r="GM297" s="35"/>
      <c r="GN297" s="35"/>
      <c r="GO297" s="35"/>
      <c r="GP297" s="35"/>
      <c r="GQ297" s="35"/>
      <c r="GR297" s="35"/>
      <c r="GS297" s="35"/>
      <c r="GT297" s="35"/>
      <c r="GU297" s="35"/>
      <c r="GV297" s="35"/>
      <c r="GW297" s="35"/>
      <c r="GX297" s="35"/>
      <c r="GY297" s="35"/>
      <c r="GZ297" s="35"/>
      <c r="HA297" s="35"/>
      <c r="HB297" s="35"/>
      <c r="HC297" s="35"/>
      <c r="HD297" s="35"/>
      <c r="HE297" s="35"/>
      <c r="HF297" s="35"/>
      <c r="HG297" s="35"/>
      <c r="HH297" s="35"/>
      <c r="HI297" s="35"/>
      <c r="HJ297" s="35"/>
      <c r="HK297" s="35"/>
      <c r="HL297" s="35"/>
      <c r="HM297" s="35"/>
      <c r="HN297" s="35"/>
      <c r="HO297" s="35"/>
      <c r="HP297" s="35"/>
      <c r="HQ297" s="35"/>
      <c r="HR297" s="35"/>
      <c r="HS297" s="35"/>
      <c r="HT297" s="35"/>
      <c r="HU297" s="35"/>
      <c r="HV297" s="35"/>
      <c r="HW297" s="35"/>
      <c r="HX297" s="35"/>
      <c r="HY297" s="35"/>
      <c r="HZ297" s="35"/>
      <c r="IA297" s="35"/>
      <c r="IB297" s="35"/>
      <c r="IC297" s="35"/>
      <c r="ID297" s="35"/>
      <c r="IE297" s="35"/>
      <c r="IF297" s="35"/>
      <c r="IG297" s="35"/>
      <c r="IH297" s="35"/>
      <c r="II297" s="35"/>
      <c r="IJ297" s="35"/>
      <c r="IK297" s="35"/>
      <c r="IL297" s="35"/>
      <c r="IM297" s="35"/>
      <c r="IN297" s="35"/>
      <c r="IO297" s="35"/>
      <c r="IP297" s="35"/>
      <c r="IQ297" s="35"/>
      <c r="IR297" s="35"/>
      <c r="IS297" s="35"/>
      <c r="IT297" s="35"/>
      <c r="IU297" s="35"/>
      <c r="IV297" s="35"/>
      <c r="IW297" s="35"/>
      <c r="IX297" s="35"/>
      <c r="IY297" s="35"/>
      <c r="IZ297" s="35"/>
      <c r="JA297" s="35"/>
      <c r="JB297" s="35"/>
      <c r="JC297" s="35"/>
      <c r="JD297" s="35"/>
      <c r="JE297" s="35"/>
    </row>
    <row r="298">
      <c r="A298" s="42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  <c r="BS298" s="35"/>
      <c r="BT298" s="35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35"/>
      <c r="CO298" s="35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35"/>
      <c r="DJ298" s="35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35"/>
      <c r="EE298" s="35"/>
      <c r="EF298" s="35"/>
      <c r="EG298" s="35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35"/>
      <c r="EZ298" s="35"/>
      <c r="FA298" s="35"/>
      <c r="FB298" s="35"/>
      <c r="FC298" s="35"/>
      <c r="FD298" s="35"/>
      <c r="FE298" s="35"/>
      <c r="FF298" s="35"/>
      <c r="FG298" s="35"/>
      <c r="FH298" s="35"/>
      <c r="FI298" s="35"/>
      <c r="FJ298" s="35"/>
      <c r="FK298" s="35"/>
      <c r="FL298" s="35"/>
      <c r="FM298" s="35"/>
      <c r="FN298" s="35"/>
      <c r="FO298" s="35"/>
      <c r="FP298" s="35"/>
      <c r="FQ298" s="35"/>
      <c r="FR298" s="35"/>
      <c r="FS298" s="35"/>
      <c r="FT298" s="35"/>
      <c r="FU298" s="35"/>
      <c r="FV298" s="35"/>
      <c r="FW298" s="35"/>
      <c r="FX298" s="35"/>
      <c r="FY298" s="35"/>
      <c r="FZ298" s="35"/>
      <c r="GA298" s="35"/>
      <c r="GB298" s="35"/>
      <c r="GC298" s="35"/>
      <c r="GD298" s="35"/>
      <c r="GE298" s="35"/>
      <c r="GF298" s="35"/>
      <c r="GG298" s="35"/>
      <c r="GH298" s="35"/>
      <c r="GI298" s="35"/>
      <c r="GJ298" s="35"/>
      <c r="GK298" s="35"/>
      <c r="GL298" s="35"/>
      <c r="GM298" s="35"/>
      <c r="GN298" s="35"/>
      <c r="GO298" s="35"/>
      <c r="GP298" s="35"/>
      <c r="GQ298" s="35"/>
      <c r="GR298" s="35"/>
      <c r="GS298" s="35"/>
      <c r="GT298" s="35"/>
      <c r="GU298" s="35"/>
      <c r="GV298" s="35"/>
      <c r="GW298" s="35"/>
      <c r="GX298" s="35"/>
      <c r="GY298" s="35"/>
      <c r="GZ298" s="35"/>
      <c r="HA298" s="35"/>
      <c r="HB298" s="35"/>
      <c r="HC298" s="35"/>
      <c r="HD298" s="35"/>
      <c r="HE298" s="35"/>
      <c r="HF298" s="35"/>
      <c r="HG298" s="35"/>
      <c r="HH298" s="35"/>
      <c r="HI298" s="35"/>
      <c r="HJ298" s="35"/>
      <c r="HK298" s="35"/>
      <c r="HL298" s="35"/>
      <c r="HM298" s="35"/>
      <c r="HN298" s="35"/>
      <c r="HO298" s="35"/>
      <c r="HP298" s="35"/>
      <c r="HQ298" s="35"/>
      <c r="HR298" s="35"/>
      <c r="HS298" s="35"/>
      <c r="HT298" s="35"/>
      <c r="HU298" s="35"/>
      <c r="HV298" s="35"/>
      <c r="HW298" s="35"/>
      <c r="HX298" s="35"/>
      <c r="HY298" s="35"/>
      <c r="HZ298" s="35"/>
      <c r="IA298" s="35"/>
      <c r="IB298" s="35"/>
      <c r="IC298" s="35"/>
      <c r="ID298" s="35"/>
      <c r="IE298" s="35"/>
      <c r="IF298" s="35"/>
      <c r="IG298" s="35"/>
      <c r="IH298" s="35"/>
      <c r="II298" s="35"/>
      <c r="IJ298" s="35"/>
      <c r="IK298" s="35"/>
      <c r="IL298" s="35"/>
      <c r="IM298" s="35"/>
      <c r="IN298" s="35"/>
      <c r="IO298" s="35"/>
      <c r="IP298" s="35"/>
      <c r="IQ298" s="35"/>
      <c r="IR298" s="35"/>
      <c r="IS298" s="35"/>
      <c r="IT298" s="35"/>
      <c r="IU298" s="35"/>
      <c r="IV298" s="35"/>
      <c r="IW298" s="35"/>
      <c r="IX298" s="35"/>
      <c r="IY298" s="35"/>
      <c r="IZ298" s="35"/>
      <c r="JA298" s="35"/>
      <c r="JB298" s="35"/>
      <c r="JC298" s="35"/>
      <c r="JD298" s="35"/>
      <c r="JE298" s="35"/>
    </row>
    <row r="299">
      <c r="A299" s="42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  <c r="BS299" s="35"/>
      <c r="BT299" s="35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35"/>
      <c r="CO299" s="35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35"/>
      <c r="DJ299" s="35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35"/>
      <c r="EE299" s="35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35"/>
      <c r="EZ299" s="35"/>
      <c r="FA299" s="35"/>
      <c r="FB299" s="35"/>
      <c r="FC299" s="35"/>
      <c r="FD299" s="35"/>
      <c r="FE299" s="35"/>
      <c r="FF299" s="35"/>
      <c r="FG299" s="35"/>
      <c r="FH299" s="35"/>
      <c r="FI299" s="35"/>
      <c r="FJ299" s="35"/>
      <c r="FK299" s="35"/>
      <c r="FL299" s="35"/>
      <c r="FM299" s="35"/>
      <c r="FN299" s="35"/>
      <c r="FO299" s="35"/>
      <c r="FP299" s="35"/>
      <c r="FQ299" s="35"/>
      <c r="FR299" s="35"/>
      <c r="FS299" s="35"/>
      <c r="FT299" s="35"/>
      <c r="FU299" s="35"/>
      <c r="FV299" s="35"/>
      <c r="FW299" s="35"/>
      <c r="FX299" s="35"/>
      <c r="FY299" s="35"/>
      <c r="FZ299" s="35"/>
      <c r="GA299" s="35"/>
      <c r="GB299" s="35"/>
      <c r="GC299" s="35"/>
      <c r="GD299" s="35"/>
      <c r="GE299" s="35"/>
      <c r="GF299" s="35"/>
      <c r="GG299" s="35"/>
      <c r="GH299" s="35"/>
      <c r="GI299" s="35"/>
      <c r="GJ299" s="35"/>
      <c r="GK299" s="35"/>
      <c r="GL299" s="35"/>
      <c r="GM299" s="35"/>
      <c r="GN299" s="35"/>
      <c r="GO299" s="35"/>
      <c r="GP299" s="35"/>
      <c r="GQ299" s="35"/>
      <c r="GR299" s="35"/>
      <c r="GS299" s="35"/>
      <c r="GT299" s="35"/>
      <c r="GU299" s="35"/>
      <c r="GV299" s="35"/>
      <c r="GW299" s="35"/>
      <c r="GX299" s="35"/>
      <c r="GY299" s="35"/>
      <c r="GZ299" s="35"/>
      <c r="HA299" s="35"/>
      <c r="HB299" s="35"/>
      <c r="HC299" s="35"/>
      <c r="HD299" s="35"/>
      <c r="HE299" s="35"/>
      <c r="HF299" s="35"/>
      <c r="HG299" s="35"/>
      <c r="HH299" s="35"/>
      <c r="HI299" s="35"/>
      <c r="HJ299" s="35"/>
      <c r="HK299" s="35"/>
      <c r="HL299" s="35"/>
      <c r="HM299" s="35"/>
      <c r="HN299" s="35"/>
      <c r="HO299" s="35"/>
      <c r="HP299" s="35"/>
      <c r="HQ299" s="35"/>
      <c r="HR299" s="35"/>
      <c r="HS299" s="35"/>
      <c r="HT299" s="35"/>
      <c r="HU299" s="35"/>
      <c r="HV299" s="35"/>
      <c r="HW299" s="35"/>
      <c r="HX299" s="35"/>
      <c r="HY299" s="35"/>
      <c r="HZ299" s="35"/>
      <c r="IA299" s="35"/>
      <c r="IB299" s="35"/>
      <c r="IC299" s="35"/>
      <c r="ID299" s="35"/>
      <c r="IE299" s="35"/>
      <c r="IF299" s="35"/>
      <c r="IG299" s="35"/>
      <c r="IH299" s="35"/>
      <c r="II299" s="35"/>
      <c r="IJ299" s="35"/>
      <c r="IK299" s="35"/>
      <c r="IL299" s="35"/>
      <c r="IM299" s="35"/>
      <c r="IN299" s="35"/>
      <c r="IO299" s="35"/>
      <c r="IP299" s="35"/>
      <c r="IQ299" s="35"/>
      <c r="IR299" s="35"/>
      <c r="IS299" s="35"/>
      <c r="IT299" s="35"/>
      <c r="IU299" s="35"/>
      <c r="IV299" s="35"/>
      <c r="IW299" s="35"/>
      <c r="IX299" s="35"/>
      <c r="IY299" s="35"/>
      <c r="IZ299" s="35"/>
      <c r="JA299" s="35"/>
      <c r="JB299" s="35"/>
      <c r="JC299" s="35"/>
      <c r="JD299" s="35"/>
      <c r="JE299" s="35"/>
    </row>
    <row r="300">
      <c r="A300" s="42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35"/>
      <c r="CO300" s="35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35"/>
      <c r="DJ300" s="35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35"/>
      <c r="EE300" s="35"/>
      <c r="EF300" s="35"/>
      <c r="EG300" s="35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35"/>
      <c r="EZ300" s="35"/>
      <c r="FA300" s="35"/>
      <c r="FB300" s="35"/>
      <c r="FC300" s="35"/>
      <c r="FD300" s="35"/>
      <c r="FE300" s="35"/>
      <c r="FF300" s="35"/>
      <c r="FG300" s="35"/>
      <c r="FH300" s="35"/>
      <c r="FI300" s="35"/>
      <c r="FJ300" s="35"/>
      <c r="FK300" s="35"/>
      <c r="FL300" s="35"/>
      <c r="FM300" s="35"/>
      <c r="FN300" s="35"/>
      <c r="FO300" s="35"/>
      <c r="FP300" s="35"/>
      <c r="FQ300" s="35"/>
      <c r="FR300" s="35"/>
      <c r="FS300" s="35"/>
      <c r="FT300" s="35"/>
      <c r="FU300" s="35"/>
      <c r="FV300" s="35"/>
      <c r="FW300" s="35"/>
      <c r="FX300" s="35"/>
      <c r="FY300" s="35"/>
      <c r="FZ300" s="35"/>
      <c r="GA300" s="35"/>
      <c r="GB300" s="35"/>
      <c r="GC300" s="35"/>
      <c r="GD300" s="35"/>
      <c r="GE300" s="35"/>
      <c r="GF300" s="35"/>
      <c r="GG300" s="35"/>
      <c r="GH300" s="35"/>
      <c r="GI300" s="35"/>
      <c r="GJ300" s="35"/>
      <c r="GK300" s="35"/>
      <c r="GL300" s="35"/>
      <c r="GM300" s="35"/>
      <c r="GN300" s="35"/>
      <c r="GO300" s="35"/>
      <c r="GP300" s="35"/>
      <c r="GQ300" s="35"/>
      <c r="GR300" s="35"/>
      <c r="GS300" s="35"/>
      <c r="GT300" s="35"/>
      <c r="GU300" s="35"/>
      <c r="GV300" s="35"/>
      <c r="GW300" s="35"/>
      <c r="GX300" s="35"/>
      <c r="GY300" s="35"/>
      <c r="GZ300" s="35"/>
      <c r="HA300" s="35"/>
      <c r="HB300" s="35"/>
      <c r="HC300" s="35"/>
      <c r="HD300" s="35"/>
      <c r="HE300" s="35"/>
      <c r="HF300" s="35"/>
      <c r="HG300" s="35"/>
      <c r="HH300" s="35"/>
      <c r="HI300" s="35"/>
      <c r="HJ300" s="35"/>
      <c r="HK300" s="35"/>
      <c r="HL300" s="35"/>
      <c r="HM300" s="35"/>
      <c r="HN300" s="35"/>
      <c r="HO300" s="35"/>
      <c r="HP300" s="35"/>
      <c r="HQ300" s="35"/>
      <c r="HR300" s="35"/>
      <c r="HS300" s="35"/>
      <c r="HT300" s="35"/>
      <c r="HU300" s="35"/>
      <c r="HV300" s="35"/>
      <c r="HW300" s="35"/>
      <c r="HX300" s="35"/>
      <c r="HY300" s="35"/>
      <c r="HZ300" s="35"/>
      <c r="IA300" s="35"/>
      <c r="IB300" s="35"/>
      <c r="IC300" s="35"/>
      <c r="ID300" s="35"/>
      <c r="IE300" s="35"/>
      <c r="IF300" s="35"/>
      <c r="IG300" s="35"/>
      <c r="IH300" s="35"/>
      <c r="II300" s="35"/>
      <c r="IJ300" s="35"/>
      <c r="IK300" s="35"/>
      <c r="IL300" s="35"/>
      <c r="IM300" s="35"/>
      <c r="IN300" s="35"/>
      <c r="IO300" s="35"/>
      <c r="IP300" s="35"/>
      <c r="IQ300" s="35"/>
      <c r="IR300" s="35"/>
      <c r="IS300" s="35"/>
      <c r="IT300" s="35"/>
      <c r="IU300" s="35"/>
      <c r="IV300" s="35"/>
      <c r="IW300" s="35"/>
      <c r="IX300" s="35"/>
      <c r="IY300" s="35"/>
      <c r="IZ300" s="35"/>
      <c r="JA300" s="35"/>
      <c r="JB300" s="35"/>
      <c r="JC300" s="35"/>
      <c r="JD300" s="35"/>
      <c r="JE300" s="35"/>
    </row>
    <row r="301">
      <c r="A301" s="42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35"/>
      <c r="CO301" s="35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35"/>
      <c r="DJ301" s="35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35"/>
      <c r="EE301" s="35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35"/>
      <c r="EZ301" s="35"/>
      <c r="FA301" s="35"/>
      <c r="FB301" s="35"/>
      <c r="FC301" s="35"/>
      <c r="FD301" s="35"/>
      <c r="FE301" s="35"/>
      <c r="FF301" s="35"/>
      <c r="FG301" s="35"/>
      <c r="FH301" s="35"/>
      <c r="FI301" s="35"/>
      <c r="FJ301" s="35"/>
      <c r="FK301" s="35"/>
      <c r="FL301" s="35"/>
      <c r="FM301" s="35"/>
      <c r="FN301" s="35"/>
      <c r="FO301" s="35"/>
      <c r="FP301" s="35"/>
      <c r="FQ301" s="35"/>
      <c r="FR301" s="35"/>
      <c r="FS301" s="35"/>
      <c r="FT301" s="35"/>
      <c r="FU301" s="35"/>
      <c r="FV301" s="35"/>
      <c r="FW301" s="35"/>
      <c r="FX301" s="35"/>
      <c r="FY301" s="35"/>
      <c r="FZ301" s="35"/>
      <c r="GA301" s="35"/>
      <c r="GB301" s="35"/>
      <c r="GC301" s="35"/>
      <c r="GD301" s="35"/>
      <c r="GE301" s="35"/>
      <c r="GF301" s="35"/>
      <c r="GG301" s="35"/>
      <c r="GH301" s="35"/>
      <c r="GI301" s="35"/>
      <c r="GJ301" s="35"/>
      <c r="GK301" s="35"/>
      <c r="GL301" s="35"/>
      <c r="GM301" s="35"/>
      <c r="GN301" s="35"/>
      <c r="GO301" s="35"/>
      <c r="GP301" s="35"/>
      <c r="GQ301" s="35"/>
      <c r="GR301" s="35"/>
      <c r="GS301" s="35"/>
      <c r="GT301" s="35"/>
      <c r="GU301" s="35"/>
      <c r="GV301" s="35"/>
      <c r="GW301" s="35"/>
      <c r="GX301" s="35"/>
      <c r="GY301" s="35"/>
      <c r="GZ301" s="35"/>
      <c r="HA301" s="35"/>
      <c r="HB301" s="35"/>
      <c r="HC301" s="35"/>
      <c r="HD301" s="35"/>
      <c r="HE301" s="35"/>
      <c r="HF301" s="35"/>
      <c r="HG301" s="35"/>
      <c r="HH301" s="35"/>
      <c r="HI301" s="35"/>
      <c r="HJ301" s="35"/>
      <c r="HK301" s="35"/>
      <c r="HL301" s="35"/>
      <c r="HM301" s="35"/>
      <c r="HN301" s="35"/>
      <c r="HO301" s="35"/>
      <c r="HP301" s="35"/>
      <c r="HQ301" s="35"/>
      <c r="HR301" s="35"/>
      <c r="HS301" s="35"/>
      <c r="HT301" s="35"/>
      <c r="HU301" s="35"/>
      <c r="HV301" s="35"/>
      <c r="HW301" s="35"/>
      <c r="HX301" s="35"/>
      <c r="HY301" s="35"/>
      <c r="HZ301" s="35"/>
      <c r="IA301" s="35"/>
      <c r="IB301" s="35"/>
      <c r="IC301" s="35"/>
      <c r="ID301" s="35"/>
      <c r="IE301" s="35"/>
      <c r="IF301" s="35"/>
      <c r="IG301" s="35"/>
      <c r="IH301" s="35"/>
      <c r="II301" s="35"/>
      <c r="IJ301" s="35"/>
      <c r="IK301" s="35"/>
      <c r="IL301" s="35"/>
      <c r="IM301" s="35"/>
      <c r="IN301" s="35"/>
      <c r="IO301" s="35"/>
      <c r="IP301" s="35"/>
      <c r="IQ301" s="35"/>
      <c r="IR301" s="35"/>
      <c r="IS301" s="35"/>
      <c r="IT301" s="35"/>
      <c r="IU301" s="35"/>
      <c r="IV301" s="35"/>
      <c r="IW301" s="35"/>
      <c r="IX301" s="35"/>
      <c r="IY301" s="35"/>
      <c r="IZ301" s="35"/>
      <c r="JA301" s="35"/>
      <c r="JB301" s="35"/>
      <c r="JC301" s="35"/>
      <c r="JD301" s="35"/>
      <c r="JE301" s="35"/>
    </row>
    <row r="302">
      <c r="A302" s="42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  <c r="BC302" s="35"/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  <c r="BR302" s="35"/>
      <c r="BS302" s="35"/>
      <c r="BT302" s="35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35"/>
      <c r="CO302" s="35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35"/>
      <c r="DJ302" s="35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35"/>
      <c r="EE302" s="35"/>
      <c r="EF302" s="35"/>
      <c r="EG302" s="35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35"/>
      <c r="EZ302" s="35"/>
      <c r="FA302" s="35"/>
      <c r="FB302" s="35"/>
      <c r="FC302" s="35"/>
      <c r="FD302" s="35"/>
      <c r="FE302" s="35"/>
      <c r="FF302" s="35"/>
      <c r="FG302" s="35"/>
      <c r="FH302" s="35"/>
      <c r="FI302" s="35"/>
      <c r="FJ302" s="35"/>
      <c r="FK302" s="35"/>
      <c r="FL302" s="35"/>
      <c r="FM302" s="35"/>
      <c r="FN302" s="35"/>
      <c r="FO302" s="35"/>
      <c r="FP302" s="35"/>
      <c r="FQ302" s="35"/>
      <c r="FR302" s="35"/>
      <c r="FS302" s="35"/>
      <c r="FT302" s="35"/>
      <c r="FU302" s="35"/>
      <c r="FV302" s="35"/>
      <c r="FW302" s="35"/>
      <c r="FX302" s="35"/>
      <c r="FY302" s="35"/>
      <c r="FZ302" s="35"/>
      <c r="GA302" s="35"/>
      <c r="GB302" s="35"/>
      <c r="GC302" s="35"/>
      <c r="GD302" s="35"/>
      <c r="GE302" s="35"/>
      <c r="GF302" s="35"/>
      <c r="GG302" s="35"/>
      <c r="GH302" s="35"/>
      <c r="GI302" s="35"/>
      <c r="GJ302" s="35"/>
      <c r="GK302" s="35"/>
      <c r="GL302" s="35"/>
      <c r="GM302" s="35"/>
      <c r="GN302" s="35"/>
      <c r="GO302" s="35"/>
      <c r="GP302" s="35"/>
      <c r="GQ302" s="35"/>
      <c r="GR302" s="35"/>
      <c r="GS302" s="35"/>
      <c r="GT302" s="35"/>
      <c r="GU302" s="35"/>
      <c r="GV302" s="35"/>
      <c r="GW302" s="35"/>
      <c r="GX302" s="35"/>
      <c r="GY302" s="35"/>
      <c r="GZ302" s="35"/>
      <c r="HA302" s="35"/>
      <c r="HB302" s="35"/>
      <c r="HC302" s="35"/>
      <c r="HD302" s="35"/>
      <c r="HE302" s="35"/>
      <c r="HF302" s="35"/>
      <c r="HG302" s="35"/>
      <c r="HH302" s="35"/>
      <c r="HI302" s="35"/>
      <c r="HJ302" s="35"/>
      <c r="HK302" s="35"/>
      <c r="HL302" s="35"/>
      <c r="HM302" s="35"/>
      <c r="HN302" s="35"/>
      <c r="HO302" s="35"/>
      <c r="HP302" s="35"/>
      <c r="HQ302" s="35"/>
      <c r="HR302" s="35"/>
      <c r="HS302" s="35"/>
      <c r="HT302" s="35"/>
      <c r="HU302" s="35"/>
      <c r="HV302" s="35"/>
      <c r="HW302" s="35"/>
      <c r="HX302" s="35"/>
      <c r="HY302" s="35"/>
      <c r="HZ302" s="35"/>
      <c r="IA302" s="35"/>
      <c r="IB302" s="35"/>
      <c r="IC302" s="35"/>
      <c r="ID302" s="35"/>
      <c r="IE302" s="35"/>
      <c r="IF302" s="35"/>
      <c r="IG302" s="35"/>
      <c r="IH302" s="35"/>
      <c r="II302" s="35"/>
      <c r="IJ302" s="35"/>
      <c r="IK302" s="35"/>
      <c r="IL302" s="35"/>
      <c r="IM302" s="35"/>
      <c r="IN302" s="35"/>
      <c r="IO302" s="35"/>
      <c r="IP302" s="35"/>
      <c r="IQ302" s="35"/>
      <c r="IR302" s="35"/>
      <c r="IS302" s="35"/>
      <c r="IT302" s="35"/>
      <c r="IU302" s="35"/>
      <c r="IV302" s="35"/>
      <c r="IW302" s="35"/>
      <c r="IX302" s="35"/>
      <c r="IY302" s="35"/>
      <c r="IZ302" s="35"/>
      <c r="JA302" s="35"/>
      <c r="JB302" s="35"/>
      <c r="JC302" s="35"/>
      <c r="JD302" s="35"/>
      <c r="JE302" s="35"/>
    </row>
    <row r="303">
      <c r="A303" s="42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35"/>
      <c r="CO303" s="35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35"/>
      <c r="DJ303" s="35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35"/>
      <c r="EE303" s="35"/>
      <c r="EF303" s="35"/>
      <c r="EG303" s="35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35"/>
      <c r="EZ303" s="35"/>
      <c r="FA303" s="35"/>
      <c r="FB303" s="35"/>
      <c r="FC303" s="35"/>
      <c r="FD303" s="35"/>
      <c r="FE303" s="35"/>
      <c r="FF303" s="35"/>
      <c r="FG303" s="35"/>
      <c r="FH303" s="35"/>
      <c r="FI303" s="35"/>
      <c r="FJ303" s="35"/>
      <c r="FK303" s="35"/>
      <c r="FL303" s="35"/>
      <c r="FM303" s="35"/>
      <c r="FN303" s="35"/>
      <c r="FO303" s="35"/>
      <c r="FP303" s="35"/>
      <c r="FQ303" s="35"/>
      <c r="FR303" s="35"/>
      <c r="FS303" s="35"/>
      <c r="FT303" s="35"/>
      <c r="FU303" s="35"/>
      <c r="FV303" s="35"/>
      <c r="FW303" s="35"/>
      <c r="FX303" s="35"/>
      <c r="FY303" s="35"/>
      <c r="FZ303" s="35"/>
      <c r="GA303" s="35"/>
      <c r="GB303" s="35"/>
      <c r="GC303" s="35"/>
      <c r="GD303" s="35"/>
      <c r="GE303" s="35"/>
      <c r="GF303" s="35"/>
      <c r="GG303" s="35"/>
      <c r="GH303" s="35"/>
      <c r="GI303" s="35"/>
      <c r="GJ303" s="35"/>
      <c r="GK303" s="35"/>
      <c r="GL303" s="35"/>
      <c r="GM303" s="35"/>
      <c r="GN303" s="35"/>
      <c r="GO303" s="35"/>
      <c r="GP303" s="35"/>
      <c r="GQ303" s="35"/>
      <c r="GR303" s="35"/>
      <c r="GS303" s="35"/>
      <c r="GT303" s="35"/>
      <c r="GU303" s="35"/>
      <c r="GV303" s="35"/>
      <c r="GW303" s="35"/>
      <c r="GX303" s="35"/>
      <c r="GY303" s="35"/>
      <c r="GZ303" s="35"/>
      <c r="HA303" s="35"/>
      <c r="HB303" s="35"/>
      <c r="HC303" s="35"/>
      <c r="HD303" s="35"/>
      <c r="HE303" s="35"/>
      <c r="HF303" s="35"/>
      <c r="HG303" s="35"/>
      <c r="HH303" s="35"/>
      <c r="HI303" s="35"/>
      <c r="HJ303" s="35"/>
      <c r="HK303" s="35"/>
      <c r="HL303" s="35"/>
      <c r="HM303" s="35"/>
      <c r="HN303" s="35"/>
      <c r="HO303" s="35"/>
      <c r="HP303" s="35"/>
      <c r="HQ303" s="35"/>
      <c r="HR303" s="35"/>
      <c r="HS303" s="35"/>
      <c r="HT303" s="35"/>
      <c r="HU303" s="35"/>
      <c r="HV303" s="35"/>
      <c r="HW303" s="35"/>
      <c r="HX303" s="35"/>
      <c r="HY303" s="35"/>
      <c r="HZ303" s="35"/>
      <c r="IA303" s="35"/>
      <c r="IB303" s="35"/>
      <c r="IC303" s="35"/>
      <c r="ID303" s="35"/>
      <c r="IE303" s="35"/>
      <c r="IF303" s="35"/>
      <c r="IG303" s="35"/>
      <c r="IH303" s="35"/>
      <c r="II303" s="35"/>
      <c r="IJ303" s="35"/>
      <c r="IK303" s="35"/>
      <c r="IL303" s="35"/>
      <c r="IM303" s="35"/>
      <c r="IN303" s="35"/>
      <c r="IO303" s="35"/>
      <c r="IP303" s="35"/>
      <c r="IQ303" s="35"/>
      <c r="IR303" s="35"/>
      <c r="IS303" s="35"/>
      <c r="IT303" s="35"/>
      <c r="IU303" s="35"/>
      <c r="IV303" s="35"/>
      <c r="IW303" s="35"/>
      <c r="IX303" s="35"/>
      <c r="IY303" s="35"/>
      <c r="IZ303" s="35"/>
      <c r="JA303" s="35"/>
      <c r="JB303" s="35"/>
      <c r="JC303" s="35"/>
      <c r="JD303" s="35"/>
      <c r="JE303" s="35"/>
    </row>
    <row r="304">
      <c r="A304" s="42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  <c r="BS304" s="35"/>
      <c r="BT304" s="35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35"/>
      <c r="CO304" s="35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35"/>
      <c r="DJ304" s="35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35"/>
      <c r="EE304" s="35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35"/>
      <c r="EZ304" s="35"/>
      <c r="FA304" s="35"/>
      <c r="FB304" s="35"/>
      <c r="FC304" s="35"/>
      <c r="FD304" s="35"/>
      <c r="FE304" s="35"/>
      <c r="FF304" s="35"/>
      <c r="FG304" s="35"/>
      <c r="FH304" s="35"/>
      <c r="FI304" s="35"/>
      <c r="FJ304" s="35"/>
      <c r="FK304" s="35"/>
      <c r="FL304" s="35"/>
      <c r="FM304" s="35"/>
      <c r="FN304" s="35"/>
      <c r="FO304" s="35"/>
      <c r="FP304" s="35"/>
      <c r="FQ304" s="35"/>
      <c r="FR304" s="35"/>
      <c r="FS304" s="35"/>
      <c r="FT304" s="35"/>
      <c r="FU304" s="35"/>
      <c r="FV304" s="35"/>
      <c r="FW304" s="35"/>
      <c r="FX304" s="35"/>
      <c r="FY304" s="35"/>
      <c r="FZ304" s="35"/>
      <c r="GA304" s="35"/>
      <c r="GB304" s="35"/>
      <c r="GC304" s="35"/>
      <c r="GD304" s="35"/>
      <c r="GE304" s="35"/>
      <c r="GF304" s="35"/>
      <c r="GG304" s="35"/>
      <c r="GH304" s="35"/>
      <c r="GI304" s="35"/>
      <c r="GJ304" s="35"/>
      <c r="GK304" s="35"/>
      <c r="GL304" s="35"/>
      <c r="GM304" s="35"/>
      <c r="GN304" s="35"/>
      <c r="GO304" s="35"/>
      <c r="GP304" s="35"/>
      <c r="GQ304" s="35"/>
      <c r="GR304" s="35"/>
      <c r="GS304" s="35"/>
      <c r="GT304" s="35"/>
      <c r="GU304" s="35"/>
      <c r="GV304" s="35"/>
      <c r="GW304" s="35"/>
      <c r="GX304" s="35"/>
      <c r="GY304" s="35"/>
      <c r="GZ304" s="35"/>
      <c r="HA304" s="35"/>
      <c r="HB304" s="35"/>
      <c r="HC304" s="35"/>
      <c r="HD304" s="35"/>
      <c r="HE304" s="35"/>
      <c r="HF304" s="35"/>
      <c r="HG304" s="35"/>
      <c r="HH304" s="35"/>
      <c r="HI304" s="35"/>
      <c r="HJ304" s="35"/>
      <c r="HK304" s="35"/>
      <c r="HL304" s="35"/>
      <c r="HM304" s="35"/>
      <c r="HN304" s="35"/>
      <c r="HO304" s="35"/>
      <c r="HP304" s="35"/>
      <c r="HQ304" s="35"/>
      <c r="HR304" s="35"/>
      <c r="HS304" s="35"/>
      <c r="HT304" s="35"/>
      <c r="HU304" s="35"/>
      <c r="HV304" s="35"/>
      <c r="HW304" s="35"/>
      <c r="HX304" s="35"/>
      <c r="HY304" s="35"/>
      <c r="HZ304" s="35"/>
      <c r="IA304" s="35"/>
      <c r="IB304" s="35"/>
      <c r="IC304" s="35"/>
      <c r="ID304" s="35"/>
      <c r="IE304" s="35"/>
      <c r="IF304" s="35"/>
      <c r="IG304" s="35"/>
      <c r="IH304" s="35"/>
      <c r="II304" s="35"/>
      <c r="IJ304" s="35"/>
      <c r="IK304" s="35"/>
      <c r="IL304" s="35"/>
      <c r="IM304" s="35"/>
      <c r="IN304" s="35"/>
      <c r="IO304" s="35"/>
      <c r="IP304" s="35"/>
      <c r="IQ304" s="35"/>
      <c r="IR304" s="35"/>
      <c r="IS304" s="35"/>
      <c r="IT304" s="35"/>
      <c r="IU304" s="35"/>
      <c r="IV304" s="35"/>
      <c r="IW304" s="35"/>
      <c r="IX304" s="35"/>
      <c r="IY304" s="35"/>
      <c r="IZ304" s="35"/>
      <c r="JA304" s="35"/>
      <c r="JB304" s="35"/>
      <c r="JC304" s="35"/>
      <c r="JD304" s="35"/>
      <c r="JE304" s="35"/>
    </row>
    <row r="305">
      <c r="A305" s="42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  <c r="BS305" s="35"/>
      <c r="BT305" s="35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35"/>
      <c r="CO305" s="35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35"/>
      <c r="DJ305" s="35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35"/>
      <c r="EE305" s="35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35"/>
      <c r="EZ305" s="35"/>
      <c r="FA305" s="35"/>
      <c r="FB305" s="35"/>
      <c r="FC305" s="35"/>
      <c r="FD305" s="35"/>
      <c r="FE305" s="35"/>
      <c r="FF305" s="35"/>
      <c r="FG305" s="35"/>
      <c r="FH305" s="35"/>
      <c r="FI305" s="35"/>
      <c r="FJ305" s="35"/>
      <c r="FK305" s="35"/>
      <c r="FL305" s="35"/>
      <c r="FM305" s="35"/>
      <c r="FN305" s="35"/>
      <c r="FO305" s="35"/>
      <c r="FP305" s="35"/>
      <c r="FQ305" s="35"/>
      <c r="FR305" s="35"/>
      <c r="FS305" s="35"/>
      <c r="FT305" s="35"/>
      <c r="FU305" s="35"/>
      <c r="FV305" s="35"/>
      <c r="FW305" s="35"/>
      <c r="FX305" s="35"/>
      <c r="FY305" s="35"/>
      <c r="FZ305" s="35"/>
      <c r="GA305" s="35"/>
      <c r="GB305" s="35"/>
      <c r="GC305" s="35"/>
      <c r="GD305" s="35"/>
      <c r="GE305" s="35"/>
      <c r="GF305" s="35"/>
      <c r="GG305" s="35"/>
      <c r="GH305" s="35"/>
      <c r="GI305" s="35"/>
      <c r="GJ305" s="35"/>
      <c r="GK305" s="35"/>
      <c r="GL305" s="35"/>
      <c r="GM305" s="35"/>
      <c r="GN305" s="35"/>
      <c r="GO305" s="35"/>
      <c r="GP305" s="35"/>
      <c r="GQ305" s="35"/>
      <c r="GR305" s="35"/>
      <c r="GS305" s="35"/>
      <c r="GT305" s="35"/>
      <c r="GU305" s="35"/>
      <c r="GV305" s="35"/>
      <c r="GW305" s="35"/>
      <c r="GX305" s="35"/>
      <c r="GY305" s="35"/>
      <c r="GZ305" s="35"/>
      <c r="HA305" s="35"/>
      <c r="HB305" s="35"/>
      <c r="HC305" s="35"/>
      <c r="HD305" s="35"/>
      <c r="HE305" s="35"/>
      <c r="HF305" s="35"/>
      <c r="HG305" s="35"/>
      <c r="HH305" s="35"/>
      <c r="HI305" s="35"/>
      <c r="HJ305" s="35"/>
      <c r="HK305" s="35"/>
      <c r="HL305" s="35"/>
      <c r="HM305" s="35"/>
      <c r="HN305" s="35"/>
      <c r="HO305" s="35"/>
      <c r="HP305" s="35"/>
      <c r="HQ305" s="35"/>
      <c r="HR305" s="35"/>
      <c r="HS305" s="35"/>
      <c r="HT305" s="35"/>
      <c r="HU305" s="35"/>
      <c r="HV305" s="35"/>
      <c r="HW305" s="35"/>
      <c r="HX305" s="35"/>
      <c r="HY305" s="35"/>
      <c r="HZ305" s="35"/>
      <c r="IA305" s="35"/>
      <c r="IB305" s="35"/>
      <c r="IC305" s="35"/>
      <c r="ID305" s="35"/>
      <c r="IE305" s="35"/>
      <c r="IF305" s="35"/>
      <c r="IG305" s="35"/>
      <c r="IH305" s="35"/>
      <c r="II305" s="35"/>
      <c r="IJ305" s="35"/>
      <c r="IK305" s="35"/>
      <c r="IL305" s="35"/>
      <c r="IM305" s="35"/>
      <c r="IN305" s="35"/>
      <c r="IO305" s="35"/>
      <c r="IP305" s="35"/>
      <c r="IQ305" s="35"/>
      <c r="IR305" s="35"/>
      <c r="IS305" s="35"/>
      <c r="IT305" s="35"/>
      <c r="IU305" s="35"/>
      <c r="IV305" s="35"/>
      <c r="IW305" s="35"/>
      <c r="IX305" s="35"/>
      <c r="IY305" s="35"/>
      <c r="IZ305" s="35"/>
      <c r="JA305" s="35"/>
      <c r="JB305" s="35"/>
      <c r="JC305" s="35"/>
      <c r="JD305" s="35"/>
      <c r="JE305" s="35"/>
    </row>
    <row r="306">
      <c r="A306" s="42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35"/>
      <c r="CO306" s="35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35"/>
      <c r="DJ306" s="35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35"/>
      <c r="EE306" s="35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35"/>
      <c r="EZ306" s="35"/>
      <c r="FA306" s="35"/>
      <c r="FB306" s="35"/>
      <c r="FC306" s="35"/>
      <c r="FD306" s="35"/>
      <c r="FE306" s="35"/>
      <c r="FF306" s="35"/>
      <c r="FG306" s="35"/>
      <c r="FH306" s="35"/>
      <c r="FI306" s="35"/>
      <c r="FJ306" s="35"/>
      <c r="FK306" s="35"/>
      <c r="FL306" s="35"/>
      <c r="FM306" s="35"/>
      <c r="FN306" s="35"/>
      <c r="FO306" s="35"/>
      <c r="FP306" s="35"/>
      <c r="FQ306" s="35"/>
      <c r="FR306" s="35"/>
      <c r="FS306" s="35"/>
      <c r="FT306" s="35"/>
      <c r="FU306" s="35"/>
      <c r="FV306" s="35"/>
      <c r="FW306" s="35"/>
      <c r="FX306" s="35"/>
      <c r="FY306" s="35"/>
      <c r="FZ306" s="35"/>
      <c r="GA306" s="35"/>
      <c r="GB306" s="35"/>
      <c r="GC306" s="35"/>
      <c r="GD306" s="35"/>
      <c r="GE306" s="35"/>
      <c r="GF306" s="35"/>
      <c r="GG306" s="35"/>
      <c r="GH306" s="35"/>
      <c r="GI306" s="35"/>
      <c r="GJ306" s="35"/>
      <c r="GK306" s="35"/>
      <c r="GL306" s="35"/>
      <c r="GM306" s="35"/>
      <c r="GN306" s="35"/>
      <c r="GO306" s="35"/>
      <c r="GP306" s="35"/>
      <c r="GQ306" s="35"/>
      <c r="GR306" s="35"/>
      <c r="GS306" s="35"/>
      <c r="GT306" s="35"/>
      <c r="GU306" s="35"/>
      <c r="GV306" s="35"/>
      <c r="GW306" s="35"/>
      <c r="GX306" s="35"/>
      <c r="GY306" s="35"/>
      <c r="GZ306" s="35"/>
      <c r="HA306" s="35"/>
      <c r="HB306" s="35"/>
      <c r="HC306" s="35"/>
      <c r="HD306" s="35"/>
      <c r="HE306" s="35"/>
      <c r="HF306" s="35"/>
      <c r="HG306" s="35"/>
      <c r="HH306" s="35"/>
      <c r="HI306" s="35"/>
      <c r="HJ306" s="35"/>
      <c r="HK306" s="35"/>
      <c r="HL306" s="35"/>
      <c r="HM306" s="35"/>
      <c r="HN306" s="35"/>
      <c r="HO306" s="35"/>
      <c r="HP306" s="35"/>
      <c r="HQ306" s="35"/>
      <c r="HR306" s="35"/>
      <c r="HS306" s="35"/>
      <c r="HT306" s="35"/>
      <c r="HU306" s="35"/>
      <c r="HV306" s="35"/>
      <c r="HW306" s="35"/>
      <c r="HX306" s="35"/>
      <c r="HY306" s="35"/>
      <c r="HZ306" s="35"/>
      <c r="IA306" s="35"/>
      <c r="IB306" s="35"/>
      <c r="IC306" s="35"/>
      <c r="ID306" s="35"/>
      <c r="IE306" s="35"/>
      <c r="IF306" s="35"/>
      <c r="IG306" s="35"/>
      <c r="IH306" s="35"/>
      <c r="II306" s="35"/>
      <c r="IJ306" s="35"/>
      <c r="IK306" s="35"/>
      <c r="IL306" s="35"/>
      <c r="IM306" s="35"/>
      <c r="IN306" s="35"/>
      <c r="IO306" s="35"/>
      <c r="IP306" s="35"/>
      <c r="IQ306" s="35"/>
      <c r="IR306" s="35"/>
      <c r="IS306" s="35"/>
      <c r="IT306" s="35"/>
      <c r="IU306" s="35"/>
      <c r="IV306" s="35"/>
      <c r="IW306" s="35"/>
      <c r="IX306" s="35"/>
      <c r="IY306" s="35"/>
      <c r="IZ306" s="35"/>
      <c r="JA306" s="35"/>
      <c r="JB306" s="35"/>
      <c r="JC306" s="35"/>
      <c r="JD306" s="35"/>
      <c r="JE306" s="35"/>
    </row>
    <row r="307">
      <c r="A307" s="42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  <c r="BD307" s="35"/>
      <c r="BE307" s="35"/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  <c r="BR307" s="35"/>
      <c r="BS307" s="35"/>
      <c r="BT307" s="35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35"/>
      <c r="CO307" s="35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35"/>
      <c r="DJ307" s="35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35"/>
      <c r="EE307" s="35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35"/>
      <c r="EZ307" s="35"/>
      <c r="FA307" s="35"/>
      <c r="FB307" s="35"/>
      <c r="FC307" s="35"/>
      <c r="FD307" s="35"/>
      <c r="FE307" s="35"/>
      <c r="FF307" s="35"/>
      <c r="FG307" s="35"/>
      <c r="FH307" s="35"/>
      <c r="FI307" s="35"/>
      <c r="FJ307" s="35"/>
      <c r="FK307" s="35"/>
      <c r="FL307" s="35"/>
      <c r="FM307" s="35"/>
      <c r="FN307" s="35"/>
      <c r="FO307" s="35"/>
      <c r="FP307" s="35"/>
      <c r="FQ307" s="35"/>
      <c r="FR307" s="35"/>
      <c r="FS307" s="35"/>
      <c r="FT307" s="35"/>
      <c r="FU307" s="35"/>
      <c r="FV307" s="35"/>
      <c r="FW307" s="35"/>
      <c r="FX307" s="35"/>
      <c r="FY307" s="35"/>
      <c r="FZ307" s="35"/>
      <c r="GA307" s="35"/>
      <c r="GB307" s="35"/>
      <c r="GC307" s="35"/>
      <c r="GD307" s="35"/>
      <c r="GE307" s="35"/>
      <c r="GF307" s="35"/>
      <c r="GG307" s="35"/>
      <c r="GH307" s="35"/>
      <c r="GI307" s="35"/>
      <c r="GJ307" s="35"/>
      <c r="GK307" s="35"/>
      <c r="GL307" s="35"/>
      <c r="GM307" s="35"/>
      <c r="GN307" s="35"/>
      <c r="GO307" s="35"/>
      <c r="GP307" s="35"/>
      <c r="GQ307" s="35"/>
      <c r="GR307" s="35"/>
      <c r="GS307" s="35"/>
      <c r="GT307" s="35"/>
      <c r="GU307" s="35"/>
      <c r="GV307" s="35"/>
      <c r="GW307" s="35"/>
      <c r="GX307" s="35"/>
      <c r="GY307" s="35"/>
      <c r="GZ307" s="35"/>
      <c r="HA307" s="35"/>
      <c r="HB307" s="35"/>
      <c r="HC307" s="35"/>
      <c r="HD307" s="35"/>
      <c r="HE307" s="35"/>
      <c r="HF307" s="35"/>
      <c r="HG307" s="35"/>
      <c r="HH307" s="35"/>
      <c r="HI307" s="35"/>
      <c r="HJ307" s="35"/>
      <c r="HK307" s="35"/>
      <c r="HL307" s="35"/>
      <c r="HM307" s="35"/>
      <c r="HN307" s="35"/>
      <c r="HO307" s="35"/>
      <c r="HP307" s="35"/>
      <c r="HQ307" s="35"/>
      <c r="HR307" s="35"/>
      <c r="HS307" s="35"/>
      <c r="HT307" s="35"/>
      <c r="HU307" s="35"/>
      <c r="HV307" s="35"/>
      <c r="HW307" s="35"/>
      <c r="HX307" s="35"/>
      <c r="HY307" s="35"/>
      <c r="HZ307" s="35"/>
      <c r="IA307" s="35"/>
      <c r="IB307" s="35"/>
      <c r="IC307" s="35"/>
      <c r="ID307" s="35"/>
      <c r="IE307" s="35"/>
      <c r="IF307" s="35"/>
      <c r="IG307" s="35"/>
      <c r="IH307" s="35"/>
      <c r="II307" s="35"/>
      <c r="IJ307" s="35"/>
      <c r="IK307" s="35"/>
      <c r="IL307" s="35"/>
      <c r="IM307" s="35"/>
      <c r="IN307" s="35"/>
      <c r="IO307" s="35"/>
      <c r="IP307" s="35"/>
      <c r="IQ307" s="35"/>
      <c r="IR307" s="35"/>
      <c r="IS307" s="35"/>
      <c r="IT307" s="35"/>
      <c r="IU307" s="35"/>
      <c r="IV307" s="35"/>
      <c r="IW307" s="35"/>
      <c r="IX307" s="35"/>
      <c r="IY307" s="35"/>
      <c r="IZ307" s="35"/>
      <c r="JA307" s="35"/>
      <c r="JB307" s="35"/>
      <c r="JC307" s="35"/>
      <c r="JD307" s="35"/>
      <c r="JE307" s="35"/>
    </row>
    <row r="308">
      <c r="A308" s="42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35"/>
      <c r="CO308" s="35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35"/>
      <c r="DJ308" s="35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35"/>
      <c r="EE308" s="35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35"/>
      <c r="EZ308" s="35"/>
      <c r="FA308" s="35"/>
      <c r="FB308" s="35"/>
      <c r="FC308" s="35"/>
      <c r="FD308" s="35"/>
      <c r="FE308" s="35"/>
      <c r="FF308" s="35"/>
      <c r="FG308" s="35"/>
      <c r="FH308" s="35"/>
      <c r="FI308" s="35"/>
      <c r="FJ308" s="35"/>
      <c r="FK308" s="35"/>
      <c r="FL308" s="35"/>
      <c r="FM308" s="35"/>
      <c r="FN308" s="35"/>
      <c r="FO308" s="35"/>
      <c r="FP308" s="35"/>
      <c r="FQ308" s="35"/>
      <c r="FR308" s="35"/>
      <c r="FS308" s="35"/>
      <c r="FT308" s="35"/>
      <c r="FU308" s="35"/>
      <c r="FV308" s="35"/>
      <c r="FW308" s="35"/>
      <c r="FX308" s="35"/>
      <c r="FY308" s="35"/>
      <c r="FZ308" s="35"/>
      <c r="GA308" s="35"/>
      <c r="GB308" s="35"/>
      <c r="GC308" s="35"/>
      <c r="GD308" s="35"/>
      <c r="GE308" s="35"/>
      <c r="GF308" s="35"/>
      <c r="GG308" s="35"/>
      <c r="GH308" s="35"/>
      <c r="GI308" s="35"/>
      <c r="GJ308" s="35"/>
      <c r="GK308" s="35"/>
      <c r="GL308" s="35"/>
      <c r="GM308" s="35"/>
      <c r="GN308" s="35"/>
      <c r="GO308" s="35"/>
      <c r="GP308" s="35"/>
      <c r="GQ308" s="35"/>
      <c r="GR308" s="35"/>
      <c r="GS308" s="35"/>
      <c r="GT308" s="35"/>
      <c r="GU308" s="35"/>
      <c r="GV308" s="35"/>
      <c r="GW308" s="35"/>
      <c r="GX308" s="35"/>
      <c r="GY308" s="35"/>
      <c r="GZ308" s="35"/>
      <c r="HA308" s="35"/>
      <c r="HB308" s="35"/>
      <c r="HC308" s="35"/>
      <c r="HD308" s="35"/>
      <c r="HE308" s="35"/>
      <c r="HF308" s="35"/>
      <c r="HG308" s="35"/>
      <c r="HH308" s="35"/>
      <c r="HI308" s="35"/>
      <c r="HJ308" s="35"/>
      <c r="HK308" s="35"/>
      <c r="HL308" s="35"/>
      <c r="HM308" s="35"/>
      <c r="HN308" s="35"/>
      <c r="HO308" s="35"/>
      <c r="HP308" s="35"/>
      <c r="HQ308" s="35"/>
      <c r="HR308" s="35"/>
      <c r="HS308" s="35"/>
      <c r="HT308" s="35"/>
      <c r="HU308" s="35"/>
      <c r="HV308" s="35"/>
      <c r="HW308" s="35"/>
      <c r="HX308" s="35"/>
      <c r="HY308" s="35"/>
      <c r="HZ308" s="35"/>
      <c r="IA308" s="35"/>
      <c r="IB308" s="35"/>
      <c r="IC308" s="35"/>
      <c r="ID308" s="35"/>
      <c r="IE308" s="35"/>
      <c r="IF308" s="35"/>
      <c r="IG308" s="35"/>
      <c r="IH308" s="35"/>
      <c r="II308" s="35"/>
      <c r="IJ308" s="35"/>
      <c r="IK308" s="35"/>
      <c r="IL308" s="35"/>
      <c r="IM308" s="35"/>
      <c r="IN308" s="35"/>
      <c r="IO308" s="35"/>
      <c r="IP308" s="35"/>
      <c r="IQ308" s="35"/>
      <c r="IR308" s="35"/>
      <c r="IS308" s="35"/>
      <c r="IT308" s="35"/>
      <c r="IU308" s="35"/>
      <c r="IV308" s="35"/>
      <c r="IW308" s="35"/>
      <c r="IX308" s="35"/>
      <c r="IY308" s="35"/>
      <c r="IZ308" s="35"/>
      <c r="JA308" s="35"/>
      <c r="JB308" s="35"/>
      <c r="JC308" s="35"/>
      <c r="JD308" s="35"/>
      <c r="JE308" s="35"/>
    </row>
    <row r="309">
      <c r="A309" s="42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  <c r="BS309" s="35"/>
      <c r="BT309" s="35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35"/>
      <c r="CO309" s="35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35"/>
      <c r="DJ309" s="35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35"/>
      <c r="EE309" s="35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35"/>
      <c r="EZ309" s="35"/>
      <c r="FA309" s="35"/>
      <c r="FB309" s="35"/>
      <c r="FC309" s="35"/>
      <c r="FD309" s="35"/>
      <c r="FE309" s="35"/>
      <c r="FF309" s="35"/>
      <c r="FG309" s="35"/>
      <c r="FH309" s="35"/>
      <c r="FI309" s="35"/>
      <c r="FJ309" s="35"/>
      <c r="FK309" s="35"/>
      <c r="FL309" s="35"/>
      <c r="FM309" s="35"/>
      <c r="FN309" s="35"/>
      <c r="FO309" s="35"/>
      <c r="FP309" s="35"/>
      <c r="FQ309" s="35"/>
      <c r="FR309" s="35"/>
      <c r="FS309" s="35"/>
      <c r="FT309" s="35"/>
      <c r="FU309" s="35"/>
      <c r="FV309" s="35"/>
      <c r="FW309" s="35"/>
      <c r="FX309" s="35"/>
      <c r="FY309" s="35"/>
      <c r="FZ309" s="35"/>
      <c r="GA309" s="35"/>
      <c r="GB309" s="35"/>
      <c r="GC309" s="35"/>
      <c r="GD309" s="35"/>
      <c r="GE309" s="35"/>
      <c r="GF309" s="35"/>
      <c r="GG309" s="35"/>
      <c r="GH309" s="35"/>
      <c r="GI309" s="35"/>
      <c r="GJ309" s="35"/>
      <c r="GK309" s="35"/>
      <c r="GL309" s="35"/>
      <c r="GM309" s="35"/>
      <c r="GN309" s="35"/>
      <c r="GO309" s="35"/>
      <c r="GP309" s="35"/>
      <c r="GQ309" s="35"/>
      <c r="GR309" s="35"/>
      <c r="GS309" s="35"/>
      <c r="GT309" s="35"/>
      <c r="GU309" s="35"/>
      <c r="GV309" s="35"/>
      <c r="GW309" s="35"/>
      <c r="GX309" s="35"/>
      <c r="GY309" s="35"/>
      <c r="GZ309" s="35"/>
      <c r="HA309" s="35"/>
      <c r="HB309" s="35"/>
      <c r="HC309" s="35"/>
      <c r="HD309" s="35"/>
      <c r="HE309" s="35"/>
      <c r="HF309" s="35"/>
      <c r="HG309" s="35"/>
      <c r="HH309" s="35"/>
      <c r="HI309" s="35"/>
      <c r="HJ309" s="35"/>
      <c r="HK309" s="35"/>
      <c r="HL309" s="35"/>
      <c r="HM309" s="35"/>
      <c r="HN309" s="35"/>
      <c r="HO309" s="35"/>
      <c r="HP309" s="35"/>
      <c r="HQ309" s="35"/>
      <c r="HR309" s="35"/>
      <c r="HS309" s="35"/>
      <c r="HT309" s="35"/>
      <c r="HU309" s="35"/>
      <c r="HV309" s="35"/>
      <c r="HW309" s="35"/>
      <c r="HX309" s="35"/>
      <c r="HY309" s="35"/>
      <c r="HZ309" s="35"/>
      <c r="IA309" s="35"/>
      <c r="IB309" s="35"/>
      <c r="IC309" s="35"/>
      <c r="ID309" s="35"/>
      <c r="IE309" s="35"/>
      <c r="IF309" s="35"/>
      <c r="IG309" s="35"/>
      <c r="IH309" s="35"/>
      <c r="II309" s="35"/>
      <c r="IJ309" s="35"/>
      <c r="IK309" s="35"/>
      <c r="IL309" s="35"/>
      <c r="IM309" s="35"/>
      <c r="IN309" s="35"/>
      <c r="IO309" s="35"/>
      <c r="IP309" s="35"/>
      <c r="IQ309" s="35"/>
      <c r="IR309" s="35"/>
      <c r="IS309" s="35"/>
      <c r="IT309" s="35"/>
      <c r="IU309" s="35"/>
      <c r="IV309" s="35"/>
      <c r="IW309" s="35"/>
      <c r="IX309" s="35"/>
      <c r="IY309" s="35"/>
      <c r="IZ309" s="35"/>
      <c r="JA309" s="35"/>
      <c r="JB309" s="35"/>
      <c r="JC309" s="35"/>
      <c r="JD309" s="35"/>
      <c r="JE309" s="35"/>
    </row>
    <row r="310">
      <c r="A310" s="42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  <c r="BC310" s="35"/>
      <c r="BD310" s="35"/>
      <c r="BE310" s="35"/>
      <c r="BF310" s="35"/>
      <c r="BG310" s="35"/>
      <c r="BH310" s="35"/>
      <c r="BI310" s="35"/>
      <c r="BJ310" s="35"/>
      <c r="BK310" s="35"/>
      <c r="BL310" s="35"/>
      <c r="BM310" s="35"/>
      <c r="BN310" s="35"/>
      <c r="BO310" s="35"/>
      <c r="BP310" s="35"/>
      <c r="BQ310" s="35"/>
      <c r="BR310" s="35"/>
      <c r="BS310" s="35"/>
      <c r="BT310" s="35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35"/>
      <c r="CO310" s="35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35"/>
      <c r="DJ310" s="35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35"/>
      <c r="EE310" s="35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35"/>
      <c r="EZ310" s="35"/>
      <c r="FA310" s="35"/>
      <c r="FB310" s="35"/>
      <c r="FC310" s="35"/>
      <c r="FD310" s="35"/>
      <c r="FE310" s="35"/>
      <c r="FF310" s="35"/>
      <c r="FG310" s="35"/>
      <c r="FH310" s="35"/>
      <c r="FI310" s="35"/>
      <c r="FJ310" s="35"/>
      <c r="FK310" s="35"/>
      <c r="FL310" s="35"/>
      <c r="FM310" s="35"/>
      <c r="FN310" s="35"/>
      <c r="FO310" s="35"/>
      <c r="FP310" s="35"/>
      <c r="FQ310" s="35"/>
      <c r="FR310" s="35"/>
      <c r="FS310" s="35"/>
      <c r="FT310" s="35"/>
      <c r="FU310" s="35"/>
      <c r="FV310" s="35"/>
      <c r="FW310" s="35"/>
      <c r="FX310" s="35"/>
      <c r="FY310" s="35"/>
      <c r="FZ310" s="35"/>
      <c r="GA310" s="35"/>
      <c r="GB310" s="35"/>
      <c r="GC310" s="35"/>
      <c r="GD310" s="35"/>
      <c r="GE310" s="35"/>
      <c r="GF310" s="35"/>
      <c r="GG310" s="35"/>
      <c r="GH310" s="35"/>
      <c r="GI310" s="35"/>
      <c r="GJ310" s="35"/>
      <c r="GK310" s="35"/>
      <c r="GL310" s="35"/>
      <c r="GM310" s="35"/>
      <c r="GN310" s="35"/>
      <c r="GO310" s="35"/>
      <c r="GP310" s="35"/>
      <c r="GQ310" s="35"/>
      <c r="GR310" s="35"/>
      <c r="GS310" s="35"/>
      <c r="GT310" s="35"/>
      <c r="GU310" s="35"/>
      <c r="GV310" s="35"/>
      <c r="GW310" s="35"/>
      <c r="GX310" s="35"/>
      <c r="GY310" s="35"/>
      <c r="GZ310" s="35"/>
      <c r="HA310" s="35"/>
      <c r="HB310" s="35"/>
      <c r="HC310" s="35"/>
      <c r="HD310" s="35"/>
      <c r="HE310" s="35"/>
      <c r="HF310" s="35"/>
      <c r="HG310" s="35"/>
      <c r="HH310" s="35"/>
      <c r="HI310" s="35"/>
      <c r="HJ310" s="35"/>
      <c r="HK310" s="35"/>
      <c r="HL310" s="35"/>
      <c r="HM310" s="35"/>
      <c r="HN310" s="35"/>
      <c r="HO310" s="35"/>
      <c r="HP310" s="35"/>
      <c r="HQ310" s="35"/>
      <c r="HR310" s="35"/>
      <c r="HS310" s="35"/>
      <c r="HT310" s="35"/>
      <c r="HU310" s="35"/>
      <c r="HV310" s="35"/>
      <c r="HW310" s="35"/>
      <c r="HX310" s="35"/>
      <c r="HY310" s="35"/>
      <c r="HZ310" s="35"/>
      <c r="IA310" s="35"/>
      <c r="IB310" s="35"/>
      <c r="IC310" s="35"/>
      <c r="ID310" s="35"/>
      <c r="IE310" s="35"/>
      <c r="IF310" s="35"/>
      <c r="IG310" s="35"/>
      <c r="IH310" s="35"/>
      <c r="II310" s="35"/>
      <c r="IJ310" s="35"/>
      <c r="IK310" s="35"/>
      <c r="IL310" s="35"/>
      <c r="IM310" s="35"/>
      <c r="IN310" s="35"/>
      <c r="IO310" s="35"/>
      <c r="IP310" s="35"/>
      <c r="IQ310" s="35"/>
      <c r="IR310" s="35"/>
      <c r="IS310" s="35"/>
      <c r="IT310" s="35"/>
      <c r="IU310" s="35"/>
      <c r="IV310" s="35"/>
      <c r="IW310" s="35"/>
      <c r="IX310" s="35"/>
      <c r="IY310" s="35"/>
      <c r="IZ310" s="35"/>
      <c r="JA310" s="35"/>
      <c r="JB310" s="35"/>
      <c r="JC310" s="35"/>
      <c r="JD310" s="35"/>
      <c r="JE310" s="35"/>
    </row>
    <row r="311">
      <c r="A311" s="42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  <c r="BC311" s="35"/>
      <c r="BD311" s="35"/>
      <c r="BE311" s="35"/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  <c r="BR311" s="35"/>
      <c r="BS311" s="35"/>
      <c r="BT311" s="35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35"/>
      <c r="CO311" s="35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35"/>
      <c r="DJ311" s="35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35"/>
      <c r="EE311" s="35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35"/>
      <c r="EZ311" s="35"/>
      <c r="FA311" s="35"/>
      <c r="FB311" s="35"/>
      <c r="FC311" s="35"/>
      <c r="FD311" s="35"/>
      <c r="FE311" s="35"/>
      <c r="FF311" s="35"/>
      <c r="FG311" s="35"/>
      <c r="FH311" s="35"/>
      <c r="FI311" s="35"/>
      <c r="FJ311" s="35"/>
      <c r="FK311" s="35"/>
      <c r="FL311" s="35"/>
      <c r="FM311" s="35"/>
      <c r="FN311" s="35"/>
      <c r="FO311" s="35"/>
      <c r="FP311" s="35"/>
      <c r="FQ311" s="35"/>
      <c r="FR311" s="35"/>
      <c r="FS311" s="35"/>
      <c r="FT311" s="35"/>
      <c r="FU311" s="35"/>
      <c r="FV311" s="35"/>
      <c r="FW311" s="35"/>
      <c r="FX311" s="35"/>
      <c r="FY311" s="35"/>
      <c r="FZ311" s="35"/>
      <c r="GA311" s="35"/>
      <c r="GB311" s="35"/>
      <c r="GC311" s="35"/>
      <c r="GD311" s="35"/>
      <c r="GE311" s="35"/>
      <c r="GF311" s="35"/>
      <c r="GG311" s="35"/>
      <c r="GH311" s="35"/>
      <c r="GI311" s="35"/>
      <c r="GJ311" s="35"/>
      <c r="GK311" s="35"/>
      <c r="GL311" s="35"/>
      <c r="GM311" s="35"/>
      <c r="GN311" s="35"/>
      <c r="GO311" s="35"/>
      <c r="GP311" s="35"/>
      <c r="GQ311" s="35"/>
      <c r="GR311" s="35"/>
      <c r="GS311" s="35"/>
      <c r="GT311" s="35"/>
      <c r="GU311" s="35"/>
      <c r="GV311" s="35"/>
      <c r="GW311" s="35"/>
      <c r="GX311" s="35"/>
      <c r="GY311" s="35"/>
      <c r="GZ311" s="35"/>
      <c r="HA311" s="35"/>
      <c r="HB311" s="35"/>
      <c r="HC311" s="35"/>
      <c r="HD311" s="35"/>
      <c r="HE311" s="35"/>
      <c r="HF311" s="35"/>
      <c r="HG311" s="35"/>
      <c r="HH311" s="35"/>
      <c r="HI311" s="35"/>
      <c r="HJ311" s="35"/>
      <c r="HK311" s="35"/>
      <c r="HL311" s="35"/>
      <c r="HM311" s="35"/>
      <c r="HN311" s="35"/>
      <c r="HO311" s="35"/>
      <c r="HP311" s="35"/>
      <c r="HQ311" s="35"/>
      <c r="HR311" s="35"/>
      <c r="HS311" s="35"/>
      <c r="HT311" s="35"/>
      <c r="HU311" s="35"/>
      <c r="HV311" s="35"/>
      <c r="HW311" s="35"/>
      <c r="HX311" s="35"/>
      <c r="HY311" s="35"/>
      <c r="HZ311" s="35"/>
      <c r="IA311" s="35"/>
      <c r="IB311" s="35"/>
      <c r="IC311" s="35"/>
      <c r="ID311" s="35"/>
      <c r="IE311" s="35"/>
      <c r="IF311" s="35"/>
      <c r="IG311" s="35"/>
      <c r="IH311" s="35"/>
      <c r="II311" s="35"/>
      <c r="IJ311" s="35"/>
      <c r="IK311" s="35"/>
      <c r="IL311" s="35"/>
      <c r="IM311" s="35"/>
      <c r="IN311" s="35"/>
      <c r="IO311" s="35"/>
      <c r="IP311" s="35"/>
      <c r="IQ311" s="35"/>
      <c r="IR311" s="35"/>
      <c r="IS311" s="35"/>
      <c r="IT311" s="35"/>
      <c r="IU311" s="35"/>
      <c r="IV311" s="35"/>
      <c r="IW311" s="35"/>
      <c r="IX311" s="35"/>
      <c r="IY311" s="35"/>
      <c r="IZ311" s="35"/>
      <c r="JA311" s="35"/>
      <c r="JB311" s="35"/>
      <c r="JC311" s="35"/>
      <c r="JD311" s="35"/>
      <c r="JE311" s="35"/>
    </row>
    <row r="312">
      <c r="A312" s="42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  <c r="BS312" s="35"/>
      <c r="BT312" s="35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35"/>
      <c r="CO312" s="35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35"/>
      <c r="DJ312" s="35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35"/>
      <c r="EE312" s="35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35"/>
      <c r="EZ312" s="35"/>
      <c r="FA312" s="35"/>
      <c r="FB312" s="35"/>
      <c r="FC312" s="35"/>
      <c r="FD312" s="35"/>
      <c r="FE312" s="35"/>
      <c r="FF312" s="35"/>
      <c r="FG312" s="35"/>
      <c r="FH312" s="35"/>
      <c r="FI312" s="35"/>
      <c r="FJ312" s="35"/>
      <c r="FK312" s="35"/>
      <c r="FL312" s="35"/>
      <c r="FM312" s="35"/>
      <c r="FN312" s="35"/>
      <c r="FO312" s="35"/>
      <c r="FP312" s="35"/>
      <c r="FQ312" s="35"/>
      <c r="FR312" s="35"/>
      <c r="FS312" s="35"/>
      <c r="FT312" s="35"/>
      <c r="FU312" s="35"/>
      <c r="FV312" s="35"/>
      <c r="FW312" s="35"/>
      <c r="FX312" s="35"/>
      <c r="FY312" s="35"/>
      <c r="FZ312" s="35"/>
      <c r="GA312" s="35"/>
      <c r="GB312" s="35"/>
      <c r="GC312" s="35"/>
      <c r="GD312" s="35"/>
      <c r="GE312" s="35"/>
      <c r="GF312" s="35"/>
      <c r="GG312" s="35"/>
      <c r="GH312" s="35"/>
      <c r="GI312" s="35"/>
      <c r="GJ312" s="35"/>
      <c r="GK312" s="35"/>
      <c r="GL312" s="35"/>
      <c r="GM312" s="35"/>
      <c r="GN312" s="35"/>
      <c r="GO312" s="35"/>
      <c r="GP312" s="35"/>
      <c r="GQ312" s="35"/>
      <c r="GR312" s="35"/>
      <c r="GS312" s="35"/>
      <c r="GT312" s="35"/>
      <c r="GU312" s="35"/>
      <c r="GV312" s="35"/>
      <c r="GW312" s="35"/>
      <c r="GX312" s="35"/>
      <c r="GY312" s="35"/>
      <c r="GZ312" s="35"/>
      <c r="HA312" s="35"/>
      <c r="HB312" s="35"/>
      <c r="HC312" s="35"/>
      <c r="HD312" s="35"/>
      <c r="HE312" s="35"/>
      <c r="HF312" s="35"/>
      <c r="HG312" s="35"/>
      <c r="HH312" s="35"/>
      <c r="HI312" s="35"/>
      <c r="HJ312" s="35"/>
      <c r="HK312" s="35"/>
      <c r="HL312" s="35"/>
      <c r="HM312" s="35"/>
      <c r="HN312" s="35"/>
      <c r="HO312" s="35"/>
      <c r="HP312" s="35"/>
      <c r="HQ312" s="35"/>
      <c r="HR312" s="35"/>
      <c r="HS312" s="35"/>
      <c r="HT312" s="35"/>
      <c r="HU312" s="35"/>
      <c r="HV312" s="35"/>
      <c r="HW312" s="35"/>
      <c r="HX312" s="35"/>
      <c r="HY312" s="35"/>
      <c r="HZ312" s="35"/>
      <c r="IA312" s="35"/>
      <c r="IB312" s="35"/>
      <c r="IC312" s="35"/>
      <c r="ID312" s="35"/>
      <c r="IE312" s="35"/>
      <c r="IF312" s="35"/>
      <c r="IG312" s="35"/>
      <c r="IH312" s="35"/>
      <c r="II312" s="35"/>
      <c r="IJ312" s="35"/>
      <c r="IK312" s="35"/>
      <c r="IL312" s="35"/>
      <c r="IM312" s="35"/>
      <c r="IN312" s="35"/>
      <c r="IO312" s="35"/>
      <c r="IP312" s="35"/>
      <c r="IQ312" s="35"/>
      <c r="IR312" s="35"/>
      <c r="IS312" s="35"/>
      <c r="IT312" s="35"/>
      <c r="IU312" s="35"/>
      <c r="IV312" s="35"/>
      <c r="IW312" s="35"/>
      <c r="IX312" s="35"/>
      <c r="IY312" s="35"/>
      <c r="IZ312" s="35"/>
      <c r="JA312" s="35"/>
      <c r="JB312" s="35"/>
      <c r="JC312" s="35"/>
      <c r="JD312" s="35"/>
      <c r="JE312" s="35"/>
    </row>
    <row r="313">
      <c r="A313" s="42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  <c r="BC313" s="35"/>
      <c r="BD313" s="35"/>
      <c r="BE313" s="35"/>
      <c r="BF313" s="35"/>
      <c r="BG313" s="35"/>
      <c r="BH313" s="35"/>
      <c r="BI313" s="35"/>
      <c r="BJ313" s="35"/>
      <c r="BK313" s="35"/>
      <c r="BL313" s="35"/>
      <c r="BM313" s="35"/>
      <c r="BN313" s="35"/>
      <c r="BO313" s="35"/>
      <c r="BP313" s="35"/>
      <c r="BQ313" s="35"/>
      <c r="BR313" s="35"/>
      <c r="BS313" s="35"/>
      <c r="BT313" s="35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35"/>
      <c r="CO313" s="35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35"/>
      <c r="DJ313" s="35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35"/>
      <c r="EE313" s="35"/>
      <c r="EF313" s="35"/>
      <c r="EG313" s="35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35"/>
      <c r="EZ313" s="35"/>
      <c r="FA313" s="35"/>
      <c r="FB313" s="35"/>
      <c r="FC313" s="35"/>
      <c r="FD313" s="35"/>
      <c r="FE313" s="35"/>
      <c r="FF313" s="35"/>
      <c r="FG313" s="35"/>
      <c r="FH313" s="35"/>
      <c r="FI313" s="35"/>
      <c r="FJ313" s="35"/>
      <c r="FK313" s="35"/>
      <c r="FL313" s="35"/>
      <c r="FM313" s="35"/>
      <c r="FN313" s="35"/>
      <c r="FO313" s="35"/>
      <c r="FP313" s="35"/>
      <c r="FQ313" s="35"/>
      <c r="FR313" s="35"/>
      <c r="FS313" s="35"/>
      <c r="FT313" s="35"/>
      <c r="FU313" s="35"/>
      <c r="FV313" s="35"/>
      <c r="FW313" s="35"/>
      <c r="FX313" s="35"/>
      <c r="FY313" s="35"/>
      <c r="FZ313" s="35"/>
      <c r="GA313" s="35"/>
      <c r="GB313" s="35"/>
      <c r="GC313" s="35"/>
      <c r="GD313" s="35"/>
      <c r="GE313" s="35"/>
      <c r="GF313" s="35"/>
      <c r="GG313" s="35"/>
      <c r="GH313" s="35"/>
      <c r="GI313" s="35"/>
      <c r="GJ313" s="35"/>
      <c r="GK313" s="35"/>
      <c r="GL313" s="35"/>
      <c r="GM313" s="35"/>
      <c r="GN313" s="35"/>
      <c r="GO313" s="35"/>
      <c r="GP313" s="35"/>
      <c r="GQ313" s="35"/>
      <c r="GR313" s="35"/>
      <c r="GS313" s="35"/>
      <c r="GT313" s="35"/>
      <c r="GU313" s="35"/>
      <c r="GV313" s="35"/>
      <c r="GW313" s="35"/>
      <c r="GX313" s="35"/>
      <c r="GY313" s="35"/>
      <c r="GZ313" s="35"/>
      <c r="HA313" s="35"/>
      <c r="HB313" s="35"/>
      <c r="HC313" s="35"/>
      <c r="HD313" s="35"/>
      <c r="HE313" s="35"/>
      <c r="HF313" s="35"/>
      <c r="HG313" s="35"/>
      <c r="HH313" s="35"/>
      <c r="HI313" s="35"/>
      <c r="HJ313" s="35"/>
      <c r="HK313" s="35"/>
      <c r="HL313" s="35"/>
      <c r="HM313" s="35"/>
      <c r="HN313" s="35"/>
      <c r="HO313" s="35"/>
      <c r="HP313" s="35"/>
      <c r="HQ313" s="35"/>
      <c r="HR313" s="35"/>
      <c r="HS313" s="35"/>
      <c r="HT313" s="35"/>
      <c r="HU313" s="35"/>
      <c r="HV313" s="35"/>
      <c r="HW313" s="35"/>
      <c r="HX313" s="35"/>
      <c r="HY313" s="35"/>
      <c r="HZ313" s="35"/>
      <c r="IA313" s="35"/>
      <c r="IB313" s="35"/>
      <c r="IC313" s="35"/>
      <c r="ID313" s="35"/>
      <c r="IE313" s="35"/>
      <c r="IF313" s="35"/>
      <c r="IG313" s="35"/>
      <c r="IH313" s="35"/>
      <c r="II313" s="35"/>
      <c r="IJ313" s="35"/>
      <c r="IK313" s="35"/>
      <c r="IL313" s="35"/>
      <c r="IM313" s="35"/>
      <c r="IN313" s="35"/>
      <c r="IO313" s="35"/>
      <c r="IP313" s="35"/>
      <c r="IQ313" s="35"/>
      <c r="IR313" s="35"/>
      <c r="IS313" s="35"/>
      <c r="IT313" s="35"/>
      <c r="IU313" s="35"/>
      <c r="IV313" s="35"/>
      <c r="IW313" s="35"/>
      <c r="IX313" s="35"/>
      <c r="IY313" s="35"/>
      <c r="IZ313" s="35"/>
      <c r="JA313" s="35"/>
      <c r="JB313" s="35"/>
      <c r="JC313" s="35"/>
      <c r="JD313" s="35"/>
      <c r="JE313" s="35"/>
    </row>
    <row r="314">
      <c r="A314" s="42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35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35"/>
      <c r="CO314" s="35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35"/>
      <c r="DJ314" s="35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35"/>
      <c r="EE314" s="35"/>
      <c r="EF314" s="35"/>
      <c r="EG314" s="35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35"/>
      <c r="EZ314" s="35"/>
      <c r="FA314" s="35"/>
      <c r="FB314" s="35"/>
      <c r="FC314" s="35"/>
      <c r="FD314" s="35"/>
      <c r="FE314" s="35"/>
      <c r="FF314" s="35"/>
      <c r="FG314" s="35"/>
      <c r="FH314" s="35"/>
      <c r="FI314" s="35"/>
      <c r="FJ314" s="35"/>
      <c r="FK314" s="35"/>
      <c r="FL314" s="35"/>
      <c r="FM314" s="35"/>
      <c r="FN314" s="35"/>
      <c r="FO314" s="35"/>
      <c r="FP314" s="35"/>
      <c r="FQ314" s="35"/>
      <c r="FR314" s="35"/>
      <c r="FS314" s="35"/>
      <c r="FT314" s="35"/>
      <c r="FU314" s="35"/>
      <c r="FV314" s="35"/>
      <c r="FW314" s="35"/>
      <c r="FX314" s="35"/>
      <c r="FY314" s="35"/>
      <c r="FZ314" s="35"/>
      <c r="GA314" s="35"/>
      <c r="GB314" s="35"/>
      <c r="GC314" s="35"/>
      <c r="GD314" s="35"/>
      <c r="GE314" s="35"/>
      <c r="GF314" s="35"/>
      <c r="GG314" s="35"/>
      <c r="GH314" s="35"/>
      <c r="GI314" s="35"/>
      <c r="GJ314" s="35"/>
      <c r="GK314" s="35"/>
      <c r="GL314" s="35"/>
      <c r="GM314" s="35"/>
      <c r="GN314" s="35"/>
      <c r="GO314" s="35"/>
      <c r="GP314" s="35"/>
      <c r="GQ314" s="35"/>
      <c r="GR314" s="35"/>
      <c r="GS314" s="35"/>
      <c r="GT314" s="35"/>
      <c r="GU314" s="35"/>
      <c r="GV314" s="35"/>
      <c r="GW314" s="35"/>
      <c r="GX314" s="35"/>
      <c r="GY314" s="35"/>
      <c r="GZ314" s="35"/>
      <c r="HA314" s="35"/>
      <c r="HB314" s="35"/>
      <c r="HC314" s="35"/>
      <c r="HD314" s="35"/>
      <c r="HE314" s="35"/>
      <c r="HF314" s="35"/>
      <c r="HG314" s="35"/>
      <c r="HH314" s="35"/>
      <c r="HI314" s="35"/>
      <c r="HJ314" s="35"/>
      <c r="HK314" s="35"/>
      <c r="HL314" s="35"/>
      <c r="HM314" s="35"/>
      <c r="HN314" s="35"/>
      <c r="HO314" s="35"/>
      <c r="HP314" s="35"/>
      <c r="HQ314" s="35"/>
      <c r="HR314" s="35"/>
      <c r="HS314" s="35"/>
      <c r="HT314" s="35"/>
      <c r="HU314" s="35"/>
      <c r="HV314" s="35"/>
      <c r="HW314" s="35"/>
      <c r="HX314" s="35"/>
      <c r="HY314" s="35"/>
      <c r="HZ314" s="35"/>
      <c r="IA314" s="35"/>
      <c r="IB314" s="35"/>
      <c r="IC314" s="35"/>
      <c r="ID314" s="35"/>
      <c r="IE314" s="35"/>
      <c r="IF314" s="35"/>
      <c r="IG314" s="35"/>
      <c r="IH314" s="35"/>
      <c r="II314" s="35"/>
      <c r="IJ314" s="35"/>
      <c r="IK314" s="35"/>
      <c r="IL314" s="35"/>
      <c r="IM314" s="35"/>
      <c r="IN314" s="35"/>
      <c r="IO314" s="35"/>
      <c r="IP314" s="35"/>
      <c r="IQ314" s="35"/>
      <c r="IR314" s="35"/>
      <c r="IS314" s="35"/>
      <c r="IT314" s="35"/>
      <c r="IU314" s="35"/>
      <c r="IV314" s="35"/>
      <c r="IW314" s="35"/>
      <c r="IX314" s="35"/>
      <c r="IY314" s="35"/>
      <c r="IZ314" s="35"/>
      <c r="JA314" s="35"/>
      <c r="JB314" s="35"/>
      <c r="JC314" s="35"/>
      <c r="JD314" s="35"/>
      <c r="JE314" s="35"/>
    </row>
    <row r="315">
      <c r="A315" s="42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35"/>
      <c r="BS315" s="35"/>
      <c r="BT315" s="35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35"/>
      <c r="CO315" s="35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35"/>
      <c r="DJ315" s="35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35"/>
      <c r="EE315" s="35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35"/>
      <c r="EZ315" s="35"/>
      <c r="FA315" s="35"/>
      <c r="FB315" s="35"/>
      <c r="FC315" s="35"/>
      <c r="FD315" s="35"/>
      <c r="FE315" s="35"/>
      <c r="FF315" s="35"/>
      <c r="FG315" s="35"/>
      <c r="FH315" s="35"/>
      <c r="FI315" s="35"/>
      <c r="FJ315" s="35"/>
      <c r="FK315" s="35"/>
      <c r="FL315" s="35"/>
      <c r="FM315" s="35"/>
      <c r="FN315" s="35"/>
      <c r="FO315" s="35"/>
      <c r="FP315" s="35"/>
      <c r="FQ315" s="35"/>
      <c r="FR315" s="35"/>
      <c r="FS315" s="35"/>
      <c r="FT315" s="35"/>
      <c r="FU315" s="35"/>
      <c r="FV315" s="35"/>
      <c r="FW315" s="35"/>
      <c r="FX315" s="35"/>
      <c r="FY315" s="35"/>
      <c r="FZ315" s="35"/>
      <c r="GA315" s="35"/>
      <c r="GB315" s="35"/>
      <c r="GC315" s="35"/>
      <c r="GD315" s="35"/>
      <c r="GE315" s="35"/>
      <c r="GF315" s="35"/>
      <c r="GG315" s="35"/>
      <c r="GH315" s="35"/>
      <c r="GI315" s="35"/>
      <c r="GJ315" s="35"/>
      <c r="GK315" s="35"/>
      <c r="GL315" s="35"/>
      <c r="GM315" s="35"/>
      <c r="GN315" s="35"/>
      <c r="GO315" s="35"/>
      <c r="GP315" s="35"/>
      <c r="GQ315" s="35"/>
      <c r="GR315" s="35"/>
      <c r="GS315" s="35"/>
      <c r="GT315" s="35"/>
      <c r="GU315" s="35"/>
      <c r="GV315" s="35"/>
      <c r="GW315" s="35"/>
      <c r="GX315" s="35"/>
      <c r="GY315" s="35"/>
      <c r="GZ315" s="35"/>
      <c r="HA315" s="35"/>
      <c r="HB315" s="35"/>
      <c r="HC315" s="35"/>
      <c r="HD315" s="35"/>
      <c r="HE315" s="35"/>
      <c r="HF315" s="35"/>
      <c r="HG315" s="35"/>
      <c r="HH315" s="35"/>
      <c r="HI315" s="35"/>
      <c r="HJ315" s="35"/>
      <c r="HK315" s="35"/>
      <c r="HL315" s="35"/>
      <c r="HM315" s="35"/>
      <c r="HN315" s="35"/>
      <c r="HO315" s="35"/>
      <c r="HP315" s="35"/>
      <c r="HQ315" s="35"/>
      <c r="HR315" s="35"/>
      <c r="HS315" s="35"/>
      <c r="HT315" s="35"/>
      <c r="HU315" s="35"/>
      <c r="HV315" s="35"/>
      <c r="HW315" s="35"/>
      <c r="HX315" s="35"/>
      <c r="HY315" s="35"/>
      <c r="HZ315" s="35"/>
      <c r="IA315" s="35"/>
      <c r="IB315" s="35"/>
      <c r="IC315" s="35"/>
      <c r="ID315" s="35"/>
      <c r="IE315" s="35"/>
      <c r="IF315" s="35"/>
      <c r="IG315" s="35"/>
      <c r="IH315" s="35"/>
      <c r="II315" s="35"/>
      <c r="IJ315" s="35"/>
      <c r="IK315" s="35"/>
      <c r="IL315" s="35"/>
      <c r="IM315" s="35"/>
      <c r="IN315" s="35"/>
      <c r="IO315" s="35"/>
      <c r="IP315" s="35"/>
      <c r="IQ315" s="35"/>
      <c r="IR315" s="35"/>
      <c r="IS315" s="35"/>
      <c r="IT315" s="35"/>
      <c r="IU315" s="35"/>
      <c r="IV315" s="35"/>
      <c r="IW315" s="35"/>
      <c r="IX315" s="35"/>
      <c r="IY315" s="35"/>
      <c r="IZ315" s="35"/>
      <c r="JA315" s="35"/>
      <c r="JB315" s="35"/>
      <c r="JC315" s="35"/>
      <c r="JD315" s="35"/>
      <c r="JE315" s="35"/>
    </row>
    <row r="316">
      <c r="A316" s="42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35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35"/>
      <c r="CO316" s="35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35"/>
      <c r="DJ316" s="35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35"/>
      <c r="EE316" s="35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35"/>
      <c r="EZ316" s="35"/>
      <c r="FA316" s="35"/>
      <c r="FB316" s="35"/>
      <c r="FC316" s="35"/>
      <c r="FD316" s="35"/>
      <c r="FE316" s="35"/>
      <c r="FF316" s="35"/>
      <c r="FG316" s="35"/>
      <c r="FH316" s="35"/>
      <c r="FI316" s="35"/>
      <c r="FJ316" s="35"/>
      <c r="FK316" s="35"/>
      <c r="FL316" s="35"/>
      <c r="FM316" s="35"/>
      <c r="FN316" s="35"/>
      <c r="FO316" s="35"/>
      <c r="FP316" s="35"/>
      <c r="FQ316" s="35"/>
      <c r="FR316" s="35"/>
      <c r="FS316" s="35"/>
      <c r="FT316" s="35"/>
      <c r="FU316" s="35"/>
      <c r="FV316" s="35"/>
      <c r="FW316" s="35"/>
      <c r="FX316" s="35"/>
      <c r="FY316" s="35"/>
      <c r="FZ316" s="35"/>
      <c r="GA316" s="35"/>
      <c r="GB316" s="35"/>
      <c r="GC316" s="35"/>
      <c r="GD316" s="35"/>
      <c r="GE316" s="35"/>
      <c r="GF316" s="35"/>
      <c r="GG316" s="35"/>
      <c r="GH316" s="35"/>
      <c r="GI316" s="35"/>
      <c r="GJ316" s="35"/>
      <c r="GK316" s="35"/>
      <c r="GL316" s="35"/>
      <c r="GM316" s="35"/>
      <c r="GN316" s="35"/>
      <c r="GO316" s="35"/>
      <c r="GP316" s="35"/>
      <c r="GQ316" s="35"/>
      <c r="GR316" s="35"/>
      <c r="GS316" s="35"/>
      <c r="GT316" s="35"/>
      <c r="GU316" s="35"/>
      <c r="GV316" s="35"/>
      <c r="GW316" s="35"/>
      <c r="GX316" s="35"/>
      <c r="GY316" s="35"/>
      <c r="GZ316" s="35"/>
      <c r="HA316" s="35"/>
      <c r="HB316" s="35"/>
      <c r="HC316" s="35"/>
      <c r="HD316" s="35"/>
      <c r="HE316" s="35"/>
      <c r="HF316" s="35"/>
      <c r="HG316" s="35"/>
      <c r="HH316" s="35"/>
      <c r="HI316" s="35"/>
      <c r="HJ316" s="35"/>
      <c r="HK316" s="35"/>
      <c r="HL316" s="35"/>
      <c r="HM316" s="35"/>
      <c r="HN316" s="35"/>
      <c r="HO316" s="35"/>
      <c r="HP316" s="35"/>
      <c r="HQ316" s="35"/>
      <c r="HR316" s="35"/>
      <c r="HS316" s="35"/>
      <c r="HT316" s="35"/>
      <c r="HU316" s="35"/>
      <c r="HV316" s="35"/>
      <c r="HW316" s="35"/>
      <c r="HX316" s="35"/>
      <c r="HY316" s="35"/>
      <c r="HZ316" s="35"/>
      <c r="IA316" s="35"/>
      <c r="IB316" s="35"/>
      <c r="IC316" s="35"/>
      <c r="ID316" s="35"/>
      <c r="IE316" s="35"/>
      <c r="IF316" s="35"/>
      <c r="IG316" s="35"/>
      <c r="IH316" s="35"/>
      <c r="II316" s="35"/>
      <c r="IJ316" s="35"/>
      <c r="IK316" s="35"/>
      <c r="IL316" s="35"/>
      <c r="IM316" s="35"/>
      <c r="IN316" s="35"/>
      <c r="IO316" s="35"/>
      <c r="IP316" s="35"/>
      <c r="IQ316" s="35"/>
      <c r="IR316" s="35"/>
      <c r="IS316" s="35"/>
      <c r="IT316" s="35"/>
      <c r="IU316" s="35"/>
      <c r="IV316" s="35"/>
      <c r="IW316" s="35"/>
      <c r="IX316" s="35"/>
      <c r="IY316" s="35"/>
      <c r="IZ316" s="35"/>
      <c r="JA316" s="35"/>
      <c r="JB316" s="35"/>
      <c r="JC316" s="35"/>
      <c r="JD316" s="35"/>
      <c r="JE316" s="35"/>
    </row>
    <row r="317">
      <c r="A317" s="42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  <c r="BS317" s="35"/>
      <c r="BT317" s="35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35"/>
      <c r="CO317" s="35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35"/>
      <c r="DJ317" s="35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35"/>
      <c r="EE317" s="35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35"/>
      <c r="EZ317" s="35"/>
      <c r="FA317" s="35"/>
      <c r="FB317" s="35"/>
      <c r="FC317" s="35"/>
      <c r="FD317" s="35"/>
      <c r="FE317" s="35"/>
      <c r="FF317" s="35"/>
      <c r="FG317" s="35"/>
      <c r="FH317" s="35"/>
      <c r="FI317" s="35"/>
      <c r="FJ317" s="35"/>
      <c r="FK317" s="35"/>
      <c r="FL317" s="35"/>
      <c r="FM317" s="35"/>
      <c r="FN317" s="35"/>
      <c r="FO317" s="35"/>
      <c r="FP317" s="35"/>
      <c r="FQ317" s="35"/>
      <c r="FR317" s="35"/>
      <c r="FS317" s="35"/>
      <c r="FT317" s="35"/>
      <c r="FU317" s="35"/>
      <c r="FV317" s="35"/>
      <c r="FW317" s="35"/>
      <c r="FX317" s="35"/>
      <c r="FY317" s="35"/>
      <c r="FZ317" s="35"/>
      <c r="GA317" s="35"/>
      <c r="GB317" s="35"/>
      <c r="GC317" s="35"/>
      <c r="GD317" s="35"/>
      <c r="GE317" s="35"/>
      <c r="GF317" s="35"/>
      <c r="GG317" s="35"/>
      <c r="GH317" s="35"/>
      <c r="GI317" s="35"/>
      <c r="GJ317" s="35"/>
      <c r="GK317" s="35"/>
      <c r="GL317" s="35"/>
      <c r="GM317" s="35"/>
      <c r="GN317" s="35"/>
      <c r="GO317" s="35"/>
      <c r="GP317" s="35"/>
      <c r="GQ317" s="35"/>
      <c r="GR317" s="35"/>
      <c r="GS317" s="35"/>
      <c r="GT317" s="35"/>
      <c r="GU317" s="35"/>
      <c r="GV317" s="35"/>
      <c r="GW317" s="35"/>
      <c r="GX317" s="35"/>
      <c r="GY317" s="35"/>
      <c r="GZ317" s="35"/>
      <c r="HA317" s="35"/>
      <c r="HB317" s="35"/>
      <c r="HC317" s="35"/>
      <c r="HD317" s="35"/>
      <c r="HE317" s="35"/>
      <c r="HF317" s="35"/>
      <c r="HG317" s="35"/>
      <c r="HH317" s="35"/>
      <c r="HI317" s="35"/>
      <c r="HJ317" s="35"/>
      <c r="HK317" s="35"/>
      <c r="HL317" s="35"/>
      <c r="HM317" s="35"/>
      <c r="HN317" s="35"/>
      <c r="HO317" s="35"/>
      <c r="HP317" s="35"/>
      <c r="HQ317" s="35"/>
      <c r="HR317" s="35"/>
      <c r="HS317" s="35"/>
      <c r="HT317" s="35"/>
      <c r="HU317" s="35"/>
      <c r="HV317" s="35"/>
      <c r="HW317" s="35"/>
      <c r="HX317" s="35"/>
      <c r="HY317" s="35"/>
      <c r="HZ317" s="35"/>
      <c r="IA317" s="35"/>
      <c r="IB317" s="35"/>
      <c r="IC317" s="35"/>
      <c r="ID317" s="35"/>
      <c r="IE317" s="35"/>
      <c r="IF317" s="35"/>
      <c r="IG317" s="35"/>
      <c r="IH317" s="35"/>
      <c r="II317" s="35"/>
      <c r="IJ317" s="35"/>
      <c r="IK317" s="35"/>
      <c r="IL317" s="35"/>
      <c r="IM317" s="35"/>
      <c r="IN317" s="35"/>
      <c r="IO317" s="35"/>
      <c r="IP317" s="35"/>
      <c r="IQ317" s="35"/>
      <c r="IR317" s="35"/>
      <c r="IS317" s="35"/>
      <c r="IT317" s="35"/>
      <c r="IU317" s="35"/>
      <c r="IV317" s="35"/>
      <c r="IW317" s="35"/>
      <c r="IX317" s="35"/>
      <c r="IY317" s="35"/>
      <c r="IZ317" s="35"/>
      <c r="JA317" s="35"/>
      <c r="JB317" s="35"/>
      <c r="JC317" s="35"/>
      <c r="JD317" s="35"/>
      <c r="JE317" s="35"/>
    </row>
    <row r="318">
      <c r="A318" s="42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35"/>
      <c r="BS318" s="35"/>
      <c r="BT318" s="35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35"/>
      <c r="CO318" s="35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35"/>
      <c r="DJ318" s="35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35"/>
      <c r="EE318" s="35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35"/>
      <c r="EZ318" s="35"/>
      <c r="FA318" s="35"/>
      <c r="FB318" s="35"/>
      <c r="FC318" s="35"/>
      <c r="FD318" s="35"/>
      <c r="FE318" s="35"/>
      <c r="FF318" s="35"/>
      <c r="FG318" s="35"/>
      <c r="FH318" s="35"/>
      <c r="FI318" s="35"/>
      <c r="FJ318" s="35"/>
      <c r="FK318" s="35"/>
      <c r="FL318" s="35"/>
      <c r="FM318" s="35"/>
      <c r="FN318" s="35"/>
      <c r="FO318" s="35"/>
      <c r="FP318" s="35"/>
      <c r="FQ318" s="35"/>
      <c r="FR318" s="35"/>
      <c r="FS318" s="35"/>
      <c r="FT318" s="35"/>
      <c r="FU318" s="35"/>
      <c r="FV318" s="35"/>
      <c r="FW318" s="35"/>
      <c r="FX318" s="35"/>
      <c r="FY318" s="35"/>
      <c r="FZ318" s="35"/>
      <c r="GA318" s="35"/>
      <c r="GB318" s="35"/>
      <c r="GC318" s="35"/>
      <c r="GD318" s="35"/>
      <c r="GE318" s="35"/>
      <c r="GF318" s="35"/>
      <c r="GG318" s="35"/>
      <c r="GH318" s="35"/>
      <c r="GI318" s="35"/>
      <c r="GJ318" s="35"/>
      <c r="GK318" s="35"/>
      <c r="GL318" s="35"/>
      <c r="GM318" s="35"/>
      <c r="GN318" s="35"/>
      <c r="GO318" s="35"/>
      <c r="GP318" s="35"/>
      <c r="GQ318" s="35"/>
      <c r="GR318" s="35"/>
      <c r="GS318" s="35"/>
      <c r="GT318" s="35"/>
      <c r="GU318" s="35"/>
      <c r="GV318" s="35"/>
      <c r="GW318" s="35"/>
      <c r="GX318" s="35"/>
      <c r="GY318" s="35"/>
      <c r="GZ318" s="35"/>
      <c r="HA318" s="35"/>
      <c r="HB318" s="35"/>
      <c r="HC318" s="35"/>
      <c r="HD318" s="35"/>
      <c r="HE318" s="35"/>
      <c r="HF318" s="35"/>
      <c r="HG318" s="35"/>
      <c r="HH318" s="35"/>
      <c r="HI318" s="35"/>
      <c r="HJ318" s="35"/>
      <c r="HK318" s="35"/>
      <c r="HL318" s="35"/>
      <c r="HM318" s="35"/>
      <c r="HN318" s="35"/>
      <c r="HO318" s="35"/>
      <c r="HP318" s="35"/>
      <c r="HQ318" s="35"/>
      <c r="HR318" s="35"/>
      <c r="HS318" s="35"/>
      <c r="HT318" s="35"/>
      <c r="HU318" s="35"/>
      <c r="HV318" s="35"/>
      <c r="HW318" s="35"/>
      <c r="HX318" s="35"/>
      <c r="HY318" s="35"/>
      <c r="HZ318" s="35"/>
      <c r="IA318" s="35"/>
      <c r="IB318" s="35"/>
      <c r="IC318" s="35"/>
      <c r="ID318" s="35"/>
      <c r="IE318" s="35"/>
      <c r="IF318" s="35"/>
      <c r="IG318" s="35"/>
      <c r="IH318" s="35"/>
      <c r="II318" s="35"/>
      <c r="IJ318" s="35"/>
      <c r="IK318" s="35"/>
      <c r="IL318" s="35"/>
      <c r="IM318" s="35"/>
      <c r="IN318" s="35"/>
      <c r="IO318" s="35"/>
      <c r="IP318" s="35"/>
      <c r="IQ318" s="35"/>
      <c r="IR318" s="35"/>
      <c r="IS318" s="35"/>
      <c r="IT318" s="35"/>
      <c r="IU318" s="35"/>
      <c r="IV318" s="35"/>
      <c r="IW318" s="35"/>
      <c r="IX318" s="35"/>
      <c r="IY318" s="35"/>
      <c r="IZ318" s="35"/>
      <c r="JA318" s="35"/>
      <c r="JB318" s="35"/>
      <c r="JC318" s="35"/>
      <c r="JD318" s="35"/>
      <c r="JE318" s="35"/>
    </row>
    <row r="319">
      <c r="A319" s="42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  <c r="BS319" s="35"/>
      <c r="BT319" s="35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35"/>
      <c r="CO319" s="35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35"/>
      <c r="DJ319" s="35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35"/>
      <c r="EE319" s="35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35"/>
      <c r="EZ319" s="35"/>
      <c r="FA319" s="35"/>
      <c r="FB319" s="35"/>
      <c r="FC319" s="35"/>
      <c r="FD319" s="35"/>
      <c r="FE319" s="35"/>
      <c r="FF319" s="35"/>
      <c r="FG319" s="35"/>
      <c r="FH319" s="35"/>
      <c r="FI319" s="35"/>
      <c r="FJ319" s="35"/>
      <c r="FK319" s="35"/>
      <c r="FL319" s="35"/>
      <c r="FM319" s="35"/>
      <c r="FN319" s="35"/>
      <c r="FO319" s="35"/>
      <c r="FP319" s="35"/>
      <c r="FQ319" s="35"/>
      <c r="FR319" s="35"/>
      <c r="FS319" s="35"/>
      <c r="FT319" s="35"/>
      <c r="FU319" s="35"/>
      <c r="FV319" s="35"/>
      <c r="FW319" s="35"/>
      <c r="FX319" s="35"/>
      <c r="FY319" s="35"/>
      <c r="FZ319" s="35"/>
      <c r="GA319" s="35"/>
      <c r="GB319" s="35"/>
      <c r="GC319" s="35"/>
      <c r="GD319" s="35"/>
      <c r="GE319" s="35"/>
      <c r="GF319" s="35"/>
      <c r="GG319" s="35"/>
      <c r="GH319" s="35"/>
      <c r="GI319" s="35"/>
      <c r="GJ319" s="35"/>
      <c r="GK319" s="35"/>
      <c r="GL319" s="35"/>
      <c r="GM319" s="35"/>
      <c r="GN319" s="35"/>
      <c r="GO319" s="35"/>
      <c r="GP319" s="35"/>
      <c r="GQ319" s="35"/>
      <c r="GR319" s="35"/>
      <c r="GS319" s="35"/>
      <c r="GT319" s="35"/>
      <c r="GU319" s="35"/>
      <c r="GV319" s="35"/>
      <c r="GW319" s="35"/>
      <c r="GX319" s="35"/>
      <c r="GY319" s="35"/>
      <c r="GZ319" s="35"/>
      <c r="HA319" s="35"/>
      <c r="HB319" s="35"/>
      <c r="HC319" s="35"/>
      <c r="HD319" s="35"/>
      <c r="HE319" s="35"/>
      <c r="HF319" s="35"/>
      <c r="HG319" s="35"/>
      <c r="HH319" s="35"/>
      <c r="HI319" s="35"/>
      <c r="HJ319" s="35"/>
      <c r="HK319" s="35"/>
      <c r="HL319" s="35"/>
      <c r="HM319" s="35"/>
      <c r="HN319" s="35"/>
      <c r="HO319" s="35"/>
      <c r="HP319" s="35"/>
      <c r="HQ319" s="35"/>
      <c r="HR319" s="35"/>
      <c r="HS319" s="35"/>
      <c r="HT319" s="35"/>
      <c r="HU319" s="35"/>
      <c r="HV319" s="35"/>
      <c r="HW319" s="35"/>
      <c r="HX319" s="35"/>
      <c r="HY319" s="35"/>
      <c r="HZ319" s="35"/>
      <c r="IA319" s="35"/>
      <c r="IB319" s="35"/>
      <c r="IC319" s="35"/>
      <c r="ID319" s="35"/>
      <c r="IE319" s="35"/>
      <c r="IF319" s="35"/>
      <c r="IG319" s="35"/>
      <c r="IH319" s="35"/>
      <c r="II319" s="35"/>
      <c r="IJ319" s="35"/>
      <c r="IK319" s="35"/>
      <c r="IL319" s="35"/>
      <c r="IM319" s="35"/>
      <c r="IN319" s="35"/>
      <c r="IO319" s="35"/>
      <c r="IP319" s="35"/>
      <c r="IQ319" s="35"/>
      <c r="IR319" s="35"/>
      <c r="IS319" s="35"/>
      <c r="IT319" s="35"/>
      <c r="IU319" s="35"/>
      <c r="IV319" s="35"/>
      <c r="IW319" s="35"/>
      <c r="IX319" s="35"/>
      <c r="IY319" s="35"/>
      <c r="IZ319" s="35"/>
      <c r="JA319" s="35"/>
      <c r="JB319" s="35"/>
      <c r="JC319" s="35"/>
      <c r="JD319" s="35"/>
      <c r="JE319" s="35"/>
    </row>
    <row r="320">
      <c r="A320" s="42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  <c r="BC320" s="35"/>
      <c r="BD320" s="35"/>
      <c r="BE320" s="35"/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  <c r="BR320" s="35"/>
      <c r="BS320" s="35"/>
      <c r="BT320" s="35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35"/>
      <c r="CO320" s="35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35"/>
      <c r="DJ320" s="35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35"/>
      <c r="EE320" s="35"/>
      <c r="EF320" s="35"/>
      <c r="EG320" s="35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35"/>
      <c r="EZ320" s="35"/>
      <c r="FA320" s="35"/>
      <c r="FB320" s="35"/>
      <c r="FC320" s="35"/>
      <c r="FD320" s="35"/>
      <c r="FE320" s="35"/>
      <c r="FF320" s="35"/>
      <c r="FG320" s="35"/>
      <c r="FH320" s="35"/>
      <c r="FI320" s="35"/>
      <c r="FJ320" s="35"/>
      <c r="FK320" s="35"/>
      <c r="FL320" s="35"/>
      <c r="FM320" s="35"/>
      <c r="FN320" s="35"/>
      <c r="FO320" s="35"/>
      <c r="FP320" s="35"/>
      <c r="FQ320" s="35"/>
      <c r="FR320" s="35"/>
      <c r="FS320" s="35"/>
      <c r="FT320" s="35"/>
      <c r="FU320" s="35"/>
      <c r="FV320" s="35"/>
      <c r="FW320" s="35"/>
      <c r="FX320" s="35"/>
      <c r="FY320" s="35"/>
      <c r="FZ320" s="35"/>
      <c r="GA320" s="35"/>
      <c r="GB320" s="35"/>
      <c r="GC320" s="35"/>
      <c r="GD320" s="35"/>
      <c r="GE320" s="35"/>
      <c r="GF320" s="35"/>
      <c r="GG320" s="35"/>
      <c r="GH320" s="35"/>
      <c r="GI320" s="35"/>
      <c r="GJ320" s="35"/>
      <c r="GK320" s="35"/>
      <c r="GL320" s="35"/>
      <c r="GM320" s="35"/>
      <c r="GN320" s="35"/>
      <c r="GO320" s="35"/>
      <c r="GP320" s="35"/>
      <c r="GQ320" s="35"/>
      <c r="GR320" s="35"/>
      <c r="GS320" s="35"/>
      <c r="GT320" s="35"/>
      <c r="GU320" s="35"/>
      <c r="GV320" s="35"/>
      <c r="GW320" s="35"/>
      <c r="GX320" s="35"/>
      <c r="GY320" s="35"/>
      <c r="GZ320" s="35"/>
      <c r="HA320" s="35"/>
      <c r="HB320" s="35"/>
      <c r="HC320" s="35"/>
      <c r="HD320" s="35"/>
      <c r="HE320" s="35"/>
      <c r="HF320" s="35"/>
      <c r="HG320" s="35"/>
      <c r="HH320" s="35"/>
      <c r="HI320" s="35"/>
      <c r="HJ320" s="35"/>
      <c r="HK320" s="35"/>
      <c r="HL320" s="35"/>
      <c r="HM320" s="35"/>
      <c r="HN320" s="35"/>
      <c r="HO320" s="35"/>
      <c r="HP320" s="35"/>
      <c r="HQ320" s="35"/>
      <c r="HR320" s="35"/>
      <c r="HS320" s="35"/>
      <c r="HT320" s="35"/>
      <c r="HU320" s="35"/>
      <c r="HV320" s="35"/>
      <c r="HW320" s="35"/>
      <c r="HX320" s="35"/>
      <c r="HY320" s="35"/>
      <c r="HZ320" s="35"/>
      <c r="IA320" s="35"/>
      <c r="IB320" s="35"/>
      <c r="IC320" s="35"/>
      <c r="ID320" s="35"/>
      <c r="IE320" s="35"/>
      <c r="IF320" s="35"/>
      <c r="IG320" s="35"/>
      <c r="IH320" s="35"/>
      <c r="II320" s="35"/>
      <c r="IJ320" s="35"/>
      <c r="IK320" s="35"/>
      <c r="IL320" s="35"/>
      <c r="IM320" s="35"/>
      <c r="IN320" s="35"/>
      <c r="IO320" s="35"/>
      <c r="IP320" s="35"/>
      <c r="IQ320" s="35"/>
      <c r="IR320" s="35"/>
      <c r="IS320" s="35"/>
      <c r="IT320" s="35"/>
      <c r="IU320" s="35"/>
      <c r="IV320" s="35"/>
      <c r="IW320" s="35"/>
      <c r="IX320" s="35"/>
      <c r="IY320" s="35"/>
      <c r="IZ320" s="35"/>
      <c r="JA320" s="35"/>
      <c r="JB320" s="35"/>
      <c r="JC320" s="35"/>
      <c r="JD320" s="35"/>
      <c r="JE320" s="35"/>
    </row>
    <row r="321">
      <c r="A321" s="42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  <c r="BC321" s="35"/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35"/>
      <c r="BS321" s="35"/>
      <c r="BT321" s="35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35"/>
      <c r="CO321" s="35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35"/>
      <c r="DJ321" s="35"/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35"/>
      <c r="EE321" s="35"/>
      <c r="EF321" s="35"/>
      <c r="EG321" s="35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35"/>
      <c r="EZ321" s="35"/>
      <c r="FA321" s="35"/>
      <c r="FB321" s="35"/>
      <c r="FC321" s="35"/>
      <c r="FD321" s="35"/>
      <c r="FE321" s="35"/>
      <c r="FF321" s="35"/>
      <c r="FG321" s="35"/>
      <c r="FH321" s="35"/>
      <c r="FI321" s="35"/>
      <c r="FJ321" s="35"/>
      <c r="FK321" s="35"/>
      <c r="FL321" s="35"/>
      <c r="FM321" s="35"/>
      <c r="FN321" s="35"/>
      <c r="FO321" s="35"/>
      <c r="FP321" s="35"/>
      <c r="FQ321" s="35"/>
      <c r="FR321" s="35"/>
      <c r="FS321" s="35"/>
      <c r="FT321" s="35"/>
      <c r="FU321" s="35"/>
      <c r="FV321" s="35"/>
      <c r="FW321" s="35"/>
      <c r="FX321" s="35"/>
      <c r="FY321" s="35"/>
      <c r="FZ321" s="35"/>
      <c r="GA321" s="35"/>
      <c r="GB321" s="35"/>
      <c r="GC321" s="35"/>
      <c r="GD321" s="35"/>
      <c r="GE321" s="35"/>
      <c r="GF321" s="35"/>
      <c r="GG321" s="35"/>
      <c r="GH321" s="35"/>
      <c r="GI321" s="35"/>
      <c r="GJ321" s="35"/>
      <c r="GK321" s="35"/>
      <c r="GL321" s="35"/>
      <c r="GM321" s="35"/>
      <c r="GN321" s="35"/>
      <c r="GO321" s="35"/>
      <c r="GP321" s="35"/>
      <c r="GQ321" s="35"/>
      <c r="GR321" s="35"/>
      <c r="GS321" s="35"/>
      <c r="GT321" s="35"/>
      <c r="GU321" s="35"/>
      <c r="GV321" s="35"/>
      <c r="GW321" s="35"/>
      <c r="GX321" s="35"/>
      <c r="GY321" s="35"/>
      <c r="GZ321" s="35"/>
      <c r="HA321" s="35"/>
      <c r="HB321" s="35"/>
      <c r="HC321" s="35"/>
      <c r="HD321" s="35"/>
      <c r="HE321" s="35"/>
      <c r="HF321" s="35"/>
      <c r="HG321" s="35"/>
      <c r="HH321" s="35"/>
      <c r="HI321" s="35"/>
      <c r="HJ321" s="35"/>
      <c r="HK321" s="35"/>
      <c r="HL321" s="35"/>
      <c r="HM321" s="35"/>
      <c r="HN321" s="35"/>
      <c r="HO321" s="35"/>
      <c r="HP321" s="35"/>
      <c r="HQ321" s="35"/>
      <c r="HR321" s="35"/>
      <c r="HS321" s="35"/>
      <c r="HT321" s="35"/>
      <c r="HU321" s="35"/>
      <c r="HV321" s="35"/>
      <c r="HW321" s="35"/>
      <c r="HX321" s="35"/>
      <c r="HY321" s="35"/>
      <c r="HZ321" s="35"/>
      <c r="IA321" s="35"/>
      <c r="IB321" s="35"/>
      <c r="IC321" s="35"/>
      <c r="ID321" s="35"/>
      <c r="IE321" s="35"/>
      <c r="IF321" s="35"/>
      <c r="IG321" s="35"/>
      <c r="IH321" s="35"/>
      <c r="II321" s="35"/>
      <c r="IJ321" s="35"/>
      <c r="IK321" s="35"/>
      <c r="IL321" s="35"/>
      <c r="IM321" s="35"/>
      <c r="IN321" s="35"/>
      <c r="IO321" s="35"/>
      <c r="IP321" s="35"/>
      <c r="IQ321" s="35"/>
      <c r="IR321" s="35"/>
      <c r="IS321" s="35"/>
      <c r="IT321" s="35"/>
      <c r="IU321" s="35"/>
      <c r="IV321" s="35"/>
      <c r="IW321" s="35"/>
      <c r="IX321" s="35"/>
      <c r="IY321" s="35"/>
      <c r="IZ321" s="35"/>
      <c r="JA321" s="35"/>
      <c r="JB321" s="35"/>
      <c r="JC321" s="35"/>
      <c r="JD321" s="35"/>
      <c r="JE321" s="35"/>
    </row>
    <row r="322">
      <c r="A322" s="42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  <c r="BC322" s="35"/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35"/>
      <c r="BS322" s="35"/>
      <c r="BT322" s="35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35"/>
      <c r="CO322" s="35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35"/>
      <c r="DJ322" s="35"/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35"/>
      <c r="EE322" s="35"/>
      <c r="EF322" s="35"/>
      <c r="EG322" s="35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35"/>
      <c r="EZ322" s="35"/>
      <c r="FA322" s="35"/>
      <c r="FB322" s="35"/>
      <c r="FC322" s="35"/>
      <c r="FD322" s="35"/>
      <c r="FE322" s="35"/>
      <c r="FF322" s="35"/>
      <c r="FG322" s="35"/>
      <c r="FH322" s="35"/>
      <c r="FI322" s="35"/>
      <c r="FJ322" s="35"/>
      <c r="FK322" s="35"/>
      <c r="FL322" s="35"/>
      <c r="FM322" s="35"/>
      <c r="FN322" s="35"/>
      <c r="FO322" s="35"/>
      <c r="FP322" s="35"/>
      <c r="FQ322" s="35"/>
      <c r="FR322" s="35"/>
      <c r="FS322" s="35"/>
      <c r="FT322" s="35"/>
      <c r="FU322" s="35"/>
      <c r="FV322" s="35"/>
      <c r="FW322" s="35"/>
      <c r="FX322" s="35"/>
      <c r="FY322" s="35"/>
      <c r="FZ322" s="35"/>
      <c r="GA322" s="35"/>
      <c r="GB322" s="35"/>
      <c r="GC322" s="35"/>
      <c r="GD322" s="35"/>
      <c r="GE322" s="35"/>
      <c r="GF322" s="35"/>
      <c r="GG322" s="35"/>
      <c r="GH322" s="35"/>
      <c r="GI322" s="35"/>
      <c r="GJ322" s="35"/>
      <c r="GK322" s="35"/>
      <c r="GL322" s="35"/>
      <c r="GM322" s="35"/>
      <c r="GN322" s="35"/>
      <c r="GO322" s="35"/>
      <c r="GP322" s="35"/>
      <c r="GQ322" s="35"/>
      <c r="GR322" s="35"/>
      <c r="GS322" s="35"/>
      <c r="GT322" s="35"/>
      <c r="GU322" s="35"/>
      <c r="GV322" s="35"/>
      <c r="GW322" s="35"/>
      <c r="GX322" s="35"/>
      <c r="GY322" s="35"/>
      <c r="GZ322" s="35"/>
      <c r="HA322" s="35"/>
      <c r="HB322" s="35"/>
      <c r="HC322" s="35"/>
      <c r="HD322" s="35"/>
      <c r="HE322" s="35"/>
      <c r="HF322" s="35"/>
      <c r="HG322" s="35"/>
      <c r="HH322" s="35"/>
      <c r="HI322" s="35"/>
      <c r="HJ322" s="35"/>
      <c r="HK322" s="35"/>
      <c r="HL322" s="35"/>
      <c r="HM322" s="35"/>
      <c r="HN322" s="35"/>
      <c r="HO322" s="35"/>
      <c r="HP322" s="35"/>
      <c r="HQ322" s="35"/>
      <c r="HR322" s="35"/>
      <c r="HS322" s="35"/>
      <c r="HT322" s="35"/>
      <c r="HU322" s="35"/>
      <c r="HV322" s="35"/>
      <c r="HW322" s="35"/>
      <c r="HX322" s="35"/>
      <c r="HY322" s="35"/>
      <c r="HZ322" s="35"/>
      <c r="IA322" s="35"/>
      <c r="IB322" s="35"/>
      <c r="IC322" s="35"/>
      <c r="ID322" s="35"/>
      <c r="IE322" s="35"/>
      <c r="IF322" s="35"/>
      <c r="IG322" s="35"/>
      <c r="IH322" s="35"/>
      <c r="II322" s="35"/>
      <c r="IJ322" s="35"/>
      <c r="IK322" s="35"/>
      <c r="IL322" s="35"/>
      <c r="IM322" s="35"/>
      <c r="IN322" s="35"/>
      <c r="IO322" s="35"/>
      <c r="IP322" s="35"/>
      <c r="IQ322" s="35"/>
      <c r="IR322" s="35"/>
      <c r="IS322" s="35"/>
      <c r="IT322" s="35"/>
      <c r="IU322" s="35"/>
      <c r="IV322" s="35"/>
      <c r="IW322" s="35"/>
      <c r="IX322" s="35"/>
      <c r="IY322" s="35"/>
      <c r="IZ322" s="35"/>
      <c r="JA322" s="35"/>
      <c r="JB322" s="35"/>
      <c r="JC322" s="35"/>
      <c r="JD322" s="35"/>
      <c r="JE322" s="35"/>
    </row>
    <row r="323">
      <c r="A323" s="42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35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35"/>
      <c r="CO323" s="35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35"/>
      <c r="DJ323" s="35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35"/>
      <c r="EE323" s="35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35"/>
      <c r="EZ323" s="35"/>
      <c r="FA323" s="35"/>
      <c r="FB323" s="35"/>
      <c r="FC323" s="35"/>
      <c r="FD323" s="35"/>
      <c r="FE323" s="35"/>
      <c r="FF323" s="35"/>
      <c r="FG323" s="35"/>
      <c r="FH323" s="35"/>
      <c r="FI323" s="35"/>
      <c r="FJ323" s="35"/>
      <c r="FK323" s="35"/>
      <c r="FL323" s="35"/>
      <c r="FM323" s="35"/>
      <c r="FN323" s="35"/>
      <c r="FO323" s="35"/>
      <c r="FP323" s="35"/>
      <c r="FQ323" s="35"/>
      <c r="FR323" s="35"/>
      <c r="FS323" s="35"/>
      <c r="FT323" s="35"/>
      <c r="FU323" s="35"/>
      <c r="FV323" s="35"/>
      <c r="FW323" s="35"/>
      <c r="FX323" s="35"/>
      <c r="FY323" s="35"/>
      <c r="FZ323" s="35"/>
      <c r="GA323" s="35"/>
      <c r="GB323" s="35"/>
      <c r="GC323" s="35"/>
      <c r="GD323" s="35"/>
      <c r="GE323" s="35"/>
      <c r="GF323" s="35"/>
      <c r="GG323" s="35"/>
      <c r="GH323" s="35"/>
      <c r="GI323" s="35"/>
      <c r="GJ323" s="35"/>
      <c r="GK323" s="35"/>
      <c r="GL323" s="35"/>
      <c r="GM323" s="35"/>
      <c r="GN323" s="35"/>
      <c r="GO323" s="35"/>
      <c r="GP323" s="35"/>
      <c r="GQ323" s="35"/>
      <c r="GR323" s="35"/>
      <c r="GS323" s="35"/>
      <c r="GT323" s="35"/>
      <c r="GU323" s="35"/>
      <c r="GV323" s="35"/>
      <c r="GW323" s="35"/>
      <c r="GX323" s="35"/>
      <c r="GY323" s="35"/>
      <c r="GZ323" s="35"/>
      <c r="HA323" s="35"/>
      <c r="HB323" s="35"/>
      <c r="HC323" s="35"/>
      <c r="HD323" s="35"/>
      <c r="HE323" s="35"/>
      <c r="HF323" s="35"/>
      <c r="HG323" s="35"/>
      <c r="HH323" s="35"/>
      <c r="HI323" s="35"/>
      <c r="HJ323" s="35"/>
      <c r="HK323" s="35"/>
      <c r="HL323" s="35"/>
      <c r="HM323" s="35"/>
      <c r="HN323" s="35"/>
      <c r="HO323" s="35"/>
      <c r="HP323" s="35"/>
      <c r="HQ323" s="35"/>
      <c r="HR323" s="35"/>
      <c r="HS323" s="35"/>
      <c r="HT323" s="35"/>
      <c r="HU323" s="35"/>
      <c r="HV323" s="35"/>
      <c r="HW323" s="35"/>
      <c r="HX323" s="35"/>
      <c r="HY323" s="35"/>
      <c r="HZ323" s="35"/>
      <c r="IA323" s="35"/>
      <c r="IB323" s="35"/>
      <c r="IC323" s="35"/>
      <c r="ID323" s="35"/>
      <c r="IE323" s="35"/>
      <c r="IF323" s="35"/>
      <c r="IG323" s="35"/>
      <c r="IH323" s="35"/>
      <c r="II323" s="35"/>
      <c r="IJ323" s="35"/>
      <c r="IK323" s="35"/>
      <c r="IL323" s="35"/>
      <c r="IM323" s="35"/>
      <c r="IN323" s="35"/>
      <c r="IO323" s="35"/>
      <c r="IP323" s="35"/>
      <c r="IQ323" s="35"/>
      <c r="IR323" s="35"/>
      <c r="IS323" s="35"/>
      <c r="IT323" s="35"/>
      <c r="IU323" s="35"/>
      <c r="IV323" s="35"/>
      <c r="IW323" s="35"/>
      <c r="IX323" s="35"/>
      <c r="IY323" s="35"/>
      <c r="IZ323" s="35"/>
      <c r="JA323" s="35"/>
      <c r="JB323" s="35"/>
      <c r="JC323" s="35"/>
      <c r="JD323" s="35"/>
      <c r="JE323" s="35"/>
    </row>
    <row r="324">
      <c r="A324" s="42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  <c r="BS324" s="35"/>
      <c r="BT324" s="35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35"/>
      <c r="CO324" s="35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35"/>
      <c r="DJ324" s="35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35"/>
      <c r="EE324" s="35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35"/>
      <c r="EZ324" s="35"/>
      <c r="FA324" s="35"/>
      <c r="FB324" s="35"/>
      <c r="FC324" s="35"/>
      <c r="FD324" s="35"/>
      <c r="FE324" s="35"/>
      <c r="FF324" s="35"/>
      <c r="FG324" s="35"/>
      <c r="FH324" s="35"/>
      <c r="FI324" s="35"/>
      <c r="FJ324" s="35"/>
      <c r="FK324" s="35"/>
      <c r="FL324" s="35"/>
      <c r="FM324" s="35"/>
      <c r="FN324" s="35"/>
      <c r="FO324" s="35"/>
      <c r="FP324" s="35"/>
      <c r="FQ324" s="35"/>
      <c r="FR324" s="35"/>
      <c r="FS324" s="35"/>
      <c r="FT324" s="35"/>
      <c r="FU324" s="35"/>
      <c r="FV324" s="35"/>
      <c r="FW324" s="35"/>
      <c r="FX324" s="35"/>
      <c r="FY324" s="35"/>
      <c r="FZ324" s="35"/>
      <c r="GA324" s="35"/>
      <c r="GB324" s="35"/>
      <c r="GC324" s="35"/>
      <c r="GD324" s="35"/>
      <c r="GE324" s="35"/>
      <c r="GF324" s="35"/>
      <c r="GG324" s="35"/>
      <c r="GH324" s="35"/>
      <c r="GI324" s="35"/>
      <c r="GJ324" s="35"/>
      <c r="GK324" s="35"/>
      <c r="GL324" s="35"/>
      <c r="GM324" s="35"/>
      <c r="GN324" s="35"/>
      <c r="GO324" s="35"/>
      <c r="GP324" s="35"/>
      <c r="GQ324" s="35"/>
      <c r="GR324" s="35"/>
      <c r="GS324" s="35"/>
      <c r="GT324" s="35"/>
      <c r="GU324" s="35"/>
      <c r="GV324" s="35"/>
      <c r="GW324" s="35"/>
      <c r="GX324" s="35"/>
      <c r="GY324" s="35"/>
      <c r="GZ324" s="35"/>
      <c r="HA324" s="35"/>
      <c r="HB324" s="35"/>
      <c r="HC324" s="35"/>
      <c r="HD324" s="35"/>
      <c r="HE324" s="35"/>
      <c r="HF324" s="35"/>
      <c r="HG324" s="35"/>
      <c r="HH324" s="35"/>
      <c r="HI324" s="35"/>
      <c r="HJ324" s="35"/>
      <c r="HK324" s="35"/>
      <c r="HL324" s="35"/>
      <c r="HM324" s="35"/>
      <c r="HN324" s="35"/>
      <c r="HO324" s="35"/>
      <c r="HP324" s="35"/>
      <c r="HQ324" s="35"/>
      <c r="HR324" s="35"/>
      <c r="HS324" s="35"/>
      <c r="HT324" s="35"/>
      <c r="HU324" s="35"/>
      <c r="HV324" s="35"/>
      <c r="HW324" s="35"/>
      <c r="HX324" s="35"/>
      <c r="HY324" s="35"/>
      <c r="HZ324" s="35"/>
      <c r="IA324" s="35"/>
      <c r="IB324" s="35"/>
      <c r="IC324" s="35"/>
      <c r="ID324" s="35"/>
      <c r="IE324" s="35"/>
      <c r="IF324" s="35"/>
      <c r="IG324" s="35"/>
      <c r="IH324" s="35"/>
      <c r="II324" s="35"/>
      <c r="IJ324" s="35"/>
      <c r="IK324" s="35"/>
      <c r="IL324" s="35"/>
      <c r="IM324" s="35"/>
      <c r="IN324" s="35"/>
      <c r="IO324" s="35"/>
      <c r="IP324" s="35"/>
      <c r="IQ324" s="35"/>
      <c r="IR324" s="35"/>
      <c r="IS324" s="35"/>
      <c r="IT324" s="35"/>
      <c r="IU324" s="35"/>
      <c r="IV324" s="35"/>
      <c r="IW324" s="35"/>
      <c r="IX324" s="35"/>
      <c r="IY324" s="35"/>
      <c r="IZ324" s="35"/>
      <c r="JA324" s="35"/>
      <c r="JB324" s="35"/>
      <c r="JC324" s="35"/>
      <c r="JD324" s="35"/>
      <c r="JE324" s="35"/>
    </row>
    <row r="325">
      <c r="A325" s="42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  <c r="BS325" s="35"/>
      <c r="BT325" s="35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35"/>
      <c r="CO325" s="35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35"/>
      <c r="DJ325" s="35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35"/>
      <c r="EE325" s="35"/>
      <c r="EF325" s="35"/>
      <c r="EG325" s="35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35"/>
      <c r="EZ325" s="35"/>
      <c r="FA325" s="35"/>
      <c r="FB325" s="35"/>
      <c r="FC325" s="35"/>
      <c r="FD325" s="35"/>
      <c r="FE325" s="35"/>
      <c r="FF325" s="35"/>
      <c r="FG325" s="35"/>
      <c r="FH325" s="35"/>
      <c r="FI325" s="35"/>
      <c r="FJ325" s="35"/>
      <c r="FK325" s="35"/>
      <c r="FL325" s="35"/>
      <c r="FM325" s="35"/>
      <c r="FN325" s="35"/>
      <c r="FO325" s="35"/>
      <c r="FP325" s="35"/>
      <c r="FQ325" s="35"/>
      <c r="FR325" s="35"/>
      <c r="FS325" s="35"/>
      <c r="FT325" s="35"/>
      <c r="FU325" s="35"/>
      <c r="FV325" s="35"/>
      <c r="FW325" s="35"/>
      <c r="FX325" s="35"/>
      <c r="FY325" s="35"/>
      <c r="FZ325" s="35"/>
      <c r="GA325" s="35"/>
      <c r="GB325" s="35"/>
      <c r="GC325" s="35"/>
      <c r="GD325" s="35"/>
      <c r="GE325" s="35"/>
      <c r="GF325" s="35"/>
      <c r="GG325" s="35"/>
      <c r="GH325" s="35"/>
      <c r="GI325" s="35"/>
      <c r="GJ325" s="35"/>
      <c r="GK325" s="35"/>
      <c r="GL325" s="35"/>
      <c r="GM325" s="35"/>
      <c r="GN325" s="35"/>
      <c r="GO325" s="35"/>
      <c r="GP325" s="35"/>
      <c r="GQ325" s="35"/>
      <c r="GR325" s="35"/>
      <c r="GS325" s="35"/>
      <c r="GT325" s="35"/>
      <c r="GU325" s="35"/>
      <c r="GV325" s="35"/>
      <c r="GW325" s="35"/>
      <c r="GX325" s="35"/>
      <c r="GY325" s="35"/>
      <c r="GZ325" s="35"/>
      <c r="HA325" s="35"/>
      <c r="HB325" s="35"/>
      <c r="HC325" s="35"/>
      <c r="HD325" s="35"/>
      <c r="HE325" s="35"/>
      <c r="HF325" s="35"/>
      <c r="HG325" s="35"/>
      <c r="HH325" s="35"/>
      <c r="HI325" s="35"/>
      <c r="HJ325" s="35"/>
      <c r="HK325" s="35"/>
      <c r="HL325" s="35"/>
      <c r="HM325" s="35"/>
      <c r="HN325" s="35"/>
      <c r="HO325" s="35"/>
      <c r="HP325" s="35"/>
      <c r="HQ325" s="35"/>
      <c r="HR325" s="35"/>
      <c r="HS325" s="35"/>
      <c r="HT325" s="35"/>
      <c r="HU325" s="35"/>
      <c r="HV325" s="35"/>
      <c r="HW325" s="35"/>
      <c r="HX325" s="35"/>
      <c r="HY325" s="35"/>
      <c r="HZ325" s="35"/>
      <c r="IA325" s="35"/>
      <c r="IB325" s="35"/>
      <c r="IC325" s="35"/>
      <c r="ID325" s="35"/>
      <c r="IE325" s="35"/>
      <c r="IF325" s="35"/>
      <c r="IG325" s="35"/>
      <c r="IH325" s="35"/>
      <c r="II325" s="35"/>
      <c r="IJ325" s="35"/>
      <c r="IK325" s="35"/>
      <c r="IL325" s="35"/>
      <c r="IM325" s="35"/>
      <c r="IN325" s="35"/>
      <c r="IO325" s="35"/>
      <c r="IP325" s="35"/>
      <c r="IQ325" s="35"/>
      <c r="IR325" s="35"/>
      <c r="IS325" s="35"/>
      <c r="IT325" s="35"/>
      <c r="IU325" s="35"/>
      <c r="IV325" s="35"/>
      <c r="IW325" s="35"/>
      <c r="IX325" s="35"/>
      <c r="IY325" s="35"/>
      <c r="IZ325" s="35"/>
      <c r="JA325" s="35"/>
      <c r="JB325" s="35"/>
      <c r="JC325" s="35"/>
      <c r="JD325" s="35"/>
      <c r="JE325" s="35"/>
    </row>
    <row r="326">
      <c r="A326" s="42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35"/>
      <c r="BS326" s="35"/>
      <c r="BT326" s="35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35"/>
      <c r="CO326" s="35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35"/>
      <c r="DJ326" s="35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35"/>
      <c r="EE326" s="35"/>
      <c r="EF326" s="35"/>
      <c r="EG326" s="35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35"/>
      <c r="EZ326" s="35"/>
      <c r="FA326" s="35"/>
      <c r="FB326" s="35"/>
      <c r="FC326" s="35"/>
      <c r="FD326" s="35"/>
      <c r="FE326" s="35"/>
      <c r="FF326" s="35"/>
      <c r="FG326" s="35"/>
      <c r="FH326" s="35"/>
      <c r="FI326" s="35"/>
      <c r="FJ326" s="35"/>
      <c r="FK326" s="35"/>
      <c r="FL326" s="35"/>
      <c r="FM326" s="35"/>
      <c r="FN326" s="35"/>
      <c r="FO326" s="35"/>
      <c r="FP326" s="35"/>
      <c r="FQ326" s="35"/>
      <c r="FR326" s="35"/>
      <c r="FS326" s="35"/>
      <c r="FT326" s="35"/>
      <c r="FU326" s="35"/>
      <c r="FV326" s="35"/>
      <c r="FW326" s="35"/>
      <c r="FX326" s="35"/>
      <c r="FY326" s="35"/>
      <c r="FZ326" s="35"/>
      <c r="GA326" s="35"/>
      <c r="GB326" s="35"/>
      <c r="GC326" s="35"/>
      <c r="GD326" s="35"/>
      <c r="GE326" s="35"/>
      <c r="GF326" s="35"/>
      <c r="GG326" s="35"/>
      <c r="GH326" s="35"/>
      <c r="GI326" s="35"/>
      <c r="GJ326" s="35"/>
      <c r="GK326" s="35"/>
      <c r="GL326" s="35"/>
      <c r="GM326" s="35"/>
      <c r="GN326" s="35"/>
      <c r="GO326" s="35"/>
      <c r="GP326" s="35"/>
      <c r="GQ326" s="35"/>
      <c r="GR326" s="35"/>
      <c r="GS326" s="35"/>
      <c r="GT326" s="35"/>
      <c r="GU326" s="35"/>
      <c r="GV326" s="35"/>
      <c r="GW326" s="35"/>
      <c r="GX326" s="35"/>
      <c r="GY326" s="35"/>
      <c r="GZ326" s="35"/>
      <c r="HA326" s="35"/>
      <c r="HB326" s="35"/>
      <c r="HC326" s="35"/>
      <c r="HD326" s="35"/>
      <c r="HE326" s="35"/>
      <c r="HF326" s="35"/>
      <c r="HG326" s="35"/>
      <c r="HH326" s="35"/>
      <c r="HI326" s="35"/>
      <c r="HJ326" s="35"/>
      <c r="HK326" s="35"/>
      <c r="HL326" s="35"/>
      <c r="HM326" s="35"/>
      <c r="HN326" s="35"/>
      <c r="HO326" s="35"/>
      <c r="HP326" s="35"/>
      <c r="HQ326" s="35"/>
      <c r="HR326" s="35"/>
      <c r="HS326" s="35"/>
      <c r="HT326" s="35"/>
      <c r="HU326" s="35"/>
      <c r="HV326" s="35"/>
      <c r="HW326" s="35"/>
      <c r="HX326" s="35"/>
      <c r="HY326" s="35"/>
      <c r="HZ326" s="35"/>
      <c r="IA326" s="35"/>
      <c r="IB326" s="35"/>
      <c r="IC326" s="35"/>
      <c r="ID326" s="35"/>
      <c r="IE326" s="35"/>
      <c r="IF326" s="35"/>
      <c r="IG326" s="35"/>
      <c r="IH326" s="35"/>
      <c r="II326" s="35"/>
      <c r="IJ326" s="35"/>
      <c r="IK326" s="35"/>
      <c r="IL326" s="35"/>
      <c r="IM326" s="35"/>
      <c r="IN326" s="35"/>
      <c r="IO326" s="35"/>
      <c r="IP326" s="35"/>
      <c r="IQ326" s="35"/>
      <c r="IR326" s="35"/>
      <c r="IS326" s="35"/>
      <c r="IT326" s="35"/>
      <c r="IU326" s="35"/>
      <c r="IV326" s="35"/>
      <c r="IW326" s="35"/>
      <c r="IX326" s="35"/>
      <c r="IY326" s="35"/>
      <c r="IZ326" s="35"/>
      <c r="JA326" s="35"/>
      <c r="JB326" s="35"/>
      <c r="JC326" s="35"/>
      <c r="JD326" s="35"/>
      <c r="JE326" s="35"/>
    </row>
    <row r="327">
      <c r="A327" s="42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  <c r="BS327" s="35"/>
      <c r="BT327" s="35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35"/>
      <c r="CO327" s="35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35"/>
      <c r="DJ327" s="35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35"/>
      <c r="EE327" s="35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35"/>
      <c r="EZ327" s="35"/>
      <c r="FA327" s="35"/>
      <c r="FB327" s="35"/>
      <c r="FC327" s="35"/>
      <c r="FD327" s="35"/>
      <c r="FE327" s="35"/>
      <c r="FF327" s="35"/>
      <c r="FG327" s="35"/>
      <c r="FH327" s="35"/>
      <c r="FI327" s="35"/>
      <c r="FJ327" s="35"/>
      <c r="FK327" s="35"/>
      <c r="FL327" s="35"/>
      <c r="FM327" s="35"/>
      <c r="FN327" s="35"/>
      <c r="FO327" s="35"/>
      <c r="FP327" s="35"/>
      <c r="FQ327" s="35"/>
      <c r="FR327" s="35"/>
      <c r="FS327" s="35"/>
      <c r="FT327" s="35"/>
      <c r="FU327" s="35"/>
      <c r="FV327" s="35"/>
      <c r="FW327" s="35"/>
      <c r="FX327" s="35"/>
      <c r="FY327" s="35"/>
      <c r="FZ327" s="35"/>
      <c r="GA327" s="35"/>
      <c r="GB327" s="35"/>
      <c r="GC327" s="35"/>
      <c r="GD327" s="35"/>
      <c r="GE327" s="35"/>
      <c r="GF327" s="35"/>
      <c r="GG327" s="35"/>
      <c r="GH327" s="35"/>
      <c r="GI327" s="35"/>
      <c r="GJ327" s="35"/>
      <c r="GK327" s="35"/>
      <c r="GL327" s="35"/>
      <c r="GM327" s="35"/>
      <c r="GN327" s="35"/>
      <c r="GO327" s="35"/>
      <c r="GP327" s="35"/>
      <c r="GQ327" s="35"/>
      <c r="GR327" s="35"/>
      <c r="GS327" s="35"/>
      <c r="GT327" s="35"/>
      <c r="GU327" s="35"/>
      <c r="GV327" s="35"/>
      <c r="GW327" s="35"/>
      <c r="GX327" s="35"/>
      <c r="GY327" s="35"/>
      <c r="GZ327" s="35"/>
      <c r="HA327" s="35"/>
      <c r="HB327" s="35"/>
      <c r="HC327" s="35"/>
      <c r="HD327" s="35"/>
      <c r="HE327" s="35"/>
      <c r="HF327" s="35"/>
      <c r="HG327" s="35"/>
      <c r="HH327" s="35"/>
      <c r="HI327" s="35"/>
      <c r="HJ327" s="35"/>
      <c r="HK327" s="35"/>
      <c r="HL327" s="35"/>
      <c r="HM327" s="35"/>
      <c r="HN327" s="35"/>
      <c r="HO327" s="35"/>
      <c r="HP327" s="35"/>
      <c r="HQ327" s="35"/>
      <c r="HR327" s="35"/>
      <c r="HS327" s="35"/>
      <c r="HT327" s="35"/>
      <c r="HU327" s="35"/>
      <c r="HV327" s="35"/>
      <c r="HW327" s="35"/>
      <c r="HX327" s="35"/>
      <c r="HY327" s="35"/>
      <c r="HZ327" s="35"/>
      <c r="IA327" s="35"/>
      <c r="IB327" s="35"/>
      <c r="IC327" s="35"/>
      <c r="ID327" s="35"/>
      <c r="IE327" s="35"/>
      <c r="IF327" s="35"/>
      <c r="IG327" s="35"/>
      <c r="IH327" s="35"/>
      <c r="II327" s="35"/>
      <c r="IJ327" s="35"/>
      <c r="IK327" s="35"/>
      <c r="IL327" s="35"/>
      <c r="IM327" s="35"/>
      <c r="IN327" s="35"/>
      <c r="IO327" s="35"/>
      <c r="IP327" s="35"/>
      <c r="IQ327" s="35"/>
      <c r="IR327" s="35"/>
      <c r="IS327" s="35"/>
      <c r="IT327" s="35"/>
      <c r="IU327" s="35"/>
      <c r="IV327" s="35"/>
      <c r="IW327" s="35"/>
      <c r="IX327" s="35"/>
      <c r="IY327" s="35"/>
      <c r="IZ327" s="35"/>
      <c r="JA327" s="35"/>
      <c r="JB327" s="35"/>
      <c r="JC327" s="35"/>
      <c r="JD327" s="35"/>
      <c r="JE327" s="35"/>
    </row>
    <row r="328">
      <c r="A328" s="42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  <c r="BS328" s="35"/>
      <c r="BT328" s="35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35"/>
      <c r="CO328" s="35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35"/>
      <c r="DJ328" s="35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35"/>
      <c r="EE328" s="35"/>
      <c r="EF328" s="35"/>
      <c r="EG328" s="35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35"/>
      <c r="EZ328" s="35"/>
      <c r="FA328" s="35"/>
      <c r="FB328" s="35"/>
      <c r="FC328" s="35"/>
      <c r="FD328" s="35"/>
      <c r="FE328" s="35"/>
      <c r="FF328" s="35"/>
      <c r="FG328" s="35"/>
      <c r="FH328" s="35"/>
      <c r="FI328" s="35"/>
      <c r="FJ328" s="35"/>
      <c r="FK328" s="35"/>
      <c r="FL328" s="35"/>
      <c r="FM328" s="35"/>
      <c r="FN328" s="35"/>
      <c r="FO328" s="35"/>
      <c r="FP328" s="35"/>
      <c r="FQ328" s="35"/>
      <c r="FR328" s="35"/>
      <c r="FS328" s="35"/>
      <c r="FT328" s="35"/>
      <c r="FU328" s="35"/>
      <c r="FV328" s="35"/>
      <c r="FW328" s="35"/>
      <c r="FX328" s="35"/>
      <c r="FY328" s="35"/>
      <c r="FZ328" s="35"/>
      <c r="GA328" s="35"/>
      <c r="GB328" s="35"/>
      <c r="GC328" s="35"/>
      <c r="GD328" s="35"/>
      <c r="GE328" s="35"/>
      <c r="GF328" s="35"/>
      <c r="GG328" s="35"/>
      <c r="GH328" s="35"/>
      <c r="GI328" s="35"/>
      <c r="GJ328" s="35"/>
      <c r="GK328" s="35"/>
      <c r="GL328" s="35"/>
      <c r="GM328" s="35"/>
      <c r="GN328" s="35"/>
      <c r="GO328" s="35"/>
      <c r="GP328" s="35"/>
      <c r="GQ328" s="35"/>
      <c r="GR328" s="35"/>
      <c r="GS328" s="35"/>
      <c r="GT328" s="35"/>
      <c r="GU328" s="35"/>
      <c r="GV328" s="35"/>
      <c r="GW328" s="35"/>
      <c r="GX328" s="35"/>
      <c r="GY328" s="35"/>
      <c r="GZ328" s="35"/>
      <c r="HA328" s="35"/>
      <c r="HB328" s="35"/>
      <c r="HC328" s="35"/>
      <c r="HD328" s="35"/>
      <c r="HE328" s="35"/>
      <c r="HF328" s="35"/>
      <c r="HG328" s="35"/>
      <c r="HH328" s="35"/>
      <c r="HI328" s="35"/>
      <c r="HJ328" s="35"/>
      <c r="HK328" s="35"/>
      <c r="HL328" s="35"/>
      <c r="HM328" s="35"/>
      <c r="HN328" s="35"/>
      <c r="HO328" s="35"/>
      <c r="HP328" s="35"/>
      <c r="HQ328" s="35"/>
      <c r="HR328" s="35"/>
      <c r="HS328" s="35"/>
      <c r="HT328" s="35"/>
      <c r="HU328" s="35"/>
      <c r="HV328" s="35"/>
      <c r="HW328" s="35"/>
      <c r="HX328" s="35"/>
      <c r="HY328" s="35"/>
      <c r="HZ328" s="35"/>
      <c r="IA328" s="35"/>
      <c r="IB328" s="35"/>
      <c r="IC328" s="35"/>
      <c r="ID328" s="35"/>
      <c r="IE328" s="35"/>
      <c r="IF328" s="35"/>
      <c r="IG328" s="35"/>
      <c r="IH328" s="35"/>
      <c r="II328" s="35"/>
      <c r="IJ328" s="35"/>
      <c r="IK328" s="35"/>
      <c r="IL328" s="35"/>
      <c r="IM328" s="35"/>
      <c r="IN328" s="35"/>
      <c r="IO328" s="35"/>
      <c r="IP328" s="35"/>
      <c r="IQ328" s="35"/>
      <c r="IR328" s="35"/>
      <c r="IS328" s="35"/>
      <c r="IT328" s="35"/>
      <c r="IU328" s="35"/>
      <c r="IV328" s="35"/>
      <c r="IW328" s="35"/>
      <c r="IX328" s="35"/>
      <c r="IY328" s="35"/>
      <c r="IZ328" s="35"/>
      <c r="JA328" s="35"/>
      <c r="JB328" s="35"/>
      <c r="JC328" s="35"/>
      <c r="JD328" s="35"/>
      <c r="JE328" s="35"/>
    </row>
    <row r="329">
      <c r="A329" s="42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  <c r="BS329" s="35"/>
      <c r="BT329" s="35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35"/>
      <c r="CO329" s="35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35"/>
      <c r="DJ329" s="35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35"/>
      <c r="EE329" s="35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35"/>
      <c r="EZ329" s="35"/>
      <c r="FA329" s="35"/>
      <c r="FB329" s="35"/>
      <c r="FC329" s="35"/>
      <c r="FD329" s="35"/>
      <c r="FE329" s="35"/>
      <c r="FF329" s="35"/>
      <c r="FG329" s="35"/>
      <c r="FH329" s="35"/>
      <c r="FI329" s="35"/>
      <c r="FJ329" s="35"/>
      <c r="FK329" s="35"/>
      <c r="FL329" s="35"/>
      <c r="FM329" s="35"/>
      <c r="FN329" s="35"/>
      <c r="FO329" s="35"/>
      <c r="FP329" s="35"/>
      <c r="FQ329" s="35"/>
      <c r="FR329" s="35"/>
      <c r="FS329" s="35"/>
      <c r="FT329" s="35"/>
      <c r="FU329" s="35"/>
      <c r="FV329" s="35"/>
      <c r="FW329" s="35"/>
      <c r="FX329" s="35"/>
      <c r="FY329" s="35"/>
      <c r="FZ329" s="35"/>
      <c r="GA329" s="35"/>
      <c r="GB329" s="35"/>
      <c r="GC329" s="35"/>
      <c r="GD329" s="35"/>
      <c r="GE329" s="35"/>
      <c r="GF329" s="35"/>
      <c r="GG329" s="35"/>
      <c r="GH329" s="35"/>
      <c r="GI329" s="35"/>
      <c r="GJ329" s="35"/>
      <c r="GK329" s="35"/>
      <c r="GL329" s="35"/>
      <c r="GM329" s="35"/>
      <c r="GN329" s="35"/>
      <c r="GO329" s="35"/>
      <c r="GP329" s="35"/>
      <c r="GQ329" s="35"/>
      <c r="GR329" s="35"/>
      <c r="GS329" s="35"/>
      <c r="GT329" s="35"/>
      <c r="GU329" s="35"/>
      <c r="GV329" s="35"/>
      <c r="GW329" s="35"/>
      <c r="GX329" s="35"/>
      <c r="GY329" s="35"/>
      <c r="GZ329" s="35"/>
      <c r="HA329" s="35"/>
      <c r="HB329" s="35"/>
      <c r="HC329" s="35"/>
      <c r="HD329" s="35"/>
      <c r="HE329" s="35"/>
      <c r="HF329" s="35"/>
      <c r="HG329" s="35"/>
      <c r="HH329" s="35"/>
      <c r="HI329" s="35"/>
      <c r="HJ329" s="35"/>
      <c r="HK329" s="35"/>
      <c r="HL329" s="35"/>
      <c r="HM329" s="35"/>
      <c r="HN329" s="35"/>
      <c r="HO329" s="35"/>
      <c r="HP329" s="35"/>
      <c r="HQ329" s="35"/>
      <c r="HR329" s="35"/>
      <c r="HS329" s="35"/>
      <c r="HT329" s="35"/>
      <c r="HU329" s="35"/>
      <c r="HV329" s="35"/>
      <c r="HW329" s="35"/>
      <c r="HX329" s="35"/>
      <c r="HY329" s="35"/>
      <c r="HZ329" s="35"/>
      <c r="IA329" s="35"/>
      <c r="IB329" s="35"/>
      <c r="IC329" s="35"/>
      <c r="ID329" s="35"/>
      <c r="IE329" s="35"/>
      <c r="IF329" s="35"/>
      <c r="IG329" s="35"/>
      <c r="IH329" s="35"/>
      <c r="II329" s="35"/>
      <c r="IJ329" s="35"/>
      <c r="IK329" s="35"/>
      <c r="IL329" s="35"/>
      <c r="IM329" s="35"/>
      <c r="IN329" s="35"/>
      <c r="IO329" s="35"/>
      <c r="IP329" s="35"/>
      <c r="IQ329" s="35"/>
      <c r="IR329" s="35"/>
      <c r="IS329" s="35"/>
      <c r="IT329" s="35"/>
      <c r="IU329" s="35"/>
      <c r="IV329" s="35"/>
      <c r="IW329" s="35"/>
      <c r="IX329" s="35"/>
      <c r="IY329" s="35"/>
      <c r="IZ329" s="35"/>
      <c r="JA329" s="35"/>
      <c r="JB329" s="35"/>
      <c r="JC329" s="35"/>
      <c r="JD329" s="35"/>
      <c r="JE329" s="35"/>
    </row>
    <row r="330">
      <c r="A330" s="42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  <c r="BC330" s="35"/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35"/>
      <c r="BS330" s="35"/>
      <c r="BT330" s="35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35"/>
      <c r="CO330" s="35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35"/>
      <c r="DJ330" s="35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35"/>
      <c r="EE330" s="35"/>
      <c r="EF330" s="35"/>
      <c r="EG330" s="35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35"/>
      <c r="EZ330" s="35"/>
      <c r="FA330" s="35"/>
      <c r="FB330" s="35"/>
      <c r="FC330" s="35"/>
      <c r="FD330" s="35"/>
      <c r="FE330" s="35"/>
      <c r="FF330" s="35"/>
      <c r="FG330" s="35"/>
      <c r="FH330" s="35"/>
      <c r="FI330" s="35"/>
      <c r="FJ330" s="35"/>
      <c r="FK330" s="35"/>
      <c r="FL330" s="35"/>
      <c r="FM330" s="35"/>
      <c r="FN330" s="35"/>
      <c r="FO330" s="35"/>
      <c r="FP330" s="35"/>
      <c r="FQ330" s="35"/>
      <c r="FR330" s="35"/>
      <c r="FS330" s="35"/>
      <c r="FT330" s="35"/>
      <c r="FU330" s="35"/>
      <c r="FV330" s="35"/>
      <c r="FW330" s="35"/>
      <c r="FX330" s="35"/>
      <c r="FY330" s="35"/>
      <c r="FZ330" s="35"/>
      <c r="GA330" s="35"/>
      <c r="GB330" s="35"/>
      <c r="GC330" s="35"/>
      <c r="GD330" s="35"/>
      <c r="GE330" s="35"/>
      <c r="GF330" s="35"/>
      <c r="GG330" s="35"/>
      <c r="GH330" s="35"/>
      <c r="GI330" s="35"/>
      <c r="GJ330" s="35"/>
      <c r="GK330" s="35"/>
      <c r="GL330" s="35"/>
      <c r="GM330" s="35"/>
      <c r="GN330" s="35"/>
      <c r="GO330" s="35"/>
      <c r="GP330" s="35"/>
      <c r="GQ330" s="35"/>
      <c r="GR330" s="35"/>
      <c r="GS330" s="35"/>
      <c r="GT330" s="35"/>
      <c r="GU330" s="35"/>
      <c r="GV330" s="35"/>
      <c r="GW330" s="35"/>
      <c r="GX330" s="35"/>
      <c r="GY330" s="35"/>
      <c r="GZ330" s="35"/>
      <c r="HA330" s="35"/>
      <c r="HB330" s="35"/>
      <c r="HC330" s="35"/>
      <c r="HD330" s="35"/>
      <c r="HE330" s="35"/>
      <c r="HF330" s="35"/>
      <c r="HG330" s="35"/>
      <c r="HH330" s="35"/>
      <c r="HI330" s="35"/>
      <c r="HJ330" s="35"/>
      <c r="HK330" s="35"/>
      <c r="HL330" s="35"/>
      <c r="HM330" s="35"/>
      <c r="HN330" s="35"/>
      <c r="HO330" s="35"/>
      <c r="HP330" s="35"/>
      <c r="HQ330" s="35"/>
      <c r="HR330" s="35"/>
      <c r="HS330" s="35"/>
      <c r="HT330" s="35"/>
      <c r="HU330" s="35"/>
      <c r="HV330" s="35"/>
      <c r="HW330" s="35"/>
      <c r="HX330" s="35"/>
      <c r="HY330" s="35"/>
      <c r="HZ330" s="35"/>
      <c r="IA330" s="35"/>
      <c r="IB330" s="35"/>
      <c r="IC330" s="35"/>
      <c r="ID330" s="35"/>
      <c r="IE330" s="35"/>
      <c r="IF330" s="35"/>
      <c r="IG330" s="35"/>
      <c r="IH330" s="35"/>
      <c r="II330" s="35"/>
      <c r="IJ330" s="35"/>
      <c r="IK330" s="35"/>
      <c r="IL330" s="35"/>
      <c r="IM330" s="35"/>
      <c r="IN330" s="35"/>
      <c r="IO330" s="35"/>
      <c r="IP330" s="35"/>
      <c r="IQ330" s="35"/>
      <c r="IR330" s="35"/>
      <c r="IS330" s="35"/>
      <c r="IT330" s="35"/>
      <c r="IU330" s="35"/>
      <c r="IV330" s="35"/>
      <c r="IW330" s="35"/>
      <c r="IX330" s="35"/>
      <c r="IY330" s="35"/>
      <c r="IZ330" s="35"/>
      <c r="JA330" s="35"/>
      <c r="JB330" s="35"/>
      <c r="JC330" s="35"/>
      <c r="JD330" s="35"/>
      <c r="JE330" s="35"/>
    </row>
    <row r="331">
      <c r="A331" s="42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35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35"/>
      <c r="CO331" s="35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35"/>
      <c r="DJ331" s="35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35"/>
      <c r="EE331" s="35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35"/>
      <c r="EZ331" s="35"/>
      <c r="FA331" s="35"/>
      <c r="FB331" s="35"/>
      <c r="FC331" s="35"/>
      <c r="FD331" s="35"/>
      <c r="FE331" s="35"/>
      <c r="FF331" s="35"/>
      <c r="FG331" s="35"/>
      <c r="FH331" s="35"/>
      <c r="FI331" s="35"/>
      <c r="FJ331" s="35"/>
      <c r="FK331" s="35"/>
      <c r="FL331" s="35"/>
      <c r="FM331" s="35"/>
      <c r="FN331" s="35"/>
      <c r="FO331" s="35"/>
      <c r="FP331" s="35"/>
      <c r="FQ331" s="35"/>
      <c r="FR331" s="35"/>
      <c r="FS331" s="35"/>
      <c r="FT331" s="35"/>
      <c r="FU331" s="35"/>
      <c r="FV331" s="35"/>
      <c r="FW331" s="35"/>
      <c r="FX331" s="35"/>
      <c r="FY331" s="35"/>
      <c r="FZ331" s="35"/>
      <c r="GA331" s="35"/>
      <c r="GB331" s="35"/>
      <c r="GC331" s="35"/>
      <c r="GD331" s="35"/>
      <c r="GE331" s="35"/>
      <c r="GF331" s="35"/>
      <c r="GG331" s="35"/>
      <c r="GH331" s="35"/>
      <c r="GI331" s="35"/>
      <c r="GJ331" s="35"/>
      <c r="GK331" s="35"/>
      <c r="GL331" s="35"/>
      <c r="GM331" s="35"/>
      <c r="GN331" s="35"/>
      <c r="GO331" s="35"/>
      <c r="GP331" s="35"/>
      <c r="GQ331" s="35"/>
      <c r="GR331" s="35"/>
      <c r="GS331" s="35"/>
      <c r="GT331" s="35"/>
      <c r="GU331" s="35"/>
      <c r="GV331" s="35"/>
      <c r="GW331" s="35"/>
      <c r="GX331" s="35"/>
      <c r="GY331" s="35"/>
      <c r="GZ331" s="35"/>
      <c r="HA331" s="35"/>
      <c r="HB331" s="35"/>
      <c r="HC331" s="35"/>
      <c r="HD331" s="35"/>
      <c r="HE331" s="35"/>
      <c r="HF331" s="35"/>
      <c r="HG331" s="35"/>
      <c r="HH331" s="35"/>
      <c r="HI331" s="35"/>
      <c r="HJ331" s="35"/>
      <c r="HK331" s="35"/>
      <c r="HL331" s="35"/>
      <c r="HM331" s="35"/>
      <c r="HN331" s="35"/>
      <c r="HO331" s="35"/>
      <c r="HP331" s="35"/>
      <c r="HQ331" s="35"/>
      <c r="HR331" s="35"/>
      <c r="HS331" s="35"/>
      <c r="HT331" s="35"/>
      <c r="HU331" s="35"/>
      <c r="HV331" s="35"/>
      <c r="HW331" s="35"/>
      <c r="HX331" s="35"/>
      <c r="HY331" s="35"/>
      <c r="HZ331" s="35"/>
      <c r="IA331" s="35"/>
      <c r="IB331" s="35"/>
      <c r="IC331" s="35"/>
      <c r="ID331" s="35"/>
      <c r="IE331" s="35"/>
      <c r="IF331" s="35"/>
      <c r="IG331" s="35"/>
      <c r="IH331" s="35"/>
      <c r="II331" s="35"/>
      <c r="IJ331" s="35"/>
      <c r="IK331" s="35"/>
      <c r="IL331" s="35"/>
      <c r="IM331" s="35"/>
      <c r="IN331" s="35"/>
      <c r="IO331" s="35"/>
      <c r="IP331" s="35"/>
      <c r="IQ331" s="35"/>
      <c r="IR331" s="35"/>
      <c r="IS331" s="35"/>
      <c r="IT331" s="35"/>
      <c r="IU331" s="35"/>
      <c r="IV331" s="35"/>
      <c r="IW331" s="35"/>
      <c r="IX331" s="35"/>
      <c r="IY331" s="35"/>
      <c r="IZ331" s="35"/>
      <c r="JA331" s="35"/>
      <c r="JB331" s="35"/>
      <c r="JC331" s="35"/>
      <c r="JD331" s="35"/>
      <c r="JE331" s="35"/>
    </row>
    <row r="332">
      <c r="A332" s="42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35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35"/>
      <c r="CO332" s="35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35"/>
      <c r="DJ332" s="35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35"/>
      <c r="EE332" s="35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35"/>
      <c r="EZ332" s="35"/>
      <c r="FA332" s="35"/>
      <c r="FB332" s="35"/>
      <c r="FC332" s="35"/>
      <c r="FD332" s="35"/>
      <c r="FE332" s="35"/>
      <c r="FF332" s="35"/>
      <c r="FG332" s="35"/>
      <c r="FH332" s="35"/>
      <c r="FI332" s="35"/>
      <c r="FJ332" s="35"/>
      <c r="FK332" s="35"/>
      <c r="FL332" s="35"/>
      <c r="FM332" s="35"/>
      <c r="FN332" s="35"/>
      <c r="FO332" s="35"/>
      <c r="FP332" s="35"/>
      <c r="FQ332" s="35"/>
      <c r="FR332" s="35"/>
      <c r="FS332" s="35"/>
      <c r="FT332" s="35"/>
      <c r="FU332" s="35"/>
      <c r="FV332" s="35"/>
      <c r="FW332" s="35"/>
      <c r="FX332" s="35"/>
      <c r="FY332" s="35"/>
      <c r="FZ332" s="35"/>
      <c r="GA332" s="35"/>
      <c r="GB332" s="35"/>
      <c r="GC332" s="35"/>
      <c r="GD332" s="35"/>
      <c r="GE332" s="35"/>
      <c r="GF332" s="35"/>
      <c r="GG332" s="35"/>
      <c r="GH332" s="35"/>
      <c r="GI332" s="35"/>
      <c r="GJ332" s="35"/>
      <c r="GK332" s="35"/>
      <c r="GL332" s="35"/>
      <c r="GM332" s="35"/>
      <c r="GN332" s="35"/>
      <c r="GO332" s="35"/>
      <c r="GP332" s="35"/>
      <c r="GQ332" s="35"/>
      <c r="GR332" s="35"/>
      <c r="GS332" s="35"/>
      <c r="GT332" s="35"/>
      <c r="GU332" s="35"/>
      <c r="GV332" s="35"/>
      <c r="GW332" s="35"/>
      <c r="GX332" s="35"/>
      <c r="GY332" s="35"/>
      <c r="GZ332" s="35"/>
      <c r="HA332" s="35"/>
      <c r="HB332" s="35"/>
      <c r="HC332" s="35"/>
      <c r="HD332" s="35"/>
      <c r="HE332" s="35"/>
      <c r="HF332" s="35"/>
      <c r="HG332" s="35"/>
      <c r="HH332" s="35"/>
      <c r="HI332" s="35"/>
      <c r="HJ332" s="35"/>
      <c r="HK332" s="35"/>
      <c r="HL332" s="35"/>
      <c r="HM332" s="35"/>
      <c r="HN332" s="35"/>
      <c r="HO332" s="35"/>
      <c r="HP332" s="35"/>
      <c r="HQ332" s="35"/>
      <c r="HR332" s="35"/>
      <c r="HS332" s="35"/>
      <c r="HT332" s="35"/>
      <c r="HU332" s="35"/>
      <c r="HV332" s="35"/>
      <c r="HW332" s="35"/>
      <c r="HX332" s="35"/>
      <c r="HY332" s="35"/>
      <c r="HZ332" s="35"/>
      <c r="IA332" s="35"/>
      <c r="IB332" s="35"/>
      <c r="IC332" s="35"/>
      <c r="ID332" s="35"/>
      <c r="IE332" s="35"/>
      <c r="IF332" s="35"/>
      <c r="IG332" s="35"/>
      <c r="IH332" s="35"/>
      <c r="II332" s="35"/>
      <c r="IJ332" s="35"/>
      <c r="IK332" s="35"/>
      <c r="IL332" s="35"/>
      <c r="IM332" s="35"/>
      <c r="IN332" s="35"/>
      <c r="IO332" s="35"/>
      <c r="IP332" s="35"/>
      <c r="IQ332" s="35"/>
      <c r="IR332" s="35"/>
      <c r="IS332" s="35"/>
      <c r="IT332" s="35"/>
      <c r="IU332" s="35"/>
      <c r="IV332" s="35"/>
      <c r="IW332" s="35"/>
      <c r="IX332" s="35"/>
      <c r="IY332" s="35"/>
      <c r="IZ332" s="35"/>
      <c r="JA332" s="35"/>
      <c r="JB332" s="35"/>
      <c r="JC332" s="35"/>
      <c r="JD332" s="35"/>
      <c r="JE332" s="35"/>
    </row>
    <row r="333">
      <c r="A333" s="42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35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35"/>
      <c r="CO333" s="35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35"/>
      <c r="EE333" s="35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35"/>
      <c r="EZ333" s="35"/>
      <c r="FA333" s="35"/>
      <c r="FB333" s="35"/>
      <c r="FC333" s="35"/>
      <c r="FD333" s="35"/>
      <c r="FE333" s="35"/>
      <c r="FF333" s="35"/>
      <c r="FG333" s="35"/>
      <c r="FH333" s="35"/>
      <c r="FI333" s="35"/>
      <c r="FJ333" s="35"/>
      <c r="FK333" s="35"/>
      <c r="FL333" s="35"/>
      <c r="FM333" s="35"/>
      <c r="FN333" s="35"/>
      <c r="FO333" s="35"/>
      <c r="FP333" s="35"/>
      <c r="FQ333" s="35"/>
      <c r="FR333" s="35"/>
      <c r="FS333" s="35"/>
      <c r="FT333" s="35"/>
      <c r="FU333" s="35"/>
      <c r="FV333" s="35"/>
      <c r="FW333" s="35"/>
      <c r="FX333" s="35"/>
      <c r="FY333" s="35"/>
      <c r="FZ333" s="35"/>
      <c r="GA333" s="35"/>
      <c r="GB333" s="35"/>
      <c r="GC333" s="35"/>
      <c r="GD333" s="35"/>
      <c r="GE333" s="35"/>
      <c r="GF333" s="35"/>
      <c r="GG333" s="35"/>
      <c r="GH333" s="35"/>
      <c r="GI333" s="35"/>
      <c r="GJ333" s="35"/>
      <c r="GK333" s="35"/>
      <c r="GL333" s="35"/>
      <c r="GM333" s="35"/>
      <c r="GN333" s="35"/>
      <c r="GO333" s="35"/>
      <c r="GP333" s="35"/>
      <c r="GQ333" s="35"/>
      <c r="GR333" s="35"/>
      <c r="GS333" s="35"/>
      <c r="GT333" s="35"/>
      <c r="GU333" s="35"/>
      <c r="GV333" s="35"/>
      <c r="GW333" s="35"/>
      <c r="GX333" s="35"/>
      <c r="GY333" s="35"/>
      <c r="GZ333" s="35"/>
      <c r="HA333" s="35"/>
      <c r="HB333" s="35"/>
      <c r="HC333" s="35"/>
      <c r="HD333" s="35"/>
      <c r="HE333" s="35"/>
      <c r="HF333" s="35"/>
      <c r="HG333" s="35"/>
      <c r="HH333" s="35"/>
      <c r="HI333" s="35"/>
      <c r="HJ333" s="35"/>
      <c r="HK333" s="35"/>
      <c r="HL333" s="35"/>
      <c r="HM333" s="35"/>
      <c r="HN333" s="35"/>
      <c r="HO333" s="35"/>
      <c r="HP333" s="35"/>
      <c r="HQ333" s="35"/>
      <c r="HR333" s="35"/>
      <c r="HS333" s="35"/>
      <c r="HT333" s="35"/>
      <c r="HU333" s="35"/>
      <c r="HV333" s="35"/>
      <c r="HW333" s="35"/>
      <c r="HX333" s="35"/>
      <c r="HY333" s="35"/>
      <c r="HZ333" s="35"/>
      <c r="IA333" s="35"/>
      <c r="IB333" s="35"/>
      <c r="IC333" s="35"/>
      <c r="ID333" s="35"/>
      <c r="IE333" s="35"/>
      <c r="IF333" s="35"/>
      <c r="IG333" s="35"/>
      <c r="IH333" s="35"/>
      <c r="II333" s="35"/>
      <c r="IJ333" s="35"/>
      <c r="IK333" s="35"/>
      <c r="IL333" s="35"/>
      <c r="IM333" s="35"/>
      <c r="IN333" s="35"/>
      <c r="IO333" s="35"/>
      <c r="IP333" s="35"/>
      <c r="IQ333" s="35"/>
      <c r="IR333" s="35"/>
      <c r="IS333" s="35"/>
      <c r="IT333" s="35"/>
      <c r="IU333" s="35"/>
      <c r="IV333" s="35"/>
      <c r="IW333" s="35"/>
      <c r="IX333" s="35"/>
      <c r="IY333" s="35"/>
      <c r="IZ333" s="35"/>
      <c r="JA333" s="35"/>
      <c r="JB333" s="35"/>
      <c r="JC333" s="35"/>
      <c r="JD333" s="35"/>
      <c r="JE333" s="35"/>
    </row>
    <row r="334">
      <c r="A334" s="42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35"/>
      <c r="BS334" s="35"/>
      <c r="BT334" s="35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35"/>
      <c r="CO334" s="35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35"/>
      <c r="DJ334" s="35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35"/>
      <c r="EE334" s="35"/>
      <c r="EF334" s="35"/>
      <c r="EG334" s="35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35"/>
      <c r="EZ334" s="35"/>
      <c r="FA334" s="35"/>
      <c r="FB334" s="35"/>
      <c r="FC334" s="35"/>
      <c r="FD334" s="35"/>
      <c r="FE334" s="35"/>
      <c r="FF334" s="35"/>
      <c r="FG334" s="35"/>
      <c r="FH334" s="35"/>
      <c r="FI334" s="35"/>
      <c r="FJ334" s="35"/>
      <c r="FK334" s="35"/>
      <c r="FL334" s="35"/>
      <c r="FM334" s="35"/>
      <c r="FN334" s="35"/>
      <c r="FO334" s="35"/>
      <c r="FP334" s="35"/>
      <c r="FQ334" s="35"/>
      <c r="FR334" s="35"/>
      <c r="FS334" s="35"/>
      <c r="FT334" s="35"/>
      <c r="FU334" s="35"/>
      <c r="FV334" s="35"/>
      <c r="FW334" s="35"/>
      <c r="FX334" s="35"/>
      <c r="FY334" s="35"/>
      <c r="FZ334" s="35"/>
      <c r="GA334" s="35"/>
      <c r="GB334" s="35"/>
      <c r="GC334" s="35"/>
      <c r="GD334" s="35"/>
      <c r="GE334" s="35"/>
      <c r="GF334" s="35"/>
      <c r="GG334" s="35"/>
      <c r="GH334" s="35"/>
      <c r="GI334" s="35"/>
      <c r="GJ334" s="35"/>
      <c r="GK334" s="35"/>
      <c r="GL334" s="35"/>
      <c r="GM334" s="35"/>
      <c r="GN334" s="35"/>
      <c r="GO334" s="35"/>
      <c r="GP334" s="35"/>
      <c r="GQ334" s="35"/>
      <c r="GR334" s="35"/>
      <c r="GS334" s="35"/>
      <c r="GT334" s="35"/>
      <c r="GU334" s="35"/>
      <c r="GV334" s="35"/>
      <c r="GW334" s="35"/>
      <c r="GX334" s="35"/>
      <c r="GY334" s="35"/>
      <c r="GZ334" s="35"/>
      <c r="HA334" s="35"/>
      <c r="HB334" s="35"/>
      <c r="HC334" s="35"/>
      <c r="HD334" s="35"/>
      <c r="HE334" s="35"/>
      <c r="HF334" s="35"/>
      <c r="HG334" s="35"/>
      <c r="HH334" s="35"/>
      <c r="HI334" s="35"/>
      <c r="HJ334" s="35"/>
      <c r="HK334" s="35"/>
      <c r="HL334" s="35"/>
      <c r="HM334" s="35"/>
      <c r="HN334" s="35"/>
      <c r="HO334" s="35"/>
      <c r="HP334" s="35"/>
      <c r="HQ334" s="35"/>
      <c r="HR334" s="35"/>
      <c r="HS334" s="35"/>
      <c r="HT334" s="35"/>
      <c r="HU334" s="35"/>
      <c r="HV334" s="35"/>
      <c r="HW334" s="35"/>
      <c r="HX334" s="35"/>
      <c r="HY334" s="35"/>
      <c r="HZ334" s="35"/>
      <c r="IA334" s="35"/>
      <c r="IB334" s="35"/>
      <c r="IC334" s="35"/>
      <c r="ID334" s="35"/>
      <c r="IE334" s="35"/>
      <c r="IF334" s="35"/>
      <c r="IG334" s="35"/>
      <c r="IH334" s="35"/>
      <c r="II334" s="35"/>
      <c r="IJ334" s="35"/>
      <c r="IK334" s="35"/>
      <c r="IL334" s="35"/>
      <c r="IM334" s="35"/>
      <c r="IN334" s="35"/>
      <c r="IO334" s="35"/>
      <c r="IP334" s="35"/>
      <c r="IQ334" s="35"/>
      <c r="IR334" s="35"/>
      <c r="IS334" s="35"/>
      <c r="IT334" s="35"/>
      <c r="IU334" s="35"/>
      <c r="IV334" s="35"/>
      <c r="IW334" s="35"/>
      <c r="IX334" s="35"/>
      <c r="IY334" s="35"/>
      <c r="IZ334" s="35"/>
      <c r="JA334" s="35"/>
      <c r="JB334" s="35"/>
      <c r="JC334" s="35"/>
      <c r="JD334" s="35"/>
      <c r="JE334" s="35"/>
    </row>
    <row r="335">
      <c r="A335" s="42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35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35"/>
      <c r="CO335" s="35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35"/>
      <c r="EE335" s="35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35"/>
      <c r="EZ335" s="35"/>
      <c r="FA335" s="35"/>
      <c r="FB335" s="35"/>
      <c r="FC335" s="35"/>
      <c r="FD335" s="35"/>
      <c r="FE335" s="35"/>
      <c r="FF335" s="35"/>
      <c r="FG335" s="35"/>
      <c r="FH335" s="35"/>
      <c r="FI335" s="35"/>
      <c r="FJ335" s="35"/>
      <c r="FK335" s="35"/>
      <c r="FL335" s="35"/>
      <c r="FM335" s="35"/>
      <c r="FN335" s="35"/>
      <c r="FO335" s="35"/>
      <c r="FP335" s="35"/>
      <c r="FQ335" s="35"/>
      <c r="FR335" s="35"/>
      <c r="FS335" s="35"/>
      <c r="FT335" s="35"/>
      <c r="FU335" s="35"/>
      <c r="FV335" s="35"/>
      <c r="FW335" s="35"/>
      <c r="FX335" s="35"/>
      <c r="FY335" s="35"/>
      <c r="FZ335" s="35"/>
      <c r="GA335" s="35"/>
      <c r="GB335" s="35"/>
      <c r="GC335" s="35"/>
      <c r="GD335" s="35"/>
      <c r="GE335" s="35"/>
      <c r="GF335" s="35"/>
      <c r="GG335" s="35"/>
      <c r="GH335" s="35"/>
      <c r="GI335" s="35"/>
      <c r="GJ335" s="35"/>
      <c r="GK335" s="35"/>
      <c r="GL335" s="35"/>
      <c r="GM335" s="35"/>
      <c r="GN335" s="35"/>
      <c r="GO335" s="35"/>
      <c r="GP335" s="35"/>
      <c r="GQ335" s="35"/>
      <c r="GR335" s="35"/>
      <c r="GS335" s="35"/>
      <c r="GT335" s="35"/>
      <c r="GU335" s="35"/>
      <c r="GV335" s="35"/>
      <c r="GW335" s="35"/>
      <c r="GX335" s="35"/>
      <c r="GY335" s="35"/>
      <c r="GZ335" s="35"/>
      <c r="HA335" s="35"/>
      <c r="HB335" s="35"/>
      <c r="HC335" s="35"/>
      <c r="HD335" s="35"/>
      <c r="HE335" s="35"/>
      <c r="HF335" s="35"/>
      <c r="HG335" s="35"/>
      <c r="HH335" s="35"/>
      <c r="HI335" s="35"/>
      <c r="HJ335" s="35"/>
      <c r="HK335" s="35"/>
      <c r="HL335" s="35"/>
      <c r="HM335" s="35"/>
      <c r="HN335" s="35"/>
      <c r="HO335" s="35"/>
      <c r="HP335" s="35"/>
      <c r="HQ335" s="35"/>
      <c r="HR335" s="35"/>
      <c r="HS335" s="35"/>
      <c r="HT335" s="35"/>
      <c r="HU335" s="35"/>
      <c r="HV335" s="35"/>
      <c r="HW335" s="35"/>
      <c r="HX335" s="35"/>
      <c r="HY335" s="35"/>
      <c r="HZ335" s="35"/>
      <c r="IA335" s="35"/>
      <c r="IB335" s="35"/>
      <c r="IC335" s="35"/>
      <c r="ID335" s="35"/>
      <c r="IE335" s="35"/>
      <c r="IF335" s="35"/>
      <c r="IG335" s="35"/>
      <c r="IH335" s="35"/>
      <c r="II335" s="35"/>
      <c r="IJ335" s="35"/>
      <c r="IK335" s="35"/>
      <c r="IL335" s="35"/>
      <c r="IM335" s="35"/>
      <c r="IN335" s="35"/>
      <c r="IO335" s="35"/>
      <c r="IP335" s="35"/>
      <c r="IQ335" s="35"/>
      <c r="IR335" s="35"/>
      <c r="IS335" s="35"/>
      <c r="IT335" s="35"/>
      <c r="IU335" s="35"/>
      <c r="IV335" s="35"/>
      <c r="IW335" s="35"/>
      <c r="IX335" s="35"/>
      <c r="IY335" s="35"/>
      <c r="IZ335" s="35"/>
      <c r="JA335" s="35"/>
      <c r="JB335" s="35"/>
      <c r="JC335" s="35"/>
      <c r="JD335" s="35"/>
      <c r="JE335" s="35"/>
    </row>
    <row r="336">
      <c r="A336" s="42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  <c r="BC336" s="35"/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35"/>
      <c r="BS336" s="35"/>
      <c r="BT336" s="35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35"/>
      <c r="CO336" s="35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35"/>
      <c r="DJ336" s="35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35"/>
      <c r="EE336" s="35"/>
      <c r="EF336" s="35"/>
      <c r="EG336" s="35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35"/>
      <c r="EZ336" s="35"/>
      <c r="FA336" s="35"/>
      <c r="FB336" s="35"/>
      <c r="FC336" s="35"/>
      <c r="FD336" s="35"/>
      <c r="FE336" s="35"/>
      <c r="FF336" s="35"/>
      <c r="FG336" s="35"/>
      <c r="FH336" s="35"/>
      <c r="FI336" s="35"/>
      <c r="FJ336" s="35"/>
      <c r="FK336" s="35"/>
      <c r="FL336" s="35"/>
      <c r="FM336" s="35"/>
      <c r="FN336" s="35"/>
      <c r="FO336" s="35"/>
      <c r="FP336" s="35"/>
      <c r="FQ336" s="35"/>
      <c r="FR336" s="35"/>
      <c r="FS336" s="35"/>
      <c r="FT336" s="35"/>
      <c r="FU336" s="35"/>
      <c r="FV336" s="35"/>
      <c r="FW336" s="35"/>
      <c r="FX336" s="35"/>
      <c r="FY336" s="35"/>
      <c r="FZ336" s="35"/>
      <c r="GA336" s="35"/>
      <c r="GB336" s="35"/>
      <c r="GC336" s="35"/>
      <c r="GD336" s="35"/>
      <c r="GE336" s="35"/>
      <c r="GF336" s="35"/>
      <c r="GG336" s="35"/>
      <c r="GH336" s="35"/>
      <c r="GI336" s="35"/>
      <c r="GJ336" s="35"/>
      <c r="GK336" s="35"/>
      <c r="GL336" s="35"/>
      <c r="GM336" s="35"/>
      <c r="GN336" s="35"/>
      <c r="GO336" s="35"/>
      <c r="GP336" s="35"/>
      <c r="GQ336" s="35"/>
      <c r="GR336" s="35"/>
      <c r="GS336" s="35"/>
      <c r="GT336" s="35"/>
      <c r="GU336" s="35"/>
      <c r="GV336" s="35"/>
      <c r="GW336" s="35"/>
      <c r="GX336" s="35"/>
      <c r="GY336" s="35"/>
      <c r="GZ336" s="35"/>
      <c r="HA336" s="35"/>
      <c r="HB336" s="35"/>
      <c r="HC336" s="35"/>
      <c r="HD336" s="35"/>
      <c r="HE336" s="35"/>
      <c r="HF336" s="35"/>
      <c r="HG336" s="35"/>
      <c r="HH336" s="35"/>
      <c r="HI336" s="35"/>
      <c r="HJ336" s="35"/>
      <c r="HK336" s="35"/>
      <c r="HL336" s="35"/>
      <c r="HM336" s="35"/>
      <c r="HN336" s="35"/>
      <c r="HO336" s="35"/>
      <c r="HP336" s="35"/>
      <c r="HQ336" s="35"/>
      <c r="HR336" s="35"/>
      <c r="HS336" s="35"/>
      <c r="HT336" s="35"/>
      <c r="HU336" s="35"/>
      <c r="HV336" s="35"/>
      <c r="HW336" s="35"/>
      <c r="HX336" s="35"/>
      <c r="HY336" s="35"/>
      <c r="HZ336" s="35"/>
      <c r="IA336" s="35"/>
      <c r="IB336" s="35"/>
      <c r="IC336" s="35"/>
      <c r="ID336" s="35"/>
      <c r="IE336" s="35"/>
      <c r="IF336" s="35"/>
      <c r="IG336" s="35"/>
      <c r="IH336" s="35"/>
      <c r="II336" s="35"/>
      <c r="IJ336" s="35"/>
      <c r="IK336" s="35"/>
      <c r="IL336" s="35"/>
      <c r="IM336" s="35"/>
      <c r="IN336" s="35"/>
      <c r="IO336" s="35"/>
      <c r="IP336" s="35"/>
      <c r="IQ336" s="35"/>
      <c r="IR336" s="35"/>
      <c r="IS336" s="35"/>
      <c r="IT336" s="35"/>
      <c r="IU336" s="35"/>
      <c r="IV336" s="35"/>
      <c r="IW336" s="35"/>
      <c r="IX336" s="35"/>
      <c r="IY336" s="35"/>
      <c r="IZ336" s="35"/>
      <c r="JA336" s="35"/>
      <c r="JB336" s="35"/>
      <c r="JC336" s="35"/>
      <c r="JD336" s="35"/>
      <c r="JE336" s="35"/>
    </row>
    <row r="337">
      <c r="A337" s="42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  <c r="BS337" s="35"/>
      <c r="BT337" s="35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35"/>
      <c r="CO337" s="35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35"/>
      <c r="DJ337" s="35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35"/>
      <c r="EE337" s="35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35"/>
      <c r="EZ337" s="35"/>
      <c r="FA337" s="35"/>
      <c r="FB337" s="35"/>
      <c r="FC337" s="35"/>
      <c r="FD337" s="35"/>
      <c r="FE337" s="35"/>
      <c r="FF337" s="35"/>
      <c r="FG337" s="35"/>
      <c r="FH337" s="35"/>
      <c r="FI337" s="35"/>
      <c r="FJ337" s="35"/>
      <c r="FK337" s="35"/>
      <c r="FL337" s="35"/>
      <c r="FM337" s="35"/>
      <c r="FN337" s="35"/>
      <c r="FO337" s="35"/>
      <c r="FP337" s="35"/>
      <c r="FQ337" s="35"/>
      <c r="FR337" s="35"/>
      <c r="FS337" s="35"/>
      <c r="FT337" s="35"/>
      <c r="FU337" s="35"/>
      <c r="FV337" s="35"/>
      <c r="FW337" s="35"/>
      <c r="FX337" s="35"/>
      <c r="FY337" s="35"/>
      <c r="FZ337" s="35"/>
      <c r="GA337" s="35"/>
      <c r="GB337" s="35"/>
      <c r="GC337" s="35"/>
      <c r="GD337" s="35"/>
      <c r="GE337" s="35"/>
      <c r="GF337" s="35"/>
      <c r="GG337" s="35"/>
      <c r="GH337" s="35"/>
      <c r="GI337" s="35"/>
      <c r="GJ337" s="35"/>
      <c r="GK337" s="35"/>
      <c r="GL337" s="35"/>
      <c r="GM337" s="35"/>
      <c r="GN337" s="35"/>
      <c r="GO337" s="35"/>
      <c r="GP337" s="35"/>
      <c r="GQ337" s="35"/>
      <c r="GR337" s="35"/>
      <c r="GS337" s="35"/>
      <c r="GT337" s="35"/>
      <c r="GU337" s="35"/>
      <c r="GV337" s="35"/>
      <c r="GW337" s="35"/>
      <c r="GX337" s="35"/>
      <c r="GY337" s="35"/>
      <c r="GZ337" s="35"/>
      <c r="HA337" s="35"/>
      <c r="HB337" s="35"/>
      <c r="HC337" s="35"/>
      <c r="HD337" s="35"/>
      <c r="HE337" s="35"/>
      <c r="HF337" s="35"/>
      <c r="HG337" s="35"/>
      <c r="HH337" s="35"/>
      <c r="HI337" s="35"/>
      <c r="HJ337" s="35"/>
      <c r="HK337" s="35"/>
      <c r="HL337" s="35"/>
      <c r="HM337" s="35"/>
      <c r="HN337" s="35"/>
      <c r="HO337" s="35"/>
      <c r="HP337" s="35"/>
      <c r="HQ337" s="35"/>
      <c r="HR337" s="35"/>
      <c r="HS337" s="35"/>
      <c r="HT337" s="35"/>
      <c r="HU337" s="35"/>
      <c r="HV337" s="35"/>
      <c r="HW337" s="35"/>
      <c r="HX337" s="35"/>
      <c r="HY337" s="35"/>
      <c r="HZ337" s="35"/>
      <c r="IA337" s="35"/>
      <c r="IB337" s="35"/>
      <c r="IC337" s="35"/>
      <c r="ID337" s="35"/>
      <c r="IE337" s="35"/>
      <c r="IF337" s="35"/>
      <c r="IG337" s="35"/>
      <c r="IH337" s="35"/>
      <c r="II337" s="35"/>
      <c r="IJ337" s="35"/>
      <c r="IK337" s="35"/>
      <c r="IL337" s="35"/>
      <c r="IM337" s="35"/>
      <c r="IN337" s="35"/>
      <c r="IO337" s="35"/>
      <c r="IP337" s="35"/>
      <c r="IQ337" s="35"/>
      <c r="IR337" s="35"/>
      <c r="IS337" s="35"/>
      <c r="IT337" s="35"/>
      <c r="IU337" s="35"/>
      <c r="IV337" s="35"/>
      <c r="IW337" s="35"/>
      <c r="IX337" s="35"/>
      <c r="IY337" s="35"/>
      <c r="IZ337" s="35"/>
      <c r="JA337" s="35"/>
      <c r="JB337" s="35"/>
      <c r="JC337" s="35"/>
      <c r="JD337" s="35"/>
      <c r="JE337" s="35"/>
    </row>
    <row r="338">
      <c r="A338" s="42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  <c r="BC338" s="35"/>
      <c r="BD338" s="35"/>
      <c r="BE338" s="35"/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  <c r="BR338" s="35"/>
      <c r="BS338" s="35"/>
      <c r="BT338" s="35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35"/>
      <c r="CO338" s="35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35"/>
      <c r="DJ338" s="35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35"/>
      <c r="EE338" s="35"/>
      <c r="EF338" s="35"/>
      <c r="EG338" s="35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35"/>
      <c r="EZ338" s="35"/>
      <c r="FA338" s="35"/>
      <c r="FB338" s="35"/>
      <c r="FC338" s="35"/>
      <c r="FD338" s="35"/>
      <c r="FE338" s="35"/>
      <c r="FF338" s="35"/>
      <c r="FG338" s="35"/>
      <c r="FH338" s="35"/>
      <c r="FI338" s="35"/>
      <c r="FJ338" s="35"/>
      <c r="FK338" s="35"/>
      <c r="FL338" s="35"/>
      <c r="FM338" s="35"/>
      <c r="FN338" s="35"/>
      <c r="FO338" s="35"/>
      <c r="FP338" s="35"/>
      <c r="FQ338" s="35"/>
      <c r="FR338" s="35"/>
      <c r="FS338" s="35"/>
      <c r="FT338" s="35"/>
      <c r="FU338" s="35"/>
      <c r="FV338" s="35"/>
      <c r="FW338" s="35"/>
      <c r="FX338" s="35"/>
      <c r="FY338" s="35"/>
      <c r="FZ338" s="35"/>
      <c r="GA338" s="35"/>
      <c r="GB338" s="35"/>
      <c r="GC338" s="35"/>
      <c r="GD338" s="35"/>
      <c r="GE338" s="35"/>
      <c r="GF338" s="35"/>
      <c r="GG338" s="35"/>
      <c r="GH338" s="35"/>
      <c r="GI338" s="35"/>
      <c r="GJ338" s="35"/>
      <c r="GK338" s="35"/>
      <c r="GL338" s="35"/>
      <c r="GM338" s="35"/>
      <c r="GN338" s="35"/>
      <c r="GO338" s="35"/>
      <c r="GP338" s="35"/>
      <c r="GQ338" s="35"/>
      <c r="GR338" s="35"/>
      <c r="GS338" s="35"/>
      <c r="GT338" s="35"/>
      <c r="GU338" s="35"/>
      <c r="GV338" s="35"/>
      <c r="GW338" s="35"/>
      <c r="GX338" s="35"/>
      <c r="GY338" s="35"/>
      <c r="GZ338" s="35"/>
      <c r="HA338" s="35"/>
      <c r="HB338" s="35"/>
      <c r="HC338" s="35"/>
      <c r="HD338" s="35"/>
      <c r="HE338" s="35"/>
      <c r="HF338" s="35"/>
      <c r="HG338" s="35"/>
      <c r="HH338" s="35"/>
      <c r="HI338" s="35"/>
      <c r="HJ338" s="35"/>
      <c r="HK338" s="35"/>
      <c r="HL338" s="35"/>
      <c r="HM338" s="35"/>
      <c r="HN338" s="35"/>
      <c r="HO338" s="35"/>
      <c r="HP338" s="35"/>
      <c r="HQ338" s="35"/>
      <c r="HR338" s="35"/>
      <c r="HS338" s="35"/>
      <c r="HT338" s="35"/>
      <c r="HU338" s="35"/>
      <c r="HV338" s="35"/>
      <c r="HW338" s="35"/>
      <c r="HX338" s="35"/>
      <c r="HY338" s="35"/>
      <c r="HZ338" s="35"/>
      <c r="IA338" s="35"/>
      <c r="IB338" s="35"/>
      <c r="IC338" s="35"/>
      <c r="ID338" s="35"/>
      <c r="IE338" s="35"/>
      <c r="IF338" s="35"/>
      <c r="IG338" s="35"/>
      <c r="IH338" s="35"/>
      <c r="II338" s="35"/>
      <c r="IJ338" s="35"/>
      <c r="IK338" s="35"/>
      <c r="IL338" s="35"/>
      <c r="IM338" s="35"/>
      <c r="IN338" s="35"/>
      <c r="IO338" s="35"/>
      <c r="IP338" s="35"/>
      <c r="IQ338" s="35"/>
      <c r="IR338" s="35"/>
      <c r="IS338" s="35"/>
      <c r="IT338" s="35"/>
      <c r="IU338" s="35"/>
      <c r="IV338" s="35"/>
      <c r="IW338" s="35"/>
      <c r="IX338" s="35"/>
      <c r="IY338" s="35"/>
      <c r="IZ338" s="35"/>
      <c r="JA338" s="35"/>
      <c r="JB338" s="35"/>
      <c r="JC338" s="35"/>
      <c r="JD338" s="35"/>
      <c r="JE338" s="35"/>
    </row>
    <row r="339">
      <c r="A339" s="42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35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35"/>
      <c r="CO339" s="35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35"/>
      <c r="DJ339" s="35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35"/>
      <c r="EE339" s="35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35"/>
      <c r="EZ339" s="35"/>
      <c r="FA339" s="35"/>
      <c r="FB339" s="35"/>
      <c r="FC339" s="35"/>
      <c r="FD339" s="35"/>
      <c r="FE339" s="35"/>
      <c r="FF339" s="35"/>
      <c r="FG339" s="35"/>
      <c r="FH339" s="35"/>
      <c r="FI339" s="35"/>
      <c r="FJ339" s="35"/>
      <c r="FK339" s="35"/>
      <c r="FL339" s="35"/>
      <c r="FM339" s="35"/>
      <c r="FN339" s="35"/>
      <c r="FO339" s="35"/>
      <c r="FP339" s="35"/>
      <c r="FQ339" s="35"/>
      <c r="FR339" s="35"/>
      <c r="FS339" s="35"/>
      <c r="FT339" s="35"/>
      <c r="FU339" s="35"/>
      <c r="FV339" s="35"/>
      <c r="FW339" s="35"/>
      <c r="FX339" s="35"/>
      <c r="FY339" s="35"/>
      <c r="FZ339" s="35"/>
      <c r="GA339" s="35"/>
      <c r="GB339" s="35"/>
      <c r="GC339" s="35"/>
      <c r="GD339" s="35"/>
      <c r="GE339" s="35"/>
      <c r="GF339" s="35"/>
      <c r="GG339" s="35"/>
      <c r="GH339" s="35"/>
      <c r="GI339" s="35"/>
      <c r="GJ339" s="35"/>
      <c r="GK339" s="35"/>
      <c r="GL339" s="35"/>
      <c r="GM339" s="35"/>
      <c r="GN339" s="35"/>
      <c r="GO339" s="35"/>
      <c r="GP339" s="35"/>
      <c r="GQ339" s="35"/>
      <c r="GR339" s="35"/>
      <c r="GS339" s="35"/>
      <c r="GT339" s="35"/>
      <c r="GU339" s="35"/>
      <c r="GV339" s="35"/>
      <c r="GW339" s="35"/>
      <c r="GX339" s="35"/>
      <c r="GY339" s="35"/>
      <c r="GZ339" s="35"/>
      <c r="HA339" s="35"/>
      <c r="HB339" s="35"/>
      <c r="HC339" s="35"/>
      <c r="HD339" s="35"/>
      <c r="HE339" s="35"/>
      <c r="HF339" s="35"/>
      <c r="HG339" s="35"/>
      <c r="HH339" s="35"/>
      <c r="HI339" s="35"/>
      <c r="HJ339" s="35"/>
      <c r="HK339" s="35"/>
      <c r="HL339" s="35"/>
      <c r="HM339" s="35"/>
      <c r="HN339" s="35"/>
      <c r="HO339" s="35"/>
      <c r="HP339" s="35"/>
      <c r="HQ339" s="35"/>
      <c r="HR339" s="35"/>
      <c r="HS339" s="35"/>
      <c r="HT339" s="35"/>
      <c r="HU339" s="35"/>
      <c r="HV339" s="35"/>
      <c r="HW339" s="35"/>
      <c r="HX339" s="35"/>
      <c r="HY339" s="35"/>
      <c r="HZ339" s="35"/>
      <c r="IA339" s="35"/>
      <c r="IB339" s="35"/>
      <c r="IC339" s="35"/>
      <c r="ID339" s="35"/>
      <c r="IE339" s="35"/>
      <c r="IF339" s="35"/>
      <c r="IG339" s="35"/>
      <c r="IH339" s="35"/>
      <c r="II339" s="35"/>
      <c r="IJ339" s="35"/>
      <c r="IK339" s="35"/>
      <c r="IL339" s="35"/>
      <c r="IM339" s="35"/>
      <c r="IN339" s="35"/>
      <c r="IO339" s="35"/>
      <c r="IP339" s="35"/>
      <c r="IQ339" s="35"/>
      <c r="IR339" s="35"/>
      <c r="IS339" s="35"/>
      <c r="IT339" s="35"/>
      <c r="IU339" s="35"/>
      <c r="IV339" s="35"/>
      <c r="IW339" s="35"/>
      <c r="IX339" s="35"/>
      <c r="IY339" s="35"/>
      <c r="IZ339" s="35"/>
      <c r="JA339" s="35"/>
      <c r="JB339" s="35"/>
      <c r="JC339" s="35"/>
      <c r="JD339" s="35"/>
      <c r="JE339" s="35"/>
    </row>
    <row r="340">
      <c r="A340" s="42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  <c r="BC340" s="35"/>
      <c r="BD340" s="35"/>
      <c r="BE340" s="35"/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35"/>
      <c r="BS340" s="35"/>
      <c r="BT340" s="35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35"/>
      <c r="CO340" s="35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35"/>
      <c r="DJ340" s="35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35"/>
      <c r="EE340" s="35"/>
      <c r="EF340" s="35"/>
      <c r="EG340" s="35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35"/>
      <c r="EZ340" s="35"/>
      <c r="FA340" s="35"/>
      <c r="FB340" s="35"/>
      <c r="FC340" s="35"/>
      <c r="FD340" s="35"/>
      <c r="FE340" s="35"/>
      <c r="FF340" s="35"/>
      <c r="FG340" s="35"/>
      <c r="FH340" s="35"/>
      <c r="FI340" s="35"/>
      <c r="FJ340" s="35"/>
      <c r="FK340" s="35"/>
      <c r="FL340" s="35"/>
      <c r="FM340" s="35"/>
      <c r="FN340" s="35"/>
      <c r="FO340" s="35"/>
      <c r="FP340" s="35"/>
      <c r="FQ340" s="35"/>
      <c r="FR340" s="35"/>
      <c r="FS340" s="35"/>
      <c r="FT340" s="35"/>
      <c r="FU340" s="35"/>
      <c r="FV340" s="35"/>
      <c r="FW340" s="35"/>
      <c r="FX340" s="35"/>
      <c r="FY340" s="35"/>
      <c r="FZ340" s="35"/>
      <c r="GA340" s="35"/>
      <c r="GB340" s="35"/>
      <c r="GC340" s="35"/>
      <c r="GD340" s="35"/>
      <c r="GE340" s="35"/>
      <c r="GF340" s="35"/>
      <c r="GG340" s="35"/>
      <c r="GH340" s="35"/>
      <c r="GI340" s="35"/>
      <c r="GJ340" s="35"/>
      <c r="GK340" s="35"/>
      <c r="GL340" s="35"/>
      <c r="GM340" s="35"/>
      <c r="GN340" s="35"/>
      <c r="GO340" s="35"/>
      <c r="GP340" s="35"/>
      <c r="GQ340" s="35"/>
      <c r="GR340" s="35"/>
      <c r="GS340" s="35"/>
      <c r="GT340" s="35"/>
      <c r="GU340" s="35"/>
      <c r="GV340" s="35"/>
      <c r="GW340" s="35"/>
      <c r="GX340" s="35"/>
      <c r="GY340" s="35"/>
      <c r="GZ340" s="35"/>
      <c r="HA340" s="35"/>
      <c r="HB340" s="35"/>
      <c r="HC340" s="35"/>
      <c r="HD340" s="35"/>
      <c r="HE340" s="35"/>
      <c r="HF340" s="35"/>
      <c r="HG340" s="35"/>
      <c r="HH340" s="35"/>
      <c r="HI340" s="35"/>
      <c r="HJ340" s="35"/>
      <c r="HK340" s="35"/>
      <c r="HL340" s="35"/>
      <c r="HM340" s="35"/>
      <c r="HN340" s="35"/>
      <c r="HO340" s="35"/>
      <c r="HP340" s="35"/>
      <c r="HQ340" s="35"/>
      <c r="HR340" s="35"/>
      <c r="HS340" s="35"/>
      <c r="HT340" s="35"/>
      <c r="HU340" s="35"/>
      <c r="HV340" s="35"/>
      <c r="HW340" s="35"/>
      <c r="HX340" s="35"/>
      <c r="HY340" s="35"/>
      <c r="HZ340" s="35"/>
      <c r="IA340" s="35"/>
      <c r="IB340" s="35"/>
      <c r="IC340" s="35"/>
      <c r="ID340" s="35"/>
      <c r="IE340" s="35"/>
      <c r="IF340" s="35"/>
      <c r="IG340" s="35"/>
      <c r="IH340" s="35"/>
      <c r="II340" s="35"/>
      <c r="IJ340" s="35"/>
      <c r="IK340" s="35"/>
      <c r="IL340" s="35"/>
      <c r="IM340" s="35"/>
      <c r="IN340" s="35"/>
      <c r="IO340" s="35"/>
      <c r="IP340" s="35"/>
      <c r="IQ340" s="35"/>
      <c r="IR340" s="35"/>
      <c r="IS340" s="35"/>
      <c r="IT340" s="35"/>
      <c r="IU340" s="35"/>
      <c r="IV340" s="35"/>
      <c r="IW340" s="35"/>
      <c r="IX340" s="35"/>
      <c r="IY340" s="35"/>
      <c r="IZ340" s="35"/>
      <c r="JA340" s="35"/>
      <c r="JB340" s="35"/>
      <c r="JC340" s="35"/>
      <c r="JD340" s="35"/>
      <c r="JE340" s="35"/>
    </row>
    <row r="341">
      <c r="A341" s="42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  <c r="BS341" s="35"/>
      <c r="BT341" s="35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35"/>
      <c r="CO341" s="35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35"/>
      <c r="DJ341" s="35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35"/>
      <c r="EE341" s="35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35"/>
      <c r="EZ341" s="35"/>
      <c r="FA341" s="35"/>
      <c r="FB341" s="35"/>
      <c r="FC341" s="35"/>
      <c r="FD341" s="35"/>
      <c r="FE341" s="35"/>
      <c r="FF341" s="35"/>
      <c r="FG341" s="35"/>
      <c r="FH341" s="35"/>
      <c r="FI341" s="35"/>
      <c r="FJ341" s="35"/>
      <c r="FK341" s="35"/>
      <c r="FL341" s="35"/>
      <c r="FM341" s="35"/>
      <c r="FN341" s="35"/>
      <c r="FO341" s="35"/>
      <c r="FP341" s="35"/>
      <c r="FQ341" s="35"/>
      <c r="FR341" s="35"/>
      <c r="FS341" s="35"/>
      <c r="FT341" s="35"/>
      <c r="FU341" s="35"/>
      <c r="FV341" s="35"/>
      <c r="FW341" s="35"/>
      <c r="FX341" s="35"/>
      <c r="FY341" s="35"/>
      <c r="FZ341" s="35"/>
      <c r="GA341" s="35"/>
      <c r="GB341" s="35"/>
      <c r="GC341" s="35"/>
      <c r="GD341" s="35"/>
      <c r="GE341" s="35"/>
      <c r="GF341" s="35"/>
      <c r="GG341" s="35"/>
      <c r="GH341" s="35"/>
      <c r="GI341" s="35"/>
      <c r="GJ341" s="35"/>
      <c r="GK341" s="35"/>
      <c r="GL341" s="35"/>
      <c r="GM341" s="35"/>
      <c r="GN341" s="35"/>
      <c r="GO341" s="35"/>
      <c r="GP341" s="35"/>
      <c r="GQ341" s="35"/>
      <c r="GR341" s="35"/>
      <c r="GS341" s="35"/>
      <c r="GT341" s="35"/>
      <c r="GU341" s="35"/>
      <c r="GV341" s="35"/>
      <c r="GW341" s="35"/>
      <c r="GX341" s="35"/>
      <c r="GY341" s="35"/>
      <c r="GZ341" s="35"/>
      <c r="HA341" s="35"/>
      <c r="HB341" s="35"/>
      <c r="HC341" s="35"/>
      <c r="HD341" s="35"/>
      <c r="HE341" s="35"/>
      <c r="HF341" s="35"/>
      <c r="HG341" s="35"/>
      <c r="HH341" s="35"/>
      <c r="HI341" s="35"/>
      <c r="HJ341" s="35"/>
      <c r="HK341" s="35"/>
      <c r="HL341" s="35"/>
      <c r="HM341" s="35"/>
      <c r="HN341" s="35"/>
      <c r="HO341" s="35"/>
      <c r="HP341" s="35"/>
      <c r="HQ341" s="35"/>
      <c r="HR341" s="35"/>
      <c r="HS341" s="35"/>
      <c r="HT341" s="35"/>
      <c r="HU341" s="35"/>
      <c r="HV341" s="35"/>
      <c r="HW341" s="35"/>
      <c r="HX341" s="35"/>
      <c r="HY341" s="35"/>
      <c r="HZ341" s="35"/>
      <c r="IA341" s="35"/>
      <c r="IB341" s="35"/>
      <c r="IC341" s="35"/>
      <c r="ID341" s="35"/>
      <c r="IE341" s="35"/>
      <c r="IF341" s="35"/>
      <c r="IG341" s="35"/>
      <c r="IH341" s="35"/>
      <c r="II341" s="35"/>
      <c r="IJ341" s="35"/>
      <c r="IK341" s="35"/>
      <c r="IL341" s="35"/>
      <c r="IM341" s="35"/>
      <c r="IN341" s="35"/>
      <c r="IO341" s="35"/>
      <c r="IP341" s="35"/>
      <c r="IQ341" s="35"/>
      <c r="IR341" s="35"/>
      <c r="IS341" s="35"/>
      <c r="IT341" s="35"/>
      <c r="IU341" s="35"/>
      <c r="IV341" s="35"/>
      <c r="IW341" s="35"/>
      <c r="IX341" s="35"/>
      <c r="IY341" s="35"/>
      <c r="IZ341" s="35"/>
      <c r="JA341" s="35"/>
      <c r="JB341" s="35"/>
      <c r="JC341" s="35"/>
      <c r="JD341" s="35"/>
      <c r="JE341" s="35"/>
    </row>
    <row r="342">
      <c r="A342" s="42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35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35"/>
      <c r="CO342" s="35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35"/>
      <c r="DJ342" s="35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35"/>
      <c r="EE342" s="35"/>
      <c r="EF342" s="35"/>
      <c r="EG342" s="35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35"/>
      <c r="EZ342" s="35"/>
      <c r="FA342" s="35"/>
      <c r="FB342" s="35"/>
      <c r="FC342" s="35"/>
      <c r="FD342" s="35"/>
      <c r="FE342" s="35"/>
      <c r="FF342" s="35"/>
      <c r="FG342" s="35"/>
      <c r="FH342" s="35"/>
      <c r="FI342" s="35"/>
      <c r="FJ342" s="35"/>
      <c r="FK342" s="35"/>
      <c r="FL342" s="35"/>
      <c r="FM342" s="35"/>
      <c r="FN342" s="35"/>
      <c r="FO342" s="35"/>
      <c r="FP342" s="35"/>
      <c r="FQ342" s="35"/>
      <c r="FR342" s="35"/>
      <c r="FS342" s="35"/>
      <c r="FT342" s="35"/>
      <c r="FU342" s="35"/>
      <c r="FV342" s="35"/>
      <c r="FW342" s="35"/>
      <c r="FX342" s="35"/>
      <c r="FY342" s="35"/>
      <c r="FZ342" s="35"/>
      <c r="GA342" s="35"/>
      <c r="GB342" s="35"/>
      <c r="GC342" s="35"/>
      <c r="GD342" s="35"/>
      <c r="GE342" s="35"/>
      <c r="GF342" s="35"/>
      <c r="GG342" s="35"/>
      <c r="GH342" s="35"/>
      <c r="GI342" s="35"/>
      <c r="GJ342" s="35"/>
      <c r="GK342" s="35"/>
      <c r="GL342" s="35"/>
      <c r="GM342" s="35"/>
      <c r="GN342" s="35"/>
      <c r="GO342" s="35"/>
      <c r="GP342" s="35"/>
      <c r="GQ342" s="35"/>
      <c r="GR342" s="35"/>
      <c r="GS342" s="35"/>
      <c r="GT342" s="35"/>
      <c r="GU342" s="35"/>
      <c r="GV342" s="35"/>
      <c r="GW342" s="35"/>
      <c r="GX342" s="35"/>
      <c r="GY342" s="35"/>
      <c r="GZ342" s="35"/>
      <c r="HA342" s="35"/>
      <c r="HB342" s="35"/>
      <c r="HC342" s="35"/>
      <c r="HD342" s="35"/>
      <c r="HE342" s="35"/>
      <c r="HF342" s="35"/>
      <c r="HG342" s="35"/>
      <c r="HH342" s="35"/>
      <c r="HI342" s="35"/>
      <c r="HJ342" s="35"/>
      <c r="HK342" s="35"/>
      <c r="HL342" s="35"/>
      <c r="HM342" s="35"/>
      <c r="HN342" s="35"/>
      <c r="HO342" s="35"/>
      <c r="HP342" s="35"/>
      <c r="HQ342" s="35"/>
      <c r="HR342" s="35"/>
      <c r="HS342" s="35"/>
      <c r="HT342" s="35"/>
      <c r="HU342" s="35"/>
      <c r="HV342" s="35"/>
      <c r="HW342" s="35"/>
      <c r="HX342" s="35"/>
      <c r="HY342" s="35"/>
      <c r="HZ342" s="35"/>
      <c r="IA342" s="35"/>
      <c r="IB342" s="35"/>
      <c r="IC342" s="35"/>
      <c r="ID342" s="35"/>
      <c r="IE342" s="35"/>
      <c r="IF342" s="35"/>
      <c r="IG342" s="35"/>
      <c r="IH342" s="35"/>
      <c r="II342" s="35"/>
      <c r="IJ342" s="35"/>
      <c r="IK342" s="35"/>
      <c r="IL342" s="35"/>
      <c r="IM342" s="35"/>
      <c r="IN342" s="35"/>
      <c r="IO342" s="35"/>
      <c r="IP342" s="35"/>
      <c r="IQ342" s="35"/>
      <c r="IR342" s="35"/>
      <c r="IS342" s="35"/>
      <c r="IT342" s="35"/>
      <c r="IU342" s="35"/>
      <c r="IV342" s="35"/>
      <c r="IW342" s="35"/>
      <c r="IX342" s="35"/>
      <c r="IY342" s="35"/>
      <c r="IZ342" s="35"/>
      <c r="JA342" s="35"/>
      <c r="JB342" s="35"/>
      <c r="JC342" s="35"/>
      <c r="JD342" s="35"/>
      <c r="JE342" s="35"/>
    </row>
    <row r="343">
      <c r="A343" s="42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35"/>
      <c r="BS343" s="35"/>
      <c r="BT343" s="35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35"/>
      <c r="CO343" s="35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35"/>
      <c r="DJ343" s="35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35"/>
      <c r="EE343" s="35"/>
      <c r="EF343" s="35"/>
      <c r="EG343" s="35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35"/>
      <c r="EZ343" s="35"/>
      <c r="FA343" s="35"/>
      <c r="FB343" s="35"/>
      <c r="FC343" s="35"/>
      <c r="FD343" s="35"/>
      <c r="FE343" s="35"/>
      <c r="FF343" s="35"/>
      <c r="FG343" s="35"/>
      <c r="FH343" s="35"/>
      <c r="FI343" s="35"/>
      <c r="FJ343" s="35"/>
      <c r="FK343" s="35"/>
      <c r="FL343" s="35"/>
      <c r="FM343" s="35"/>
      <c r="FN343" s="35"/>
      <c r="FO343" s="35"/>
      <c r="FP343" s="35"/>
      <c r="FQ343" s="35"/>
      <c r="FR343" s="35"/>
      <c r="FS343" s="35"/>
      <c r="FT343" s="35"/>
      <c r="FU343" s="35"/>
      <c r="FV343" s="35"/>
      <c r="FW343" s="35"/>
      <c r="FX343" s="35"/>
      <c r="FY343" s="35"/>
      <c r="FZ343" s="35"/>
      <c r="GA343" s="35"/>
      <c r="GB343" s="35"/>
      <c r="GC343" s="35"/>
      <c r="GD343" s="35"/>
      <c r="GE343" s="35"/>
      <c r="GF343" s="35"/>
      <c r="GG343" s="35"/>
      <c r="GH343" s="35"/>
      <c r="GI343" s="35"/>
      <c r="GJ343" s="35"/>
      <c r="GK343" s="35"/>
      <c r="GL343" s="35"/>
      <c r="GM343" s="35"/>
      <c r="GN343" s="35"/>
      <c r="GO343" s="35"/>
      <c r="GP343" s="35"/>
      <c r="GQ343" s="35"/>
      <c r="GR343" s="35"/>
      <c r="GS343" s="35"/>
      <c r="GT343" s="35"/>
      <c r="GU343" s="35"/>
      <c r="GV343" s="35"/>
      <c r="GW343" s="35"/>
      <c r="GX343" s="35"/>
      <c r="GY343" s="35"/>
      <c r="GZ343" s="35"/>
      <c r="HA343" s="35"/>
      <c r="HB343" s="35"/>
      <c r="HC343" s="35"/>
      <c r="HD343" s="35"/>
      <c r="HE343" s="35"/>
      <c r="HF343" s="35"/>
      <c r="HG343" s="35"/>
      <c r="HH343" s="35"/>
      <c r="HI343" s="35"/>
      <c r="HJ343" s="35"/>
      <c r="HK343" s="35"/>
      <c r="HL343" s="35"/>
      <c r="HM343" s="35"/>
      <c r="HN343" s="35"/>
      <c r="HO343" s="35"/>
      <c r="HP343" s="35"/>
      <c r="HQ343" s="35"/>
      <c r="HR343" s="35"/>
      <c r="HS343" s="35"/>
      <c r="HT343" s="35"/>
      <c r="HU343" s="35"/>
      <c r="HV343" s="35"/>
      <c r="HW343" s="35"/>
      <c r="HX343" s="35"/>
      <c r="HY343" s="35"/>
      <c r="HZ343" s="35"/>
      <c r="IA343" s="35"/>
      <c r="IB343" s="35"/>
      <c r="IC343" s="35"/>
      <c r="ID343" s="35"/>
      <c r="IE343" s="35"/>
      <c r="IF343" s="35"/>
      <c r="IG343" s="35"/>
      <c r="IH343" s="35"/>
      <c r="II343" s="35"/>
      <c r="IJ343" s="35"/>
      <c r="IK343" s="35"/>
      <c r="IL343" s="35"/>
      <c r="IM343" s="35"/>
      <c r="IN343" s="35"/>
      <c r="IO343" s="35"/>
      <c r="IP343" s="35"/>
      <c r="IQ343" s="35"/>
      <c r="IR343" s="35"/>
      <c r="IS343" s="35"/>
      <c r="IT343" s="35"/>
      <c r="IU343" s="35"/>
      <c r="IV343" s="35"/>
      <c r="IW343" s="35"/>
      <c r="IX343" s="35"/>
      <c r="IY343" s="35"/>
      <c r="IZ343" s="35"/>
      <c r="JA343" s="35"/>
      <c r="JB343" s="35"/>
      <c r="JC343" s="35"/>
      <c r="JD343" s="35"/>
      <c r="JE343" s="35"/>
    </row>
    <row r="344">
      <c r="A344" s="42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  <c r="BC344" s="35"/>
      <c r="BD344" s="35"/>
      <c r="BE344" s="35"/>
      <c r="BF344" s="35"/>
      <c r="BG344" s="35"/>
      <c r="BH344" s="35"/>
      <c r="BI344" s="35"/>
      <c r="BJ344" s="35"/>
      <c r="BK344" s="35"/>
      <c r="BL344" s="35"/>
      <c r="BM344" s="35"/>
      <c r="BN344" s="35"/>
      <c r="BO344" s="35"/>
      <c r="BP344" s="35"/>
      <c r="BQ344" s="35"/>
      <c r="BR344" s="35"/>
      <c r="BS344" s="35"/>
      <c r="BT344" s="35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35"/>
      <c r="CO344" s="35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35"/>
      <c r="DJ344" s="35"/>
      <c r="DK344" s="35"/>
      <c r="DL344" s="35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35"/>
      <c r="EE344" s="35"/>
      <c r="EF344" s="35"/>
      <c r="EG344" s="35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35"/>
      <c r="EZ344" s="35"/>
      <c r="FA344" s="35"/>
      <c r="FB344" s="35"/>
      <c r="FC344" s="35"/>
      <c r="FD344" s="35"/>
      <c r="FE344" s="35"/>
      <c r="FF344" s="35"/>
      <c r="FG344" s="35"/>
      <c r="FH344" s="35"/>
      <c r="FI344" s="35"/>
      <c r="FJ344" s="35"/>
      <c r="FK344" s="35"/>
      <c r="FL344" s="35"/>
      <c r="FM344" s="35"/>
      <c r="FN344" s="35"/>
      <c r="FO344" s="35"/>
      <c r="FP344" s="35"/>
      <c r="FQ344" s="35"/>
      <c r="FR344" s="35"/>
      <c r="FS344" s="35"/>
      <c r="FT344" s="35"/>
      <c r="FU344" s="35"/>
      <c r="FV344" s="35"/>
      <c r="FW344" s="35"/>
      <c r="FX344" s="35"/>
      <c r="FY344" s="35"/>
      <c r="FZ344" s="35"/>
      <c r="GA344" s="35"/>
      <c r="GB344" s="35"/>
      <c r="GC344" s="35"/>
      <c r="GD344" s="35"/>
      <c r="GE344" s="35"/>
      <c r="GF344" s="35"/>
      <c r="GG344" s="35"/>
      <c r="GH344" s="35"/>
      <c r="GI344" s="35"/>
      <c r="GJ344" s="35"/>
      <c r="GK344" s="35"/>
      <c r="GL344" s="35"/>
      <c r="GM344" s="35"/>
      <c r="GN344" s="35"/>
      <c r="GO344" s="35"/>
      <c r="GP344" s="35"/>
      <c r="GQ344" s="35"/>
      <c r="GR344" s="35"/>
      <c r="GS344" s="35"/>
      <c r="GT344" s="35"/>
      <c r="GU344" s="35"/>
      <c r="GV344" s="35"/>
      <c r="GW344" s="35"/>
      <c r="GX344" s="35"/>
      <c r="GY344" s="35"/>
      <c r="GZ344" s="35"/>
      <c r="HA344" s="35"/>
      <c r="HB344" s="35"/>
      <c r="HC344" s="35"/>
      <c r="HD344" s="35"/>
      <c r="HE344" s="35"/>
      <c r="HF344" s="35"/>
      <c r="HG344" s="35"/>
      <c r="HH344" s="35"/>
      <c r="HI344" s="35"/>
      <c r="HJ344" s="35"/>
      <c r="HK344" s="35"/>
      <c r="HL344" s="35"/>
      <c r="HM344" s="35"/>
      <c r="HN344" s="35"/>
      <c r="HO344" s="35"/>
      <c r="HP344" s="35"/>
      <c r="HQ344" s="35"/>
      <c r="HR344" s="35"/>
      <c r="HS344" s="35"/>
      <c r="HT344" s="35"/>
      <c r="HU344" s="35"/>
      <c r="HV344" s="35"/>
      <c r="HW344" s="35"/>
      <c r="HX344" s="35"/>
      <c r="HY344" s="35"/>
      <c r="HZ344" s="35"/>
      <c r="IA344" s="35"/>
      <c r="IB344" s="35"/>
      <c r="IC344" s="35"/>
      <c r="ID344" s="35"/>
      <c r="IE344" s="35"/>
      <c r="IF344" s="35"/>
      <c r="IG344" s="35"/>
      <c r="IH344" s="35"/>
      <c r="II344" s="35"/>
      <c r="IJ344" s="35"/>
      <c r="IK344" s="35"/>
      <c r="IL344" s="35"/>
      <c r="IM344" s="35"/>
      <c r="IN344" s="35"/>
      <c r="IO344" s="35"/>
      <c r="IP344" s="35"/>
      <c r="IQ344" s="35"/>
      <c r="IR344" s="35"/>
      <c r="IS344" s="35"/>
      <c r="IT344" s="35"/>
      <c r="IU344" s="35"/>
      <c r="IV344" s="35"/>
      <c r="IW344" s="35"/>
      <c r="IX344" s="35"/>
      <c r="IY344" s="35"/>
      <c r="IZ344" s="35"/>
      <c r="JA344" s="35"/>
      <c r="JB344" s="35"/>
      <c r="JC344" s="35"/>
      <c r="JD344" s="35"/>
      <c r="JE344" s="35"/>
    </row>
    <row r="345">
      <c r="A345" s="42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  <c r="BC345" s="35"/>
      <c r="BD345" s="35"/>
      <c r="BE345" s="35"/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  <c r="BR345" s="35"/>
      <c r="BS345" s="35"/>
      <c r="BT345" s="35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35"/>
      <c r="CO345" s="35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35"/>
      <c r="DJ345" s="35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35"/>
      <c r="EE345" s="35"/>
      <c r="EF345" s="35"/>
      <c r="EG345" s="35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35"/>
      <c r="EZ345" s="35"/>
      <c r="FA345" s="35"/>
      <c r="FB345" s="35"/>
      <c r="FC345" s="35"/>
      <c r="FD345" s="35"/>
      <c r="FE345" s="35"/>
      <c r="FF345" s="35"/>
      <c r="FG345" s="35"/>
      <c r="FH345" s="35"/>
      <c r="FI345" s="35"/>
      <c r="FJ345" s="35"/>
      <c r="FK345" s="35"/>
      <c r="FL345" s="35"/>
      <c r="FM345" s="35"/>
      <c r="FN345" s="35"/>
      <c r="FO345" s="35"/>
      <c r="FP345" s="35"/>
      <c r="FQ345" s="35"/>
      <c r="FR345" s="35"/>
      <c r="FS345" s="35"/>
      <c r="FT345" s="35"/>
      <c r="FU345" s="35"/>
      <c r="FV345" s="35"/>
      <c r="FW345" s="35"/>
      <c r="FX345" s="35"/>
      <c r="FY345" s="35"/>
      <c r="FZ345" s="35"/>
      <c r="GA345" s="35"/>
      <c r="GB345" s="35"/>
      <c r="GC345" s="35"/>
      <c r="GD345" s="35"/>
      <c r="GE345" s="35"/>
      <c r="GF345" s="35"/>
      <c r="GG345" s="35"/>
      <c r="GH345" s="35"/>
      <c r="GI345" s="35"/>
      <c r="GJ345" s="35"/>
      <c r="GK345" s="35"/>
      <c r="GL345" s="35"/>
      <c r="GM345" s="35"/>
      <c r="GN345" s="35"/>
      <c r="GO345" s="35"/>
      <c r="GP345" s="35"/>
      <c r="GQ345" s="35"/>
      <c r="GR345" s="35"/>
      <c r="GS345" s="35"/>
      <c r="GT345" s="35"/>
      <c r="GU345" s="35"/>
      <c r="GV345" s="35"/>
      <c r="GW345" s="35"/>
      <c r="GX345" s="35"/>
      <c r="GY345" s="35"/>
      <c r="GZ345" s="35"/>
      <c r="HA345" s="35"/>
      <c r="HB345" s="35"/>
      <c r="HC345" s="35"/>
      <c r="HD345" s="35"/>
      <c r="HE345" s="35"/>
      <c r="HF345" s="35"/>
      <c r="HG345" s="35"/>
      <c r="HH345" s="35"/>
      <c r="HI345" s="35"/>
      <c r="HJ345" s="35"/>
      <c r="HK345" s="35"/>
      <c r="HL345" s="35"/>
      <c r="HM345" s="35"/>
      <c r="HN345" s="35"/>
      <c r="HO345" s="35"/>
      <c r="HP345" s="35"/>
      <c r="HQ345" s="35"/>
      <c r="HR345" s="35"/>
      <c r="HS345" s="35"/>
      <c r="HT345" s="35"/>
      <c r="HU345" s="35"/>
      <c r="HV345" s="35"/>
      <c r="HW345" s="35"/>
      <c r="HX345" s="35"/>
      <c r="HY345" s="35"/>
      <c r="HZ345" s="35"/>
      <c r="IA345" s="35"/>
      <c r="IB345" s="35"/>
      <c r="IC345" s="35"/>
      <c r="ID345" s="35"/>
      <c r="IE345" s="35"/>
      <c r="IF345" s="35"/>
      <c r="IG345" s="35"/>
      <c r="IH345" s="35"/>
      <c r="II345" s="35"/>
      <c r="IJ345" s="35"/>
      <c r="IK345" s="35"/>
      <c r="IL345" s="35"/>
      <c r="IM345" s="35"/>
      <c r="IN345" s="35"/>
      <c r="IO345" s="35"/>
      <c r="IP345" s="35"/>
      <c r="IQ345" s="35"/>
      <c r="IR345" s="35"/>
      <c r="IS345" s="35"/>
      <c r="IT345" s="35"/>
      <c r="IU345" s="35"/>
      <c r="IV345" s="35"/>
      <c r="IW345" s="35"/>
      <c r="IX345" s="35"/>
      <c r="IY345" s="35"/>
      <c r="IZ345" s="35"/>
      <c r="JA345" s="35"/>
      <c r="JB345" s="35"/>
      <c r="JC345" s="35"/>
      <c r="JD345" s="35"/>
      <c r="JE345" s="35"/>
    </row>
    <row r="346">
      <c r="A346" s="42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  <c r="BR346" s="35"/>
      <c r="BS346" s="35"/>
      <c r="BT346" s="35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35"/>
      <c r="CO346" s="35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35"/>
      <c r="DJ346" s="35"/>
      <c r="DK346" s="35"/>
      <c r="DL346" s="35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35"/>
      <c r="EE346" s="35"/>
      <c r="EF346" s="35"/>
      <c r="EG346" s="35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35"/>
      <c r="EZ346" s="35"/>
      <c r="FA346" s="35"/>
      <c r="FB346" s="35"/>
      <c r="FC346" s="35"/>
      <c r="FD346" s="35"/>
      <c r="FE346" s="35"/>
      <c r="FF346" s="35"/>
      <c r="FG346" s="35"/>
      <c r="FH346" s="35"/>
      <c r="FI346" s="35"/>
      <c r="FJ346" s="35"/>
      <c r="FK346" s="35"/>
      <c r="FL346" s="35"/>
      <c r="FM346" s="35"/>
      <c r="FN346" s="35"/>
      <c r="FO346" s="35"/>
      <c r="FP346" s="35"/>
      <c r="FQ346" s="35"/>
      <c r="FR346" s="35"/>
      <c r="FS346" s="35"/>
      <c r="FT346" s="35"/>
      <c r="FU346" s="35"/>
      <c r="FV346" s="35"/>
      <c r="FW346" s="35"/>
      <c r="FX346" s="35"/>
      <c r="FY346" s="35"/>
      <c r="FZ346" s="35"/>
      <c r="GA346" s="35"/>
      <c r="GB346" s="35"/>
      <c r="GC346" s="35"/>
      <c r="GD346" s="35"/>
      <c r="GE346" s="35"/>
      <c r="GF346" s="35"/>
      <c r="GG346" s="35"/>
      <c r="GH346" s="35"/>
      <c r="GI346" s="35"/>
      <c r="GJ346" s="35"/>
      <c r="GK346" s="35"/>
      <c r="GL346" s="35"/>
      <c r="GM346" s="35"/>
      <c r="GN346" s="35"/>
      <c r="GO346" s="35"/>
      <c r="GP346" s="35"/>
      <c r="GQ346" s="35"/>
      <c r="GR346" s="35"/>
      <c r="GS346" s="35"/>
      <c r="GT346" s="35"/>
      <c r="GU346" s="35"/>
      <c r="GV346" s="35"/>
      <c r="GW346" s="35"/>
      <c r="GX346" s="35"/>
      <c r="GY346" s="35"/>
      <c r="GZ346" s="35"/>
      <c r="HA346" s="35"/>
      <c r="HB346" s="35"/>
      <c r="HC346" s="35"/>
      <c r="HD346" s="35"/>
      <c r="HE346" s="35"/>
      <c r="HF346" s="35"/>
      <c r="HG346" s="35"/>
      <c r="HH346" s="35"/>
      <c r="HI346" s="35"/>
      <c r="HJ346" s="35"/>
      <c r="HK346" s="35"/>
      <c r="HL346" s="35"/>
      <c r="HM346" s="35"/>
      <c r="HN346" s="35"/>
      <c r="HO346" s="35"/>
      <c r="HP346" s="35"/>
      <c r="HQ346" s="35"/>
      <c r="HR346" s="35"/>
      <c r="HS346" s="35"/>
      <c r="HT346" s="35"/>
      <c r="HU346" s="35"/>
      <c r="HV346" s="35"/>
      <c r="HW346" s="35"/>
      <c r="HX346" s="35"/>
      <c r="HY346" s="35"/>
      <c r="HZ346" s="35"/>
      <c r="IA346" s="35"/>
      <c r="IB346" s="35"/>
      <c r="IC346" s="35"/>
      <c r="ID346" s="35"/>
      <c r="IE346" s="35"/>
      <c r="IF346" s="35"/>
      <c r="IG346" s="35"/>
      <c r="IH346" s="35"/>
      <c r="II346" s="35"/>
      <c r="IJ346" s="35"/>
      <c r="IK346" s="35"/>
      <c r="IL346" s="35"/>
      <c r="IM346" s="35"/>
      <c r="IN346" s="35"/>
      <c r="IO346" s="35"/>
      <c r="IP346" s="35"/>
      <c r="IQ346" s="35"/>
      <c r="IR346" s="35"/>
      <c r="IS346" s="35"/>
      <c r="IT346" s="35"/>
      <c r="IU346" s="35"/>
      <c r="IV346" s="35"/>
      <c r="IW346" s="35"/>
      <c r="IX346" s="35"/>
      <c r="IY346" s="35"/>
      <c r="IZ346" s="35"/>
      <c r="JA346" s="35"/>
      <c r="JB346" s="35"/>
      <c r="JC346" s="35"/>
      <c r="JD346" s="35"/>
      <c r="JE346" s="35"/>
    </row>
    <row r="347">
      <c r="A347" s="42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35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35"/>
      <c r="CO347" s="35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35"/>
      <c r="DJ347" s="35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35"/>
      <c r="EE347" s="35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35"/>
      <c r="EZ347" s="35"/>
      <c r="FA347" s="35"/>
      <c r="FB347" s="35"/>
      <c r="FC347" s="35"/>
      <c r="FD347" s="35"/>
      <c r="FE347" s="35"/>
      <c r="FF347" s="35"/>
      <c r="FG347" s="35"/>
      <c r="FH347" s="35"/>
      <c r="FI347" s="35"/>
      <c r="FJ347" s="35"/>
      <c r="FK347" s="35"/>
      <c r="FL347" s="35"/>
      <c r="FM347" s="35"/>
      <c r="FN347" s="35"/>
      <c r="FO347" s="35"/>
      <c r="FP347" s="35"/>
      <c r="FQ347" s="35"/>
      <c r="FR347" s="35"/>
      <c r="FS347" s="35"/>
      <c r="FT347" s="35"/>
      <c r="FU347" s="35"/>
      <c r="FV347" s="35"/>
      <c r="FW347" s="35"/>
      <c r="FX347" s="35"/>
      <c r="FY347" s="35"/>
      <c r="FZ347" s="35"/>
      <c r="GA347" s="35"/>
      <c r="GB347" s="35"/>
      <c r="GC347" s="35"/>
      <c r="GD347" s="35"/>
      <c r="GE347" s="35"/>
      <c r="GF347" s="35"/>
      <c r="GG347" s="35"/>
      <c r="GH347" s="35"/>
      <c r="GI347" s="35"/>
      <c r="GJ347" s="35"/>
      <c r="GK347" s="35"/>
      <c r="GL347" s="35"/>
      <c r="GM347" s="35"/>
      <c r="GN347" s="35"/>
      <c r="GO347" s="35"/>
      <c r="GP347" s="35"/>
      <c r="GQ347" s="35"/>
      <c r="GR347" s="35"/>
      <c r="GS347" s="35"/>
      <c r="GT347" s="35"/>
      <c r="GU347" s="35"/>
      <c r="GV347" s="35"/>
      <c r="GW347" s="35"/>
      <c r="GX347" s="35"/>
      <c r="GY347" s="35"/>
      <c r="GZ347" s="35"/>
      <c r="HA347" s="35"/>
      <c r="HB347" s="35"/>
      <c r="HC347" s="35"/>
      <c r="HD347" s="35"/>
      <c r="HE347" s="35"/>
      <c r="HF347" s="35"/>
      <c r="HG347" s="35"/>
      <c r="HH347" s="35"/>
      <c r="HI347" s="35"/>
      <c r="HJ347" s="35"/>
      <c r="HK347" s="35"/>
      <c r="HL347" s="35"/>
      <c r="HM347" s="35"/>
      <c r="HN347" s="35"/>
      <c r="HO347" s="35"/>
      <c r="HP347" s="35"/>
      <c r="HQ347" s="35"/>
      <c r="HR347" s="35"/>
      <c r="HS347" s="35"/>
      <c r="HT347" s="35"/>
      <c r="HU347" s="35"/>
      <c r="HV347" s="35"/>
      <c r="HW347" s="35"/>
      <c r="HX347" s="35"/>
      <c r="HY347" s="35"/>
      <c r="HZ347" s="35"/>
      <c r="IA347" s="35"/>
      <c r="IB347" s="35"/>
      <c r="IC347" s="35"/>
      <c r="ID347" s="35"/>
      <c r="IE347" s="35"/>
      <c r="IF347" s="35"/>
      <c r="IG347" s="35"/>
      <c r="IH347" s="35"/>
      <c r="II347" s="35"/>
      <c r="IJ347" s="35"/>
      <c r="IK347" s="35"/>
      <c r="IL347" s="35"/>
      <c r="IM347" s="35"/>
      <c r="IN347" s="35"/>
      <c r="IO347" s="35"/>
      <c r="IP347" s="35"/>
      <c r="IQ347" s="35"/>
      <c r="IR347" s="35"/>
      <c r="IS347" s="35"/>
      <c r="IT347" s="35"/>
      <c r="IU347" s="35"/>
      <c r="IV347" s="35"/>
      <c r="IW347" s="35"/>
      <c r="IX347" s="35"/>
      <c r="IY347" s="35"/>
      <c r="IZ347" s="35"/>
      <c r="JA347" s="35"/>
      <c r="JB347" s="35"/>
      <c r="JC347" s="35"/>
      <c r="JD347" s="35"/>
      <c r="JE347" s="35"/>
    </row>
    <row r="348">
      <c r="A348" s="42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35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35"/>
      <c r="CO348" s="35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35"/>
      <c r="DJ348" s="35"/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35"/>
      <c r="EE348" s="35"/>
      <c r="EF348" s="35"/>
      <c r="EG348" s="35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35"/>
      <c r="EZ348" s="35"/>
      <c r="FA348" s="35"/>
      <c r="FB348" s="35"/>
      <c r="FC348" s="35"/>
      <c r="FD348" s="35"/>
      <c r="FE348" s="35"/>
      <c r="FF348" s="35"/>
      <c r="FG348" s="35"/>
      <c r="FH348" s="35"/>
      <c r="FI348" s="35"/>
      <c r="FJ348" s="35"/>
      <c r="FK348" s="35"/>
      <c r="FL348" s="35"/>
      <c r="FM348" s="35"/>
      <c r="FN348" s="35"/>
      <c r="FO348" s="35"/>
      <c r="FP348" s="35"/>
      <c r="FQ348" s="35"/>
      <c r="FR348" s="35"/>
      <c r="FS348" s="35"/>
      <c r="FT348" s="35"/>
      <c r="FU348" s="35"/>
      <c r="FV348" s="35"/>
      <c r="FW348" s="35"/>
      <c r="FX348" s="35"/>
      <c r="FY348" s="35"/>
      <c r="FZ348" s="35"/>
      <c r="GA348" s="35"/>
      <c r="GB348" s="35"/>
      <c r="GC348" s="35"/>
      <c r="GD348" s="35"/>
      <c r="GE348" s="35"/>
      <c r="GF348" s="35"/>
      <c r="GG348" s="35"/>
      <c r="GH348" s="35"/>
      <c r="GI348" s="35"/>
      <c r="GJ348" s="35"/>
      <c r="GK348" s="35"/>
      <c r="GL348" s="35"/>
      <c r="GM348" s="35"/>
      <c r="GN348" s="35"/>
      <c r="GO348" s="35"/>
      <c r="GP348" s="35"/>
      <c r="GQ348" s="35"/>
      <c r="GR348" s="35"/>
      <c r="GS348" s="35"/>
      <c r="GT348" s="35"/>
      <c r="GU348" s="35"/>
      <c r="GV348" s="35"/>
      <c r="GW348" s="35"/>
      <c r="GX348" s="35"/>
      <c r="GY348" s="35"/>
      <c r="GZ348" s="35"/>
      <c r="HA348" s="35"/>
      <c r="HB348" s="35"/>
      <c r="HC348" s="35"/>
      <c r="HD348" s="35"/>
      <c r="HE348" s="35"/>
      <c r="HF348" s="35"/>
      <c r="HG348" s="35"/>
      <c r="HH348" s="35"/>
      <c r="HI348" s="35"/>
      <c r="HJ348" s="35"/>
      <c r="HK348" s="35"/>
      <c r="HL348" s="35"/>
      <c r="HM348" s="35"/>
      <c r="HN348" s="35"/>
      <c r="HO348" s="35"/>
      <c r="HP348" s="35"/>
      <c r="HQ348" s="35"/>
      <c r="HR348" s="35"/>
      <c r="HS348" s="35"/>
      <c r="HT348" s="35"/>
      <c r="HU348" s="35"/>
      <c r="HV348" s="35"/>
      <c r="HW348" s="35"/>
      <c r="HX348" s="35"/>
      <c r="HY348" s="35"/>
      <c r="HZ348" s="35"/>
      <c r="IA348" s="35"/>
      <c r="IB348" s="35"/>
      <c r="IC348" s="35"/>
      <c r="ID348" s="35"/>
      <c r="IE348" s="35"/>
      <c r="IF348" s="35"/>
      <c r="IG348" s="35"/>
      <c r="IH348" s="35"/>
      <c r="II348" s="35"/>
      <c r="IJ348" s="35"/>
      <c r="IK348" s="35"/>
      <c r="IL348" s="35"/>
      <c r="IM348" s="35"/>
      <c r="IN348" s="35"/>
      <c r="IO348" s="35"/>
      <c r="IP348" s="35"/>
      <c r="IQ348" s="35"/>
      <c r="IR348" s="35"/>
      <c r="IS348" s="35"/>
      <c r="IT348" s="35"/>
      <c r="IU348" s="35"/>
      <c r="IV348" s="35"/>
      <c r="IW348" s="35"/>
      <c r="IX348" s="35"/>
      <c r="IY348" s="35"/>
      <c r="IZ348" s="35"/>
      <c r="JA348" s="35"/>
      <c r="JB348" s="35"/>
      <c r="JC348" s="35"/>
      <c r="JD348" s="35"/>
      <c r="JE348" s="35"/>
    </row>
    <row r="349">
      <c r="A349" s="42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  <c r="BC349" s="35"/>
      <c r="BD349" s="35"/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35"/>
      <c r="BS349" s="35"/>
      <c r="BT349" s="35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35"/>
      <c r="CO349" s="35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35"/>
      <c r="DJ349" s="35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35"/>
      <c r="EE349" s="35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35"/>
      <c r="EZ349" s="35"/>
      <c r="FA349" s="35"/>
      <c r="FB349" s="35"/>
      <c r="FC349" s="35"/>
      <c r="FD349" s="35"/>
      <c r="FE349" s="35"/>
      <c r="FF349" s="35"/>
      <c r="FG349" s="35"/>
      <c r="FH349" s="35"/>
      <c r="FI349" s="35"/>
      <c r="FJ349" s="35"/>
      <c r="FK349" s="35"/>
      <c r="FL349" s="35"/>
      <c r="FM349" s="35"/>
      <c r="FN349" s="35"/>
      <c r="FO349" s="35"/>
      <c r="FP349" s="35"/>
      <c r="FQ349" s="35"/>
      <c r="FR349" s="35"/>
      <c r="FS349" s="35"/>
      <c r="FT349" s="35"/>
      <c r="FU349" s="35"/>
      <c r="FV349" s="35"/>
      <c r="FW349" s="35"/>
      <c r="FX349" s="35"/>
      <c r="FY349" s="35"/>
      <c r="FZ349" s="35"/>
      <c r="GA349" s="35"/>
      <c r="GB349" s="35"/>
      <c r="GC349" s="35"/>
      <c r="GD349" s="35"/>
      <c r="GE349" s="35"/>
      <c r="GF349" s="35"/>
      <c r="GG349" s="35"/>
      <c r="GH349" s="35"/>
      <c r="GI349" s="35"/>
      <c r="GJ349" s="35"/>
      <c r="GK349" s="35"/>
      <c r="GL349" s="35"/>
      <c r="GM349" s="35"/>
      <c r="GN349" s="35"/>
      <c r="GO349" s="35"/>
      <c r="GP349" s="35"/>
      <c r="GQ349" s="35"/>
      <c r="GR349" s="35"/>
      <c r="GS349" s="35"/>
      <c r="GT349" s="35"/>
      <c r="GU349" s="35"/>
      <c r="GV349" s="35"/>
      <c r="GW349" s="35"/>
      <c r="GX349" s="35"/>
      <c r="GY349" s="35"/>
      <c r="GZ349" s="35"/>
      <c r="HA349" s="35"/>
      <c r="HB349" s="35"/>
      <c r="HC349" s="35"/>
      <c r="HD349" s="35"/>
      <c r="HE349" s="35"/>
      <c r="HF349" s="35"/>
      <c r="HG349" s="35"/>
      <c r="HH349" s="35"/>
      <c r="HI349" s="35"/>
      <c r="HJ349" s="35"/>
      <c r="HK349" s="35"/>
      <c r="HL349" s="35"/>
      <c r="HM349" s="35"/>
      <c r="HN349" s="35"/>
      <c r="HO349" s="35"/>
      <c r="HP349" s="35"/>
      <c r="HQ349" s="35"/>
      <c r="HR349" s="35"/>
      <c r="HS349" s="35"/>
      <c r="HT349" s="35"/>
      <c r="HU349" s="35"/>
      <c r="HV349" s="35"/>
      <c r="HW349" s="35"/>
      <c r="HX349" s="35"/>
      <c r="HY349" s="35"/>
      <c r="HZ349" s="35"/>
      <c r="IA349" s="35"/>
      <c r="IB349" s="35"/>
      <c r="IC349" s="35"/>
      <c r="ID349" s="35"/>
      <c r="IE349" s="35"/>
      <c r="IF349" s="35"/>
      <c r="IG349" s="35"/>
      <c r="IH349" s="35"/>
      <c r="II349" s="35"/>
      <c r="IJ349" s="35"/>
      <c r="IK349" s="35"/>
      <c r="IL349" s="35"/>
      <c r="IM349" s="35"/>
      <c r="IN349" s="35"/>
      <c r="IO349" s="35"/>
      <c r="IP349" s="35"/>
      <c r="IQ349" s="35"/>
      <c r="IR349" s="35"/>
      <c r="IS349" s="35"/>
      <c r="IT349" s="35"/>
      <c r="IU349" s="35"/>
      <c r="IV349" s="35"/>
      <c r="IW349" s="35"/>
      <c r="IX349" s="35"/>
      <c r="IY349" s="35"/>
      <c r="IZ349" s="35"/>
      <c r="JA349" s="35"/>
      <c r="JB349" s="35"/>
      <c r="JC349" s="35"/>
      <c r="JD349" s="35"/>
      <c r="JE349" s="35"/>
    </row>
    <row r="350">
      <c r="A350" s="42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  <c r="BC350" s="35"/>
      <c r="BD350" s="35"/>
      <c r="BE350" s="35"/>
      <c r="BF350" s="35"/>
      <c r="BG350" s="35"/>
      <c r="BH350" s="35"/>
      <c r="BI350" s="35"/>
      <c r="BJ350" s="35"/>
      <c r="BK350" s="35"/>
      <c r="BL350" s="35"/>
      <c r="BM350" s="35"/>
      <c r="BN350" s="35"/>
      <c r="BO350" s="35"/>
      <c r="BP350" s="35"/>
      <c r="BQ350" s="35"/>
      <c r="BR350" s="35"/>
      <c r="BS350" s="35"/>
      <c r="BT350" s="35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35"/>
      <c r="CO350" s="35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35"/>
      <c r="DJ350" s="35"/>
      <c r="DK350" s="35"/>
      <c r="DL350" s="35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35"/>
      <c r="EE350" s="35"/>
      <c r="EF350" s="35"/>
      <c r="EG350" s="35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35"/>
      <c r="EZ350" s="35"/>
      <c r="FA350" s="35"/>
      <c r="FB350" s="35"/>
      <c r="FC350" s="35"/>
      <c r="FD350" s="35"/>
      <c r="FE350" s="35"/>
      <c r="FF350" s="35"/>
      <c r="FG350" s="35"/>
      <c r="FH350" s="35"/>
      <c r="FI350" s="35"/>
      <c r="FJ350" s="35"/>
      <c r="FK350" s="35"/>
      <c r="FL350" s="35"/>
      <c r="FM350" s="35"/>
      <c r="FN350" s="35"/>
      <c r="FO350" s="35"/>
      <c r="FP350" s="35"/>
      <c r="FQ350" s="35"/>
      <c r="FR350" s="35"/>
      <c r="FS350" s="35"/>
      <c r="FT350" s="35"/>
      <c r="FU350" s="35"/>
      <c r="FV350" s="35"/>
      <c r="FW350" s="35"/>
      <c r="FX350" s="35"/>
      <c r="FY350" s="35"/>
      <c r="FZ350" s="35"/>
      <c r="GA350" s="35"/>
      <c r="GB350" s="35"/>
      <c r="GC350" s="35"/>
      <c r="GD350" s="35"/>
      <c r="GE350" s="35"/>
      <c r="GF350" s="35"/>
      <c r="GG350" s="35"/>
      <c r="GH350" s="35"/>
      <c r="GI350" s="35"/>
      <c r="GJ350" s="35"/>
      <c r="GK350" s="35"/>
      <c r="GL350" s="35"/>
      <c r="GM350" s="35"/>
      <c r="GN350" s="35"/>
      <c r="GO350" s="35"/>
      <c r="GP350" s="35"/>
      <c r="GQ350" s="35"/>
      <c r="GR350" s="35"/>
      <c r="GS350" s="35"/>
      <c r="GT350" s="35"/>
      <c r="GU350" s="35"/>
      <c r="GV350" s="35"/>
      <c r="GW350" s="35"/>
      <c r="GX350" s="35"/>
      <c r="GY350" s="35"/>
      <c r="GZ350" s="35"/>
      <c r="HA350" s="35"/>
      <c r="HB350" s="35"/>
      <c r="HC350" s="35"/>
      <c r="HD350" s="35"/>
      <c r="HE350" s="35"/>
      <c r="HF350" s="35"/>
      <c r="HG350" s="35"/>
      <c r="HH350" s="35"/>
      <c r="HI350" s="35"/>
      <c r="HJ350" s="35"/>
      <c r="HK350" s="35"/>
      <c r="HL350" s="35"/>
      <c r="HM350" s="35"/>
      <c r="HN350" s="35"/>
      <c r="HO350" s="35"/>
      <c r="HP350" s="35"/>
      <c r="HQ350" s="35"/>
      <c r="HR350" s="35"/>
      <c r="HS350" s="35"/>
      <c r="HT350" s="35"/>
      <c r="HU350" s="35"/>
      <c r="HV350" s="35"/>
      <c r="HW350" s="35"/>
      <c r="HX350" s="35"/>
      <c r="HY350" s="35"/>
      <c r="HZ350" s="35"/>
      <c r="IA350" s="35"/>
      <c r="IB350" s="35"/>
      <c r="IC350" s="35"/>
      <c r="ID350" s="35"/>
      <c r="IE350" s="35"/>
      <c r="IF350" s="35"/>
      <c r="IG350" s="35"/>
      <c r="IH350" s="35"/>
      <c r="II350" s="35"/>
      <c r="IJ350" s="35"/>
      <c r="IK350" s="35"/>
      <c r="IL350" s="35"/>
      <c r="IM350" s="35"/>
      <c r="IN350" s="35"/>
      <c r="IO350" s="35"/>
      <c r="IP350" s="35"/>
      <c r="IQ350" s="35"/>
      <c r="IR350" s="35"/>
      <c r="IS350" s="35"/>
      <c r="IT350" s="35"/>
      <c r="IU350" s="35"/>
      <c r="IV350" s="35"/>
      <c r="IW350" s="35"/>
      <c r="IX350" s="35"/>
      <c r="IY350" s="35"/>
      <c r="IZ350" s="35"/>
      <c r="JA350" s="35"/>
      <c r="JB350" s="35"/>
      <c r="JC350" s="35"/>
      <c r="JD350" s="35"/>
      <c r="JE350" s="35"/>
    </row>
    <row r="351">
      <c r="A351" s="42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  <c r="BC351" s="35"/>
      <c r="BD351" s="35"/>
      <c r="BE351" s="35"/>
      <c r="BF351" s="35"/>
      <c r="BG351" s="35"/>
      <c r="BH351" s="35"/>
      <c r="BI351" s="35"/>
      <c r="BJ351" s="35"/>
      <c r="BK351" s="35"/>
      <c r="BL351" s="35"/>
      <c r="BM351" s="35"/>
      <c r="BN351" s="35"/>
      <c r="BO351" s="35"/>
      <c r="BP351" s="35"/>
      <c r="BQ351" s="35"/>
      <c r="BR351" s="35"/>
      <c r="BS351" s="35"/>
      <c r="BT351" s="35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35"/>
      <c r="CO351" s="35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35"/>
      <c r="DJ351" s="35"/>
      <c r="DK351" s="35"/>
      <c r="DL351" s="35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35"/>
      <c r="EE351" s="35"/>
      <c r="EF351" s="35"/>
      <c r="EG351" s="35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35"/>
      <c r="EZ351" s="35"/>
      <c r="FA351" s="35"/>
      <c r="FB351" s="35"/>
      <c r="FC351" s="35"/>
      <c r="FD351" s="35"/>
      <c r="FE351" s="35"/>
      <c r="FF351" s="35"/>
      <c r="FG351" s="35"/>
      <c r="FH351" s="35"/>
      <c r="FI351" s="35"/>
      <c r="FJ351" s="35"/>
      <c r="FK351" s="35"/>
      <c r="FL351" s="35"/>
      <c r="FM351" s="35"/>
      <c r="FN351" s="35"/>
      <c r="FO351" s="35"/>
      <c r="FP351" s="35"/>
      <c r="FQ351" s="35"/>
      <c r="FR351" s="35"/>
      <c r="FS351" s="35"/>
      <c r="FT351" s="35"/>
      <c r="FU351" s="35"/>
      <c r="FV351" s="35"/>
      <c r="FW351" s="35"/>
      <c r="FX351" s="35"/>
      <c r="FY351" s="35"/>
      <c r="FZ351" s="35"/>
      <c r="GA351" s="35"/>
      <c r="GB351" s="35"/>
      <c r="GC351" s="35"/>
      <c r="GD351" s="35"/>
      <c r="GE351" s="35"/>
      <c r="GF351" s="35"/>
      <c r="GG351" s="35"/>
      <c r="GH351" s="35"/>
      <c r="GI351" s="35"/>
      <c r="GJ351" s="35"/>
      <c r="GK351" s="35"/>
      <c r="GL351" s="35"/>
      <c r="GM351" s="35"/>
      <c r="GN351" s="35"/>
      <c r="GO351" s="35"/>
      <c r="GP351" s="35"/>
      <c r="GQ351" s="35"/>
      <c r="GR351" s="35"/>
      <c r="GS351" s="35"/>
      <c r="GT351" s="35"/>
      <c r="GU351" s="35"/>
      <c r="GV351" s="35"/>
      <c r="GW351" s="35"/>
      <c r="GX351" s="35"/>
      <c r="GY351" s="35"/>
      <c r="GZ351" s="35"/>
      <c r="HA351" s="35"/>
      <c r="HB351" s="35"/>
      <c r="HC351" s="35"/>
      <c r="HD351" s="35"/>
      <c r="HE351" s="35"/>
      <c r="HF351" s="35"/>
      <c r="HG351" s="35"/>
      <c r="HH351" s="35"/>
      <c r="HI351" s="35"/>
      <c r="HJ351" s="35"/>
      <c r="HK351" s="35"/>
      <c r="HL351" s="35"/>
      <c r="HM351" s="35"/>
      <c r="HN351" s="35"/>
      <c r="HO351" s="35"/>
      <c r="HP351" s="35"/>
      <c r="HQ351" s="35"/>
      <c r="HR351" s="35"/>
      <c r="HS351" s="35"/>
      <c r="HT351" s="35"/>
      <c r="HU351" s="35"/>
      <c r="HV351" s="35"/>
      <c r="HW351" s="35"/>
      <c r="HX351" s="35"/>
      <c r="HY351" s="35"/>
      <c r="HZ351" s="35"/>
      <c r="IA351" s="35"/>
      <c r="IB351" s="35"/>
      <c r="IC351" s="35"/>
      <c r="ID351" s="35"/>
      <c r="IE351" s="35"/>
      <c r="IF351" s="35"/>
      <c r="IG351" s="35"/>
      <c r="IH351" s="35"/>
      <c r="II351" s="35"/>
      <c r="IJ351" s="35"/>
      <c r="IK351" s="35"/>
      <c r="IL351" s="35"/>
      <c r="IM351" s="35"/>
      <c r="IN351" s="35"/>
      <c r="IO351" s="35"/>
      <c r="IP351" s="35"/>
      <c r="IQ351" s="35"/>
      <c r="IR351" s="35"/>
      <c r="IS351" s="35"/>
      <c r="IT351" s="35"/>
      <c r="IU351" s="35"/>
      <c r="IV351" s="35"/>
      <c r="IW351" s="35"/>
      <c r="IX351" s="35"/>
      <c r="IY351" s="35"/>
      <c r="IZ351" s="35"/>
      <c r="JA351" s="35"/>
      <c r="JB351" s="35"/>
      <c r="JC351" s="35"/>
      <c r="JD351" s="35"/>
      <c r="JE351" s="35"/>
    </row>
    <row r="352">
      <c r="A352" s="42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  <c r="BC352" s="35"/>
      <c r="BD352" s="35"/>
      <c r="BE352" s="35"/>
      <c r="BF352" s="35"/>
      <c r="BG352" s="35"/>
      <c r="BH352" s="35"/>
      <c r="BI352" s="35"/>
      <c r="BJ352" s="35"/>
      <c r="BK352" s="35"/>
      <c r="BL352" s="35"/>
      <c r="BM352" s="35"/>
      <c r="BN352" s="35"/>
      <c r="BO352" s="35"/>
      <c r="BP352" s="35"/>
      <c r="BQ352" s="35"/>
      <c r="BR352" s="35"/>
      <c r="BS352" s="35"/>
      <c r="BT352" s="35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35"/>
      <c r="CO352" s="35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35"/>
      <c r="DJ352" s="35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35"/>
      <c r="EE352" s="35"/>
      <c r="EF352" s="35"/>
      <c r="EG352" s="35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35"/>
      <c r="EZ352" s="35"/>
      <c r="FA352" s="35"/>
      <c r="FB352" s="35"/>
      <c r="FC352" s="35"/>
      <c r="FD352" s="35"/>
      <c r="FE352" s="35"/>
      <c r="FF352" s="35"/>
      <c r="FG352" s="35"/>
      <c r="FH352" s="35"/>
      <c r="FI352" s="35"/>
      <c r="FJ352" s="35"/>
      <c r="FK352" s="35"/>
      <c r="FL352" s="35"/>
      <c r="FM352" s="35"/>
      <c r="FN352" s="35"/>
      <c r="FO352" s="35"/>
      <c r="FP352" s="35"/>
      <c r="FQ352" s="35"/>
      <c r="FR352" s="35"/>
      <c r="FS352" s="35"/>
      <c r="FT352" s="35"/>
      <c r="FU352" s="35"/>
      <c r="FV352" s="35"/>
      <c r="FW352" s="35"/>
      <c r="FX352" s="35"/>
      <c r="FY352" s="35"/>
      <c r="FZ352" s="35"/>
      <c r="GA352" s="35"/>
      <c r="GB352" s="35"/>
      <c r="GC352" s="35"/>
      <c r="GD352" s="35"/>
      <c r="GE352" s="35"/>
      <c r="GF352" s="35"/>
      <c r="GG352" s="35"/>
      <c r="GH352" s="35"/>
      <c r="GI352" s="35"/>
      <c r="GJ352" s="35"/>
      <c r="GK352" s="35"/>
      <c r="GL352" s="35"/>
      <c r="GM352" s="35"/>
      <c r="GN352" s="35"/>
      <c r="GO352" s="35"/>
      <c r="GP352" s="35"/>
      <c r="GQ352" s="35"/>
      <c r="GR352" s="35"/>
      <c r="GS352" s="35"/>
      <c r="GT352" s="35"/>
      <c r="GU352" s="35"/>
      <c r="GV352" s="35"/>
      <c r="GW352" s="35"/>
      <c r="GX352" s="35"/>
      <c r="GY352" s="35"/>
      <c r="GZ352" s="35"/>
      <c r="HA352" s="35"/>
      <c r="HB352" s="35"/>
      <c r="HC352" s="35"/>
      <c r="HD352" s="35"/>
      <c r="HE352" s="35"/>
      <c r="HF352" s="35"/>
      <c r="HG352" s="35"/>
      <c r="HH352" s="35"/>
      <c r="HI352" s="35"/>
      <c r="HJ352" s="35"/>
      <c r="HK352" s="35"/>
      <c r="HL352" s="35"/>
      <c r="HM352" s="35"/>
      <c r="HN352" s="35"/>
      <c r="HO352" s="35"/>
      <c r="HP352" s="35"/>
      <c r="HQ352" s="35"/>
      <c r="HR352" s="35"/>
      <c r="HS352" s="35"/>
      <c r="HT352" s="35"/>
      <c r="HU352" s="35"/>
      <c r="HV352" s="35"/>
      <c r="HW352" s="35"/>
      <c r="HX352" s="35"/>
      <c r="HY352" s="35"/>
      <c r="HZ352" s="35"/>
      <c r="IA352" s="35"/>
      <c r="IB352" s="35"/>
      <c r="IC352" s="35"/>
      <c r="ID352" s="35"/>
      <c r="IE352" s="35"/>
      <c r="IF352" s="35"/>
      <c r="IG352" s="35"/>
      <c r="IH352" s="35"/>
      <c r="II352" s="35"/>
      <c r="IJ352" s="35"/>
      <c r="IK352" s="35"/>
      <c r="IL352" s="35"/>
      <c r="IM352" s="35"/>
      <c r="IN352" s="35"/>
      <c r="IO352" s="35"/>
      <c r="IP352" s="35"/>
      <c r="IQ352" s="35"/>
      <c r="IR352" s="35"/>
      <c r="IS352" s="35"/>
      <c r="IT352" s="35"/>
      <c r="IU352" s="35"/>
      <c r="IV352" s="35"/>
      <c r="IW352" s="35"/>
      <c r="IX352" s="35"/>
      <c r="IY352" s="35"/>
      <c r="IZ352" s="35"/>
      <c r="JA352" s="35"/>
      <c r="JB352" s="35"/>
      <c r="JC352" s="35"/>
      <c r="JD352" s="35"/>
      <c r="JE352" s="35"/>
    </row>
    <row r="353">
      <c r="A353" s="42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  <c r="BC353" s="35"/>
      <c r="BD353" s="35"/>
      <c r="BE353" s="35"/>
      <c r="BF353" s="35"/>
      <c r="BG353" s="35"/>
      <c r="BH353" s="35"/>
      <c r="BI353" s="35"/>
      <c r="BJ353" s="35"/>
      <c r="BK353" s="35"/>
      <c r="BL353" s="35"/>
      <c r="BM353" s="35"/>
      <c r="BN353" s="35"/>
      <c r="BO353" s="35"/>
      <c r="BP353" s="35"/>
      <c r="BQ353" s="35"/>
      <c r="BR353" s="35"/>
      <c r="BS353" s="35"/>
      <c r="BT353" s="35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35"/>
      <c r="CO353" s="35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35"/>
      <c r="DJ353" s="35"/>
      <c r="DK353" s="35"/>
      <c r="DL353" s="35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35"/>
      <c r="EE353" s="35"/>
      <c r="EF353" s="35"/>
      <c r="EG353" s="35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35"/>
      <c r="EZ353" s="35"/>
      <c r="FA353" s="35"/>
      <c r="FB353" s="35"/>
      <c r="FC353" s="35"/>
      <c r="FD353" s="35"/>
      <c r="FE353" s="35"/>
      <c r="FF353" s="35"/>
      <c r="FG353" s="35"/>
      <c r="FH353" s="35"/>
      <c r="FI353" s="35"/>
      <c r="FJ353" s="35"/>
      <c r="FK353" s="35"/>
      <c r="FL353" s="35"/>
      <c r="FM353" s="35"/>
      <c r="FN353" s="35"/>
      <c r="FO353" s="35"/>
      <c r="FP353" s="35"/>
      <c r="FQ353" s="35"/>
      <c r="FR353" s="35"/>
      <c r="FS353" s="35"/>
      <c r="FT353" s="35"/>
      <c r="FU353" s="35"/>
      <c r="FV353" s="35"/>
      <c r="FW353" s="35"/>
      <c r="FX353" s="35"/>
      <c r="FY353" s="35"/>
      <c r="FZ353" s="35"/>
      <c r="GA353" s="35"/>
      <c r="GB353" s="35"/>
      <c r="GC353" s="35"/>
      <c r="GD353" s="35"/>
      <c r="GE353" s="35"/>
      <c r="GF353" s="35"/>
      <c r="GG353" s="35"/>
      <c r="GH353" s="35"/>
      <c r="GI353" s="35"/>
      <c r="GJ353" s="35"/>
      <c r="GK353" s="35"/>
      <c r="GL353" s="35"/>
      <c r="GM353" s="35"/>
      <c r="GN353" s="35"/>
      <c r="GO353" s="35"/>
      <c r="GP353" s="35"/>
      <c r="GQ353" s="35"/>
      <c r="GR353" s="35"/>
      <c r="GS353" s="35"/>
      <c r="GT353" s="35"/>
      <c r="GU353" s="35"/>
      <c r="GV353" s="35"/>
      <c r="GW353" s="35"/>
      <c r="GX353" s="35"/>
      <c r="GY353" s="35"/>
      <c r="GZ353" s="35"/>
      <c r="HA353" s="35"/>
      <c r="HB353" s="35"/>
      <c r="HC353" s="35"/>
      <c r="HD353" s="35"/>
      <c r="HE353" s="35"/>
      <c r="HF353" s="35"/>
      <c r="HG353" s="35"/>
      <c r="HH353" s="35"/>
      <c r="HI353" s="35"/>
      <c r="HJ353" s="35"/>
      <c r="HK353" s="35"/>
      <c r="HL353" s="35"/>
      <c r="HM353" s="35"/>
      <c r="HN353" s="35"/>
      <c r="HO353" s="35"/>
      <c r="HP353" s="35"/>
      <c r="HQ353" s="35"/>
      <c r="HR353" s="35"/>
      <c r="HS353" s="35"/>
      <c r="HT353" s="35"/>
      <c r="HU353" s="35"/>
      <c r="HV353" s="35"/>
      <c r="HW353" s="35"/>
      <c r="HX353" s="35"/>
      <c r="HY353" s="35"/>
      <c r="HZ353" s="35"/>
      <c r="IA353" s="35"/>
      <c r="IB353" s="35"/>
      <c r="IC353" s="35"/>
      <c r="ID353" s="35"/>
      <c r="IE353" s="35"/>
      <c r="IF353" s="35"/>
      <c r="IG353" s="35"/>
      <c r="IH353" s="35"/>
      <c r="II353" s="35"/>
      <c r="IJ353" s="35"/>
      <c r="IK353" s="35"/>
      <c r="IL353" s="35"/>
      <c r="IM353" s="35"/>
      <c r="IN353" s="35"/>
      <c r="IO353" s="35"/>
      <c r="IP353" s="35"/>
      <c r="IQ353" s="35"/>
      <c r="IR353" s="35"/>
      <c r="IS353" s="35"/>
      <c r="IT353" s="35"/>
      <c r="IU353" s="35"/>
      <c r="IV353" s="35"/>
      <c r="IW353" s="35"/>
      <c r="IX353" s="35"/>
      <c r="IY353" s="35"/>
      <c r="IZ353" s="35"/>
      <c r="JA353" s="35"/>
      <c r="JB353" s="35"/>
      <c r="JC353" s="35"/>
      <c r="JD353" s="35"/>
      <c r="JE353" s="35"/>
    </row>
    <row r="354">
      <c r="A354" s="42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  <c r="BC354" s="35"/>
      <c r="BD354" s="35"/>
      <c r="BE354" s="35"/>
      <c r="BF354" s="35"/>
      <c r="BG354" s="35"/>
      <c r="BH354" s="35"/>
      <c r="BI354" s="35"/>
      <c r="BJ354" s="35"/>
      <c r="BK354" s="35"/>
      <c r="BL354" s="35"/>
      <c r="BM354" s="35"/>
      <c r="BN354" s="35"/>
      <c r="BO354" s="35"/>
      <c r="BP354" s="35"/>
      <c r="BQ354" s="35"/>
      <c r="BR354" s="35"/>
      <c r="BS354" s="35"/>
      <c r="BT354" s="35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35"/>
      <c r="CO354" s="35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35"/>
      <c r="DJ354" s="35"/>
      <c r="DK354" s="35"/>
      <c r="DL354" s="35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35"/>
      <c r="EE354" s="35"/>
      <c r="EF354" s="35"/>
      <c r="EG354" s="35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35"/>
      <c r="EZ354" s="35"/>
      <c r="FA354" s="35"/>
      <c r="FB354" s="35"/>
      <c r="FC354" s="35"/>
      <c r="FD354" s="35"/>
      <c r="FE354" s="35"/>
      <c r="FF354" s="35"/>
      <c r="FG354" s="35"/>
      <c r="FH354" s="35"/>
      <c r="FI354" s="35"/>
      <c r="FJ354" s="35"/>
      <c r="FK354" s="35"/>
      <c r="FL354" s="35"/>
      <c r="FM354" s="35"/>
      <c r="FN354" s="35"/>
      <c r="FO354" s="35"/>
      <c r="FP354" s="35"/>
      <c r="FQ354" s="35"/>
      <c r="FR354" s="35"/>
      <c r="FS354" s="35"/>
      <c r="FT354" s="35"/>
      <c r="FU354" s="35"/>
      <c r="FV354" s="35"/>
      <c r="FW354" s="35"/>
      <c r="FX354" s="35"/>
      <c r="FY354" s="35"/>
      <c r="FZ354" s="35"/>
      <c r="GA354" s="35"/>
      <c r="GB354" s="35"/>
      <c r="GC354" s="35"/>
      <c r="GD354" s="35"/>
      <c r="GE354" s="35"/>
      <c r="GF354" s="35"/>
      <c r="GG354" s="35"/>
      <c r="GH354" s="35"/>
      <c r="GI354" s="35"/>
      <c r="GJ354" s="35"/>
      <c r="GK354" s="35"/>
      <c r="GL354" s="35"/>
      <c r="GM354" s="35"/>
      <c r="GN354" s="35"/>
      <c r="GO354" s="35"/>
      <c r="GP354" s="35"/>
      <c r="GQ354" s="35"/>
      <c r="GR354" s="35"/>
      <c r="GS354" s="35"/>
      <c r="GT354" s="35"/>
      <c r="GU354" s="35"/>
      <c r="GV354" s="35"/>
      <c r="GW354" s="35"/>
      <c r="GX354" s="35"/>
      <c r="GY354" s="35"/>
      <c r="GZ354" s="35"/>
      <c r="HA354" s="35"/>
      <c r="HB354" s="35"/>
      <c r="HC354" s="35"/>
      <c r="HD354" s="35"/>
      <c r="HE354" s="35"/>
      <c r="HF354" s="35"/>
      <c r="HG354" s="35"/>
      <c r="HH354" s="35"/>
      <c r="HI354" s="35"/>
      <c r="HJ354" s="35"/>
      <c r="HK354" s="35"/>
      <c r="HL354" s="35"/>
      <c r="HM354" s="35"/>
      <c r="HN354" s="35"/>
      <c r="HO354" s="35"/>
      <c r="HP354" s="35"/>
      <c r="HQ354" s="35"/>
      <c r="HR354" s="35"/>
      <c r="HS354" s="35"/>
      <c r="HT354" s="35"/>
      <c r="HU354" s="35"/>
      <c r="HV354" s="35"/>
      <c r="HW354" s="35"/>
      <c r="HX354" s="35"/>
      <c r="HY354" s="35"/>
      <c r="HZ354" s="35"/>
      <c r="IA354" s="35"/>
      <c r="IB354" s="35"/>
      <c r="IC354" s="35"/>
      <c r="ID354" s="35"/>
      <c r="IE354" s="35"/>
      <c r="IF354" s="35"/>
      <c r="IG354" s="35"/>
      <c r="IH354" s="35"/>
      <c r="II354" s="35"/>
      <c r="IJ354" s="35"/>
      <c r="IK354" s="35"/>
      <c r="IL354" s="35"/>
      <c r="IM354" s="35"/>
      <c r="IN354" s="35"/>
      <c r="IO354" s="35"/>
      <c r="IP354" s="35"/>
      <c r="IQ354" s="35"/>
      <c r="IR354" s="35"/>
      <c r="IS354" s="35"/>
      <c r="IT354" s="35"/>
      <c r="IU354" s="35"/>
      <c r="IV354" s="35"/>
      <c r="IW354" s="35"/>
      <c r="IX354" s="35"/>
      <c r="IY354" s="35"/>
      <c r="IZ354" s="35"/>
      <c r="JA354" s="35"/>
      <c r="JB354" s="35"/>
      <c r="JC354" s="35"/>
      <c r="JD354" s="35"/>
      <c r="JE354" s="35"/>
    </row>
    <row r="355">
      <c r="A355" s="42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  <c r="BC355" s="35"/>
      <c r="BD355" s="35"/>
      <c r="BE355" s="35"/>
      <c r="BF355" s="35"/>
      <c r="BG355" s="35"/>
      <c r="BH355" s="35"/>
      <c r="BI355" s="35"/>
      <c r="BJ355" s="35"/>
      <c r="BK355" s="35"/>
      <c r="BL355" s="35"/>
      <c r="BM355" s="35"/>
      <c r="BN355" s="35"/>
      <c r="BO355" s="35"/>
      <c r="BP355" s="35"/>
      <c r="BQ355" s="35"/>
      <c r="BR355" s="35"/>
      <c r="BS355" s="35"/>
      <c r="BT355" s="35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35"/>
      <c r="CO355" s="35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35"/>
      <c r="DJ355" s="35"/>
      <c r="DK355" s="35"/>
      <c r="DL355" s="35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35"/>
      <c r="EE355" s="35"/>
      <c r="EF355" s="35"/>
      <c r="EG355" s="35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35"/>
      <c r="EZ355" s="35"/>
      <c r="FA355" s="35"/>
      <c r="FB355" s="35"/>
      <c r="FC355" s="35"/>
      <c r="FD355" s="35"/>
      <c r="FE355" s="35"/>
      <c r="FF355" s="35"/>
      <c r="FG355" s="35"/>
      <c r="FH355" s="35"/>
      <c r="FI355" s="35"/>
      <c r="FJ355" s="35"/>
      <c r="FK355" s="35"/>
      <c r="FL355" s="35"/>
      <c r="FM355" s="35"/>
      <c r="FN355" s="35"/>
      <c r="FO355" s="35"/>
      <c r="FP355" s="35"/>
      <c r="FQ355" s="35"/>
      <c r="FR355" s="35"/>
      <c r="FS355" s="35"/>
      <c r="FT355" s="35"/>
      <c r="FU355" s="35"/>
      <c r="FV355" s="35"/>
      <c r="FW355" s="35"/>
      <c r="FX355" s="35"/>
      <c r="FY355" s="35"/>
      <c r="FZ355" s="35"/>
      <c r="GA355" s="35"/>
      <c r="GB355" s="35"/>
      <c r="GC355" s="35"/>
      <c r="GD355" s="35"/>
      <c r="GE355" s="35"/>
      <c r="GF355" s="35"/>
      <c r="GG355" s="35"/>
      <c r="GH355" s="35"/>
      <c r="GI355" s="35"/>
      <c r="GJ355" s="35"/>
      <c r="GK355" s="35"/>
      <c r="GL355" s="35"/>
      <c r="GM355" s="35"/>
      <c r="GN355" s="35"/>
      <c r="GO355" s="35"/>
      <c r="GP355" s="35"/>
      <c r="GQ355" s="35"/>
      <c r="GR355" s="35"/>
      <c r="GS355" s="35"/>
      <c r="GT355" s="35"/>
      <c r="GU355" s="35"/>
      <c r="GV355" s="35"/>
      <c r="GW355" s="35"/>
      <c r="GX355" s="35"/>
      <c r="GY355" s="35"/>
      <c r="GZ355" s="35"/>
      <c r="HA355" s="35"/>
      <c r="HB355" s="35"/>
      <c r="HC355" s="35"/>
      <c r="HD355" s="35"/>
      <c r="HE355" s="35"/>
      <c r="HF355" s="35"/>
      <c r="HG355" s="35"/>
      <c r="HH355" s="35"/>
      <c r="HI355" s="35"/>
      <c r="HJ355" s="35"/>
      <c r="HK355" s="35"/>
      <c r="HL355" s="35"/>
      <c r="HM355" s="35"/>
      <c r="HN355" s="35"/>
      <c r="HO355" s="35"/>
      <c r="HP355" s="35"/>
      <c r="HQ355" s="35"/>
      <c r="HR355" s="35"/>
      <c r="HS355" s="35"/>
      <c r="HT355" s="35"/>
      <c r="HU355" s="35"/>
      <c r="HV355" s="35"/>
      <c r="HW355" s="35"/>
      <c r="HX355" s="35"/>
      <c r="HY355" s="35"/>
      <c r="HZ355" s="35"/>
      <c r="IA355" s="35"/>
      <c r="IB355" s="35"/>
      <c r="IC355" s="35"/>
      <c r="ID355" s="35"/>
      <c r="IE355" s="35"/>
      <c r="IF355" s="35"/>
      <c r="IG355" s="35"/>
      <c r="IH355" s="35"/>
      <c r="II355" s="35"/>
      <c r="IJ355" s="35"/>
      <c r="IK355" s="35"/>
      <c r="IL355" s="35"/>
      <c r="IM355" s="35"/>
      <c r="IN355" s="35"/>
      <c r="IO355" s="35"/>
      <c r="IP355" s="35"/>
      <c r="IQ355" s="35"/>
      <c r="IR355" s="35"/>
      <c r="IS355" s="35"/>
      <c r="IT355" s="35"/>
      <c r="IU355" s="35"/>
      <c r="IV355" s="35"/>
      <c r="IW355" s="35"/>
      <c r="IX355" s="35"/>
      <c r="IY355" s="35"/>
      <c r="IZ355" s="35"/>
      <c r="JA355" s="35"/>
      <c r="JB355" s="35"/>
      <c r="JC355" s="35"/>
      <c r="JD355" s="35"/>
      <c r="JE355" s="35"/>
    </row>
    <row r="356">
      <c r="A356" s="42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  <c r="BD356" s="35"/>
      <c r="BE356" s="35"/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35"/>
      <c r="BS356" s="35"/>
      <c r="BT356" s="35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35"/>
      <c r="CO356" s="35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35"/>
      <c r="DJ356" s="35"/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35"/>
      <c r="EE356" s="35"/>
      <c r="EF356" s="35"/>
      <c r="EG356" s="35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35"/>
      <c r="EZ356" s="35"/>
      <c r="FA356" s="35"/>
      <c r="FB356" s="35"/>
      <c r="FC356" s="35"/>
      <c r="FD356" s="35"/>
      <c r="FE356" s="35"/>
      <c r="FF356" s="35"/>
      <c r="FG356" s="35"/>
      <c r="FH356" s="35"/>
      <c r="FI356" s="35"/>
      <c r="FJ356" s="35"/>
      <c r="FK356" s="35"/>
      <c r="FL356" s="35"/>
      <c r="FM356" s="35"/>
      <c r="FN356" s="35"/>
      <c r="FO356" s="35"/>
      <c r="FP356" s="35"/>
      <c r="FQ356" s="35"/>
      <c r="FR356" s="35"/>
      <c r="FS356" s="35"/>
      <c r="FT356" s="35"/>
      <c r="FU356" s="35"/>
      <c r="FV356" s="35"/>
      <c r="FW356" s="35"/>
      <c r="FX356" s="35"/>
      <c r="FY356" s="35"/>
      <c r="FZ356" s="35"/>
      <c r="GA356" s="35"/>
      <c r="GB356" s="35"/>
      <c r="GC356" s="35"/>
      <c r="GD356" s="35"/>
      <c r="GE356" s="35"/>
      <c r="GF356" s="35"/>
      <c r="GG356" s="35"/>
      <c r="GH356" s="35"/>
      <c r="GI356" s="35"/>
      <c r="GJ356" s="35"/>
      <c r="GK356" s="35"/>
      <c r="GL356" s="35"/>
      <c r="GM356" s="35"/>
      <c r="GN356" s="35"/>
      <c r="GO356" s="35"/>
      <c r="GP356" s="35"/>
      <c r="GQ356" s="35"/>
      <c r="GR356" s="35"/>
      <c r="GS356" s="35"/>
      <c r="GT356" s="35"/>
      <c r="GU356" s="35"/>
      <c r="GV356" s="35"/>
      <c r="GW356" s="35"/>
      <c r="GX356" s="35"/>
      <c r="GY356" s="35"/>
      <c r="GZ356" s="35"/>
      <c r="HA356" s="35"/>
      <c r="HB356" s="35"/>
      <c r="HC356" s="35"/>
      <c r="HD356" s="35"/>
      <c r="HE356" s="35"/>
      <c r="HF356" s="35"/>
      <c r="HG356" s="35"/>
      <c r="HH356" s="35"/>
      <c r="HI356" s="35"/>
      <c r="HJ356" s="35"/>
      <c r="HK356" s="35"/>
      <c r="HL356" s="35"/>
      <c r="HM356" s="35"/>
      <c r="HN356" s="35"/>
      <c r="HO356" s="35"/>
      <c r="HP356" s="35"/>
      <c r="HQ356" s="35"/>
      <c r="HR356" s="35"/>
      <c r="HS356" s="35"/>
      <c r="HT356" s="35"/>
      <c r="HU356" s="35"/>
      <c r="HV356" s="35"/>
      <c r="HW356" s="35"/>
      <c r="HX356" s="35"/>
      <c r="HY356" s="35"/>
      <c r="HZ356" s="35"/>
      <c r="IA356" s="35"/>
      <c r="IB356" s="35"/>
      <c r="IC356" s="35"/>
      <c r="ID356" s="35"/>
      <c r="IE356" s="35"/>
      <c r="IF356" s="35"/>
      <c r="IG356" s="35"/>
      <c r="IH356" s="35"/>
      <c r="II356" s="35"/>
      <c r="IJ356" s="35"/>
      <c r="IK356" s="35"/>
      <c r="IL356" s="35"/>
      <c r="IM356" s="35"/>
      <c r="IN356" s="35"/>
      <c r="IO356" s="35"/>
      <c r="IP356" s="35"/>
      <c r="IQ356" s="35"/>
      <c r="IR356" s="35"/>
      <c r="IS356" s="35"/>
      <c r="IT356" s="35"/>
      <c r="IU356" s="35"/>
      <c r="IV356" s="35"/>
      <c r="IW356" s="35"/>
      <c r="IX356" s="35"/>
      <c r="IY356" s="35"/>
      <c r="IZ356" s="35"/>
      <c r="JA356" s="35"/>
      <c r="JB356" s="35"/>
      <c r="JC356" s="35"/>
      <c r="JD356" s="35"/>
      <c r="JE356" s="35"/>
    </row>
    <row r="357">
      <c r="A357" s="42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  <c r="BD357" s="35"/>
      <c r="BE357" s="35"/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  <c r="BR357" s="35"/>
      <c r="BS357" s="35"/>
      <c r="BT357" s="35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35"/>
      <c r="CO357" s="35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35"/>
      <c r="DJ357" s="35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35"/>
      <c r="EE357" s="35"/>
      <c r="EF357" s="35"/>
      <c r="EG357" s="35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35"/>
      <c r="EZ357" s="35"/>
      <c r="FA357" s="35"/>
      <c r="FB357" s="35"/>
      <c r="FC357" s="35"/>
      <c r="FD357" s="35"/>
      <c r="FE357" s="35"/>
      <c r="FF357" s="35"/>
      <c r="FG357" s="35"/>
      <c r="FH357" s="35"/>
      <c r="FI357" s="35"/>
      <c r="FJ357" s="35"/>
      <c r="FK357" s="35"/>
      <c r="FL357" s="35"/>
      <c r="FM357" s="35"/>
      <c r="FN357" s="35"/>
      <c r="FO357" s="35"/>
      <c r="FP357" s="35"/>
      <c r="FQ357" s="35"/>
      <c r="FR357" s="35"/>
      <c r="FS357" s="35"/>
      <c r="FT357" s="35"/>
      <c r="FU357" s="35"/>
      <c r="FV357" s="35"/>
      <c r="FW357" s="35"/>
      <c r="FX357" s="35"/>
      <c r="FY357" s="35"/>
      <c r="FZ357" s="35"/>
      <c r="GA357" s="35"/>
      <c r="GB357" s="35"/>
      <c r="GC357" s="35"/>
      <c r="GD357" s="35"/>
      <c r="GE357" s="35"/>
      <c r="GF357" s="35"/>
      <c r="GG357" s="35"/>
      <c r="GH357" s="35"/>
      <c r="GI357" s="35"/>
      <c r="GJ357" s="35"/>
      <c r="GK357" s="35"/>
      <c r="GL357" s="35"/>
      <c r="GM357" s="35"/>
      <c r="GN357" s="35"/>
      <c r="GO357" s="35"/>
      <c r="GP357" s="35"/>
      <c r="GQ357" s="35"/>
      <c r="GR357" s="35"/>
      <c r="GS357" s="35"/>
      <c r="GT357" s="35"/>
      <c r="GU357" s="35"/>
      <c r="GV357" s="35"/>
      <c r="GW357" s="35"/>
      <c r="GX357" s="35"/>
      <c r="GY357" s="35"/>
      <c r="GZ357" s="35"/>
      <c r="HA357" s="35"/>
      <c r="HB357" s="35"/>
      <c r="HC357" s="35"/>
      <c r="HD357" s="35"/>
      <c r="HE357" s="35"/>
      <c r="HF357" s="35"/>
      <c r="HG357" s="35"/>
      <c r="HH357" s="35"/>
      <c r="HI357" s="35"/>
      <c r="HJ357" s="35"/>
      <c r="HK357" s="35"/>
      <c r="HL357" s="35"/>
      <c r="HM357" s="35"/>
      <c r="HN357" s="35"/>
      <c r="HO357" s="35"/>
      <c r="HP357" s="35"/>
      <c r="HQ357" s="35"/>
      <c r="HR357" s="35"/>
      <c r="HS357" s="35"/>
      <c r="HT357" s="35"/>
      <c r="HU357" s="35"/>
      <c r="HV357" s="35"/>
      <c r="HW357" s="35"/>
      <c r="HX357" s="35"/>
      <c r="HY357" s="35"/>
      <c r="HZ357" s="35"/>
      <c r="IA357" s="35"/>
      <c r="IB357" s="35"/>
      <c r="IC357" s="35"/>
      <c r="ID357" s="35"/>
      <c r="IE357" s="35"/>
      <c r="IF357" s="35"/>
      <c r="IG357" s="35"/>
      <c r="IH357" s="35"/>
      <c r="II357" s="35"/>
      <c r="IJ357" s="35"/>
      <c r="IK357" s="35"/>
      <c r="IL357" s="35"/>
      <c r="IM357" s="35"/>
      <c r="IN357" s="35"/>
      <c r="IO357" s="35"/>
      <c r="IP357" s="35"/>
      <c r="IQ357" s="35"/>
      <c r="IR357" s="35"/>
      <c r="IS357" s="35"/>
      <c r="IT357" s="35"/>
      <c r="IU357" s="35"/>
      <c r="IV357" s="35"/>
      <c r="IW357" s="35"/>
      <c r="IX357" s="35"/>
      <c r="IY357" s="35"/>
      <c r="IZ357" s="35"/>
      <c r="JA357" s="35"/>
      <c r="JB357" s="35"/>
      <c r="JC357" s="35"/>
      <c r="JD357" s="35"/>
      <c r="JE357" s="35"/>
    </row>
    <row r="358">
      <c r="A358" s="42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35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35"/>
      <c r="CO358" s="35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35"/>
      <c r="DJ358" s="35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35"/>
      <c r="EE358" s="35"/>
      <c r="EF358" s="35"/>
      <c r="EG358" s="35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35"/>
      <c r="EZ358" s="35"/>
      <c r="FA358" s="35"/>
      <c r="FB358" s="35"/>
      <c r="FC358" s="35"/>
      <c r="FD358" s="35"/>
      <c r="FE358" s="35"/>
      <c r="FF358" s="35"/>
      <c r="FG358" s="35"/>
      <c r="FH358" s="35"/>
      <c r="FI358" s="35"/>
      <c r="FJ358" s="35"/>
      <c r="FK358" s="35"/>
      <c r="FL358" s="35"/>
      <c r="FM358" s="35"/>
      <c r="FN358" s="35"/>
      <c r="FO358" s="35"/>
      <c r="FP358" s="35"/>
      <c r="FQ358" s="35"/>
      <c r="FR358" s="35"/>
      <c r="FS358" s="35"/>
      <c r="FT358" s="35"/>
      <c r="FU358" s="35"/>
      <c r="FV358" s="35"/>
      <c r="FW358" s="35"/>
      <c r="FX358" s="35"/>
      <c r="FY358" s="35"/>
      <c r="FZ358" s="35"/>
      <c r="GA358" s="35"/>
      <c r="GB358" s="35"/>
      <c r="GC358" s="35"/>
      <c r="GD358" s="35"/>
      <c r="GE358" s="35"/>
      <c r="GF358" s="35"/>
      <c r="GG358" s="35"/>
      <c r="GH358" s="35"/>
      <c r="GI358" s="35"/>
      <c r="GJ358" s="35"/>
      <c r="GK358" s="35"/>
      <c r="GL358" s="35"/>
      <c r="GM358" s="35"/>
      <c r="GN358" s="35"/>
      <c r="GO358" s="35"/>
      <c r="GP358" s="35"/>
      <c r="GQ358" s="35"/>
      <c r="GR358" s="35"/>
      <c r="GS358" s="35"/>
      <c r="GT358" s="35"/>
      <c r="GU358" s="35"/>
      <c r="GV358" s="35"/>
      <c r="GW358" s="35"/>
      <c r="GX358" s="35"/>
      <c r="GY358" s="35"/>
      <c r="GZ358" s="35"/>
      <c r="HA358" s="35"/>
      <c r="HB358" s="35"/>
      <c r="HC358" s="35"/>
      <c r="HD358" s="35"/>
      <c r="HE358" s="35"/>
      <c r="HF358" s="35"/>
      <c r="HG358" s="35"/>
      <c r="HH358" s="35"/>
      <c r="HI358" s="35"/>
      <c r="HJ358" s="35"/>
      <c r="HK358" s="35"/>
      <c r="HL358" s="35"/>
      <c r="HM358" s="35"/>
      <c r="HN358" s="35"/>
      <c r="HO358" s="35"/>
      <c r="HP358" s="35"/>
      <c r="HQ358" s="35"/>
      <c r="HR358" s="35"/>
      <c r="HS358" s="35"/>
      <c r="HT358" s="35"/>
      <c r="HU358" s="35"/>
      <c r="HV358" s="35"/>
      <c r="HW358" s="35"/>
      <c r="HX358" s="35"/>
      <c r="HY358" s="35"/>
      <c r="HZ358" s="35"/>
      <c r="IA358" s="35"/>
      <c r="IB358" s="35"/>
      <c r="IC358" s="35"/>
      <c r="ID358" s="35"/>
      <c r="IE358" s="35"/>
      <c r="IF358" s="35"/>
      <c r="IG358" s="35"/>
      <c r="IH358" s="35"/>
      <c r="II358" s="35"/>
      <c r="IJ358" s="35"/>
      <c r="IK358" s="35"/>
      <c r="IL358" s="35"/>
      <c r="IM358" s="35"/>
      <c r="IN358" s="35"/>
      <c r="IO358" s="35"/>
      <c r="IP358" s="35"/>
      <c r="IQ358" s="35"/>
      <c r="IR358" s="35"/>
      <c r="IS358" s="35"/>
      <c r="IT358" s="35"/>
      <c r="IU358" s="35"/>
      <c r="IV358" s="35"/>
      <c r="IW358" s="35"/>
      <c r="IX358" s="35"/>
      <c r="IY358" s="35"/>
      <c r="IZ358" s="35"/>
      <c r="JA358" s="35"/>
      <c r="JB358" s="35"/>
      <c r="JC358" s="35"/>
      <c r="JD358" s="35"/>
      <c r="JE358" s="35"/>
    </row>
    <row r="359">
      <c r="A359" s="42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  <c r="BR359" s="35"/>
      <c r="BS359" s="35"/>
      <c r="BT359" s="35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35"/>
      <c r="CO359" s="35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35"/>
      <c r="DJ359" s="35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35"/>
      <c r="EE359" s="35"/>
      <c r="EF359" s="35"/>
      <c r="EG359" s="35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35"/>
      <c r="EZ359" s="35"/>
      <c r="FA359" s="35"/>
      <c r="FB359" s="35"/>
      <c r="FC359" s="35"/>
      <c r="FD359" s="35"/>
      <c r="FE359" s="35"/>
      <c r="FF359" s="35"/>
      <c r="FG359" s="35"/>
      <c r="FH359" s="35"/>
      <c r="FI359" s="35"/>
      <c r="FJ359" s="35"/>
      <c r="FK359" s="35"/>
      <c r="FL359" s="35"/>
      <c r="FM359" s="35"/>
      <c r="FN359" s="35"/>
      <c r="FO359" s="35"/>
      <c r="FP359" s="35"/>
      <c r="FQ359" s="35"/>
      <c r="FR359" s="35"/>
      <c r="FS359" s="35"/>
      <c r="FT359" s="35"/>
      <c r="FU359" s="35"/>
      <c r="FV359" s="35"/>
      <c r="FW359" s="35"/>
      <c r="FX359" s="35"/>
      <c r="FY359" s="35"/>
      <c r="FZ359" s="35"/>
      <c r="GA359" s="35"/>
      <c r="GB359" s="35"/>
      <c r="GC359" s="35"/>
      <c r="GD359" s="35"/>
      <c r="GE359" s="35"/>
      <c r="GF359" s="35"/>
      <c r="GG359" s="35"/>
      <c r="GH359" s="35"/>
      <c r="GI359" s="35"/>
      <c r="GJ359" s="35"/>
      <c r="GK359" s="35"/>
      <c r="GL359" s="35"/>
      <c r="GM359" s="35"/>
      <c r="GN359" s="35"/>
      <c r="GO359" s="35"/>
      <c r="GP359" s="35"/>
      <c r="GQ359" s="35"/>
      <c r="GR359" s="35"/>
      <c r="GS359" s="35"/>
      <c r="GT359" s="35"/>
      <c r="GU359" s="35"/>
      <c r="GV359" s="35"/>
      <c r="GW359" s="35"/>
      <c r="GX359" s="35"/>
      <c r="GY359" s="35"/>
      <c r="GZ359" s="35"/>
      <c r="HA359" s="35"/>
      <c r="HB359" s="35"/>
      <c r="HC359" s="35"/>
      <c r="HD359" s="35"/>
      <c r="HE359" s="35"/>
      <c r="HF359" s="35"/>
      <c r="HG359" s="35"/>
      <c r="HH359" s="35"/>
      <c r="HI359" s="35"/>
      <c r="HJ359" s="35"/>
      <c r="HK359" s="35"/>
      <c r="HL359" s="35"/>
      <c r="HM359" s="35"/>
      <c r="HN359" s="35"/>
      <c r="HO359" s="35"/>
      <c r="HP359" s="35"/>
      <c r="HQ359" s="35"/>
      <c r="HR359" s="35"/>
      <c r="HS359" s="35"/>
      <c r="HT359" s="35"/>
      <c r="HU359" s="35"/>
      <c r="HV359" s="35"/>
      <c r="HW359" s="35"/>
      <c r="HX359" s="35"/>
      <c r="HY359" s="35"/>
      <c r="HZ359" s="35"/>
      <c r="IA359" s="35"/>
      <c r="IB359" s="35"/>
      <c r="IC359" s="35"/>
      <c r="ID359" s="35"/>
      <c r="IE359" s="35"/>
      <c r="IF359" s="35"/>
      <c r="IG359" s="35"/>
      <c r="IH359" s="35"/>
      <c r="II359" s="35"/>
      <c r="IJ359" s="35"/>
      <c r="IK359" s="35"/>
      <c r="IL359" s="35"/>
      <c r="IM359" s="35"/>
      <c r="IN359" s="35"/>
      <c r="IO359" s="35"/>
      <c r="IP359" s="35"/>
      <c r="IQ359" s="35"/>
      <c r="IR359" s="35"/>
      <c r="IS359" s="35"/>
      <c r="IT359" s="35"/>
      <c r="IU359" s="35"/>
      <c r="IV359" s="35"/>
      <c r="IW359" s="35"/>
      <c r="IX359" s="35"/>
      <c r="IY359" s="35"/>
      <c r="IZ359" s="35"/>
      <c r="JA359" s="35"/>
      <c r="JB359" s="35"/>
      <c r="JC359" s="35"/>
      <c r="JD359" s="35"/>
      <c r="JE359" s="35"/>
    </row>
    <row r="360">
      <c r="A360" s="42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35"/>
      <c r="BS360" s="35"/>
      <c r="BT360" s="35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35"/>
      <c r="CO360" s="35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35"/>
      <c r="DJ360" s="35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35"/>
      <c r="EE360" s="35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35"/>
      <c r="EZ360" s="35"/>
      <c r="FA360" s="35"/>
      <c r="FB360" s="35"/>
      <c r="FC360" s="35"/>
      <c r="FD360" s="35"/>
      <c r="FE360" s="35"/>
      <c r="FF360" s="35"/>
      <c r="FG360" s="35"/>
      <c r="FH360" s="35"/>
      <c r="FI360" s="35"/>
      <c r="FJ360" s="35"/>
      <c r="FK360" s="35"/>
      <c r="FL360" s="35"/>
      <c r="FM360" s="35"/>
      <c r="FN360" s="35"/>
      <c r="FO360" s="35"/>
      <c r="FP360" s="35"/>
      <c r="FQ360" s="35"/>
      <c r="FR360" s="35"/>
      <c r="FS360" s="35"/>
      <c r="FT360" s="35"/>
      <c r="FU360" s="35"/>
      <c r="FV360" s="35"/>
      <c r="FW360" s="35"/>
      <c r="FX360" s="35"/>
      <c r="FY360" s="35"/>
      <c r="FZ360" s="35"/>
      <c r="GA360" s="35"/>
      <c r="GB360" s="35"/>
      <c r="GC360" s="35"/>
      <c r="GD360" s="35"/>
      <c r="GE360" s="35"/>
      <c r="GF360" s="35"/>
      <c r="GG360" s="35"/>
      <c r="GH360" s="35"/>
      <c r="GI360" s="35"/>
      <c r="GJ360" s="35"/>
      <c r="GK360" s="35"/>
      <c r="GL360" s="35"/>
      <c r="GM360" s="35"/>
      <c r="GN360" s="35"/>
      <c r="GO360" s="35"/>
      <c r="GP360" s="35"/>
      <c r="GQ360" s="35"/>
      <c r="GR360" s="35"/>
      <c r="GS360" s="35"/>
      <c r="GT360" s="35"/>
      <c r="GU360" s="35"/>
      <c r="GV360" s="35"/>
      <c r="GW360" s="35"/>
      <c r="GX360" s="35"/>
      <c r="GY360" s="35"/>
      <c r="GZ360" s="35"/>
      <c r="HA360" s="35"/>
      <c r="HB360" s="35"/>
      <c r="HC360" s="35"/>
      <c r="HD360" s="35"/>
      <c r="HE360" s="35"/>
      <c r="HF360" s="35"/>
      <c r="HG360" s="35"/>
      <c r="HH360" s="35"/>
      <c r="HI360" s="35"/>
      <c r="HJ360" s="35"/>
      <c r="HK360" s="35"/>
      <c r="HL360" s="35"/>
      <c r="HM360" s="35"/>
      <c r="HN360" s="35"/>
      <c r="HO360" s="35"/>
      <c r="HP360" s="35"/>
      <c r="HQ360" s="35"/>
      <c r="HR360" s="35"/>
      <c r="HS360" s="35"/>
      <c r="HT360" s="35"/>
      <c r="HU360" s="35"/>
      <c r="HV360" s="35"/>
      <c r="HW360" s="35"/>
      <c r="HX360" s="35"/>
      <c r="HY360" s="35"/>
      <c r="HZ360" s="35"/>
      <c r="IA360" s="35"/>
      <c r="IB360" s="35"/>
      <c r="IC360" s="35"/>
      <c r="ID360" s="35"/>
      <c r="IE360" s="35"/>
      <c r="IF360" s="35"/>
      <c r="IG360" s="35"/>
      <c r="IH360" s="35"/>
      <c r="II360" s="35"/>
      <c r="IJ360" s="35"/>
      <c r="IK360" s="35"/>
      <c r="IL360" s="35"/>
      <c r="IM360" s="35"/>
      <c r="IN360" s="35"/>
      <c r="IO360" s="35"/>
      <c r="IP360" s="35"/>
      <c r="IQ360" s="35"/>
      <c r="IR360" s="35"/>
      <c r="IS360" s="35"/>
      <c r="IT360" s="35"/>
      <c r="IU360" s="35"/>
      <c r="IV360" s="35"/>
      <c r="IW360" s="35"/>
      <c r="IX360" s="35"/>
      <c r="IY360" s="35"/>
      <c r="IZ360" s="35"/>
      <c r="JA360" s="35"/>
      <c r="JB360" s="35"/>
      <c r="JC360" s="35"/>
      <c r="JD360" s="35"/>
      <c r="JE360" s="35"/>
    </row>
    <row r="361">
      <c r="A361" s="42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5"/>
      <c r="BM361" s="35"/>
      <c r="BN361" s="35"/>
      <c r="BO361" s="35"/>
      <c r="BP361" s="35"/>
      <c r="BQ361" s="35"/>
      <c r="BR361" s="35"/>
      <c r="BS361" s="35"/>
      <c r="BT361" s="35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35"/>
      <c r="CO361" s="35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35"/>
      <c r="DJ361" s="35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35"/>
      <c r="EE361" s="35"/>
      <c r="EF361" s="35"/>
      <c r="EG361" s="35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35"/>
      <c r="EZ361" s="35"/>
      <c r="FA361" s="35"/>
      <c r="FB361" s="35"/>
      <c r="FC361" s="35"/>
      <c r="FD361" s="35"/>
      <c r="FE361" s="35"/>
      <c r="FF361" s="35"/>
      <c r="FG361" s="35"/>
      <c r="FH361" s="35"/>
      <c r="FI361" s="35"/>
      <c r="FJ361" s="35"/>
      <c r="FK361" s="35"/>
      <c r="FL361" s="35"/>
      <c r="FM361" s="35"/>
      <c r="FN361" s="35"/>
      <c r="FO361" s="35"/>
      <c r="FP361" s="35"/>
      <c r="FQ361" s="35"/>
      <c r="FR361" s="35"/>
      <c r="FS361" s="35"/>
      <c r="FT361" s="35"/>
      <c r="FU361" s="35"/>
      <c r="FV361" s="35"/>
      <c r="FW361" s="35"/>
      <c r="FX361" s="35"/>
      <c r="FY361" s="35"/>
      <c r="FZ361" s="35"/>
      <c r="GA361" s="35"/>
      <c r="GB361" s="35"/>
      <c r="GC361" s="35"/>
      <c r="GD361" s="35"/>
      <c r="GE361" s="35"/>
      <c r="GF361" s="35"/>
      <c r="GG361" s="35"/>
      <c r="GH361" s="35"/>
      <c r="GI361" s="35"/>
      <c r="GJ361" s="35"/>
      <c r="GK361" s="35"/>
      <c r="GL361" s="35"/>
      <c r="GM361" s="35"/>
      <c r="GN361" s="35"/>
      <c r="GO361" s="35"/>
      <c r="GP361" s="35"/>
      <c r="GQ361" s="35"/>
      <c r="GR361" s="35"/>
      <c r="GS361" s="35"/>
      <c r="GT361" s="35"/>
      <c r="GU361" s="35"/>
      <c r="GV361" s="35"/>
      <c r="GW361" s="35"/>
      <c r="GX361" s="35"/>
      <c r="GY361" s="35"/>
      <c r="GZ361" s="35"/>
      <c r="HA361" s="35"/>
      <c r="HB361" s="35"/>
      <c r="HC361" s="35"/>
      <c r="HD361" s="35"/>
      <c r="HE361" s="35"/>
      <c r="HF361" s="35"/>
      <c r="HG361" s="35"/>
      <c r="HH361" s="35"/>
      <c r="HI361" s="35"/>
      <c r="HJ361" s="35"/>
      <c r="HK361" s="35"/>
      <c r="HL361" s="35"/>
      <c r="HM361" s="35"/>
      <c r="HN361" s="35"/>
      <c r="HO361" s="35"/>
      <c r="HP361" s="35"/>
      <c r="HQ361" s="35"/>
      <c r="HR361" s="35"/>
      <c r="HS361" s="35"/>
      <c r="HT361" s="35"/>
      <c r="HU361" s="35"/>
      <c r="HV361" s="35"/>
      <c r="HW361" s="35"/>
      <c r="HX361" s="35"/>
      <c r="HY361" s="35"/>
      <c r="HZ361" s="35"/>
      <c r="IA361" s="35"/>
      <c r="IB361" s="35"/>
      <c r="IC361" s="35"/>
      <c r="ID361" s="35"/>
      <c r="IE361" s="35"/>
      <c r="IF361" s="35"/>
      <c r="IG361" s="35"/>
      <c r="IH361" s="35"/>
      <c r="II361" s="35"/>
      <c r="IJ361" s="35"/>
      <c r="IK361" s="35"/>
      <c r="IL361" s="35"/>
      <c r="IM361" s="35"/>
      <c r="IN361" s="35"/>
      <c r="IO361" s="35"/>
      <c r="IP361" s="35"/>
      <c r="IQ361" s="35"/>
      <c r="IR361" s="35"/>
      <c r="IS361" s="35"/>
      <c r="IT361" s="35"/>
      <c r="IU361" s="35"/>
      <c r="IV361" s="35"/>
      <c r="IW361" s="35"/>
      <c r="IX361" s="35"/>
      <c r="IY361" s="35"/>
      <c r="IZ361" s="35"/>
      <c r="JA361" s="35"/>
      <c r="JB361" s="35"/>
      <c r="JC361" s="35"/>
      <c r="JD361" s="35"/>
      <c r="JE361" s="35"/>
    </row>
    <row r="362">
      <c r="A362" s="42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35"/>
      <c r="BS362" s="35"/>
      <c r="BT362" s="35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35"/>
      <c r="CO362" s="35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35"/>
      <c r="DJ362" s="35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35"/>
      <c r="EE362" s="35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35"/>
      <c r="EZ362" s="35"/>
      <c r="FA362" s="35"/>
      <c r="FB362" s="35"/>
      <c r="FC362" s="35"/>
      <c r="FD362" s="35"/>
      <c r="FE362" s="35"/>
      <c r="FF362" s="35"/>
      <c r="FG362" s="35"/>
      <c r="FH362" s="35"/>
      <c r="FI362" s="35"/>
      <c r="FJ362" s="35"/>
      <c r="FK362" s="35"/>
      <c r="FL362" s="35"/>
      <c r="FM362" s="35"/>
      <c r="FN362" s="35"/>
      <c r="FO362" s="35"/>
      <c r="FP362" s="35"/>
      <c r="FQ362" s="35"/>
      <c r="FR362" s="35"/>
      <c r="FS362" s="35"/>
      <c r="FT362" s="35"/>
      <c r="FU362" s="35"/>
      <c r="FV362" s="35"/>
      <c r="FW362" s="35"/>
      <c r="FX362" s="35"/>
      <c r="FY362" s="35"/>
      <c r="FZ362" s="35"/>
      <c r="GA362" s="35"/>
      <c r="GB362" s="35"/>
      <c r="GC362" s="35"/>
      <c r="GD362" s="35"/>
      <c r="GE362" s="35"/>
      <c r="GF362" s="35"/>
      <c r="GG362" s="35"/>
      <c r="GH362" s="35"/>
      <c r="GI362" s="35"/>
      <c r="GJ362" s="35"/>
      <c r="GK362" s="35"/>
      <c r="GL362" s="35"/>
      <c r="GM362" s="35"/>
      <c r="GN362" s="35"/>
      <c r="GO362" s="35"/>
      <c r="GP362" s="35"/>
      <c r="GQ362" s="35"/>
      <c r="GR362" s="35"/>
      <c r="GS362" s="35"/>
      <c r="GT362" s="35"/>
      <c r="GU362" s="35"/>
      <c r="GV362" s="35"/>
      <c r="GW362" s="35"/>
      <c r="GX362" s="35"/>
      <c r="GY362" s="35"/>
      <c r="GZ362" s="35"/>
      <c r="HA362" s="35"/>
      <c r="HB362" s="35"/>
      <c r="HC362" s="35"/>
      <c r="HD362" s="35"/>
      <c r="HE362" s="35"/>
      <c r="HF362" s="35"/>
      <c r="HG362" s="35"/>
      <c r="HH362" s="35"/>
      <c r="HI362" s="35"/>
      <c r="HJ362" s="35"/>
      <c r="HK362" s="35"/>
      <c r="HL362" s="35"/>
      <c r="HM362" s="35"/>
      <c r="HN362" s="35"/>
      <c r="HO362" s="35"/>
      <c r="HP362" s="35"/>
      <c r="HQ362" s="35"/>
      <c r="HR362" s="35"/>
      <c r="HS362" s="35"/>
      <c r="HT362" s="35"/>
      <c r="HU362" s="35"/>
      <c r="HV362" s="35"/>
      <c r="HW362" s="35"/>
      <c r="HX362" s="35"/>
      <c r="HY362" s="35"/>
      <c r="HZ362" s="35"/>
      <c r="IA362" s="35"/>
      <c r="IB362" s="35"/>
      <c r="IC362" s="35"/>
      <c r="ID362" s="35"/>
      <c r="IE362" s="35"/>
      <c r="IF362" s="35"/>
      <c r="IG362" s="35"/>
      <c r="IH362" s="35"/>
      <c r="II362" s="35"/>
      <c r="IJ362" s="35"/>
      <c r="IK362" s="35"/>
      <c r="IL362" s="35"/>
      <c r="IM362" s="35"/>
      <c r="IN362" s="35"/>
      <c r="IO362" s="35"/>
      <c r="IP362" s="35"/>
      <c r="IQ362" s="35"/>
      <c r="IR362" s="35"/>
      <c r="IS362" s="35"/>
      <c r="IT362" s="35"/>
      <c r="IU362" s="35"/>
      <c r="IV362" s="35"/>
      <c r="IW362" s="35"/>
      <c r="IX362" s="35"/>
      <c r="IY362" s="35"/>
      <c r="IZ362" s="35"/>
      <c r="JA362" s="35"/>
      <c r="JB362" s="35"/>
      <c r="JC362" s="35"/>
      <c r="JD362" s="35"/>
      <c r="JE362" s="35"/>
    </row>
    <row r="363">
      <c r="A363" s="42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  <c r="BR363" s="35"/>
      <c r="BS363" s="35"/>
      <c r="BT363" s="35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35"/>
      <c r="CO363" s="35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35"/>
      <c r="DJ363" s="35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35"/>
      <c r="EE363" s="35"/>
      <c r="EF363" s="35"/>
      <c r="EG363" s="35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35"/>
      <c r="EZ363" s="35"/>
      <c r="FA363" s="35"/>
      <c r="FB363" s="35"/>
      <c r="FC363" s="35"/>
      <c r="FD363" s="35"/>
      <c r="FE363" s="35"/>
      <c r="FF363" s="35"/>
      <c r="FG363" s="35"/>
      <c r="FH363" s="35"/>
      <c r="FI363" s="35"/>
      <c r="FJ363" s="35"/>
      <c r="FK363" s="35"/>
      <c r="FL363" s="35"/>
      <c r="FM363" s="35"/>
      <c r="FN363" s="35"/>
      <c r="FO363" s="35"/>
      <c r="FP363" s="35"/>
      <c r="FQ363" s="35"/>
      <c r="FR363" s="35"/>
      <c r="FS363" s="35"/>
      <c r="FT363" s="35"/>
      <c r="FU363" s="35"/>
      <c r="FV363" s="35"/>
      <c r="FW363" s="35"/>
      <c r="FX363" s="35"/>
      <c r="FY363" s="35"/>
      <c r="FZ363" s="35"/>
      <c r="GA363" s="35"/>
      <c r="GB363" s="35"/>
      <c r="GC363" s="35"/>
      <c r="GD363" s="35"/>
      <c r="GE363" s="35"/>
      <c r="GF363" s="35"/>
      <c r="GG363" s="35"/>
      <c r="GH363" s="35"/>
      <c r="GI363" s="35"/>
      <c r="GJ363" s="35"/>
      <c r="GK363" s="35"/>
      <c r="GL363" s="35"/>
      <c r="GM363" s="35"/>
      <c r="GN363" s="35"/>
      <c r="GO363" s="35"/>
      <c r="GP363" s="35"/>
      <c r="GQ363" s="35"/>
      <c r="GR363" s="35"/>
      <c r="GS363" s="35"/>
      <c r="GT363" s="35"/>
      <c r="GU363" s="35"/>
      <c r="GV363" s="35"/>
      <c r="GW363" s="35"/>
      <c r="GX363" s="35"/>
      <c r="GY363" s="35"/>
      <c r="GZ363" s="35"/>
      <c r="HA363" s="35"/>
      <c r="HB363" s="35"/>
      <c r="HC363" s="35"/>
      <c r="HD363" s="35"/>
      <c r="HE363" s="35"/>
      <c r="HF363" s="35"/>
      <c r="HG363" s="35"/>
      <c r="HH363" s="35"/>
      <c r="HI363" s="35"/>
      <c r="HJ363" s="35"/>
      <c r="HK363" s="35"/>
      <c r="HL363" s="35"/>
      <c r="HM363" s="35"/>
      <c r="HN363" s="35"/>
      <c r="HO363" s="35"/>
      <c r="HP363" s="35"/>
      <c r="HQ363" s="35"/>
      <c r="HR363" s="35"/>
      <c r="HS363" s="35"/>
      <c r="HT363" s="35"/>
      <c r="HU363" s="35"/>
      <c r="HV363" s="35"/>
      <c r="HW363" s="35"/>
      <c r="HX363" s="35"/>
      <c r="HY363" s="35"/>
      <c r="HZ363" s="35"/>
      <c r="IA363" s="35"/>
      <c r="IB363" s="35"/>
      <c r="IC363" s="35"/>
      <c r="ID363" s="35"/>
      <c r="IE363" s="35"/>
      <c r="IF363" s="35"/>
      <c r="IG363" s="35"/>
      <c r="IH363" s="35"/>
      <c r="II363" s="35"/>
      <c r="IJ363" s="35"/>
      <c r="IK363" s="35"/>
      <c r="IL363" s="35"/>
      <c r="IM363" s="35"/>
      <c r="IN363" s="35"/>
      <c r="IO363" s="35"/>
      <c r="IP363" s="35"/>
      <c r="IQ363" s="35"/>
      <c r="IR363" s="35"/>
      <c r="IS363" s="35"/>
      <c r="IT363" s="35"/>
      <c r="IU363" s="35"/>
      <c r="IV363" s="35"/>
      <c r="IW363" s="35"/>
      <c r="IX363" s="35"/>
      <c r="IY363" s="35"/>
      <c r="IZ363" s="35"/>
      <c r="JA363" s="35"/>
      <c r="JB363" s="35"/>
      <c r="JC363" s="35"/>
      <c r="JD363" s="35"/>
      <c r="JE363" s="35"/>
    </row>
    <row r="364">
      <c r="A364" s="42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  <c r="BR364" s="35"/>
      <c r="BS364" s="35"/>
      <c r="BT364" s="35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35"/>
      <c r="CO364" s="35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35"/>
      <c r="DJ364" s="35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35"/>
      <c r="EE364" s="35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35"/>
      <c r="EZ364" s="35"/>
      <c r="FA364" s="35"/>
      <c r="FB364" s="35"/>
      <c r="FC364" s="35"/>
      <c r="FD364" s="35"/>
      <c r="FE364" s="35"/>
      <c r="FF364" s="35"/>
      <c r="FG364" s="35"/>
      <c r="FH364" s="35"/>
      <c r="FI364" s="35"/>
      <c r="FJ364" s="35"/>
      <c r="FK364" s="35"/>
      <c r="FL364" s="35"/>
      <c r="FM364" s="35"/>
      <c r="FN364" s="35"/>
      <c r="FO364" s="35"/>
      <c r="FP364" s="35"/>
      <c r="FQ364" s="35"/>
      <c r="FR364" s="35"/>
      <c r="FS364" s="35"/>
      <c r="FT364" s="35"/>
      <c r="FU364" s="35"/>
      <c r="FV364" s="35"/>
      <c r="FW364" s="35"/>
      <c r="FX364" s="35"/>
      <c r="FY364" s="35"/>
      <c r="FZ364" s="35"/>
      <c r="GA364" s="35"/>
      <c r="GB364" s="35"/>
      <c r="GC364" s="35"/>
      <c r="GD364" s="35"/>
      <c r="GE364" s="35"/>
      <c r="GF364" s="35"/>
      <c r="GG364" s="35"/>
      <c r="GH364" s="35"/>
      <c r="GI364" s="35"/>
      <c r="GJ364" s="35"/>
      <c r="GK364" s="35"/>
      <c r="GL364" s="35"/>
      <c r="GM364" s="35"/>
      <c r="GN364" s="35"/>
      <c r="GO364" s="35"/>
      <c r="GP364" s="35"/>
      <c r="GQ364" s="35"/>
      <c r="GR364" s="35"/>
      <c r="GS364" s="35"/>
      <c r="GT364" s="35"/>
      <c r="GU364" s="35"/>
      <c r="GV364" s="35"/>
      <c r="GW364" s="35"/>
      <c r="GX364" s="35"/>
      <c r="GY364" s="35"/>
      <c r="GZ364" s="35"/>
      <c r="HA364" s="35"/>
      <c r="HB364" s="35"/>
      <c r="HC364" s="35"/>
      <c r="HD364" s="35"/>
      <c r="HE364" s="35"/>
      <c r="HF364" s="35"/>
      <c r="HG364" s="35"/>
      <c r="HH364" s="35"/>
      <c r="HI364" s="35"/>
      <c r="HJ364" s="35"/>
      <c r="HK364" s="35"/>
      <c r="HL364" s="35"/>
      <c r="HM364" s="35"/>
      <c r="HN364" s="35"/>
      <c r="HO364" s="35"/>
      <c r="HP364" s="35"/>
      <c r="HQ364" s="35"/>
      <c r="HR364" s="35"/>
      <c r="HS364" s="35"/>
      <c r="HT364" s="35"/>
      <c r="HU364" s="35"/>
      <c r="HV364" s="35"/>
      <c r="HW364" s="35"/>
      <c r="HX364" s="35"/>
      <c r="HY364" s="35"/>
      <c r="HZ364" s="35"/>
      <c r="IA364" s="35"/>
      <c r="IB364" s="35"/>
      <c r="IC364" s="35"/>
      <c r="ID364" s="35"/>
      <c r="IE364" s="35"/>
      <c r="IF364" s="35"/>
      <c r="IG364" s="35"/>
      <c r="IH364" s="35"/>
      <c r="II364" s="35"/>
      <c r="IJ364" s="35"/>
      <c r="IK364" s="35"/>
      <c r="IL364" s="35"/>
      <c r="IM364" s="35"/>
      <c r="IN364" s="35"/>
      <c r="IO364" s="35"/>
      <c r="IP364" s="35"/>
      <c r="IQ364" s="35"/>
      <c r="IR364" s="35"/>
      <c r="IS364" s="35"/>
      <c r="IT364" s="35"/>
      <c r="IU364" s="35"/>
      <c r="IV364" s="35"/>
      <c r="IW364" s="35"/>
      <c r="IX364" s="35"/>
      <c r="IY364" s="35"/>
      <c r="IZ364" s="35"/>
      <c r="JA364" s="35"/>
      <c r="JB364" s="35"/>
      <c r="JC364" s="35"/>
      <c r="JD364" s="35"/>
      <c r="JE364" s="35"/>
    </row>
    <row r="365">
      <c r="A365" s="42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  <c r="BR365" s="35"/>
      <c r="BS365" s="35"/>
      <c r="BT365" s="35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35"/>
      <c r="CO365" s="35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35"/>
      <c r="DJ365" s="35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35"/>
      <c r="EE365" s="35"/>
      <c r="EF365" s="35"/>
      <c r="EG365" s="35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35"/>
      <c r="EZ365" s="35"/>
      <c r="FA365" s="35"/>
      <c r="FB365" s="35"/>
      <c r="FC365" s="35"/>
      <c r="FD365" s="35"/>
      <c r="FE365" s="35"/>
      <c r="FF365" s="35"/>
      <c r="FG365" s="35"/>
      <c r="FH365" s="35"/>
      <c r="FI365" s="35"/>
      <c r="FJ365" s="35"/>
      <c r="FK365" s="35"/>
      <c r="FL365" s="35"/>
      <c r="FM365" s="35"/>
      <c r="FN365" s="35"/>
      <c r="FO365" s="35"/>
      <c r="FP365" s="35"/>
      <c r="FQ365" s="35"/>
      <c r="FR365" s="35"/>
      <c r="FS365" s="35"/>
      <c r="FT365" s="35"/>
      <c r="FU365" s="35"/>
      <c r="FV365" s="35"/>
      <c r="FW365" s="35"/>
      <c r="FX365" s="35"/>
      <c r="FY365" s="35"/>
      <c r="FZ365" s="35"/>
      <c r="GA365" s="35"/>
      <c r="GB365" s="35"/>
      <c r="GC365" s="35"/>
      <c r="GD365" s="35"/>
      <c r="GE365" s="35"/>
      <c r="GF365" s="35"/>
      <c r="GG365" s="35"/>
      <c r="GH365" s="35"/>
      <c r="GI365" s="35"/>
      <c r="GJ365" s="35"/>
      <c r="GK365" s="35"/>
      <c r="GL365" s="35"/>
      <c r="GM365" s="35"/>
      <c r="GN365" s="35"/>
      <c r="GO365" s="35"/>
      <c r="GP365" s="35"/>
      <c r="GQ365" s="35"/>
      <c r="GR365" s="35"/>
      <c r="GS365" s="35"/>
      <c r="GT365" s="35"/>
      <c r="GU365" s="35"/>
      <c r="GV365" s="35"/>
      <c r="GW365" s="35"/>
      <c r="GX365" s="35"/>
      <c r="GY365" s="35"/>
      <c r="GZ365" s="35"/>
      <c r="HA365" s="35"/>
      <c r="HB365" s="35"/>
      <c r="HC365" s="35"/>
      <c r="HD365" s="35"/>
      <c r="HE365" s="35"/>
      <c r="HF365" s="35"/>
      <c r="HG365" s="35"/>
      <c r="HH365" s="35"/>
      <c r="HI365" s="35"/>
      <c r="HJ365" s="35"/>
      <c r="HK365" s="35"/>
      <c r="HL365" s="35"/>
      <c r="HM365" s="35"/>
      <c r="HN365" s="35"/>
      <c r="HO365" s="35"/>
      <c r="HP365" s="35"/>
      <c r="HQ365" s="35"/>
      <c r="HR365" s="35"/>
      <c r="HS365" s="35"/>
      <c r="HT365" s="35"/>
      <c r="HU365" s="35"/>
      <c r="HV365" s="35"/>
      <c r="HW365" s="35"/>
      <c r="HX365" s="35"/>
      <c r="HY365" s="35"/>
      <c r="HZ365" s="35"/>
      <c r="IA365" s="35"/>
      <c r="IB365" s="35"/>
      <c r="IC365" s="35"/>
      <c r="ID365" s="35"/>
      <c r="IE365" s="35"/>
      <c r="IF365" s="35"/>
      <c r="IG365" s="35"/>
      <c r="IH365" s="35"/>
      <c r="II365" s="35"/>
      <c r="IJ365" s="35"/>
      <c r="IK365" s="35"/>
      <c r="IL365" s="35"/>
      <c r="IM365" s="35"/>
      <c r="IN365" s="35"/>
      <c r="IO365" s="35"/>
      <c r="IP365" s="35"/>
      <c r="IQ365" s="35"/>
      <c r="IR365" s="35"/>
      <c r="IS365" s="35"/>
      <c r="IT365" s="35"/>
      <c r="IU365" s="35"/>
      <c r="IV365" s="35"/>
      <c r="IW365" s="35"/>
      <c r="IX365" s="35"/>
      <c r="IY365" s="35"/>
      <c r="IZ365" s="35"/>
      <c r="JA365" s="35"/>
      <c r="JB365" s="35"/>
      <c r="JC365" s="35"/>
      <c r="JD365" s="35"/>
      <c r="JE365" s="35"/>
    </row>
    <row r="366">
      <c r="A366" s="42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35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35"/>
      <c r="CO366" s="35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35"/>
      <c r="DJ366" s="35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35"/>
      <c r="EE366" s="35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35"/>
      <c r="EZ366" s="35"/>
      <c r="FA366" s="35"/>
      <c r="FB366" s="35"/>
      <c r="FC366" s="35"/>
      <c r="FD366" s="35"/>
      <c r="FE366" s="35"/>
      <c r="FF366" s="35"/>
      <c r="FG366" s="35"/>
      <c r="FH366" s="35"/>
      <c r="FI366" s="35"/>
      <c r="FJ366" s="35"/>
      <c r="FK366" s="35"/>
      <c r="FL366" s="35"/>
      <c r="FM366" s="35"/>
      <c r="FN366" s="35"/>
      <c r="FO366" s="35"/>
      <c r="FP366" s="35"/>
      <c r="FQ366" s="35"/>
      <c r="FR366" s="35"/>
      <c r="FS366" s="35"/>
      <c r="FT366" s="35"/>
      <c r="FU366" s="35"/>
      <c r="FV366" s="35"/>
      <c r="FW366" s="35"/>
      <c r="FX366" s="35"/>
      <c r="FY366" s="35"/>
      <c r="FZ366" s="35"/>
      <c r="GA366" s="35"/>
      <c r="GB366" s="35"/>
      <c r="GC366" s="35"/>
      <c r="GD366" s="35"/>
      <c r="GE366" s="35"/>
      <c r="GF366" s="35"/>
      <c r="GG366" s="35"/>
      <c r="GH366" s="35"/>
      <c r="GI366" s="35"/>
      <c r="GJ366" s="35"/>
      <c r="GK366" s="35"/>
      <c r="GL366" s="35"/>
      <c r="GM366" s="35"/>
      <c r="GN366" s="35"/>
      <c r="GO366" s="35"/>
      <c r="GP366" s="35"/>
      <c r="GQ366" s="35"/>
      <c r="GR366" s="35"/>
      <c r="GS366" s="35"/>
      <c r="GT366" s="35"/>
      <c r="GU366" s="35"/>
      <c r="GV366" s="35"/>
      <c r="GW366" s="35"/>
      <c r="GX366" s="35"/>
      <c r="GY366" s="35"/>
      <c r="GZ366" s="35"/>
      <c r="HA366" s="35"/>
      <c r="HB366" s="35"/>
      <c r="HC366" s="35"/>
      <c r="HD366" s="35"/>
      <c r="HE366" s="35"/>
      <c r="HF366" s="35"/>
      <c r="HG366" s="35"/>
      <c r="HH366" s="35"/>
      <c r="HI366" s="35"/>
      <c r="HJ366" s="35"/>
      <c r="HK366" s="35"/>
      <c r="HL366" s="35"/>
      <c r="HM366" s="35"/>
      <c r="HN366" s="35"/>
      <c r="HO366" s="35"/>
      <c r="HP366" s="35"/>
      <c r="HQ366" s="35"/>
      <c r="HR366" s="35"/>
      <c r="HS366" s="35"/>
      <c r="HT366" s="35"/>
      <c r="HU366" s="35"/>
      <c r="HV366" s="35"/>
      <c r="HW366" s="35"/>
      <c r="HX366" s="35"/>
      <c r="HY366" s="35"/>
      <c r="HZ366" s="35"/>
      <c r="IA366" s="35"/>
      <c r="IB366" s="35"/>
      <c r="IC366" s="35"/>
      <c r="ID366" s="35"/>
      <c r="IE366" s="35"/>
      <c r="IF366" s="35"/>
      <c r="IG366" s="35"/>
      <c r="IH366" s="35"/>
      <c r="II366" s="35"/>
      <c r="IJ366" s="35"/>
      <c r="IK366" s="35"/>
      <c r="IL366" s="35"/>
      <c r="IM366" s="35"/>
      <c r="IN366" s="35"/>
      <c r="IO366" s="35"/>
      <c r="IP366" s="35"/>
      <c r="IQ366" s="35"/>
      <c r="IR366" s="35"/>
      <c r="IS366" s="35"/>
      <c r="IT366" s="35"/>
      <c r="IU366" s="35"/>
      <c r="IV366" s="35"/>
      <c r="IW366" s="35"/>
      <c r="IX366" s="35"/>
      <c r="IY366" s="35"/>
      <c r="IZ366" s="35"/>
      <c r="JA366" s="35"/>
      <c r="JB366" s="35"/>
      <c r="JC366" s="35"/>
      <c r="JD366" s="35"/>
      <c r="JE366" s="35"/>
    </row>
    <row r="367">
      <c r="A367" s="42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  <c r="BD367" s="35"/>
      <c r="BE367" s="35"/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  <c r="BR367" s="35"/>
      <c r="BS367" s="35"/>
      <c r="BT367" s="35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35"/>
      <c r="CO367" s="35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35"/>
      <c r="DJ367" s="35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35"/>
      <c r="EE367" s="35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35"/>
      <c r="EZ367" s="35"/>
      <c r="FA367" s="35"/>
      <c r="FB367" s="35"/>
      <c r="FC367" s="35"/>
      <c r="FD367" s="35"/>
      <c r="FE367" s="35"/>
      <c r="FF367" s="35"/>
      <c r="FG367" s="35"/>
      <c r="FH367" s="35"/>
      <c r="FI367" s="35"/>
      <c r="FJ367" s="35"/>
      <c r="FK367" s="35"/>
      <c r="FL367" s="35"/>
      <c r="FM367" s="35"/>
      <c r="FN367" s="35"/>
      <c r="FO367" s="35"/>
      <c r="FP367" s="35"/>
      <c r="FQ367" s="35"/>
      <c r="FR367" s="35"/>
      <c r="FS367" s="35"/>
      <c r="FT367" s="35"/>
      <c r="FU367" s="35"/>
      <c r="FV367" s="35"/>
      <c r="FW367" s="35"/>
      <c r="FX367" s="35"/>
      <c r="FY367" s="35"/>
      <c r="FZ367" s="35"/>
      <c r="GA367" s="35"/>
      <c r="GB367" s="35"/>
      <c r="GC367" s="35"/>
      <c r="GD367" s="35"/>
      <c r="GE367" s="35"/>
      <c r="GF367" s="35"/>
      <c r="GG367" s="35"/>
      <c r="GH367" s="35"/>
      <c r="GI367" s="35"/>
      <c r="GJ367" s="35"/>
      <c r="GK367" s="35"/>
      <c r="GL367" s="35"/>
      <c r="GM367" s="35"/>
      <c r="GN367" s="35"/>
      <c r="GO367" s="35"/>
      <c r="GP367" s="35"/>
      <c r="GQ367" s="35"/>
      <c r="GR367" s="35"/>
      <c r="GS367" s="35"/>
      <c r="GT367" s="35"/>
      <c r="GU367" s="35"/>
      <c r="GV367" s="35"/>
      <c r="GW367" s="35"/>
      <c r="GX367" s="35"/>
      <c r="GY367" s="35"/>
      <c r="GZ367" s="35"/>
      <c r="HA367" s="35"/>
      <c r="HB367" s="35"/>
      <c r="HC367" s="35"/>
      <c r="HD367" s="35"/>
      <c r="HE367" s="35"/>
      <c r="HF367" s="35"/>
      <c r="HG367" s="35"/>
      <c r="HH367" s="35"/>
      <c r="HI367" s="35"/>
      <c r="HJ367" s="35"/>
      <c r="HK367" s="35"/>
      <c r="HL367" s="35"/>
      <c r="HM367" s="35"/>
      <c r="HN367" s="35"/>
      <c r="HO367" s="35"/>
      <c r="HP367" s="35"/>
      <c r="HQ367" s="35"/>
      <c r="HR367" s="35"/>
      <c r="HS367" s="35"/>
      <c r="HT367" s="35"/>
      <c r="HU367" s="35"/>
      <c r="HV367" s="35"/>
      <c r="HW367" s="35"/>
      <c r="HX367" s="35"/>
      <c r="HY367" s="35"/>
      <c r="HZ367" s="35"/>
      <c r="IA367" s="35"/>
      <c r="IB367" s="35"/>
      <c r="IC367" s="35"/>
      <c r="ID367" s="35"/>
      <c r="IE367" s="35"/>
      <c r="IF367" s="35"/>
      <c r="IG367" s="35"/>
      <c r="IH367" s="35"/>
      <c r="II367" s="35"/>
      <c r="IJ367" s="35"/>
      <c r="IK367" s="35"/>
      <c r="IL367" s="35"/>
      <c r="IM367" s="35"/>
      <c r="IN367" s="35"/>
      <c r="IO367" s="35"/>
      <c r="IP367" s="35"/>
      <c r="IQ367" s="35"/>
      <c r="IR367" s="35"/>
      <c r="IS367" s="35"/>
      <c r="IT367" s="35"/>
      <c r="IU367" s="35"/>
      <c r="IV367" s="35"/>
      <c r="IW367" s="35"/>
      <c r="IX367" s="35"/>
      <c r="IY367" s="35"/>
      <c r="IZ367" s="35"/>
      <c r="JA367" s="35"/>
      <c r="JB367" s="35"/>
      <c r="JC367" s="35"/>
      <c r="JD367" s="35"/>
      <c r="JE367" s="35"/>
    </row>
    <row r="368">
      <c r="A368" s="42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35"/>
      <c r="BS368" s="35"/>
      <c r="BT368" s="35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35"/>
      <c r="CO368" s="35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35"/>
      <c r="DJ368" s="35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35"/>
      <c r="EE368" s="35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35"/>
      <c r="EZ368" s="35"/>
      <c r="FA368" s="35"/>
      <c r="FB368" s="35"/>
      <c r="FC368" s="35"/>
      <c r="FD368" s="35"/>
      <c r="FE368" s="35"/>
      <c r="FF368" s="35"/>
      <c r="FG368" s="35"/>
      <c r="FH368" s="35"/>
      <c r="FI368" s="35"/>
      <c r="FJ368" s="35"/>
      <c r="FK368" s="35"/>
      <c r="FL368" s="35"/>
      <c r="FM368" s="35"/>
      <c r="FN368" s="35"/>
      <c r="FO368" s="35"/>
      <c r="FP368" s="35"/>
      <c r="FQ368" s="35"/>
      <c r="FR368" s="35"/>
      <c r="FS368" s="35"/>
      <c r="FT368" s="35"/>
      <c r="FU368" s="35"/>
      <c r="FV368" s="35"/>
      <c r="FW368" s="35"/>
      <c r="FX368" s="35"/>
      <c r="FY368" s="35"/>
      <c r="FZ368" s="35"/>
      <c r="GA368" s="35"/>
      <c r="GB368" s="35"/>
      <c r="GC368" s="35"/>
      <c r="GD368" s="35"/>
      <c r="GE368" s="35"/>
      <c r="GF368" s="35"/>
      <c r="GG368" s="35"/>
      <c r="GH368" s="35"/>
      <c r="GI368" s="35"/>
      <c r="GJ368" s="35"/>
      <c r="GK368" s="35"/>
      <c r="GL368" s="35"/>
      <c r="GM368" s="35"/>
      <c r="GN368" s="35"/>
      <c r="GO368" s="35"/>
      <c r="GP368" s="35"/>
      <c r="GQ368" s="35"/>
      <c r="GR368" s="35"/>
      <c r="GS368" s="35"/>
      <c r="GT368" s="35"/>
      <c r="GU368" s="35"/>
      <c r="GV368" s="35"/>
      <c r="GW368" s="35"/>
      <c r="GX368" s="35"/>
      <c r="GY368" s="35"/>
      <c r="GZ368" s="35"/>
      <c r="HA368" s="35"/>
      <c r="HB368" s="35"/>
      <c r="HC368" s="35"/>
      <c r="HD368" s="35"/>
      <c r="HE368" s="35"/>
      <c r="HF368" s="35"/>
      <c r="HG368" s="35"/>
      <c r="HH368" s="35"/>
      <c r="HI368" s="35"/>
      <c r="HJ368" s="35"/>
      <c r="HK368" s="35"/>
      <c r="HL368" s="35"/>
      <c r="HM368" s="35"/>
      <c r="HN368" s="35"/>
      <c r="HO368" s="35"/>
      <c r="HP368" s="35"/>
      <c r="HQ368" s="35"/>
      <c r="HR368" s="35"/>
      <c r="HS368" s="35"/>
      <c r="HT368" s="35"/>
      <c r="HU368" s="35"/>
      <c r="HV368" s="35"/>
      <c r="HW368" s="35"/>
      <c r="HX368" s="35"/>
      <c r="HY368" s="35"/>
      <c r="HZ368" s="35"/>
      <c r="IA368" s="35"/>
      <c r="IB368" s="35"/>
      <c r="IC368" s="35"/>
      <c r="ID368" s="35"/>
      <c r="IE368" s="35"/>
      <c r="IF368" s="35"/>
      <c r="IG368" s="35"/>
      <c r="IH368" s="35"/>
      <c r="II368" s="35"/>
      <c r="IJ368" s="35"/>
      <c r="IK368" s="35"/>
      <c r="IL368" s="35"/>
      <c r="IM368" s="35"/>
      <c r="IN368" s="35"/>
      <c r="IO368" s="35"/>
      <c r="IP368" s="35"/>
      <c r="IQ368" s="35"/>
      <c r="IR368" s="35"/>
      <c r="IS368" s="35"/>
      <c r="IT368" s="35"/>
      <c r="IU368" s="35"/>
      <c r="IV368" s="35"/>
      <c r="IW368" s="35"/>
      <c r="IX368" s="35"/>
      <c r="IY368" s="35"/>
      <c r="IZ368" s="35"/>
      <c r="JA368" s="35"/>
      <c r="JB368" s="35"/>
      <c r="JC368" s="35"/>
      <c r="JD368" s="35"/>
      <c r="JE368" s="35"/>
    </row>
    <row r="369">
      <c r="A369" s="42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  <c r="BC369" s="35"/>
      <c r="BD369" s="35"/>
      <c r="BE369" s="35"/>
      <c r="BF369" s="35"/>
      <c r="BG369" s="35"/>
      <c r="BH369" s="35"/>
      <c r="BI369" s="35"/>
      <c r="BJ369" s="35"/>
      <c r="BK369" s="35"/>
      <c r="BL369" s="35"/>
      <c r="BM369" s="35"/>
      <c r="BN369" s="35"/>
      <c r="BO369" s="35"/>
      <c r="BP369" s="35"/>
      <c r="BQ369" s="35"/>
      <c r="BR369" s="35"/>
      <c r="BS369" s="35"/>
      <c r="BT369" s="35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35"/>
      <c r="CO369" s="35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35"/>
      <c r="DJ369" s="35"/>
      <c r="DK369" s="35"/>
      <c r="DL369" s="35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35"/>
      <c r="EE369" s="35"/>
      <c r="EF369" s="35"/>
      <c r="EG369" s="35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35"/>
      <c r="EZ369" s="35"/>
      <c r="FA369" s="35"/>
      <c r="FB369" s="35"/>
      <c r="FC369" s="35"/>
      <c r="FD369" s="35"/>
      <c r="FE369" s="35"/>
      <c r="FF369" s="35"/>
      <c r="FG369" s="35"/>
      <c r="FH369" s="35"/>
      <c r="FI369" s="35"/>
      <c r="FJ369" s="35"/>
      <c r="FK369" s="35"/>
      <c r="FL369" s="35"/>
      <c r="FM369" s="35"/>
      <c r="FN369" s="35"/>
      <c r="FO369" s="35"/>
      <c r="FP369" s="35"/>
      <c r="FQ369" s="35"/>
      <c r="FR369" s="35"/>
      <c r="FS369" s="35"/>
      <c r="FT369" s="35"/>
      <c r="FU369" s="35"/>
      <c r="FV369" s="35"/>
      <c r="FW369" s="35"/>
      <c r="FX369" s="35"/>
      <c r="FY369" s="35"/>
      <c r="FZ369" s="35"/>
      <c r="GA369" s="35"/>
      <c r="GB369" s="35"/>
      <c r="GC369" s="35"/>
      <c r="GD369" s="35"/>
      <c r="GE369" s="35"/>
      <c r="GF369" s="35"/>
      <c r="GG369" s="35"/>
      <c r="GH369" s="35"/>
      <c r="GI369" s="35"/>
      <c r="GJ369" s="35"/>
      <c r="GK369" s="35"/>
      <c r="GL369" s="35"/>
      <c r="GM369" s="35"/>
      <c r="GN369" s="35"/>
      <c r="GO369" s="35"/>
      <c r="GP369" s="35"/>
      <c r="GQ369" s="35"/>
      <c r="GR369" s="35"/>
      <c r="GS369" s="35"/>
      <c r="GT369" s="35"/>
      <c r="GU369" s="35"/>
      <c r="GV369" s="35"/>
      <c r="GW369" s="35"/>
      <c r="GX369" s="35"/>
      <c r="GY369" s="35"/>
      <c r="GZ369" s="35"/>
      <c r="HA369" s="35"/>
      <c r="HB369" s="35"/>
      <c r="HC369" s="35"/>
      <c r="HD369" s="35"/>
      <c r="HE369" s="35"/>
      <c r="HF369" s="35"/>
      <c r="HG369" s="35"/>
      <c r="HH369" s="35"/>
      <c r="HI369" s="35"/>
      <c r="HJ369" s="35"/>
      <c r="HK369" s="35"/>
      <c r="HL369" s="35"/>
      <c r="HM369" s="35"/>
      <c r="HN369" s="35"/>
      <c r="HO369" s="35"/>
      <c r="HP369" s="35"/>
      <c r="HQ369" s="35"/>
      <c r="HR369" s="35"/>
      <c r="HS369" s="35"/>
      <c r="HT369" s="35"/>
      <c r="HU369" s="35"/>
      <c r="HV369" s="35"/>
      <c r="HW369" s="35"/>
      <c r="HX369" s="35"/>
      <c r="HY369" s="35"/>
      <c r="HZ369" s="35"/>
      <c r="IA369" s="35"/>
      <c r="IB369" s="35"/>
      <c r="IC369" s="35"/>
      <c r="ID369" s="35"/>
      <c r="IE369" s="35"/>
      <c r="IF369" s="35"/>
      <c r="IG369" s="35"/>
      <c r="IH369" s="35"/>
      <c r="II369" s="35"/>
      <c r="IJ369" s="35"/>
      <c r="IK369" s="35"/>
      <c r="IL369" s="35"/>
      <c r="IM369" s="35"/>
      <c r="IN369" s="35"/>
      <c r="IO369" s="35"/>
      <c r="IP369" s="35"/>
      <c r="IQ369" s="35"/>
      <c r="IR369" s="35"/>
      <c r="IS369" s="35"/>
      <c r="IT369" s="35"/>
      <c r="IU369" s="35"/>
      <c r="IV369" s="35"/>
      <c r="IW369" s="35"/>
      <c r="IX369" s="35"/>
      <c r="IY369" s="35"/>
      <c r="IZ369" s="35"/>
      <c r="JA369" s="35"/>
      <c r="JB369" s="35"/>
      <c r="JC369" s="35"/>
      <c r="JD369" s="35"/>
      <c r="JE369" s="35"/>
    </row>
    <row r="370">
      <c r="A370" s="42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  <c r="BR370" s="35"/>
      <c r="BS370" s="35"/>
      <c r="BT370" s="35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35"/>
      <c r="CO370" s="35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35"/>
      <c r="DJ370" s="35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35"/>
      <c r="EE370" s="35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35"/>
      <c r="EZ370" s="35"/>
      <c r="FA370" s="35"/>
      <c r="FB370" s="35"/>
      <c r="FC370" s="35"/>
      <c r="FD370" s="35"/>
      <c r="FE370" s="35"/>
      <c r="FF370" s="35"/>
      <c r="FG370" s="35"/>
      <c r="FH370" s="35"/>
      <c r="FI370" s="35"/>
      <c r="FJ370" s="35"/>
      <c r="FK370" s="35"/>
      <c r="FL370" s="35"/>
      <c r="FM370" s="35"/>
      <c r="FN370" s="35"/>
      <c r="FO370" s="35"/>
      <c r="FP370" s="35"/>
      <c r="FQ370" s="35"/>
      <c r="FR370" s="35"/>
      <c r="FS370" s="35"/>
      <c r="FT370" s="35"/>
      <c r="FU370" s="35"/>
      <c r="FV370" s="35"/>
      <c r="FW370" s="35"/>
      <c r="FX370" s="35"/>
      <c r="FY370" s="35"/>
      <c r="FZ370" s="35"/>
      <c r="GA370" s="35"/>
      <c r="GB370" s="35"/>
      <c r="GC370" s="35"/>
      <c r="GD370" s="35"/>
      <c r="GE370" s="35"/>
      <c r="GF370" s="35"/>
      <c r="GG370" s="35"/>
      <c r="GH370" s="35"/>
      <c r="GI370" s="35"/>
      <c r="GJ370" s="35"/>
      <c r="GK370" s="35"/>
      <c r="GL370" s="35"/>
      <c r="GM370" s="35"/>
      <c r="GN370" s="35"/>
      <c r="GO370" s="35"/>
      <c r="GP370" s="35"/>
      <c r="GQ370" s="35"/>
      <c r="GR370" s="35"/>
      <c r="GS370" s="35"/>
      <c r="GT370" s="35"/>
      <c r="GU370" s="35"/>
      <c r="GV370" s="35"/>
      <c r="GW370" s="35"/>
      <c r="GX370" s="35"/>
      <c r="GY370" s="35"/>
      <c r="GZ370" s="35"/>
      <c r="HA370" s="35"/>
      <c r="HB370" s="35"/>
      <c r="HC370" s="35"/>
      <c r="HD370" s="35"/>
      <c r="HE370" s="35"/>
      <c r="HF370" s="35"/>
      <c r="HG370" s="35"/>
      <c r="HH370" s="35"/>
      <c r="HI370" s="35"/>
      <c r="HJ370" s="35"/>
      <c r="HK370" s="35"/>
      <c r="HL370" s="35"/>
      <c r="HM370" s="35"/>
      <c r="HN370" s="35"/>
      <c r="HO370" s="35"/>
      <c r="HP370" s="35"/>
      <c r="HQ370" s="35"/>
      <c r="HR370" s="35"/>
      <c r="HS370" s="35"/>
      <c r="HT370" s="35"/>
      <c r="HU370" s="35"/>
      <c r="HV370" s="35"/>
      <c r="HW370" s="35"/>
      <c r="HX370" s="35"/>
      <c r="HY370" s="35"/>
      <c r="HZ370" s="35"/>
      <c r="IA370" s="35"/>
      <c r="IB370" s="35"/>
      <c r="IC370" s="35"/>
      <c r="ID370" s="35"/>
      <c r="IE370" s="35"/>
      <c r="IF370" s="35"/>
      <c r="IG370" s="35"/>
      <c r="IH370" s="35"/>
      <c r="II370" s="35"/>
      <c r="IJ370" s="35"/>
      <c r="IK370" s="35"/>
      <c r="IL370" s="35"/>
      <c r="IM370" s="35"/>
      <c r="IN370" s="35"/>
      <c r="IO370" s="35"/>
      <c r="IP370" s="35"/>
      <c r="IQ370" s="35"/>
      <c r="IR370" s="35"/>
      <c r="IS370" s="35"/>
      <c r="IT370" s="35"/>
      <c r="IU370" s="35"/>
      <c r="IV370" s="35"/>
      <c r="IW370" s="35"/>
      <c r="IX370" s="35"/>
      <c r="IY370" s="35"/>
      <c r="IZ370" s="35"/>
      <c r="JA370" s="35"/>
      <c r="JB370" s="35"/>
      <c r="JC370" s="35"/>
      <c r="JD370" s="35"/>
      <c r="JE370" s="35"/>
    </row>
    <row r="371">
      <c r="A371" s="42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M371" s="35"/>
      <c r="BN371" s="35"/>
      <c r="BO371" s="35"/>
      <c r="BP371" s="35"/>
      <c r="BQ371" s="35"/>
      <c r="BR371" s="35"/>
      <c r="BS371" s="35"/>
      <c r="BT371" s="35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35"/>
      <c r="CO371" s="35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35"/>
      <c r="DJ371" s="35"/>
      <c r="DK371" s="35"/>
      <c r="DL371" s="35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35"/>
      <c r="EE371" s="35"/>
      <c r="EF371" s="35"/>
      <c r="EG371" s="35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35"/>
      <c r="EZ371" s="35"/>
      <c r="FA371" s="35"/>
      <c r="FB371" s="35"/>
      <c r="FC371" s="35"/>
      <c r="FD371" s="35"/>
      <c r="FE371" s="35"/>
      <c r="FF371" s="35"/>
      <c r="FG371" s="35"/>
      <c r="FH371" s="35"/>
      <c r="FI371" s="35"/>
      <c r="FJ371" s="35"/>
      <c r="FK371" s="35"/>
      <c r="FL371" s="35"/>
      <c r="FM371" s="35"/>
      <c r="FN371" s="35"/>
      <c r="FO371" s="35"/>
      <c r="FP371" s="35"/>
      <c r="FQ371" s="35"/>
      <c r="FR371" s="35"/>
      <c r="FS371" s="35"/>
      <c r="FT371" s="35"/>
      <c r="FU371" s="35"/>
      <c r="FV371" s="35"/>
      <c r="FW371" s="35"/>
      <c r="FX371" s="35"/>
      <c r="FY371" s="35"/>
      <c r="FZ371" s="35"/>
      <c r="GA371" s="35"/>
      <c r="GB371" s="35"/>
      <c r="GC371" s="35"/>
      <c r="GD371" s="35"/>
      <c r="GE371" s="35"/>
      <c r="GF371" s="35"/>
      <c r="GG371" s="35"/>
      <c r="GH371" s="35"/>
      <c r="GI371" s="35"/>
      <c r="GJ371" s="35"/>
      <c r="GK371" s="35"/>
      <c r="GL371" s="35"/>
      <c r="GM371" s="35"/>
      <c r="GN371" s="35"/>
      <c r="GO371" s="35"/>
      <c r="GP371" s="35"/>
      <c r="GQ371" s="35"/>
      <c r="GR371" s="35"/>
      <c r="GS371" s="35"/>
      <c r="GT371" s="35"/>
      <c r="GU371" s="35"/>
      <c r="GV371" s="35"/>
      <c r="GW371" s="35"/>
      <c r="GX371" s="35"/>
      <c r="GY371" s="35"/>
      <c r="GZ371" s="35"/>
      <c r="HA371" s="35"/>
      <c r="HB371" s="35"/>
      <c r="HC371" s="35"/>
      <c r="HD371" s="35"/>
      <c r="HE371" s="35"/>
      <c r="HF371" s="35"/>
      <c r="HG371" s="35"/>
      <c r="HH371" s="35"/>
      <c r="HI371" s="35"/>
      <c r="HJ371" s="35"/>
      <c r="HK371" s="35"/>
      <c r="HL371" s="35"/>
      <c r="HM371" s="35"/>
      <c r="HN371" s="35"/>
      <c r="HO371" s="35"/>
      <c r="HP371" s="35"/>
      <c r="HQ371" s="35"/>
      <c r="HR371" s="35"/>
      <c r="HS371" s="35"/>
      <c r="HT371" s="35"/>
      <c r="HU371" s="35"/>
      <c r="HV371" s="35"/>
      <c r="HW371" s="35"/>
      <c r="HX371" s="35"/>
      <c r="HY371" s="35"/>
      <c r="HZ371" s="35"/>
      <c r="IA371" s="35"/>
      <c r="IB371" s="35"/>
      <c r="IC371" s="35"/>
      <c r="ID371" s="35"/>
      <c r="IE371" s="35"/>
      <c r="IF371" s="35"/>
      <c r="IG371" s="35"/>
      <c r="IH371" s="35"/>
      <c r="II371" s="35"/>
      <c r="IJ371" s="35"/>
      <c r="IK371" s="35"/>
      <c r="IL371" s="35"/>
      <c r="IM371" s="35"/>
      <c r="IN371" s="35"/>
      <c r="IO371" s="35"/>
      <c r="IP371" s="35"/>
      <c r="IQ371" s="35"/>
      <c r="IR371" s="35"/>
      <c r="IS371" s="35"/>
      <c r="IT371" s="35"/>
      <c r="IU371" s="35"/>
      <c r="IV371" s="35"/>
      <c r="IW371" s="35"/>
      <c r="IX371" s="35"/>
      <c r="IY371" s="35"/>
      <c r="IZ371" s="35"/>
      <c r="JA371" s="35"/>
      <c r="JB371" s="35"/>
      <c r="JC371" s="35"/>
      <c r="JD371" s="35"/>
      <c r="JE371" s="35"/>
    </row>
    <row r="372">
      <c r="A372" s="42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35"/>
      <c r="BS372" s="35"/>
      <c r="BT372" s="35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35"/>
      <c r="CO372" s="35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35"/>
      <c r="DJ372" s="35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35"/>
      <c r="EE372" s="35"/>
      <c r="EF372" s="35"/>
      <c r="EG372" s="35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35"/>
      <c r="EZ372" s="35"/>
      <c r="FA372" s="35"/>
      <c r="FB372" s="35"/>
      <c r="FC372" s="35"/>
      <c r="FD372" s="35"/>
      <c r="FE372" s="35"/>
      <c r="FF372" s="35"/>
      <c r="FG372" s="35"/>
      <c r="FH372" s="35"/>
      <c r="FI372" s="35"/>
      <c r="FJ372" s="35"/>
      <c r="FK372" s="35"/>
      <c r="FL372" s="35"/>
      <c r="FM372" s="35"/>
      <c r="FN372" s="35"/>
      <c r="FO372" s="35"/>
      <c r="FP372" s="35"/>
      <c r="FQ372" s="35"/>
      <c r="FR372" s="35"/>
      <c r="FS372" s="35"/>
      <c r="FT372" s="35"/>
      <c r="FU372" s="35"/>
      <c r="FV372" s="35"/>
      <c r="FW372" s="35"/>
      <c r="FX372" s="35"/>
      <c r="FY372" s="35"/>
      <c r="FZ372" s="35"/>
      <c r="GA372" s="35"/>
      <c r="GB372" s="35"/>
      <c r="GC372" s="35"/>
      <c r="GD372" s="35"/>
      <c r="GE372" s="35"/>
      <c r="GF372" s="35"/>
      <c r="GG372" s="35"/>
      <c r="GH372" s="35"/>
      <c r="GI372" s="35"/>
      <c r="GJ372" s="35"/>
      <c r="GK372" s="35"/>
      <c r="GL372" s="35"/>
      <c r="GM372" s="35"/>
      <c r="GN372" s="35"/>
      <c r="GO372" s="35"/>
      <c r="GP372" s="35"/>
      <c r="GQ372" s="35"/>
      <c r="GR372" s="35"/>
      <c r="GS372" s="35"/>
      <c r="GT372" s="35"/>
      <c r="GU372" s="35"/>
      <c r="GV372" s="35"/>
      <c r="GW372" s="35"/>
      <c r="GX372" s="35"/>
      <c r="GY372" s="35"/>
      <c r="GZ372" s="35"/>
      <c r="HA372" s="35"/>
      <c r="HB372" s="35"/>
      <c r="HC372" s="35"/>
      <c r="HD372" s="35"/>
      <c r="HE372" s="35"/>
      <c r="HF372" s="35"/>
      <c r="HG372" s="35"/>
      <c r="HH372" s="35"/>
      <c r="HI372" s="35"/>
      <c r="HJ372" s="35"/>
      <c r="HK372" s="35"/>
      <c r="HL372" s="35"/>
      <c r="HM372" s="35"/>
      <c r="HN372" s="35"/>
      <c r="HO372" s="35"/>
      <c r="HP372" s="35"/>
      <c r="HQ372" s="35"/>
      <c r="HR372" s="35"/>
      <c r="HS372" s="35"/>
      <c r="HT372" s="35"/>
      <c r="HU372" s="35"/>
      <c r="HV372" s="35"/>
      <c r="HW372" s="35"/>
      <c r="HX372" s="35"/>
      <c r="HY372" s="35"/>
      <c r="HZ372" s="35"/>
      <c r="IA372" s="35"/>
      <c r="IB372" s="35"/>
      <c r="IC372" s="35"/>
      <c r="ID372" s="35"/>
      <c r="IE372" s="35"/>
      <c r="IF372" s="35"/>
      <c r="IG372" s="35"/>
      <c r="IH372" s="35"/>
      <c r="II372" s="35"/>
      <c r="IJ372" s="35"/>
      <c r="IK372" s="35"/>
      <c r="IL372" s="35"/>
      <c r="IM372" s="35"/>
      <c r="IN372" s="35"/>
      <c r="IO372" s="35"/>
      <c r="IP372" s="35"/>
      <c r="IQ372" s="35"/>
      <c r="IR372" s="35"/>
      <c r="IS372" s="35"/>
      <c r="IT372" s="35"/>
      <c r="IU372" s="35"/>
      <c r="IV372" s="35"/>
      <c r="IW372" s="35"/>
      <c r="IX372" s="35"/>
      <c r="IY372" s="35"/>
      <c r="IZ372" s="35"/>
      <c r="JA372" s="35"/>
      <c r="JB372" s="35"/>
      <c r="JC372" s="35"/>
      <c r="JD372" s="35"/>
      <c r="JE372" s="35"/>
    </row>
    <row r="373">
      <c r="A373" s="42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  <c r="BD373" s="35"/>
      <c r="BE373" s="35"/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  <c r="BR373" s="35"/>
      <c r="BS373" s="35"/>
      <c r="BT373" s="35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35"/>
      <c r="CO373" s="35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35"/>
      <c r="DJ373" s="35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35"/>
      <c r="EE373" s="35"/>
      <c r="EF373" s="35"/>
      <c r="EG373" s="35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35"/>
      <c r="EZ373" s="35"/>
      <c r="FA373" s="35"/>
      <c r="FB373" s="35"/>
      <c r="FC373" s="35"/>
      <c r="FD373" s="35"/>
      <c r="FE373" s="35"/>
      <c r="FF373" s="35"/>
      <c r="FG373" s="35"/>
      <c r="FH373" s="35"/>
      <c r="FI373" s="35"/>
      <c r="FJ373" s="35"/>
      <c r="FK373" s="35"/>
      <c r="FL373" s="35"/>
      <c r="FM373" s="35"/>
      <c r="FN373" s="35"/>
      <c r="FO373" s="35"/>
      <c r="FP373" s="35"/>
      <c r="FQ373" s="35"/>
      <c r="FR373" s="35"/>
      <c r="FS373" s="35"/>
      <c r="FT373" s="35"/>
      <c r="FU373" s="35"/>
      <c r="FV373" s="35"/>
      <c r="FW373" s="35"/>
      <c r="FX373" s="35"/>
      <c r="FY373" s="35"/>
      <c r="FZ373" s="35"/>
      <c r="GA373" s="35"/>
      <c r="GB373" s="35"/>
      <c r="GC373" s="35"/>
      <c r="GD373" s="35"/>
      <c r="GE373" s="35"/>
      <c r="GF373" s="35"/>
      <c r="GG373" s="35"/>
      <c r="GH373" s="35"/>
      <c r="GI373" s="35"/>
      <c r="GJ373" s="35"/>
      <c r="GK373" s="35"/>
      <c r="GL373" s="35"/>
      <c r="GM373" s="35"/>
      <c r="GN373" s="35"/>
      <c r="GO373" s="35"/>
      <c r="GP373" s="35"/>
      <c r="GQ373" s="35"/>
      <c r="GR373" s="35"/>
      <c r="GS373" s="35"/>
      <c r="GT373" s="35"/>
      <c r="GU373" s="35"/>
      <c r="GV373" s="35"/>
      <c r="GW373" s="35"/>
      <c r="GX373" s="35"/>
      <c r="GY373" s="35"/>
      <c r="GZ373" s="35"/>
      <c r="HA373" s="35"/>
      <c r="HB373" s="35"/>
      <c r="HC373" s="35"/>
      <c r="HD373" s="35"/>
      <c r="HE373" s="35"/>
      <c r="HF373" s="35"/>
      <c r="HG373" s="35"/>
      <c r="HH373" s="35"/>
      <c r="HI373" s="35"/>
      <c r="HJ373" s="35"/>
      <c r="HK373" s="35"/>
      <c r="HL373" s="35"/>
      <c r="HM373" s="35"/>
      <c r="HN373" s="35"/>
      <c r="HO373" s="35"/>
      <c r="HP373" s="35"/>
      <c r="HQ373" s="35"/>
      <c r="HR373" s="35"/>
      <c r="HS373" s="35"/>
      <c r="HT373" s="35"/>
      <c r="HU373" s="35"/>
      <c r="HV373" s="35"/>
      <c r="HW373" s="35"/>
      <c r="HX373" s="35"/>
      <c r="HY373" s="35"/>
      <c r="HZ373" s="35"/>
      <c r="IA373" s="35"/>
      <c r="IB373" s="35"/>
      <c r="IC373" s="35"/>
      <c r="ID373" s="35"/>
      <c r="IE373" s="35"/>
      <c r="IF373" s="35"/>
      <c r="IG373" s="35"/>
      <c r="IH373" s="35"/>
      <c r="II373" s="35"/>
      <c r="IJ373" s="35"/>
      <c r="IK373" s="35"/>
      <c r="IL373" s="35"/>
      <c r="IM373" s="35"/>
      <c r="IN373" s="35"/>
      <c r="IO373" s="35"/>
      <c r="IP373" s="35"/>
      <c r="IQ373" s="35"/>
      <c r="IR373" s="35"/>
      <c r="IS373" s="35"/>
      <c r="IT373" s="35"/>
      <c r="IU373" s="35"/>
      <c r="IV373" s="35"/>
      <c r="IW373" s="35"/>
      <c r="IX373" s="35"/>
      <c r="IY373" s="35"/>
      <c r="IZ373" s="35"/>
      <c r="JA373" s="35"/>
      <c r="JB373" s="35"/>
      <c r="JC373" s="35"/>
      <c r="JD373" s="35"/>
      <c r="JE373" s="35"/>
    </row>
    <row r="374">
      <c r="A374" s="42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  <c r="BD374" s="35"/>
      <c r="BE374" s="35"/>
      <c r="BF374" s="35"/>
      <c r="BG374" s="35"/>
      <c r="BH374" s="35"/>
      <c r="BI374" s="35"/>
      <c r="BJ374" s="35"/>
      <c r="BK374" s="35"/>
      <c r="BL374" s="35"/>
      <c r="BM374" s="35"/>
      <c r="BN374" s="35"/>
      <c r="BO374" s="35"/>
      <c r="BP374" s="35"/>
      <c r="BQ374" s="35"/>
      <c r="BR374" s="35"/>
      <c r="BS374" s="35"/>
      <c r="BT374" s="35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35"/>
      <c r="CO374" s="35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35"/>
      <c r="DJ374" s="35"/>
      <c r="DK374" s="35"/>
      <c r="DL374" s="35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35"/>
      <c r="EE374" s="35"/>
      <c r="EF374" s="35"/>
      <c r="EG374" s="35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35"/>
      <c r="EZ374" s="35"/>
      <c r="FA374" s="35"/>
      <c r="FB374" s="35"/>
      <c r="FC374" s="35"/>
      <c r="FD374" s="35"/>
      <c r="FE374" s="35"/>
      <c r="FF374" s="35"/>
      <c r="FG374" s="35"/>
      <c r="FH374" s="35"/>
      <c r="FI374" s="35"/>
      <c r="FJ374" s="35"/>
      <c r="FK374" s="35"/>
      <c r="FL374" s="35"/>
      <c r="FM374" s="35"/>
      <c r="FN374" s="35"/>
      <c r="FO374" s="35"/>
      <c r="FP374" s="35"/>
      <c r="FQ374" s="35"/>
      <c r="FR374" s="35"/>
      <c r="FS374" s="35"/>
      <c r="FT374" s="35"/>
      <c r="FU374" s="35"/>
      <c r="FV374" s="35"/>
      <c r="FW374" s="35"/>
      <c r="FX374" s="35"/>
      <c r="FY374" s="35"/>
      <c r="FZ374" s="35"/>
      <c r="GA374" s="35"/>
      <c r="GB374" s="35"/>
      <c r="GC374" s="35"/>
      <c r="GD374" s="35"/>
      <c r="GE374" s="35"/>
      <c r="GF374" s="35"/>
      <c r="GG374" s="35"/>
      <c r="GH374" s="35"/>
      <c r="GI374" s="35"/>
      <c r="GJ374" s="35"/>
      <c r="GK374" s="35"/>
      <c r="GL374" s="35"/>
      <c r="GM374" s="35"/>
      <c r="GN374" s="35"/>
      <c r="GO374" s="35"/>
      <c r="GP374" s="35"/>
      <c r="GQ374" s="35"/>
      <c r="GR374" s="35"/>
      <c r="GS374" s="35"/>
      <c r="GT374" s="35"/>
      <c r="GU374" s="35"/>
      <c r="GV374" s="35"/>
      <c r="GW374" s="35"/>
      <c r="GX374" s="35"/>
      <c r="GY374" s="35"/>
      <c r="GZ374" s="35"/>
      <c r="HA374" s="35"/>
      <c r="HB374" s="35"/>
      <c r="HC374" s="35"/>
      <c r="HD374" s="35"/>
      <c r="HE374" s="35"/>
      <c r="HF374" s="35"/>
      <c r="HG374" s="35"/>
      <c r="HH374" s="35"/>
      <c r="HI374" s="35"/>
      <c r="HJ374" s="35"/>
      <c r="HK374" s="35"/>
      <c r="HL374" s="35"/>
      <c r="HM374" s="35"/>
      <c r="HN374" s="35"/>
      <c r="HO374" s="35"/>
      <c r="HP374" s="35"/>
      <c r="HQ374" s="35"/>
      <c r="HR374" s="35"/>
      <c r="HS374" s="35"/>
      <c r="HT374" s="35"/>
      <c r="HU374" s="35"/>
      <c r="HV374" s="35"/>
      <c r="HW374" s="35"/>
      <c r="HX374" s="35"/>
      <c r="HY374" s="35"/>
      <c r="HZ374" s="35"/>
      <c r="IA374" s="35"/>
      <c r="IB374" s="35"/>
      <c r="IC374" s="35"/>
      <c r="ID374" s="35"/>
      <c r="IE374" s="35"/>
      <c r="IF374" s="35"/>
      <c r="IG374" s="35"/>
      <c r="IH374" s="35"/>
      <c r="II374" s="35"/>
      <c r="IJ374" s="35"/>
      <c r="IK374" s="35"/>
      <c r="IL374" s="35"/>
      <c r="IM374" s="35"/>
      <c r="IN374" s="35"/>
      <c r="IO374" s="35"/>
      <c r="IP374" s="35"/>
      <c r="IQ374" s="35"/>
      <c r="IR374" s="35"/>
      <c r="IS374" s="35"/>
      <c r="IT374" s="35"/>
      <c r="IU374" s="35"/>
      <c r="IV374" s="35"/>
      <c r="IW374" s="35"/>
      <c r="IX374" s="35"/>
      <c r="IY374" s="35"/>
      <c r="IZ374" s="35"/>
      <c r="JA374" s="35"/>
      <c r="JB374" s="35"/>
      <c r="JC374" s="35"/>
      <c r="JD374" s="35"/>
      <c r="JE374" s="35"/>
    </row>
    <row r="375">
      <c r="A375" s="42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  <c r="BC375" s="35"/>
      <c r="BD375" s="35"/>
      <c r="BE375" s="35"/>
      <c r="BF375" s="35"/>
      <c r="BG375" s="35"/>
      <c r="BH375" s="35"/>
      <c r="BI375" s="35"/>
      <c r="BJ375" s="35"/>
      <c r="BK375" s="35"/>
      <c r="BL375" s="35"/>
      <c r="BM375" s="35"/>
      <c r="BN375" s="35"/>
      <c r="BO375" s="35"/>
      <c r="BP375" s="35"/>
      <c r="BQ375" s="35"/>
      <c r="BR375" s="35"/>
      <c r="BS375" s="35"/>
      <c r="BT375" s="35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35"/>
      <c r="CO375" s="35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35"/>
      <c r="DJ375" s="35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35"/>
      <c r="EE375" s="35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35"/>
      <c r="EZ375" s="35"/>
      <c r="FA375" s="35"/>
      <c r="FB375" s="35"/>
      <c r="FC375" s="35"/>
      <c r="FD375" s="35"/>
      <c r="FE375" s="35"/>
      <c r="FF375" s="35"/>
      <c r="FG375" s="35"/>
      <c r="FH375" s="35"/>
      <c r="FI375" s="35"/>
      <c r="FJ375" s="35"/>
      <c r="FK375" s="35"/>
      <c r="FL375" s="35"/>
      <c r="FM375" s="35"/>
      <c r="FN375" s="35"/>
      <c r="FO375" s="35"/>
      <c r="FP375" s="35"/>
      <c r="FQ375" s="35"/>
      <c r="FR375" s="35"/>
      <c r="FS375" s="35"/>
      <c r="FT375" s="35"/>
      <c r="FU375" s="35"/>
      <c r="FV375" s="35"/>
      <c r="FW375" s="35"/>
      <c r="FX375" s="35"/>
      <c r="FY375" s="35"/>
      <c r="FZ375" s="35"/>
      <c r="GA375" s="35"/>
      <c r="GB375" s="35"/>
      <c r="GC375" s="35"/>
      <c r="GD375" s="35"/>
      <c r="GE375" s="35"/>
      <c r="GF375" s="35"/>
      <c r="GG375" s="35"/>
      <c r="GH375" s="35"/>
      <c r="GI375" s="35"/>
      <c r="GJ375" s="35"/>
      <c r="GK375" s="35"/>
      <c r="GL375" s="35"/>
      <c r="GM375" s="35"/>
      <c r="GN375" s="35"/>
      <c r="GO375" s="35"/>
      <c r="GP375" s="35"/>
      <c r="GQ375" s="35"/>
      <c r="GR375" s="35"/>
      <c r="GS375" s="35"/>
      <c r="GT375" s="35"/>
      <c r="GU375" s="35"/>
      <c r="GV375" s="35"/>
      <c r="GW375" s="35"/>
      <c r="GX375" s="35"/>
      <c r="GY375" s="35"/>
      <c r="GZ375" s="35"/>
      <c r="HA375" s="35"/>
      <c r="HB375" s="35"/>
      <c r="HC375" s="35"/>
      <c r="HD375" s="35"/>
      <c r="HE375" s="35"/>
      <c r="HF375" s="35"/>
      <c r="HG375" s="35"/>
      <c r="HH375" s="35"/>
      <c r="HI375" s="35"/>
      <c r="HJ375" s="35"/>
      <c r="HK375" s="35"/>
      <c r="HL375" s="35"/>
      <c r="HM375" s="35"/>
      <c r="HN375" s="35"/>
      <c r="HO375" s="35"/>
      <c r="HP375" s="35"/>
      <c r="HQ375" s="35"/>
      <c r="HR375" s="35"/>
      <c r="HS375" s="35"/>
      <c r="HT375" s="35"/>
      <c r="HU375" s="35"/>
      <c r="HV375" s="35"/>
      <c r="HW375" s="35"/>
      <c r="HX375" s="35"/>
      <c r="HY375" s="35"/>
      <c r="HZ375" s="35"/>
      <c r="IA375" s="35"/>
      <c r="IB375" s="35"/>
      <c r="IC375" s="35"/>
      <c r="ID375" s="35"/>
      <c r="IE375" s="35"/>
      <c r="IF375" s="35"/>
      <c r="IG375" s="35"/>
      <c r="IH375" s="35"/>
      <c r="II375" s="35"/>
      <c r="IJ375" s="35"/>
      <c r="IK375" s="35"/>
      <c r="IL375" s="35"/>
      <c r="IM375" s="35"/>
      <c r="IN375" s="35"/>
      <c r="IO375" s="35"/>
      <c r="IP375" s="35"/>
      <c r="IQ375" s="35"/>
      <c r="IR375" s="35"/>
      <c r="IS375" s="35"/>
      <c r="IT375" s="35"/>
      <c r="IU375" s="35"/>
      <c r="IV375" s="35"/>
      <c r="IW375" s="35"/>
      <c r="IX375" s="35"/>
      <c r="IY375" s="35"/>
      <c r="IZ375" s="35"/>
      <c r="JA375" s="35"/>
      <c r="JB375" s="35"/>
      <c r="JC375" s="35"/>
      <c r="JD375" s="35"/>
      <c r="JE375" s="35"/>
    </row>
    <row r="376">
      <c r="A376" s="42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  <c r="BR376" s="35"/>
      <c r="BS376" s="35"/>
      <c r="BT376" s="35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35"/>
      <c r="CO376" s="35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35"/>
      <c r="DJ376" s="35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35"/>
      <c r="EE376" s="35"/>
      <c r="EF376" s="35"/>
      <c r="EG376" s="35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35"/>
      <c r="EZ376" s="35"/>
      <c r="FA376" s="35"/>
      <c r="FB376" s="35"/>
      <c r="FC376" s="35"/>
      <c r="FD376" s="35"/>
      <c r="FE376" s="35"/>
      <c r="FF376" s="35"/>
      <c r="FG376" s="35"/>
      <c r="FH376" s="35"/>
      <c r="FI376" s="35"/>
      <c r="FJ376" s="35"/>
      <c r="FK376" s="35"/>
      <c r="FL376" s="35"/>
      <c r="FM376" s="35"/>
      <c r="FN376" s="35"/>
      <c r="FO376" s="35"/>
      <c r="FP376" s="35"/>
      <c r="FQ376" s="35"/>
      <c r="FR376" s="35"/>
      <c r="FS376" s="35"/>
      <c r="FT376" s="35"/>
      <c r="FU376" s="35"/>
      <c r="FV376" s="35"/>
      <c r="FW376" s="35"/>
      <c r="FX376" s="35"/>
      <c r="FY376" s="35"/>
      <c r="FZ376" s="35"/>
      <c r="GA376" s="35"/>
      <c r="GB376" s="35"/>
      <c r="GC376" s="35"/>
      <c r="GD376" s="35"/>
      <c r="GE376" s="35"/>
      <c r="GF376" s="35"/>
      <c r="GG376" s="35"/>
      <c r="GH376" s="35"/>
      <c r="GI376" s="35"/>
      <c r="GJ376" s="35"/>
      <c r="GK376" s="35"/>
      <c r="GL376" s="35"/>
      <c r="GM376" s="35"/>
      <c r="GN376" s="35"/>
      <c r="GO376" s="35"/>
      <c r="GP376" s="35"/>
      <c r="GQ376" s="35"/>
      <c r="GR376" s="35"/>
      <c r="GS376" s="35"/>
      <c r="GT376" s="35"/>
      <c r="GU376" s="35"/>
      <c r="GV376" s="35"/>
      <c r="GW376" s="35"/>
      <c r="GX376" s="35"/>
      <c r="GY376" s="35"/>
      <c r="GZ376" s="35"/>
      <c r="HA376" s="35"/>
      <c r="HB376" s="35"/>
      <c r="HC376" s="35"/>
      <c r="HD376" s="35"/>
      <c r="HE376" s="35"/>
      <c r="HF376" s="35"/>
      <c r="HG376" s="35"/>
      <c r="HH376" s="35"/>
      <c r="HI376" s="35"/>
      <c r="HJ376" s="35"/>
      <c r="HK376" s="35"/>
      <c r="HL376" s="35"/>
      <c r="HM376" s="35"/>
      <c r="HN376" s="35"/>
      <c r="HO376" s="35"/>
      <c r="HP376" s="35"/>
      <c r="HQ376" s="35"/>
      <c r="HR376" s="35"/>
      <c r="HS376" s="35"/>
      <c r="HT376" s="35"/>
      <c r="HU376" s="35"/>
      <c r="HV376" s="35"/>
      <c r="HW376" s="35"/>
      <c r="HX376" s="35"/>
      <c r="HY376" s="35"/>
      <c r="HZ376" s="35"/>
      <c r="IA376" s="35"/>
      <c r="IB376" s="35"/>
      <c r="IC376" s="35"/>
      <c r="ID376" s="35"/>
      <c r="IE376" s="35"/>
      <c r="IF376" s="35"/>
      <c r="IG376" s="35"/>
      <c r="IH376" s="35"/>
      <c r="II376" s="35"/>
      <c r="IJ376" s="35"/>
      <c r="IK376" s="35"/>
      <c r="IL376" s="35"/>
      <c r="IM376" s="35"/>
      <c r="IN376" s="35"/>
      <c r="IO376" s="35"/>
      <c r="IP376" s="35"/>
      <c r="IQ376" s="35"/>
      <c r="IR376" s="35"/>
      <c r="IS376" s="35"/>
      <c r="IT376" s="35"/>
      <c r="IU376" s="35"/>
      <c r="IV376" s="35"/>
      <c r="IW376" s="35"/>
      <c r="IX376" s="35"/>
      <c r="IY376" s="35"/>
      <c r="IZ376" s="35"/>
      <c r="JA376" s="35"/>
      <c r="JB376" s="35"/>
      <c r="JC376" s="35"/>
      <c r="JD376" s="35"/>
      <c r="JE376" s="35"/>
    </row>
    <row r="377">
      <c r="A377" s="42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  <c r="BC377" s="35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5"/>
      <c r="BR377" s="35"/>
      <c r="BS377" s="35"/>
      <c r="BT377" s="35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35"/>
      <c r="CO377" s="35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35"/>
      <c r="DJ377" s="35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35"/>
      <c r="EE377" s="35"/>
      <c r="EF377" s="35"/>
      <c r="EG377" s="35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35"/>
      <c r="EZ377" s="35"/>
      <c r="FA377" s="35"/>
      <c r="FB377" s="35"/>
      <c r="FC377" s="35"/>
      <c r="FD377" s="35"/>
      <c r="FE377" s="35"/>
      <c r="FF377" s="35"/>
      <c r="FG377" s="35"/>
      <c r="FH377" s="35"/>
      <c r="FI377" s="35"/>
      <c r="FJ377" s="35"/>
      <c r="FK377" s="35"/>
      <c r="FL377" s="35"/>
      <c r="FM377" s="35"/>
      <c r="FN377" s="35"/>
      <c r="FO377" s="35"/>
      <c r="FP377" s="35"/>
      <c r="FQ377" s="35"/>
      <c r="FR377" s="35"/>
      <c r="FS377" s="35"/>
      <c r="FT377" s="35"/>
      <c r="FU377" s="35"/>
      <c r="FV377" s="35"/>
      <c r="FW377" s="35"/>
      <c r="FX377" s="35"/>
      <c r="FY377" s="35"/>
      <c r="FZ377" s="35"/>
      <c r="GA377" s="35"/>
      <c r="GB377" s="35"/>
      <c r="GC377" s="35"/>
      <c r="GD377" s="35"/>
      <c r="GE377" s="35"/>
      <c r="GF377" s="35"/>
      <c r="GG377" s="35"/>
      <c r="GH377" s="35"/>
      <c r="GI377" s="35"/>
      <c r="GJ377" s="35"/>
      <c r="GK377" s="35"/>
      <c r="GL377" s="35"/>
      <c r="GM377" s="35"/>
      <c r="GN377" s="35"/>
      <c r="GO377" s="35"/>
      <c r="GP377" s="35"/>
      <c r="GQ377" s="35"/>
      <c r="GR377" s="35"/>
      <c r="GS377" s="35"/>
      <c r="GT377" s="35"/>
      <c r="GU377" s="35"/>
      <c r="GV377" s="35"/>
      <c r="GW377" s="35"/>
      <c r="GX377" s="35"/>
      <c r="GY377" s="35"/>
      <c r="GZ377" s="35"/>
      <c r="HA377" s="35"/>
      <c r="HB377" s="35"/>
      <c r="HC377" s="35"/>
      <c r="HD377" s="35"/>
      <c r="HE377" s="35"/>
      <c r="HF377" s="35"/>
      <c r="HG377" s="35"/>
      <c r="HH377" s="35"/>
      <c r="HI377" s="35"/>
      <c r="HJ377" s="35"/>
      <c r="HK377" s="35"/>
      <c r="HL377" s="35"/>
      <c r="HM377" s="35"/>
      <c r="HN377" s="35"/>
      <c r="HO377" s="35"/>
      <c r="HP377" s="35"/>
      <c r="HQ377" s="35"/>
      <c r="HR377" s="35"/>
      <c r="HS377" s="35"/>
      <c r="HT377" s="35"/>
      <c r="HU377" s="35"/>
      <c r="HV377" s="35"/>
      <c r="HW377" s="35"/>
      <c r="HX377" s="35"/>
      <c r="HY377" s="35"/>
      <c r="HZ377" s="35"/>
      <c r="IA377" s="35"/>
      <c r="IB377" s="35"/>
      <c r="IC377" s="35"/>
      <c r="ID377" s="35"/>
      <c r="IE377" s="35"/>
      <c r="IF377" s="35"/>
      <c r="IG377" s="35"/>
      <c r="IH377" s="35"/>
      <c r="II377" s="35"/>
      <c r="IJ377" s="35"/>
      <c r="IK377" s="35"/>
      <c r="IL377" s="35"/>
      <c r="IM377" s="35"/>
      <c r="IN377" s="35"/>
      <c r="IO377" s="35"/>
      <c r="IP377" s="35"/>
      <c r="IQ377" s="35"/>
      <c r="IR377" s="35"/>
      <c r="IS377" s="35"/>
      <c r="IT377" s="35"/>
      <c r="IU377" s="35"/>
      <c r="IV377" s="35"/>
      <c r="IW377" s="35"/>
      <c r="IX377" s="35"/>
      <c r="IY377" s="35"/>
      <c r="IZ377" s="35"/>
      <c r="JA377" s="35"/>
      <c r="JB377" s="35"/>
      <c r="JC377" s="35"/>
      <c r="JD377" s="35"/>
      <c r="JE377" s="35"/>
    </row>
    <row r="378">
      <c r="A378" s="42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  <c r="BD378" s="35"/>
      <c r="BE378" s="35"/>
      <c r="BF378" s="35"/>
      <c r="BG378" s="35"/>
      <c r="BH378" s="35"/>
      <c r="BI378" s="35"/>
      <c r="BJ378" s="35"/>
      <c r="BK378" s="35"/>
      <c r="BL378" s="35"/>
      <c r="BM378" s="35"/>
      <c r="BN378" s="35"/>
      <c r="BO378" s="35"/>
      <c r="BP378" s="35"/>
      <c r="BQ378" s="35"/>
      <c r="BR378" s="35"/>
      <c r="BS378" s="35"/>
      <c r="BT378" s="35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35"/>
      <c r="CO378" s="35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35"/>
      <c r="DJ378" s="35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35"/>
      <c r="EE378" s="35"/>
      <c r="EF378" s="35"/>
      <c r="EG378" s="35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35"/>
      <c r="EZ378" s="35"/>
      <c r="FA378" s="35"/>
      <c r="FB378" s="35"/>
      <c r="FC378" s="35"/>
      <c r="FD378" s="35"/>
      <c r="FE378" s="35"/>
      <c r="FF378" s="35"/>
      <c r="FG378" s="35"/>
      <c r="FH378" s="35"/>
      <c r="FI378" s="35"/>
      <c r="FJ378" s="35"/>
      <c r="FK378" s="35"/>
      <c r="FL378" s="35"/>
      <c r="FM378" s="35"/>
      <c r="FN378" s="35"/>
      <c r="FO378" s="35"/>
      <c r="FP378" s="35"/>
      <c r="FQ378" s="35"/>
      <c r="FR378" s="35"/>
      <c r="FS378" s="35"/>
      <c r="FT378" s="35"/>
      <c r="FU378" s="35"/>
      <c r="FV378" s="35"/>
      <c r="FW378" s="35"/>
      <c r="FX378" s="35"/>
      <c r="FY378" s="35"/>
      <c r="FZ378" s="35"/>
      <c r="GA378" s="35"/>
      <c r="GB378" s="35"/>
      <c r="GC378" s="35"/>
      <c r="GD378" s="35"/>
      <c r="GE378" s="35"/>
      <c r="GF378" s="35"/>
      <c r="GG378" s="35"/>
      <c r="GH378" s="35"/>
      <c r="GI378" s="35"/>
      <c r="GJ378" s="35"/>
      <c r="GK378" s="35"/>
      <c r="GL378" s="35"/>
      <c r="GM378" s="35"/>
      <c r="GN378" s="35"/>
      <c r="GO378" s="35"/>
      <c r="GP378" s="35"/>
      <c r="GQ378" s="35"/>
      <c r="GR378" s="35"/>
      <c r="GS378" s="35"/>
      <c r="GT378" s="35"/>
      <c r="GU378" s="35"/>
      <c r="GV378" s="35"/>
      <c r="GW378" s="35"/>
      <c r="GX378" s="35"/>
      <c r="GY378" s="35"/>
      <c r="GZ378" s="35"/>
      <c r="HA378" s="35"/>
      <c r="HB378" s="35"/>
      <c r="HC378" s="35"/>
      <c r="HD378" s="35"/>
      <c r="HE378" s="35"/>
      <c r="HF378" s="35"/>
      <c r="HG378" s="35"/>
      <c r="HH378" s="35"/>
      <c r="HI378" s="35"/>
      <c r="HJ378" s="35"/>
      <c r="HK378" s="35"/>
      <c r="HL378" s="35"/>
      <c r="HM378" s="35"/>
      <c r="HN378" s="35"/>
      <c r="HO378" s="35"/>
      <c r="HP378" s="35"/>
      <c r="HQ378" s="35"/>
      <c r="HR378" s="35"/>
      <c r="HS378" s="35"/>
      <c r="HT378" s="35"/>
      <c r="HU378" s="35"/>
      <c r="HV378" s="35"/>
      <c r="HW378" s="35"/>
      <c r="HX378" s="35"/>
      <c r="HY378" s="35"/>
      <c r="HZ378" s="35"/>
      <c r="IA378" s="35"/>
      <c r="IB378" s="35"/>
      <c r="IC378" s="35"/>
      <c r="ID378" s="35"/>
      <c r="IE378" s="35"/>
      <c r="IF378" s="35"/>
      <c r="IG378" s="35"/>
      <c r="IH378" s="35"/>
      <c r="II378" s="35"/>
      <c r="IJ378" s="35"/>
      <c r="IK378" s="35"/>
      <c r="IL378" s="35"/>
      <c r="IM378" s="35"/>
      <c r="IN378" s="35"/>
      <c r="IO378" s="35"/>
      <c r="IP378" s="35"/>
      <c r="IQ378" s="35"/>
      <c r="IR378" s="35"/>
      <c r="IS378" s="35"/>
      <c r="IT378" s="35"/>
      <c r="IU378" s="35"/>
      <c r="IV378" s="35"/>
      <c r="IW378" s="35"/>
      <c r="IX378" s="35"/>
      <c r="IY378" s="35"/>
      <c r="IZ378" s="35"/>
      <c r="JA378" s="35"/>
      <c r="JB378" s="35"/>
      <c r="JC378" s="35"/>
      <c r="JD378" s="35"/>
      <c r="JE378" s="35"/>
    </row>
    <row r="379">
      <c r="A379" s="42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  <c r="BR379" s="35"/>
      <c r="BS379" s="35"/>
      <c r="BT379" s="35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35"/>
      <c r="CO379" s="35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35"/>
      <c r="DJ379" s="35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35"/>
      <c r="EE379" s="35"/>
      <c r="EF379" s="35"/>
      <c r="EG379" s="35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35"/>
      <c r="EZ379" s="35"/>
      <c r="FA379" s="35"/>
      <c r="FB379" s="35"/>
      <c r="FC379" s="35"/>
      <c r="FD379" s="35"/>
      <c r="FE379" s="35"/>
      <c r="FF379" s="35"/>
      <c r="FG379" s="35"/>
      <c r="FH379" s="35"/>
      <c r="FI379" s="35"/>
      <c r="FJ379" s="35"/>
      <c r="FK379" s="35"/>
      <c r="FL379" s="35"/>
      <c r="FM379" s="35"/>
      <c r="FN379" s="35"/>
      <c r="FO379" s="35"/>
      <c r="FP379" s="35"/>
      <c r="FQ379" s="35"/>
      <c r="FR379" s="35"/>
      <c r="FS379" s="35"/>
      <c r="FT379" s="35"/>
      <c r="FU379" s="35"/>
      <c r="FV379" s="35"/>
      <c r="FW379" s="35"/>
      <c r="FX379" s="35"/>
      <c r="FY379" s="35"/>
      <c r="FZ379" s="35"/>
      <c r="GA379" s="35"/>
      <c r="GB379" s="35"/>
      <c r="GC379" s="35"/>
      <c r="GD379" s="35"/>
      <c r="GE379" s="35"/>
      <c r="GF379" s="35"/>
      <c r="GG379" s="35"/>
      <c r="GH379" s="35"/>
      <c r="GI379" s="35"/>
      <c r="GJ379" s="35"/>
      <c r="GK379" s="35"/>
      <c r="GL379" s="35"/>
      <c r="GM379" s="35"/>
      <c r="GN379" s="35"/>
      <c r="GO379" s="35"/>
      <c r="GP379" s="35"/>
      <c r="GQ379" s="35"/>
      <c r="GR379" s="35"/>
      <c r="GS379" s="35"/>
      <c r="GT379" s="35"/>
      <c r="GU379" s="35"/>
      <c r="GV379" s="35"/>
      <c r="GW379" s="35"/>
      <c r="GX379" s="35"/>
      <c r="GY379" s="35"/>
      <c r="GZ379" s="35"/>
      <c r="HA379" s="35"/>
      <c r="HB379" s="35"/>
      <c r="HC379" s="35"/>
      <c r="HD379" s="35"/>
      <c r="HE379" s="35"/>
      <c r="HF379" s="35"/>
      <c r="HG379" s="35"/>
      <c r="HH379" s="35"/>
      <c r="HI379" s="35"/>
      <c r="HJ379" s="35"/>
      <c r="HK379" s="35"/>
      <c r="HL379" s="35"/>
      <c r="HM379" s="35"/>
      <c r="HN379" s="35"/>
      <c r="HO379" s="35"/>
      <c r="HP379" s="35"/>
      <c r="HQ379" s="35"/>
      <c r="HR379" s="35"/>
      <c r="HS379" s="35"/>
      <c r="HT379" s="35"/>
      <c r="HU379" s="35"/>
      <c r="HV379" s="35"/>
      <c r="HW379" s="35"/>
      <c r="HX379" s="35"/>
      <c r="HY379" s="35"/>
      <c r="HZ379" s="35"/>
      <c r="IA379" s="35"/>
      <c r="IB379" s="35"/>
      <c r="IC379" s="35"/>
      <c r="ID379" s="35"/>
      <c r="IE379" s="35"/>
      <c r="IF379" s="35"/>
      <c r="IG379" s="35"/>
      <c r="IH379" s="35"/>
      <c r="II379" s="35"/>
      <c r="IJ379" s="35"/>
      <c r="IK379" s="35"/>
      <c r="IL379" s="35"/>
      <c r="IM379" s="35"/>
      <c r="IN379" s="35"/>
      <c r="IO379" s="35"/>
      <c r="IP379" s="35"/>
      <c r="IQ379" s="35"/>
      <c r="IR379" s="35"/>
      <c r="IS379" s="35"/>
      <c r="IT379" s="35"/>
      <c r="IU379" s="35"/>
      <c r="IV379" s="35"/>
      <c r="IW379" s="35"/>
      <c r="IX379" s="35"/>
      <c r="IY379" s="35"/>
      <c r="IZ379" s="35"/>
      <c r="JA379" s="35"/>
      <c r="JB379" s="35"/>
      <c r="JC379" s="35"/>
      <c r="JD379" s="35"/>
      <c r="JE379" s="35"/>
    </row>
    <row r="380">
      <c r="A380" s="42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  <c r="BR380" s="35"/>
      <c r="BS380" s="35"/>
      <c r="BT380" s="35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35"/>
      <c r="CO380" s="35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35"/>
      <c r="DJ380" s="35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35"/>
      <c r="EE380" s="35"/>
      <c r="EF380" s="35"/>
      <c r="EG380" s="35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35"/>
      <c r="EZ380" s="35"/>
      <c r="FA380" s="35"/>
      <c r="FB380" s="35"/>
      <c r="FC380" s="35"/>
      <c r="FD380" s="35"/>
      <c r="FE380" s="35"/>
      <c r="FF380" s="35"/>
      <c r="FG380" s="35"/>
      <c r="FH380" s="35"/>
      <c r="FI380" s="35"/>
      <c r="FJ380" s="35"/>
      <c r="FK380" s="35"/>
      <c r="FL380" s="35"/>
      <c r="FM380" s="35"/>
      <c r="FN380" s="35"/>
      <c r="FO380" s="35"/>
      <c r="FP380" s="35"/>
      <c r="FQ380" s="35"/>
      <c r="FR380" s="35"/>
      <c r="FS380" s="35"/>
      <c r="FT380" s="35"/>
      <c r="FU380" s="35"/>
      <c r="FV380" s="35"/>
      <c r="FW380" s="35"/>
      <c r="FX380" s="35"/>
      <c r="FY380" s="35"/>
      <c r="FZ380" s="35"/>
      <c r="GA380" s="35"/>
      <c r="GB380" s="35"/>
      <c r="GC380" s="35"/>
      <c r="GD380" s="35"/>
      <c r="GE380" s="35"/>
      <c r="GF380" s="35"/>
      <c r="GG380" s="35"/>
      <c r="GH380" s="35"/>
      <c r="GI380" s="35"/>
      <c r="GJ380" s="35"/>
      <c r="GK380" s="35"/>
      <c r="GL380" s="35"/>
      <c r="GM380" s="35"/>
      <c r="GN380" s="35"/>
      <c r="GO380" s="35"/>
      <c r="GP380" s="35"/>
      <c r="GQ380" s="35"/>
      <c r="GR380" s="35"/>
      <c r="GS380" s="35"/>
      <c r="GT380" s="35"/>
      <c r="GU380" s="35"/>
      <c r="GV380" s="35"/>
      <c r="GW380" s="35"/>
      <c r="GX380" s="35"/>
      <c r="GY380" s="35"/>
      <c r="GZ380" s="35"/>
      <c r="HA380" s="35"/>
      <c r="HB380" s="35"/>
      <c r="HC380" s="35"/>
      <c r="HD380" s="35"/>
      <c r="HE380" s="35"/>
      <c r="HF380" s="35"/>
      <c r="HG380" s="35"/>
      <c r="HH380" s="35"/>
      <c r="HI380" s="35"/>
      <c r="HJ380" s="35"/>
      <c r="HK380" s="35"/>
      <c r="HL380" s="35"/>
      <c r="HM380" s="35"/>
      <c r="HN380" s="35"/>
      <c r="HO380" s="35"/>
      <c r="HP380" s="35"/>
      <c r="HQ380" s="35"/>
      <c r="HR380" s="35"/>
      <c r="HS380" s="35"/>
      <c r="HT380" s="35"/>
      <c r="HU380" s="35"/>
      <c r="HV380" s="35"/>
      <c r="HW380" s="35"/>
      <c r="HX380" s="35"/>
      <c r="HY380" s="35"/>
      <c r="HZ380" s="35"/>
      <c r="IA380" s="35"/>
      <c r="IB380" s="35"/>
      <c r="IC380" s="35"/>
      <c r="ID380" s="35"/>
      <c r="IE380" s="35"/>
      <c r="IF380" s="35"/>
      <c r="IG380" s="35"/>
      <c r="IH380" s="35"/>
      <c r="II380" s="35"/>
      <c r="IJ380" s="35"/>
      <c r="IK380" s="35"/>
      <c r="IL380" s="35"/>
      <c r="IM380" s="35"/>
      <c r="IN380" s="35"/>
      <c r="IO380" s="35"/>
      <c r="IP380" s="35"/>
      <c r="IQ380" s="35"/>
      <c r="IR380" s="35"/>
      <c r="IS380" s="35"/>
      <c r="IT380" s="35"/>
      <c r="IU380" s="35"/>
      <c r="IV380" s="35"/>
      <c r="IW380" s="35"/>
      <c r="IX380" s="35"/>
      <c r="IY380" s="35"/>
      <c r="IZ380" s="35"/>
      <c r="JA380" s="35"/>
      <c r="JB380" s="35"/>
      <c r="JC380" s="35"/>
      <c r="JD380" s="35"/>
      <c r="JE380" s="35"/>
    </row>
    <row r="381">
      <c r="A381" s="42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  <c r="BE381" s="35"/>
      <c r="BF381" s="35"/>
      <c r="BG381" s="35"/>
      <c r="BH381" s="35"/>
      <c r="BI381" s="35"/>
      <c r="BJ381" s="35"/>
      <c r="BK381" s="35"/>
      <c r="BL381" s="35"/>
      <c r="BM381" s="35"/>
      <c r="BN381" s="35"/>
      <c r="BO381" s="35"/>
      <c r="BP381" s="35"/>
      <c r="BQ381" s="35"/>
      <c r="BR381" s="35"/>
      <c r="BS381" s="35"/>
      <c r="BT381" s="35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35"/>
      <c r="CO381" s="35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35"/>
      <c r="DJ381" s="35"/>
      <c r="DK381" s="35"/>
      <c r="DL381" s="35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35"/>
      <c r="EE381" s="35"/>
      <c r="EF381" s="35"/>
      <c r="EG381" s="35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35"/>
      <c r="EZ381" s="35"/>
      <c r="FA381" s="35"/>
      <c r="FB381" s="35"/>
      <c r="FC381" s="35"/>
      <c r="FD381" s="35"/>
      <c r="FE381" s="35"/>
      <c r="FF381" s="35"/>
      <c r="FG381" s="35"/>
      <c r="FH381" s="35"/>
      <c r="FI381" s="35"/>
      <c r="FJ381" s="35"/>
      <c r="FK381" s="35"/>
      <c r="FL381" s="35"/>
      <c r="FM381" s="35"/>
      <c r="FN381" s="35"/>
      <c r="FO381" s="35"/>
      <c r="FP381" s="35"/>
      <c r="FQ381" s="35"/>
      <c r="FR381" s="35"/>
      <c r="FS381" s="35"/>
      <c r="FT381" s="35"/>
      <c r="FU381" s="35"/>
      <c r="FV381" s="35"/>
      <c r="FW381" s="35"/>
      <c r="FX381" s="35"/>
      <c r="FY381" s="35"/>
      <c r="FZ381" s="35"/>
      <c r="GA381" s="35"/>
      <c r="GB381" s="35"/>
      <c r="GC381" s="35"/>
      <c r="GD381" s="35"/>
      <c r="GE381" s="35"/>
      <c r="GF381" s="35"/>
      <c r="GG381" s="35"/>
      <c r="GH381" s="35"/>
      <c r="GI381" s="35"/>
      <c r="GJ381" s="35"/>
      <c r="GK381" s="35"/>
      <c r="GL381" s="35"/>
      <c r="GM381" s="35"/>
      <c r="GN381" s="35"/>
      <c r="GO381" s="35"/>
      <c r="GP381" s="35"/>
      <c r="GQ381" s="35"/>
      <c r="GR381" s="35"/>
      <c r="GS381" s="35"/>
      <c r="GT381" s="35"/>
      <c r="GU381" s="35"/>
      <c r="GV381" s="35"/>
      <c r="GW381" s="35"/>
      <c r="GX381" s="35"/>
      <c r="GY381" s="35"/>
      <c r="GZ381" s="35"/>
      <c r="HA381" s="35"/>
      <c r="HB381" s="35"/>
      <c r="HC381" s="35"/>
      <c r="HD381" s="35"/>
      <c r="HE381" s="35"/>
      <c r="HF381" s="35"/>
      <c r="HG381" s="35"/>
      <c r="HH381" s="35"/>
      <c r="HI381" s="35"/>
      <c r="HJ381" s="35"/>
      <c r="HK381" s="35"/>
      <c r="HL381" s="35"/>
      <c r="HM381" s="35"/>
      <c r="HN381" s="35"/>
      <c r="HO381" s="35"/>
      <c r="HP381" s="35"/>
      <c r="HQ381" s="35"/>
      <c r="HR381" s="35"/>
      <c r="HS381" s="35"/>
      <c r="HT381" s="35"/>
      <c r="HU381" s="35"/>
      <c r="HV381" s="35"/>
      <c r="HW381" s="35"/>
      <c r="HX381" s="35"/>
      <c r="HY381" s="35"/>
      <c r="HZ381" s="35"/>
      <c r="IA381" s="35"/>
      <c r="IB381" s="35"/>
      <c r="IC381" s="35"/>
      <c r="ID381" s="35"/>
      <c r="IE381" s="35"/>
      <c r="IF381" s="35"/>
      <c r="IG381" s="35"/>
      <c r="IH381" s="35"/>
      <c r="II381" s="35"/>
      <c r="IJ381" s="35"/>
      <c r="IK381" s="35"/>
      <c r="IL381" s="35"/>
      <c r="IM381" s="35"/>
      <c r="IN381" s="35"/>
      <c r="IO381" s="35"/>
      <c r="IP381" s="35"/>
      <c r="IQ381" s="35"/>
      <c r="IR381" s="35"/>
      <c r="IS381" s="35"/>
      <c r="IT381" s="35"/>
      <c r="IU381" s="35"/>
      <c r="IV381" s="35"/>
      <c r="IW381" s="35"/>
      <c r="IX381" s="35"/>
      <c r="IY381" s="35"/>
      <c r="IZ381" s="35"/>
      <c r="JA381" s="35"/>
      <c r="JB381" s="35"/>
      <c r="JC381" s="35"/>
      <c r="JD381" s="35"/>
      <c r="JE381" s="35"/>
    </row>
    <row r="382">
      <c r="A382" s="42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  <c r="BD382" s="35"/>
      <c r="BE382" s="35"/>
      <c r="BF382" s="35"/>
      <c r="BG382" s="35"/>
      <c r="BH382" s="35"/>
      <c r="BI382" s="35"/>
      <c r="BJ382" s="35"/>
      <c r="BK382" s="35"/>
      <c r="BL382" s="35"/>
      <c r="BM382" s="35"/>
      <c r="BN382" s="35"/>
      <c r="BO382" s="35"/>
      <c r="BP382" s="35"/>
      <c r="BQ382" s="35"/>
      <c r="BR382" s="35"/>
      <c r="BS382" s="35"/>
      <c r="BT382" s="35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35"/>
      <c r="CO382" s="35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35"/>
      <c r="DJ382" s="35"/>
      <c r="DK382" s="35"/>
      <c r="DL382" s="35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35"/>
      <c r="EE382" s="35"/>
      <c r="EF382" s="35"/>
      <c r="EG382" s="35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35"/>
      <c r="EZ382" s="35"/>
      <c r="FA382" s="35"/>
      <c r="FB382" s="35"/>
      <c r="FC382" s="35"/>
      <c r="FD382" s="35"/>
      <c r="FE382" s="35"/>
      <c r="FF382" s="35"/>
      <c r="FG382" s="35"/>
      <c r="FH382" s="35"/>
      <c r="FI382" s="35"/>
      <c r="FJ382" s="35"/>
      <c r="FK382" s="35"/>
      <c r="FL382" s="35"/>
      <c r="FM382" s="35"/>
      <c r="FN382" s="35"/>
      <c r="FO382" s="35"/>
      <c r="FP382" s="35"/>
      <c r="FQ382" s="35"/>
      <c r="FR382" s="35"/>
      <c r="FS382" s="35"/>
      <c r="FT382" s="35"/>
      <c r="FU382" s="35"/>
      <c r="FV382" s="35"/>
      <c r="FW382" s="35"/>
      <c r="FX382" s="35"/>
      <c r="FY382" s="35"/>
      <c r="FZ382" s="35"/>
      <c r="GA382" s="35"/>
      <c r="GB382" s="35"/>
      <c r="GC382" s="35"/>
      <c r="GD382" s="35"/>
      <c r="GE382" s="35"/>
      <c r="GF382" s="35"/>
      <c r="GG382" s="35"/>
      <c r="GH382" s="35"/>
      <c r="GI382" s="35"/>
      <c r="GJ382" s="35"/>
      <c r="GK382" s="35"/>
      <c r="GL382" s="35"/>
      <c r="GM382" s="35"/>
      <c r="GN382" s="35"/>
      <c r="GO382" s="35"/>
      <c r="GP382" s="35"/>
      <c r="GQ382" s="35"/>
      <c r="GR382" s="35"/>
      <c r="GS382" s="35"/>
      <c r="GT382" s="35"/>
      <c r="GU382" s="35"/>
      <c r="GV382" s="35"/>
      <c r="GW382" s="35"/>
      <c r="GX382" s="35"/>
      <c r="GY382" s="35"/>
      <c r="GZ382" s="35"/>
      <c r="HA382" s="35"/>
      <c r="HB382" s="35"/>
      <c r="HC382" s="35"/>
      <c r="HD382" s="35"/>
      <c r="HE382" s="35"/>
      <c r="HF382" s="35"/>
      <c r="HG382" s="35"/>
      <c r="HH382" s="35"/>
      <c r="HI382" s="35"/>
      <c r="HJ382" s="35"/>
      <c r="HK382" s="35"/>
      <c r="HL382" s="35"/>
      <c r="HM382" s="35"/>
      <c r="HN382" s="35"/>
      <c r="HO382" s="35"/>
      <c r="HP382" s="35"/>
      <c r="HQ382" s="35"/>
      <c r="HR382" s="35"/>
      <c r="HS382" s="35"/>
      <c r="HT382" s="35"/>
      <c r="HU382" s="35"/>
      <c r="HV382" s="35"/>
      <c r="HW382" s="35"/>
      <c r="HX382" s="35"/>
      <c r="HY382" s="35"/>
      <c r="HZ382" s="35"/>
      <c r="IA382" s="35"/>
      <c r="IB382" s="35"/>
      <c r="IC382" s="35"/>
      <c r="ID382" s="35"/>
      <c r="IE382" s="35"/>
      <c r="IF382" s="35"/>
      <c r="IG382" s="35"/>
      <c r="IH382" s="35"/>
      <c r="II382" s="35"/>
      <c r="IJ382" s="35"/>
      <c r="IK382" s="35"/>
      <c r="IL382" s="35"/>
      <c r="IM382" s="35"/>
      <c r="IN382" s="35"/>
      <c r="IO382" s="35"/>
      <c r="IP382" s="35"/>
      <c r="IQ382" s="35"/>
      <c r="IR382" s="35"/>
      <c r="IS382" s="35"/>
      <c r="IT382" s="35"/>
      <c r="IU382" s="35"/>
      <c r="IV382" s="35"/>
      <c r="IW382" s="35"/>
      <c r="IX382" s="35"/>
      <c r="IY382" s="35"/>
      <c r="IZ382" s="35"/>
      <c r="JA382" s="35"/>
      <c r="JB382" s="35"/>
      <c r="JC382" s="35"/>
      <c r="JD382" s="35"/>
      <c r="JE382" s="35"/>
    </row>
    <row r="383">
      <c r="A383" s="42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  <c r="BR383" s="35"/>
      <c r="BS383" s="35"/>
      <c r="BT383" s="35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35"/>
      <c r="CO383" s="35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35"/>
      <c r="DJ383" s="35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35"/>
      <c r="EE383" s="35"/>
      <c r="EF383" s="35"/>
      <c r="EG383" s="35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35"/>
      <c r="EZ383" s="35"/>
      <c r="FA383" s="35"/>
      <c r="FB383" s="35"/>
      <c r="FC383" s="35"/>
      <c r="FD383" s="35"/>
      <c r="FE383" s="35"/>
      <c r="FF383" s="35"/>
      <c r="FG383" s="35"/>
      <c r="FH383" s="35"/>
      <c r="FI383" s="35"/>
      <c r="FJ383" s="35"/>
      <c r="FK383" s="35"/>
      <c r="FL383" s="35"/>
      <c r="FM383" s="35"/>
      <c r="FN383" s="35"/>
      <c r="FO383" s="35"/>
      <c r="FP383" s="35"/>
      <c r="FQ383" s="35"/>
      <c r="FR383" s="35"/>
      <c r="FS383" s="35"/>
      <c r="FT383" s="35"/>
      <c r="FU383" s="35"/>
      <c r="FV383" s="35"/>
      <c r="FW383" s="35"/>
      <c r="FX383" s="35"/>
      <c r="FY383" s="35"/>
      <c r="FZ383" s="35"/>
      <c r="GA383" s="35"/>
      <c r="GB383" s="35"/>
      <c r="GC383" s="35"/>
      <c r="GD383" s="35"/>
      <c r="GE383" s="35"/>
      <c r="GF383" s="35"/>
      <c r="GG383" s="35"/>
      <c r="GH383" s="35"/>
      <c r="GI383" s="35"/>
      <c r="GJ383" s="35"/>
      <c r="GK383" s="35"/>
      <c r="GL383" s="35"/>
      <c r="GM383" s="35"/>
      <c r="GN383" s="35"/>
      <c r="GO383" s="35"/>
      <c r="GP383" s="35"/>
      <c r="GQ383" s="35"/>
      <c r="GR383" s="35"/>
      <c r="GS383" s="35"/>
      <c r="GT383" s="35"/>
      <c r="GU383" s="35"/>
      <c r="GV383" s="35"/>
      <c r="GW383" s="35"/>
      <c r="GX383" s="35"/>
      <c r="GY383" s="35"/>
      <c r="GZ383" s="35"/>
      <c r="HA383" s="35"/>
      <c r="HB383" s="35"/>
      <c r="HC383" s="35"/>
      <c r="HD383" s="35"/>
      <c r="HE383" s="35"/>
      <c r="HF383" s="35"/>
      <c r="HG383" s="35"/>
      <c r="HH383" s="35"/>
      <c r="HI383" s="35"/>
      <c r="HJ383" s="35"/>
      <c r="HK383" s="35"/>
      <c r="HL383" s="35"/>
      <c r="HM383" s="35"/>
      <c r="HN383" s="35"/>
      <c r="HO383" s="35"/>
      <c r="HP383" s="35"/>
      <c r="HQ383" s="35"/>
      <c r="HR383" s="35"/>
      <c r="HS383" s="35"/>
      <c r="HT383" s="35"/>
      <c r="HU383" s="35"/>
      <c r="HV383" s="35"/>
      <c r="HW383" s="35"/>
      <c r="HX383" s="35"/>
      <c r="HY383" s="35"/>
      <c r="HZ383" s="35"/>
      <c r="IA383" s="35"/>
      <c r="IB383" s="35"/>
      <c r="IC383" s="35"/>
      <c r="ID383" s="35"/>
      <c r="IE383" s="35"/>
      <c r="IF383" s="35"/>
      <c r="IG383" s="35"/>
      <c r="IH383" s="35"/>
      <c r="II383" s="35"/>
      <c r="IJ383" s="35"/>
      <c r="IK383" s="35"/>
      <c r="IL383" s="35"/>
      <c r="IM383" s="35"/>
      <c r="IN383" s="35"/>
      <c r="IO383" s="35"/>
      <c r="IP383" s="35"/>
      <c r="IQ383" s="35"/>
      <c r="IR383" s="35"/>
      <c r="IS383" s="35"/>
      <c r="IT383" s="35"/>
      <c r="IU383" s="35"/>
      <c r="IV383" s="35"/>
      <c r="IW383" s="35"/>
      <c r="IX383" s="35"/>
      <c r="IY383" s="35"/>
      <c r="IZ383" s="35"/>
      <c r="JA383" s="35"/>
      <c r="JB383" s="35"/>
      <c r="JC383" s="35"/>
      <c r="JD383" s="35"/>
      <c r="JE383" s="35"/>
    </row>
    <row r="384">
      <c r="A384" s="42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  <c r="BR384" s="35"/>
      <c r="BS384" s="35"/>
      <c r="BT384" s="35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35"/>
      <c r="CO384" s="35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35"/>
      <c r="DJ384" s="35"/>
      <c r="DK384" s="35"/>
      <c r="DL384" s="35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35"/>
      <c r="EE384" s="35"/>
      <c r="EF384" s="35"/>
      <c r="EG384" s="35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35"/>
      <c r="EZ384" s="35"/>
      <c r="FA384" s="35"/>
      <c r="FB384" s="35"/>
      <c r="FC384" s="35"/>
      <c r="FD384" s="35"/>
      <c r="FE384" s="35"/>
      <c r="FF384" s="35"/>
      <c r="FG384" s="35"/>
      <c r="FH384" s="35"/>
      <c r="FI384" s="35"/>
      <c r="FJ384" s="35"/>
      <c r="FK384" s="35"/>
      <c r="FL384" s="35"/>
      <c r="FM384" s="35"/>
      <c r="FN384" s="35"/>
      <c r="FO384" s="35"/>
      <c r="FP384" s="35"/>
      <c r="FQ384" s="35"/>
      <c r="FR384" s="35"/>
      <c r="FS384" s="35"/>
      <c r="FT384" s="35"/>
      <c r="FU384" s="35"/>
      <c r="FV384" s="35"/>
      <c r="FW384" s="35"/>
      <c r="FX384" s="35"/>
      <c r="FY384" s="35"/>
      <c r="FZ384" s="35"/>
      <c r="GA384" s="35"/>
      <c r="GB384" s="35"/>
      <c r="GC384" s="35"/>
      <c r="GD384" s="35"/>
      <c r="GE384" s="35"/>
      <c r="GF384" s="35"/>
      <c r="GG384" s="35"/>
      <c r="GH384" s="35"/>
      <c r="GI384" s="35"/>
      <c r="GJ384" s="35"/>
      <c r="GK384" s="35"/>
      <c r="GL384" s="35"/>
      <c r="GM384" s="35"/>
      <c r="GN384" s="35"/>
      <c r="GO384" s="35"/>
      <c r="GP384" s="35"/>
      <c r="GQ384" s="35"/>
      <c r="GR384" s="35"/>
      <c r="GS384" s="35"/>
      <c r="GT384" s="35"/>
      <c r="GU384" s="35"/>
      <c r="GV384" s="35"/>
      <c r="GW384" s="35"/>
      <c r="GX384" s="35"/>
      <c r="GY384" s="35"/>
      <c r="GZ384" s="35"/>
      <c r="HA384" s="35"/>
      <c r="HB384" s="35"/>
      <c r="HC384" s="35"/>
      <c r="HD384" s="35"/>
      <c r="HE384" s="35"/>
      <c r="HF384" s="35"/>
      <c r="HG384" s="35"/>
      <c r="HH384" s="35"/>
      <c r="HI384" s="35"/>
      <c r="HJ384" s="35"/>
      <c r="HK384" s="35"/>
      <c r="HL384" s="35"/>
      <c r="HM384" s="35"/>
      <c r="HN384" s="35"/>
      <c r="HO384" s="35"/>
      <c r="HP384" s="35"/>
      <c r="HQ384" s="35"/>
      <c r="HR384" s="35"/>
      <c r="HS384" s="35"/>
      <c r="HT384" s="35"/>
      <c r="HU384" s="35"/>
      <c r="HV384" s="35"/>
      <c r="HW384" s="35"/>
      <c r="HX384" s="35"/>
      <c r="HY384" s="35"/>
      <c r="HZ384" s="35"/>
      <c r="IA384" s="35"/>
      <c r="IB384" s="35"/>
      <c r="IC384" s="35"/>
      <c r="ID384" s="35"/>
      <c r="IE384" s="35"/>
      <c r="IF384" s="35"/>
      <c r="IG384" s="35"/>
      <c r="IH384" s="35"/>
      <c r="II384" s="35"/>
      <c r="IJ384" s="35"/>
      <c r="IK384" s="35"/>
      <c r="IL384" s="35"/>
      <c r="IM384" s="35"/>
      <c r="IN384" s="35"/>
      <c r="IO384" s="35"/>
      <c r="IP384" s="35"/>
      <c r="IQ384" s="35"/>
      <c r="IR384" s="35"/>
      <c r="IS384" s="35"/>
      <c r="IT384" s="35"/>
      <c r="IU384" s="35"/>
      <c r="IV384" s="35"/>
      <c r="IW384" s="35"/>
      <c r="IX384" s="35"/>
      <c r="IY384" s="35"/>
      <c r="IZ384" s="35"/>
      <c r="JA384" s="35"/>
      <c r="JB384" s="35"/>
      <c r="JC384" s="35"/>
      <c r="JD384" s="35"/>
      <c r="JE384" s="35"/>
    </row>
    <row r="385">
      <c r="A385" s="42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35"/>
      <c r="BS385" s="35"/>
      <c r="BT385" s="35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35"/>
      <c r="CO385" s="35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35"/>
      <c r="DJ385" s="35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35"/>
      <c r="EE385" s="35"/>
      <c r="EF385" s="35"/>
      <c r="EG385" s="35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35"/>
      <c r="EZ385" s="35"/>
      <c r="FA385" s="35"/>
      <c r="FB385" s="35"/>
      <c r="FC385" s="35"/>
      <c r="FD385" s="35"/>
      <c r="FE385" s="35"/>
      <c r="FF385" s="35"/>
      <c r="FG385" s="35"/>
      <c r="FH385" s="35"/>
      <c r="FI385" s="35"/>
      <c r="FJ385" s="35"/>
      <c r="FK385" s="35"/>
      <c r="FL385" s="35"/>
      <c r="FM385" s="35"/>
      <c r="FN385" s="35"/>
      <c r="FO385" s="35"/>
      <c r="FP385" s="35"/>
      <c r="FQ385" s="35"/>
      <c r="FR385" s="35"/>
      <c r="FS385" s="35"/>
      <c r="FT385" s="35"/>
      <c r="FU385" s="35"/>
      <c r="FV385" s="35"/>
      <c r="FW385" s="35"/>
      <c r="FX385" s="35"/>
      <c r="FY385" s="35"/>
      <c r="FZ385" s="35"/>
      <c r="GA385" s="35"/>
      <c r="GB385" s="35"/>
      <c r="GC385" s="35"/>
      <c r="GD385" s="35"/>
      <c r="GE385" s="35"/>
      <c r="GF385" s="35"/>
      <c r="GG385" s="35"/>
      <c r="GH385" s="35"/>
      <c r="GI385" s="35"/>
      <c r="GJ385" s="35"/>
      <c r="GK385" s="35"/>
      <c r="GL385" s="35"/>
      <c r="GM385" s="35"/>
      <c r="GN385" s="35"/>
      <c r="GO385" s="35"/>
      <c r="GP385" s="35"/>
      <c r="GQ385" s="35"/>
      <c r="GR385" s="35"/>
      <c r="GS385" s="35"/>
      <c r="GT385" s="35"/>
      <c r="GU385" s="35"/>
      <c r="GV385" s="35"/>
      <c r="GW385" s="35"/>
      <c r="GX385" s="35"/>
      <c r="GY385" s="35"/>
      <c r="GZ385" s="35"/>
      <c r="HA385" s="35"/>
      <c r="HB385" s="35"/>
      <c r="HC385" s="35"/>
      <c r="HD385" s="35"/>
      <c r="HE385" s="35"/>
      <c r="HF385" s="35"/>
      <c r="HG385" s="35"/>
      <c r="HH385" s="35"/>
      <c r="HI385" s="35"/>
      <c r="HJ385" s="35"/>
      <c r="HK385" s="35"/>
      <c r="HL385" s="35"/>
      <c r="HM385" s="35"/>
      <c r="HN385" s="35"/>
      <c r="HO385" s="35"/>
      <c r="HP385" s="35"/>
      <c r="HQ385" s="35"/>
      <c r="HR385" s="35"/>
      <c r="HS385" s="35"/>
      <c r="HT385" s="35"/>
      <c r="HU385" s="35"/>
      <c r="HV385" s="35"/>
      <c r="HW385" s="35"/>
      <c r="HX385" s="35"/>
      <c r="HY385" s="35"/>
      <c r="HZ385" s="35"/>
      <c r="IA385" s="35"/>
      <c r="IB385" s="35"/>
      <c r="IC385" s="35"/>
      <c r="ID385" s="35"/>
      <c r="IE385" s="35"/>
      <c r="IF385" s="35"/>
      <c r="IG385" s="35"/>
      <c r="IH385" s="35"/>
      <c r="II385" s="35"/>
      <c r="IJ385" s="35"/>
      <c r="IK385" s="35"/>
      <c r="IL385" s="35"/>
      <c r="IM385" s="35"/>
      <c r="IN385" s="35"/>
      <c r="IO385" s="35"/>
      <c r="IP385" s="35"/>
      <c r="IQ385" s="35"/>
      <c r="IR385" s="35"/>
      <c r="IS385" s="35"/>
      <c r="IT385" s="35"/>
      <c r="IU385" s="35"/>
      <c r="IV385" s="35"/>
      <c r="IW385" s="35"/>
      <c r="IX385" s="35"/>
      <c r="IY385" s="35"/>
      <c r="IZ385" s="35"/>
      <c r="JA385" s="35"/>
      <c r="JB385" s="35"/>
      <c r="JC385" s="35"/>
      <c r="JD385" s="35"/>
      <c r="JE385" s="35"/>
    </row>
    <row r="386">
      <c r="A386" s="42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/>
      <c r="BP386" s="35"/>
      <c r="BQ386" s="35"/>
      <c r="BR386" s="35"/>
      <c r="BS386" s="35"/>
      <c r="BT386" s="35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35"/>
      <c r="CO386" s="35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35"/>
      <c r="DJ386" s="35"/>
      <c r="DK386" s="35"/>
      <c r="DL386" s="35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35"/>
      <c r="EE386" s="35"/>
      <c r="EF386" s="35"/>
      <c r="EG386" s="35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35"/>
      <c r="EZ386" s="35"/>
      <c r="FA386" s="35"/>
      <c r="FB386" s="35"/>
      <c r="FC386" s="35"/>
      <c r="FD386" s="35"/>
      <c r="FE386" s="35"/>
      <c r="FF386" s="35"/>
      <c r="FG386" s="35"/>
      <c r="FH386" s="35"/>
      <c r="FI386" s="35"/>
      <c r="FJ386" s="35"/>
      <c r="FK386" s="35"/>
      <c r="FL386" s="35"/>
      <c r="FM386" s="35"/>
      <c r="FN386" s="35"/>
      <c r="FO386" s="35"/>
      <c r="FP386" s="35"/>
      <c r="FQ386" s="35"/>
      <c r="FR386" s="35"/>
      <c r="FS386" s="35"/>
      <c r="FT386" s="35"/>
      <c r="FU386" s="35"/>
      <c r="FV386" s="35"/>
      <c r="FW386" s="35"/>
      <c r="FX386" s="35"/>
      <c r="FY386" s="35"/>
      <c r="FZ386" s="35"/>
      <c r="GA386" s="35"/>
      <c r="GB386" s="35"/>
      <c r="GC386" s="35"/>
      <c r="GD386" s="35"/>
      <c r="GE386" s="35"/>
      <c r="GF386" s="35"/>
      <c r="GG386" s="35"/>
      <c r="GH386" s="35"/>
      <c r="GI386" s="35"/>
      <c r="GJ386" s="35"/>
      <c r="GK386" s="35"/>
      <c r="GL386" s="35"/>
      <c r="GM386" s="35"/>
      <c r="GN386" s="35"/>
      <c r="GO386" s="35"/>
      <c r="GP386" s="35"/>
      <c r="GQ386" s="35"/>
      <c r="GR386" s="35"/>
      <c r="GS386" s="35"/>
      <c r="GT386" s="35"/>
      <c r="GU386" s="35"/>
      <c r="GV386" s="35"/>
      <c r="GW386" s="35"/>
      <c r="GX386" s="35"/>
      <c r="GY386" s="35"/>
      <c r="GZ386" s="35"/>
      <c r="HA386" s="35"/>
      <c r="HB386" s="35"/>
      <c r="HC386" s="35"/>
      <c r="HD386" s="35"/>
      <c r="HE386" s="35"/>
      <c r="HF386" s="35"/>
      <c r="HG386" s="35"/>
      <c r="HH386" s="35"/>
      <c r="HI386" s="35"/>
      <c r="HJ386" s="35"/>
      <c r="HK386" s="35"/>
      <c r="HL386" s="35"/>
      <c r="HM386" s="35"/>
      <c r="HN386" s="35"/>
      <c r="HO386" s="35"/>
      <c r="HP386" s="35"/>
      <c r="HQ386" s="35"/>
      <c r="HR386" s="35"/>
      <c r="HS386" s="35"/>
      <c r="HT386" s="35"/>
      <c r="HU386" s="35"/>
      <c r="HV386" s="35"/>
      <c r="HW386" s="35"/>
      <c r="HX386" s="35"/>
      <c r="HY386" s="35"/>
      <c r="HZ386" s="35"/>
      <c r="IA386" s="35"/>
      <c r="IB386" s="35"/>
      <c r="IC386" s="35"/>
      <c r="ID386" s="35"/>
      <c r="IE386" s="35"/>
      <c r="IF386" s="35"/>
      <c r="IG386" s="35"/>
      <c r="IH386" s="35"/>
      <c r="II386" s="35"/>
      <c r="IJ386" s="35"/>
      <c r="IK386" s="35"/>
      <c r="IL386" s="35"/>
      <c r="IM386" s="35"/>
      <c r="IN386" s="35"/>
      <c r="IO386" s="35"/>
      <c r="IP386" s="35"/>
      <c r="IQ386" s="35"/>
      <c r="IR386" s="35"/>
      <c r="IS386" s="35"/>
      <c r="IT386" s="35"/>
      <c r="IU386" s="35"/>
      <c r="IV386" s="35"/>
      <c r="IW386" s="35"/>
      <c r="IX386" s="35"/>
      <c r="IY386" s="35"/>
      <c r="IZ386" s="35"/>
      <c r="JA386" s="35"/>
      <c r="JB386" s="35"/>
      <c r="JC386" s="35"/>
      <c r="JD386" s="35"/>
      <c r="JE386" s="35"/>
    </row>
    <row r="387">
      <c r="A387" s="42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  <c r="BR387" s="35"/>
      <c r="BS387" s="35"/>
      <c r="BT387" s="35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35"/>
      <c r="CO387" s="35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35"/>
      <c r="DJ387" s="35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35"/>
      <c r="EE387" s="35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35"/>
      <c r="EZ387" s="35"/>
      <c r="FA387" s="35"/>
      <c r="FB387" s="35"/>
      <c r="FC387" s="35"/>
      <c r="FD387" s="35"/>
      <c r="FE387" s="35"/>
      <c r="FF387" s="35"/>
      <c r="FG387" s="35"/>
      <c r="FH387" s="35"/>
      <c r="FI387" s="35"/>
      <c r="FJ387" s="35"/>
      <c r="FK387" s="35"/>
      <c r="FL387" s="35"/>
      <c r="FM387" s="35"/>
      <c r="FN387" s="35"/>
      <c r="FO387" s="35"/>
      <c r="FP387" s="35"/>
      <c r="FQ387" s="35"/>
      <c r="FR387" s="35"/>
      <c r="FS387" s="35"/>
      <c r="FT387" s="35"/>
      <c r="FU387" s="35"/>
      <c r="FV387" s="35"/>
      <c r="FW387" s="35"/>
      <c r="FX387" s="35"/>
      <c r="FY387" s="35"/>
      <c r="FZ387" s="35"/>
      <c r="GA387" s="35"/>
      <c r="GB387" s="35"/>
      <c r="GC387" s="35"/>
      <c r="GD387" s="35"/>
      <c r="GE387" s="35"/>
      <c r="GF387" s="35"/>
      <c r="GG387" s="35"/>
      <c r="GH387" s="35"/>
      <c r="GI387" s="35"/>
      <c r="GJ387" s="35"/>
      <c r="GK387" s="35"/>
      <c r="GL387" s="35"/>
      <c r="GM387" s="35"/>
      <c r="GN387" s="35"/>
      <c r="GO387" s="35"/>
      <c r="GP387" s="35"/>
      <c r="GQ387" s="35"/>
      <c r="GR387" s="35"/>
      <c r="GS387" s="35"/>
      <c r="GT387" s="35"/>
      <c r="GU387" s="35"/>
      <c r="GV387" s="35"/>
      <c r="GW387" s="35"/>
      <c r="GX387" s="35"/>
      <c r="GY387" s="35"/>
      <c r="GZ387" s="35"/>
      <c r="HA387" s="35"/>
      <c r="HB387" s="35"/>
      <c r="HC387" s="35"/>
      <c r="HD387" s="35"/>
      <c r="HE387" s="35"/>
      <c r="HF387" s="35"/>
      <c r="HG387" s="35"/>
      <c r="HH387" s="35"/>
      <c r="HI387" s="35"/>
      <c r="HJ387" s="35"/>
      <c r="HK387" s="35"/>
      <c r="HL387" s="35"/>
      <c r="HM387" s="35"/>
      <c r="HN387" s="35"/>
      <c r="HO387" s="35"/>
      <c r="HP387" s="35"/>
      <c r="HQ387" s="35"/>
      <c r="HR387" s="35"/>
      <c r="HS387" s="35"/>
      <c r="HT387" s="35"/>
      <c r="HU387" s="35"/>
      <c r="HV387" s="35"/>
      <c r="HW387" s="35"/>
      <c r="HX387" s="35"/>
      <c r="HY387" s="35"/>
      <c r="HZ387" s="35"/>
      <c r="IA387" s="35"/>
      <c r="IB387" s="35"/>
      <c r="IC387" s="35"/>
      <c r="ID387" s="35"/>
      <c r="IE387" s="35"/>
      <c r="IF387" s="35"/>
      <c r="IG387" s="35"/>
      <c r="IH387" s="35"/>
      <c r="II387" s="35"/>
      <c r="IJ387" s="35"/>
      <c r="IK387" s="35"/>
      <c r="IL387" s="35"/>
      <c r="IM387" s="35"/>
      <c r="IN387" s="35"/>
      <c r="IO387" s="35"/>
      <c r="IP387" s="35"/>
      <c r="IQ387" s="35"/>
      <c r="IR387" s="35"/>
      <c r="IS387" s="35"/>
      <c r="IT387" s="35"/>
      <c r="IU387" s="35"/>
      <c r="IV387" s="35"/>
      <c r="IW387" s="35"/>
      <c r="IX387" s="35"/>
      <c r="IY387" s="35"/>
      <c r="IZ387" s="35"/>
      <c r="JA387" s="35"/>
      <c r="JB387" s="35"/>
      <c r="JC387" s="35"/>
      <c r="JD387" s="35"/>
      <c r="JE387" s="35"/>
    </row>
    <row r="388">
      <c r="A388" s="42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  <c r="BD388" s="35"/>
      <c r="BE388" s="35"/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/>
      <c r="BR388" s="35"/>
      <c r="BS388" s="35"/>
      <c r="BT388" s="35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35"/>
      <c r="CO388" s="35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35"/>
      <c r="DJ388" s="35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35"/>
      <c r="EE388" s="35"/>
      <c r="EF388" s="35"/>
      <c r="EG388" s="35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35"/>
      <c r="EZ388" s="35"/>
      <c r="FA388" s="35"/>
      <c r="FB388" s="35"/>
      <c r="FC388" s="35"/>
      <c r="FD388" s="35"/>
      <c r="FE388" s="35"/>
      <c r="FF388" s="35"/>
      <c r="FG388" s="35"/>
      <c r="FH388" s="35"/>
      <c r="FI388" s="35"/>
      <c r="FJ388" s="35"/>
      <c r="FK388" s="35"/>
      <c r="FL388" s="35"/>
      <c r="FM388" s="35"/>
      <c r="FN388" s="35"/>
      <c r="FO388" s="35"/>
      <c r="FP388" s="35"/>
      <c r="FQ388" s="35"/>
      <c r="FR388" s="35"/>
      <c r="FS388" s="35"/>
      <c r="FT388" s="35"/>
      <c r="FU388" s="35"/>
      <c r="FV388" s="35"/>
      <c r="FW388" s="35"/>
      <c r="FX388" s="35"/>
      <c r="FY388" s="35"/>
      <c r="FZ388" s="35"/>
      <c r="GA388" s="35"/>
      <c r="GB388" s="35"/>
      <c r="GC388" s="35"/>
      <c r="GD388" s="35"/>
      <c r="GE388" s="35"/>
      <c r="GF388" s="35"/>
      <c r="GG388" s="35"/>
      <c r="GH388" s="35"/>
      <c r="GI388" s="35"/>
      <c r="GJ388" s="35"/>
      <c r="GK388" s="35"/>
      <c r="GL388" s="35"/>
      <c r="GM388" s="35"/>
      <c r="GN388" s="35"/>
      <c r="GO388" s="35"/>
      <c r="GP388" s="35"/>
      <c r="GQ388" s="35"/>
      <c r="GR388" s="35"/>
      <c r="GS388" s="35"/>
      <c r="GT388" s="35"/>
      <c r="GU388" s="35"/>
      <c r="GV388" s="35"/>
      <c r="GW388" s="35"/>
      <c r="GX388" s="35"/>
      <c r="GY388" s="35"/>
      <c r="GZ388" s="35"/>
      <c r="HA388" s="35"/>
      <c r="HB388" s="35"/>
      <c r="HC388" s="35"/>
      <c r="HD388" s="35"/>
      <c r="HE388" s="35"/>
      <c r="HF388" s="35"/>
      <c r="HG388" s="35"/>
      <c r="HH388" s="35"/>
      <c r="HI388" s="35"/>
      <c r="HJ388" s="35"/>
      <c r="HK388" s="35"/>
      <c r="HL388" s="35"/>
      <c r="HM388" s="35"/>
      <c r="HN388" s="35"/>
      <c r="HO388" s="35"/>
      <c r="HP388" s="35"/>
      <c r="HQ388" s="35"/>
      <c r="HR388" s="35"/>
      <c r="HS388" s="35"/>
      <c r="HT388" s="35"/>
      <c r="HU388" s="35"/>
      <c r="HV388" s="35"/>
      <c r="HW388" s="35"/>
      <c r="HX388" s="35"/>
      <c r="HY388" s="35"/>
      <c r="HZ388" s="35"/>
      <c r="IA388" s="35"/>
      <c r="IB388" s="35"/>
      <c r="IC388" s="35"/>
      <c r="ID388" s="35"/>
      <c r="IE388" s="35"/>
      <c r="IF388" s="35"/>
      <c r="IG388" s="35"/>
      <c r="IH388" s="35"/>
      <c r="II388" s="35"/>
      <c r="IJ388" s="35"/>
      <c r="IK388" s="35"/>
      <c r="IL388" s="35"/>
      <c r="IM388" s="35"/>
      <c r="IN388" s="35"/>
      <c r="IO388" s="35"/>
      <c r="IP388" s="35"/>
      <c r="IQ388" s="35"/>
      <c r="IR388" s="35"/>
      <c r="IS388" s="35"/>
      <c r="IT388" s="35"/>
      <c r="IU388" s="35"/>
      <c r="IV388" s="35"/>
      <c r="IW388" s="35"/>
      <c r="IX388" s="35"/>
      <c r="IY388" s="35"/>
      <c r="IZ388" s="35"/>
      <c r="JA388" s="35"/>
      <c r="JB388" s="35"/>
      <c r="JC388" s="35"/>
      <c r="JD388" s="35"/>
      <c r="JE388" s="35"/>
    </row>
    <row r="389">
      <c r="A389" s="42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  <c r="BC389" s="35"/>
      <c r="BD389" s="35"/>
      <c r="BE389" s="35"/>
      <c r="BF389" s="35"/>
      <c r="BG389" s="35"/>
      <c r="BH389" s="35"/>
      <c r="BI389" s="35"/>
      <c r="BJ389" s="35"/>
      <c r="BK389" s="35"/>
      <c r="BL389" s="35"/>
      <c r="BM389" s="35"/>
      <c r="BN389" s="35"/>
      <c r="BO389" s="35"/>
      <c r="BP389" s="35"/>
      <c r="BQ389" s="35"/>
      <c r="BR389" s="35"/>
      <c r="BS389" s="35"/>
      <c r="BT389" s="35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35"/>
      <c r="CO389" s="35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35"/>
      <c r="DJ389" s="35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35"/>
      <c r="EE389" s="35"/>
      <c r="EF389" s="35"/>
      <c r="EG389" s="35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35"/>
      <c r="EZ389" s="35"/>
      <c r="FA389" s="35"/>
      <c r="FB389" s="35"/>
      <c r="FC389" s="35"/>
      <c r="FD389" s="35"/>
      <c r="FE389" s="35"/>
      <c r="FF389" s="35"/>
      <c r="FG389" s="35"/>
      <c r="FH389" s="35"/>
      <c r="FI389" s="35"/>
      <c r="FJ389" s="35"/>
      <c r="FK389" s="35"/>
      <c r="FL389" s="35"/>
      <c r="FM389" s="35"/>
      <c r="FN389" s="35"/>
      <c r="FO389" s="35"/>
      <c r="FP389" s="35"/>
      <c r="FQ389" s="35"/>
      <c r="FR389" s="35"/>
      <c r="FS389" s="35"/>
      <c r="FT389" s="35"/>
      <c r="FU389" s="35"/>
      <c r="FV389" s="35"/>
      <c r="FW389" s="35"/>
      <c r="FX389" s="35"/>
      <c r="FY389" s="35"/>
      <c r="FZ389" s="35"/>
      <c r="GA389" s="35"/>
      <c r="GB389" s="35"/>
      <c r="GC389" s="35"/>
      <c r="GD389" s="35"/>
      <c r="GE389" s="35"/>
      <c r="GF389" s="35"/>
      <c r="GG389" s="35"/>
      <c r="GH389" s="35"/>
      <c r="GI389" s="35"/>
      <c r="GJ389" s="35"/>
      <c r="GK389" s="35"/>
      <c r="GL389" s="35"/>
      <c r="GM389" s="35"/>
      <c r="GN389" s="35"/>
      <c r="GO389" s="35"/>
      <c r="GP389" s="35"/>
      <c r="GQ389" s="35"/>
      <c r="GR389" s="35"/>
      <c r="GS389" s="35"/>
      <c r="GT389" s="35"/>
      <c r="GU389" s="35"/>
      <c r="GV389" s="35"/>
      <c r="GW389" s="35"/>
      <c r="GX389" s="35"/>
      <c r="GY389" s="35"/>
      <c r="GZ389" s="35"/>
      <c r="HA389" s="35"/>
      <c r="HB389" s="35"/>
      <c r="HC389" s="35"/>
      <c r="HD389" s="35"/>
      <c r="HE389" s="35"/>
      <c r="HF389" s="35"/>
      <c r="HG389" s="35"/>
      <c r="HH389" s="35"/>
      <c r="HI389" s="35"/>
      <c r="HJ389" s="35"/>
      <c r="HK389" s="35"/>
      <c r="HL389" s="35"/>
      <c r="HM389" s="35"/>
      <c r="HN389" s="35"/>
      <c r="HO389" s="35"/>
      <c r="HP389" s="35"/>
      <c r="HQ389" s="35"/>
      <c r="HR389" s="35"/>
      <c r="HS389" s="35"/>
      <c r="HT389" s="35"/>
      <c r="HU389" s="35"/>
      <c r="HV389" s="35"/>
      <c r="HW389" s="35"/>
      <c r="HX389" s="35"/>
      <c r="HY389" s="35"/>
      <c r="HZ389" s="35"/>
      <c r="IA389" s="35"/>
      <c r="IB389" s="35"/>
      <c r="IC389" s="35"/>
      <c r="ID389" s="35"/>
      <c r="IE389" s="35"/>
      <c r="IF389" s="35"/>
      <c r="IG389" s="35"/>
      <c r="IH389" s="35"/>
      <c r="II389" s="35"/>
      <c r="IJ389" s="35"/>
      <c r="IK389" s="35"/>
      <c r="IL389" s="35"/>
      <c r="IM389" s="35"/>
      <c r="IN389" s="35"/>
      <c r="IO389" s="35"/>
      <c r="IP389" s="35"/>
      <c r="IQ389" s="35"/>
      <c r="IR389" s="35"/>
      <c r="IS389" s="35"/>
      <c r="IT389" s="35"/>
      <c r="IU389" s="35"/>
      <c r="IV389" s="35"/>
      <c r="IW389" s="35"/>
      <c r="IX389" s="35"/>
      <c r="IY389" s="35"/>
      <c r="IZ389" s="35"/>
      <c r="JA389" s="35"/>
      <c r="JB389" s="35"/>
      <c r="JC389" s="35"/>
      <c r="JD389" s="35"/>
      <c r="JE389" s="35"/>
    </row>
    <row r="390">
      <c r="A390" s="42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  <c r="BC390" s="35"/>
      <c r="BD390" s="35"/>
      <c r="BE390" s="35"/>
      <c r="BF390" s="35"/>
      <c r="BG390" s="35"/>
      <c r="BH390" s="35"/>
      <c r="BI390" s="35"/>
      <c r="BJ390" s="35"/>
      <c r="BK390" s="35"/>
      <c r="BL390" s="35"/>
      <c r="BM390" s="35"/>
      <c r="BN390" s="35"/>
      <c r="BO390" s="35"/>
      <c r="BP390" s="35"/>
      <c r="BQ390" s="35"/>
      <c r="BR390" s="35"/>
      <c r="BS390" s="35"/>
      <c r="BT390" s="35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35"/>
      <c r="CO390" s="35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35"/>
      <c r="DJ390" s="35"/>
      <c r="DK390" s="35"/>
      <c r="DL390" s="35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35"/>
      <c r="EE390" s="35"/>
      <c r="EF390" s="35"/>
      <c r="EG390" s="35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35"/>
      <c r="EZ390" s="35"/>
      <c r="FA390" s="35"/>
      <c r="FB390" s="35"/>
      <c r="FC390" s="35"/>
      <c r="FD390" s="35"/>
      <c r="FE390" s="35"/>
      <c r="FF390" s="35"/>
      <c r="FG390" s="35"/>
      <c r="FH390" s="35"/>
      <c r="FI390" s="35"/>
      <c r="FJ390" s="35"/>
      <c r="FK390" s="35"/>
      <c r="FL390" s="35"/>
      <c r="FM390" s="35"/>
      <c r="FN390" s="35"/>
      <c r="FO390" s="35"/>
      <c r="FP390" s="35"/>
      <c r="FQ390" s="35"/>
      <c r="FR390" s="35"/>
      <c r="FS390" s="35"/>
      <c r="FT390" s="35"/>
      <c r="FU390" s="35"/>
      <c r="FV390" s="35"/>
      <c r="FW390" s="35"/>
      <c r="FX390" s="35"/>
      <c r="FY390" s="35"/>
      <c r="FZ390" s="35"/>
      <c r="GA390" s="35"/>
      <c r="GB390" s="35"/>
      <c r="GC390" s="35"/>
      <c r="GD390" s="35"/>
      <c r="GE390" s="35"/>
      <c r="GF390" s="35"/>
      <c r="GG390" s="35"/>
      <c r="GH390" s="35"/>
      <c r="GI390" s="35"/>
      <c r="GJ390" s="35"/>
      <c r="GK390" s="35"/>
      <c r="GL390" s="35"/>
      <c r="GM390" s="35"/>
      <c r="GN390" s="35"/>
      <c r="GO390" s="35"/>
      <c r="GP390" s="35"/>
      <c r="GQ390" s="35"/>
      <c r="GR390" s="35"/>
      <c r="GS390" s="35"/>
      <c r="GT390" s="35"/>
      <c r="GU390" s="35"/>
      <c r="GV390" s="35"/>
      <c r="GW390" s="35"/>
      <c r="GX390" s="35"/>
      <c r="GY390" s="35"/>
      <c r="GZ390" s="35"/>
      <c r="HA390" s="35"/>
      <c r="HB390" s="35"/>
      <c r="HC390" s="35"/>
      <c r="HD390" s="35"/>
      <c r="HE390" s="35"/>
      <c r="HF390" s="35"/>
      <c r="HG390" s="35"/>
      <c r="HH390" s="35"/>
      <c r="HI390" s="35"/>
      <c r="HJ390" s="35"/>
      <c r="HK390" s="35"/>
      <c r="HL390" s="35"/>
      <c r="HM390" s="35"/>
      <c r="HN390" s="35"/>
      <c r="HO390" s="35"/>
      <c r="HP390" s="35"/>
      <c r="HQ390" s="35"/>
      <c r="HR390" s="35"/>
      <c r="HS390" s="35"/>
      <c r="HT390" s="35"/>
      <c r="HU390" s="35"/>
      <c r="HV390" s="35"/>
      <c r="HW390" s="35"/>
      <c r="HX390" s="35"/>
      <c r="HY390" s="35"/>
      <c r="HZ390" s="35"/>
      <c r="IA390" s="35"/>
      <c r="IB390" s="35"/>
      <c r="IC390" s="35"/>
      <c r="ID390" s="35"/>
      <c r="IE390" s="35"/>
      <c r="IF390" s="35"/>
      <c r="IG390" s="35"/>
      <c r="IH390" s="35"/>
      <c r="II390" s="35"/>
      <c r="IJ390" s="35"/>
      <c r="IK390" s="35"/>
      <c r="IL390" s="35"/>
      <c r="IM390" s="35"/>
      <c r="IN390" s="35"/>
      <c r="IO390" s="35"/>
      <c r="IP390" s="35"/>
      <c r="IQ390" s="35"/>
      <c r="IR390" s="35"/>
      <c r="IS390" s="35"/>
      <c r="IT390" s="35"/>
      <c r="IU390" s="35"/>
      <c r="IV390" s="35"/>
      <c r="IW390" s="35"/>
      <c r="IX390" s="35"/>
      <c r="IY390" s="35"/>
      <c r="IZ390" s="35"/>
      <c r="JA390" s="35"/>
      <c r="JB390" s="35"/>
      <c r="JC390" s="35"/>
      <c r="JD390" s="35"/>
      <c r="JE390" s="35"/>
    </row>
    <row r="391">
      <c r="A391" s="42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  <c r="BC391" s="35"/>
      <c r="BD391" s="35"/>
      <c r="BE391" s="35"/>
      <c r="BF391" s="35"/>
      <c r="BG391" s="35"/>
      <c r="BH391" s="35"/>
      <c r="BI391" s="35"/>
      <c r="BJ391" s="35"/>
      <c r="BK391" s="35"/>
      <c r="BL391" s="35"/>
      <c r="BM391" s="35"/>
      <c r="BN391" s="35"/>
      <c r="BO391" s="35"/>
      <c r="BP391" s="35"/>
      <c r="BQ391" s="35"/>
      <c r="BR391" s="35"/>
      <c r="BS391" s="35"/>
      <c r="BT391" s="35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35"/>
      <c r="CO391" s="35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35"/>
      <c r="DJ391" s="35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35"/>
      <c r="EE391" s="35"/>
      <c r="EF391" s="35"/>
      <c r="EG391" s="35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35"/>
      <c r="EZ391" s="35"/>
      <c r="FA391" s="35"/>
      <c r="FB391" s="35"/>
      <c r="FC391" s="35"/>
      <c r="FD391" s="35"/>
      <c r="FE391" s="35"/>
      <c r="FF391" s="35"/>
      <c r="FG391" s="35"/>
      <c r="FH391" s="35"/>
      <c r="FI391" s="35"/>
      <c r="FJ391" s="35"/>
      <c r="FK391" s="35"/>
      <c r="FL391" s="35"/>
      <c r="FM391" s="35"/>
      <c r="FN391" s="35"/>
      <c r="FO391" s="35"/>
      <c r="FP391" s="35"/>
      <c r="FQ391" s="35"/>
      <c r="FR391" s="35"/>
      <c r="FS391" s="35"/>
      <c r="FT391" s="35"/>
      <c r="FU391" s="35"/>
      <c r="FV391" s="35"/>
      <c r="FW391" s="35"/>
      <c r="FX391" s="35"/>
      <c r="FY391" s="35"/>
      <c r="FZ391" s="35"/>
      <c r="GA391" s="35"/>
      <c r="GB391" s="35"/>
      <c r="GC391" s="35"/>
      <c r="GD391" s="35"/>
      <c r="GE391" s="35"/>
      <c r="GF391" s="35"/>
      <c r="GG391" s="35"/>
      <c r="GH391" s="35"/>
      <c r="GI391" s="35"/>
      <c r="GJ391" s="35"/>
      <c r="GK391" s="35"/>
      <c r="GL391" s="35"/>
      <c r="GM391" s="35"/>
      <c r="GN391" s="35"/>
      <c r="GO391" s="35"/>
      <c r="GP391" s="35"/>
      <c r="GQ391" s="35"/>
      <c r="GR391" s="35"/>
      <c r="GS391" s="35"/>
      <c r="GT391" s="35"/>
      <c r="GU391" s="35"/>
      <c r="GV391" s="35"/>
      <c r="GW391" s="35"/>
      <c r="GX391" s="35"/>
      <c r="GY391" s="35"/>
      <c r="GZ391" s="35"/>
      <c r="HA391" s="35"/>
      <c r="HB391" s="35"/>
      <c r="HC391" s="35"/>
      <c r="HD391" s="35"/>
      <c r="HE391" s="35"/>
      <c r="HF391" s="35"/>
      <c r="HG391" s="35"/>
      <c r="HH391" s="35"/>
      <c r="HI391" s="35"/>
      <c r="HJ391" s="35"/>
      <c r="HK391" s="35"/>
      <c r="HL391" s="35"/>
      <c r="HM391" s="35"/>
      <c r="HN391" s="35"/>
      <c r="HO391" s="35"/>
      <c r="HP391" s="35"/>
      <c r="HQ391" s="35"/>
      <c r="HR391" s="35"/>
      <c r="HS391" s="35"/>
      <c r="HT391" s="35"/>
      <c r="HU391" s="35"/>
      <c r="HV391" s="35"/>
      <c r="HW391" s="35"/>
      <c r="HX391" s="35"/>
      <c r="HY391" s="35"/>
      <c r="HZ391" s="35"/>
      <c r="IA391" s="35"/>
      <c r="IB391" s="35"/>
      <c r="IC391" s="35"/>
      <c r="ID391" s="35"/>
      <c r="IE391" s="35"/>
      <c r="IF391" s="35"/>
      <c r="IG391" s="35"/>
      <c r="IH391" s="35"/>
      <c r="II391" s="35"/>
      <c r="IJ391" s="35"/>
      <c r="IK391" s="35"/>
      <c r="IL391" s="35"/>
      <c r="IM391" s="35"/>
      <c r="IN391" s="35"/>
      <c r="IO391" s="35"/>
      <c r="IP391" s="35"/>
      <c r="IQ391" s="35"/>
      <c r="IR391" s="35"/>
      <c r="IS391" s="35"/>
      <c r="IT391" s="35"/>
      <c r="IU391" s="35"/>
      <c r="IV391" s="35"/>
      <c r="IW391" s="35"/>
      <c r="IX391" s="35"/>
      <c r="IY391" s="35"/>
      <c r="IZ391" s="35"/>
      <c r="JA391" s="35"/>
      <c r="JB391" s="35"/>
      <c r="JC391" s="35"/>
      <c r="JD391" s="35"/>
      <c r="JE391" s="35"/>
    </row>
    <row r="392">
      <c r="A392" s="42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  <c r="BC392" s="35"/>
      <c r="BD392" s="35"/>
      <c r="BE392" s="35"/>
      <c r="BF392" s="35"/>
      <c r="BG392" s="35"/>
      <c r="BH392" s="35"/>
      <c r="BI392" s="35"/>
      <c r="BJ392" s="35"/>
      <c r="BK392" s="35"/>
      <c r="BL392" s="35"/>
      <c r="BM392" s="35"/>
      <c r="BN392" s="35"/>
      <c r="BO392" s="35"/>
      <c r="BP392" s="35"/>
      <c r="BQ392" s="35"/>
      <c r="BR392" s="35"/>
      <c r="BS392" s="35"/>
      <c r="BT392" s="35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35"/>
      <c r="CO392" s="35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35"/>
      <c r="DJ392" s="35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35"/>
      <c r="EE392" s="35"/>
      <c r="EF392" s="35"/>
      <c r="EG392" s="35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35"/>
      <c r="EZ392" s="35"/>
      <c r="FA392" s="35"/>
      <c r="FB392" s="35"/>
      <c r="FC392" s="35"/>
      <c r="FD392" s="35"/>
      <c r="FE392" s="35"/>
      <c r="FF392" s="35"/>
      <c r="FG392" s="35"/>
      <c r="FH392" s="35"/>
      <c r="FI392" s="35"/>
      <c r="FJ392" s="35"/>
      <c r="FK392" s="35"/>
      <c r="FL392" s="35"/>
      <c r="FM392" s="35"/>
      <c r="FN392" s="35"/>
      <c r="FO392" s="35"/>
      <c r="FP392" s="35"/>
      <c r="FQ392" s="35"/>
      <c r="FR392" s="35"/>
      <c r="FS392" s="35"/>
      <c r="FT392" s="35"/>
      <c r="FU392" s="35"/>
      <c r="FV392" s="35"/>
      <c r="FW392" s="35"/>
      <c r="FX392" s="35"/>
      <c r="FY392" s="35"/>
      <c r="FZ392" s="35"/>
      <c r="GA392" s="35"/>
      <c r="GB392" s="35"/>
      <c r="GC392" s="35"/>
      <c r="GD392" s="35"/>
      <c r="GE392" s="35"/>
      <c r="GF392" s="35"/>
      <c r="GG392" s="35"/>
      <c r="GH392" s="35"/>
      <c r="GI392" s="35"/>
      <c r="GJ392" s="35"/>
      <c r="GK392" s="35"/>
      <c r="GL392" s="35"/>
      <c r="GM392" s="35"/>
      <c r="GN392" s="35"/>
      <c r="GO392" s="35"/>
      <c r="GP392" s="35"/>
      <c r="GQ392" s="35"/>
      <c r="GR392" s="35"/>
      <c r="GS392" s="35"/>
      <c r="GT392" s="35"/>
      <c r="GU392" s="35"/>
      <c r="GV392" s="35"/>
      <c r="GW392" s="35"/>
      <c r="GX392" s="35"/>
      <c r="GY392" s="35"/>
      <c r="GZ392" s="35"/>
      <c r="HA392" s="35"/>
      <c r="HB392" s="35"/>
      <c r="HC392" s="35"/>
      <c r="HD392" s="35"/>
      <c r="HE392" s="35"/>
      <c r="HF392" s="35"/>
      <c r="HG392" s="35"/>
      <c r="HH392" s="35"/>
      <c r="HI392" s="35"/>
      <c r="HJ392" s="35"/>
      <c r="HK392" s="35"/>
      <c r="HL392" s="35"/>
      <c r="HM392" s="35"/>
      <c r="HN392" s="35"/>
      <c r="HO392" s="35"/>
      <c r="HP392" s="35"/>
      <c r="HQ392" s="35"/>
      <c r="HR392" s="35"/>
      <c r="HS392" s="35"/>
      <c r="HT392" s="35"/>
      <c r="HU392" s="35"/>
      <c r="HV392" s="35"/>
      <c r="HW392" s="35"/>
      <c r="HX392" s="35"/>
      <c r="HY392" s="35"/>
      <c r="HZ392" s="35"/>
      <c r="IA392" s="35"/>
      <c r="IB392" s="35"/>
      <c r="IC392" s="35"/>
      <c r="ID392" s="35"/>
      <c r="IE392" s="35"/>
      <c r="IF392" s="35"/>
      <c r="IG392" s="35"/>
      <c r="IH392" s="35"/>
      <c r="II392" s="35"/>
      <c r="IJ392" s="35"/>
      <c r="IK392" s="35"/>
      <c r="IL392" s="35"/>
      <c r="IM392" s="35"/>
      <c r="IN392" s="35"/>
      <c r="IO392" s="35"/>
      <c r="IP392" s="35"/>
      <c r="IQ392" s="35"/>
      <c r="IR392" s="35"/>
      <c r="IS392" s="35"/>
      <c r="IT392" s="35"/>
      <c r="IU392" s="35"/>
      <c r="IV392" s="35"/>
      <c r="IW392" s="35"/>
      <c r="IX392" s="35"/>
      <c r="IY392" s="35"/>
      <c r="IZ392" s="35"/>
      <c r="JA392" s="35"/>
      <c r="JB392" s="35"/>
      <c r="JC392" s="35"/>
      <c r="JD392" s="35"/>
      <c r="JE392" s="35"/>
    </row>
    <row r="393">
      <c r="A393" s="42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  <c r="BC393" s="35"/>
      <c r="BD393" s="35"/>
      <c r="BE393" s="35"/>
      <c r="BF393" s="35"/>
      <c r="BG393" s="35"/>
      <c r="BH393" s="35"/>
      <c r="BI393" s="35"/>
      <c r="BJ393" s="35"/>
      <c r="BK393" s="35"/>
      <c r="BL393" s="35"/>
      <c r="BM393" s="35"/>
      <c r="BN393" s="35"/>
      <c r="BO393" s="35"/>
      <c r="BP393" s="35"/>
      <c r="BQ393" s="35"/>
      <c r="BR393" s="35"/>
      <c r="BS393" s="35"/>
      <c r="BT393" s="35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35"/>
      <c r="CO393" s="35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35"/>
      <c r="DJ393" s="35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35"/>
      <c r="EE393" s="35"/>
      <c r="EF393" s="35"/>
      <c r="EG393" s="35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35"/>
      <c r="EZ393" s="35"/>
      <c r="FA393" s="35"/>
      <c r="FB393" s="35"/>
      <c r="FC393" s="35"/>
      <c r="FD393" s="35"/>
      <c r="FE393" s="35"/>
      <c r="FF393" s="35"/>
      <c r="FG393" s="35"/>
      <c r="FH393" s="35"/>
      <c r="FI393" s="35"/>
      <c r="FJ393" s="35"/>
      <c r="FK393" s="35"/>
      <c r="FL393" s="35"/>
      <c r="FM393" s="35"/>
      <c r="FN393" s="35"/>
      <c r="FO393" s="35"/>
      <c r="FP393" s="35"/>
      <c r="FQ393" s="35"/>
      <c r="FR393" s="35"/>
      <c r="FS393" s="35"/>
      <c r="FT393" s="35"/>
      <c r="FU393" s="35"/>
      <c r="FV393" s="35"/>
      <c r="FW393" s="35"/>
      <c r="FX393" s="35"/>
      <c r="FY393" s="35"/>
      <c r="FZ393" s="35"/>
      <c r="GA393" s="35"/>
      <c r="GB393" s="35"/>
      <c r="GC393" s="35"/>
      <c r="GD393" s="35"/>
      <c r="GE393" s="35"/>
      <c r="GF393" s="35"/>
      <c r="GG393" s="35"/>
      <c r="GH393" s="35"/>
      <c r="GI393" s="35"/>
      <c r="GJ393" s="35"/>
      <c r="GK393" s="35"/>
      <c r="GL393" s="35"/>
      <c r="GM393" s="35"/>
      <c r="GN393" s="35"/>
      <c r="GO393" s="35"/>
      <c r="GP393" s="35"/>
      <c r="GQ393" s="35"/>
      <c r="GR393" s="35"/>
      <c r="GS393" s="35"/>
      <c r="GT393" s="35"/>
      <c r="GU393" s="35"/>
      <c r="GV393" s="35"/>
      <c r="GW393" s="35"/>
      <c r="GX393" s="35"/>
      <c r="GY393" s="35"/>
      <c r="GZ393" s="35"/>
      <c r="HA393" s="35"/>
      <c r="HB393" s="35"/>
      <c r="HC393" s="35"/>
      <c r="HD393" s="35"/>
      <c r="HE393" s="35"/>
      <c r="HF393" s="35"/>
      <c r="HG393" s="35"/>
      <c r="HH393" s="35"/>
      <c r="HI393" s="35"/>
      <c r="HJ393" s="35"/>
      <c r="HK393" s="35"/>
      <c r="HL393" s="35"/>
      <c r="HM393" s="35"/>
      <c r="HN393" s="35"/>
      <c r="HO393" s="35"/>
      <c r="HP393" s="35"/>
      <c r="HQ393" s="35"/>
      <c r="HR393" s="35"/>
      <c r="HS393" s="35"/>
      <c r="HT393" s="35"/>
      <c r="HU393" s="35"/>
      <c r="HV393" s="35"/>
      <c r="HW393" s="35"/>
      <c r="HX393" s="35"/>
      <c r="HY393" s="35"/>
      <c r="HZ393" s="35"/>
      <c r="IA393" s="35"/>
      <c r="IB393" s="35"/>
      <c r="IC393" s="35"/>
      <c r="ID393" s="35"/>
      <c r="IE393" s="35"/>
      <c r="IF393" s="35"/>
      <c r="IG393" s="35"/>
      <c r="IH393" s="35"/>
      <c r="II393" s="35"/>
      <c r="IJ393" s="35"/>
      <c r="IK393" s="35"/>
      <c r="IL393" s="35"/>
      <c r="IM393" s="35"/>
      <c r="IN393" s="35"/>
      <c r="IO393" s="35"/>
      <c r="IP393" s="35"/>
      <c r="IQ393" s="35"/>
      <c r="IR393" s="35"/>
      <c r="IS393" s="35"/>
      <c r="IT393" s="35"/>
      <c r="IU393" s="35"/>
      <c r="IV393" s="35"/>
      <c r="IW393" s="35"/>
      <c r="IX393" s="35"/>
      <c r="IY393" s="35"/>
      <c r="IZ393" s="35"/>
      <c r="JA393" s="35"/>
      <c r="JB393" s="35"/>
      <c r="JC393" s="35"/>
      <c r="JD393" s="35"/>
      <c r="JE393" s="35"/>
    </row>
    <row r="394">
      <c r="A394" s="42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5"/>
      <c r="BR394" s="35"/>
      <c r="BS394" s="35"/>
      <c r="BT394" s="35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35"/>
      <c r="CO394" s="35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35"/>
      <c r="DJ394" s="35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35"/>
      <c r="EE394" s="35"/>
      <c r="EF394" s="35"/>
      <c r="EG394" s="35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35"/>
      <c r="EZ394" s="35"/>
      <c r="FA394" s="35"/>
      <c r="FB394" s="35"/>
      <c r="FC394" s="35"/>
      <c r="FD394" s="35"/>
      <c r="FE394" s="35"/>
      <c r="FF394" s="35"/>
      <c r="FG394" s="35"/>
      <c r="FH394" s="35"/>
      <c r="FI394" s="35"/>
      <c r="FJ394" s="35"/>
      <c r="FK394" s="35"/>
      <c r="FL394" s="35"/>
      <c r="FM394" s="35"/>
      <c r="FN394" s="35"/>
      <c r="FO394" s="35"/>
      <c r="FP394" s="35"/>
      <c r="FQ394" s="35"/>
      <c r="FR394" s="35"/>
      <c r="FS394" s="35"/>
      <c r="FT394" s="35"/>
      <c r="FU394" s="35"/>
      <c r="FV394" s="35"/>
      <c r="FW394" s="35"/>
      <c r="FX394" s="35"/>
      <c r="FY394" s="35"/>
      <c r="FZ394" s="35"/>
      <c r="GA394" s="35"/>
      <c r="GB394" s="35"/>
      <c r="GC394" s="35"/>
      <c r="GD394" s="35"/>
      <c r="GE394" s="35"/>
      <c r="GF394" s="35"/>
      <c r="GG394" s="35"/>
      <c r="GH394" s="35"/>
      <c r="GI394" s="35"/>
      <c r="GJ394" s="35"/>
      <c r="GK394" s="35"/>
      <c r="GL394" s="35"/>
      <c r="GM394" s="35"/>
      <c r="GN394" s="35"/>
      <c r="GO394" s="35"/>
      <c r="GP394" s="35"/>
      <c r="GQ394" s="35"/>
      <c r="GR394" s="35"/>
      <c r="GS394" s="35"/>
      <c r="GT394" s="35"/>
      <c r="GU394" s="35"/>
      <c r="GV394" s="35"/>
      <c r="GW394" s="35"/>
      <c r="GX394" s="35"/>
      <c r="GY394" s="35"/>
      <c r="GZ394" s="35"/>
      <c r="HA394" s="35"/>
      <c r="HB394" s="35"/>
      <c r="HC394" s="35"/>
      <c r="HD394" s="35"/>
      <c r="HE394" s="35"/>
      <c r="HF394" s="35"/>
      <c r="HG394" s="35"/>
      <c r="HH394" s="35"/>
      <c r="HI394" s="35"/>
      <c r="HJ394" s="35"/>
      <c r="HK394" s="35"/>
      <c r="HL394" s="35"/>
      <c r="HM394" s="35"/>
      <c r="HN394" s="35"/>
      <c r="HO394" s="35"/>
      <c r="HP394" s="35"/>
      <c r="HQ394" s="35"/>
      <c r="HR394" s="35"/>
      <c r="HS394" s="35"/>
      <c r="HT394" s="35"/>
      <c r="HU394" s="35"/>
      <c r="HV394" s="35"/>
      <c r="HW394" s="35"/>
      <c r="HX394" s="35"/>
      <c r="HY394" s="35"/>
      <c r="HZ394" s="35"/>
      <c r="IA394" s="35"/>
      <c r="IB394" s="35"/>
      <c r="IC394" s="35"/>
      <c r="ID394" s="35"/>
      <c r="IE394" s="35"/>
      <c r="IF394" s="35"/>
      <c r="IG394" s="35"/>
      <c r="IH394" s="35"/>
      <c r="II394" s="35"/>
      <c r="IJ394" s="35"/>
      <c r="IK394" s="35"/>
      <c r="IL394" s="35"/>
      <c r="IM394" s="35"/>
      <c r="IN394" s="35"/>
      <c r="IO394" s="35"/>
      <c r="IP394" s="35"/>
      <c r="IQ394" s="35"/>
      <c r="IR394" s="35"/>
      <c r="IS394" s="35"/>
      <c r="IT394" s="35"/>
      <c r="IU394" s="35"/>
      <c r="IV394" s="35"/>
      <c r="IW394" s="35"/>
      <c r="IX394" s="35"/>
      <c r="IY394" s="35"/>
      <c r="IZ394" s="35"/>
      <c r="JA394" s="35"/>
      <c r="JB394" s="35"/>
      <c r="JC394" s="35"/>
      <c r="JD394" s="35"/>
      <c r="JE394" s="35"/>
    </row>
    <row r="395">
      <c r="A395" s="42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  <c r="BC395" s="35"/>
      <c r="BD395" s="35"/>
      <c r="BE395" s="35"/>
      <c r="BF395" s="35"/>
      <c r="BG395" s="35"/>
      <c r="BH395" s="35"/>
      <c r="BI395" s="35"/>
      <c r="BJ395" s="35"/>
      <c r="BK395" s="35"/>
      <c r="BL395" s="35"/>
      <c r="BM395" s="35"/>
      <c r="BN395" s="35"/>
      <c r="BO395" s="35"/>
      <c r="BP395" s="35"/>
      <c r="BQ395" s="35"/>
      <c r="BR395" s="35"/>
      <c r="BS395" s="35"/>
      <c r="BT395" s="35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35"/>
      <c r="CO395" s="35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35"/>
      <c r="DJ395" s="35"/>
      <c r="DK395" s="35"/>
      <c r="DL395" s="35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35"/>
      <c r="EE395" s="35"/>
      <c r="EF395" s="35"/>
      <c r="EG395" s="35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35"/>
      <c r="EZ395" s="35"/>
      <c r="FA395" s="35"/>
      <c r="FB395" s="35"/>
      <c r="FC395" s="35"/>
      <c r="FD395" s="35"/>
      <c r="FE395" s="35"/>
      <c r="FF395" s="35"/>
      <c r="FG395" s="35"/>
      <c r="FH395" s="35"/>
      <c r="FI395" s="35"/>
      <c r="FJ395" s="35"/>
      <c r="FK395" s="35"/>
      <c r="FL395" s="35"/>
      <c r="FM395" s="35"/>
      <c r="FN395" s="35"/>
      <c r="FO395" s="35"/>
      <c r="FP395" s="35"/>
      <c r="FQ395" s="35"/>
      <c r="FR395" s="35"/>
      <c r="FS395" s="35"/>
      <c r="FT395" s="35"/>
      <c r="FU395" s="35"/>
      <c r="FV395" s="35"/>
      <c r="FW395" s="35"/>
      <c r="FX395" s="35"/>
      <c r="FY395" s="35"/>
      <c r="FZ395" s="35"/>
      <c r="GA395" s="35"/>
      <c r="GB395" s="35"/>
      <c r="GC395" s="35"/>
      <c r="GD395" s="35"/>
      <c r="GE395" s="35"/>
      <c r="GF395" s="35"/>
      <c r="GG395" s="35"/>
      <c r="GH395" s="35"/>
      <c r="GI395" s="35"/>
      <c r="GJ395" s="35"/>
      <c r="GK395" s="35"/>
      <c r="GL395" s="35"/>
      <c r="GM395" s="35"/>
      <c r="GN395" s="35"/>
      <c r="GO395" s="35"/>
      <c r="GP395" s="35"/>
      <c r="GQ395" s="35"/>
      <c r="GR395" s="35"/>
      <c r="GS395" s="35"/>
      <c r="GT395" s="35"/>
      <c r="GU395" s="35"/>
      <c r="GV395" s="35"/>
      <c r="GW395" s="35"/>
      <c r="GX395" s="35"/>
      <c r="GY395" s="35"/>
      <c r="GZ395" s="35"/>
      <c r="HA395" s="35"/>
      <c r="HB395" s="35"/>
      <c r="HC395" s="35"/>
      <c r="HD395" s="35"/>
      <c r="HE395" s="35"/>
      <c r="HF395" s="35"/>
      <c r="HG395" s="35"/>
      <c r="HH395" s="35"/>
      <c r="HI395" s="35"/>
      <c r="HJ395" s="35"/>
      <c r="HK395" s="35"/>
      <c r="HL395" s="35"/>
      <c r="HM395" s="35"/>
      <c r="HN395" s="35"/>
      <c r="HO395" s="35"/>
      <c r="HP395" s="35"/>
      <c r="HQ395" s="35"/>
      <c r="HR395" s="35"/>
      <c r="HS395" s="35"/>
      <c r="HT395" s="35"/>
      <c r="HU395" s="35"/>
      <c r="HV395" s="35"/>
      <c r="HW395" s="35"/>
      <c r="HX395" s="35"/>
      <c r="HY395" s="35"/>
      <c r="HZ395" s="35"/>
      <c r="IA395" s="35"/>
      <c r="IB395" s="35"/>
      <c r="IC395" s="35"/>
      <c r="ID395" s="35"/>
      <c r="IE395" s="35"/>
      <c r="IF395" s="35"/>
      <c r="IG395" s="35"/>
      <c r="IH395" s="35"/>
      <c r="II395" s="35"/>
      <c r="IJ395" s="35"/>
      <c r="IK395" s="35"/>
      <c r="IL395" s="35"/>
      <c r="IM395" s="35"/>
      <c r="IN395" s="35"/>
      <c r="IO395" s="35"/>
      <c r="IP395" s="35"/>
      <c r="IQ395" s="35"/>
      <c r="IR395" s="35"/>
      <c r="IS395" s="35"/>
      <c r="IT395" s="35"/>
      <c r="IU395" s="35"/>
      <c r="IV395" s="35"/>
      <c r="IW395" s="35"/>
      <c r="IX395" s="35"/>
      <c r="IY395" s="35"/>
      <c r="IZ395" s="35"/>
      <c r="JA395" s="35"/>
      <c r="JB395" s="35"/>
      <c r="JC395" s="35"/>
      <c r="JD395" s="35"/>
      <c r="JE395" s="35"/>
    </row>
    <row r="396">
      <c r="A396" s="42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  <c r="BC396" s="35"/>
      <c r="BD396" s="35"/>
      <c r="BE396" s="35"/>
      <c r="BF396" s="35"/>
      <c r="BG396" s="35"/>
      <c r="BH396" s="35"/>
      <c r="BI396" s="35"/>
      <c r="BJ396" s="35"/>
      <c r="BK396" s="35"/>
      <c r="BL396" s="35"/>
      <c r="BM396" s="35"/>
      <c r="BN396" s="35"/>
      <c r="BO396" s="35"/>
      <c r="BP396" s="35"/>
      <c r="BQ396" s="35"/>
      <c r="BR396" s="35"/>
      <c r="BS396" s="35"/>
      <c r="BT396" s="35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35"/>
      <c r="CO396" s="35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35"/>
      <c r="DJ396" s="35"/>
      <c r="DK396" s="35"/>
      <c r="DL396" s="35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35"/>
      <c r="EE396" s="35"/>
      <c r="EF396" s="35"/>
      <c r="EG396" s="35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35"/>
      <c r="EZ396" s="35"/>
      <c r="FA396" s="35"/>
      <c r="FB396" s="35"/>
      <c r="FC396" s="35"/>
      <c r="FD396" s="35"/>
      <c r="FE396" s="35"/>
      <c r="FF396" s="35"/>
      <c r="FG396" s="35"/>
      <c r="FH396" s="35"/>
      <c r="FI396" s="35"/>
      <c r="FJ396" s="35"/>
      <c r="FK396" s="35"/>
      <c r="FL396" s="35"/>
      <c r="FM396" s="35"/>
      <c r="FN396" s="35"/>
      <c r="FO396" s="35"/>
      <c r="FP396" s="35"/>
      <c r="FQ396" s="35"/>
      <c r="FR396" s="35"/>
      <c r="FS396" s="35"/>
      <c r="FT396" s="35"/>
      <c r="FU396" s="35"/>
      <c r="FV396" s="35"/>
      <c r="FW396" s="35"/>
      <c r="FX396" s="35"/>
      <c r="FY396" s="35"/>
      <c r="FZ396" s="35"/>
      <c r="GA396" s="35"/>
      <c r="GB396" s="35"/>
      <c r="GC396" s="35"/>
      <c r="GD396" s="35"/>
      <c r="GE396" s="35"/>
      <c r="GF396" s="35"/>
      <c r="GG396" s="35"/>
      <c r="GH396" s="35"/>
      <c r="GI396" s="35"/>
      <c r="GJ396" s="35"/>
      <c r="GK396" s="35"/>
      <c r="GL396" s="35"/>
      <c r="GM396" s="35"/>
      <c r="GN396" s="35"/>
      <c r="GO396" s="35"/>
      <c r="GP396" s="35"/>
      <c r="GQ396" s="35"/>
      <c r="GR396" s="35"/>
      <c r="GS396" s="35"/>
      <c r="GT396" s="35"/>
      <c r="GU396" s="35"/>
      <c r="GV396" s="35"/>
      <c r="GW396" s="35"/>
      <c r="GX396" s="35"/>
      <c r="GY396" s="35"/>
      <c r="GZ396" s="35"/>
      <c r="HA396" s="35"/>
      <c r="HB396" s="35"/>
      <c r="HC396" s="35"/>
      <c r="HD396" s="35"/>
      <c r="HE396" s="35"/>
      <c r="HF396" s="35"/>
      <c r="HG396" s="35"/>
      <c r="HH396" s="35"/>
      <c r="HI396" s="35"/>
      <c r="HJ396" s="35"/>
      <c r="HK396" s="35"/>
      <c r="HL396" s="35"/>
      <c r="HM396" s="35"/>
      <c r="HN396" s="35"/>
      <c r="HO396" s="35"/>
      <c r="HP396" s="35"/>
      <c r="HQ396" s="35"/>
      <c r="HR396" s="35"/>
      <c r="HS396" s="35"/>
      <c r="HT396" s="35"/>
      <c r="HU396" s="35"/>
      <c r="HV396" s="35"/>
      <c r="HW396" s="35"/>
      <c r="HX396" s="35"/>
      <c r="HY396" s="35"/>
      <c r="HZ396" s="35"/>
      <c r="IA396" s="35"/>
      <c r="IB396" s="35"/>
      <c r="IC396" s="35"/>
      <c r="ID396" s="35"/>
      <c r="IE396" s="35"/>
      <c r="IF396" s="35"/>
      <c r="IG396" s="35"/>
      <c r="IH396" s="35"/>
      <c r="II396" s="35"/>
      <c r="IJ396" s="35"/>
      <c r="IK396" s="35"/>
      <c r="IL396" s="35"/>
      <c r="IM396" s="35"/>
      <c r="IN396" s="35"/>
      <c r="IO396" s="35"/>
      <c r="IP396" s="35"/>
      <c r="IQ396" s="35"/>
      <c r="IR396" s="35"/>
      <c r="IS396" s="35"/>
      <c r="IT396" s="35"/>
      <c r="IU396" s="35"/>
      <c r="IV396" s="35"/>
      <c r="IW396" s="35"/>
      <c r="IX396" s="35"/>
      <c r="IY396" s="35"/>
      <c r="IZ396" s="35"/>
      <c r="JA396" s="35"/>
      <c r="JB396" s="35"/>
      <c r="JC396" s="35"/>
      <c r="JD396" s="35"/>
      <c r="JE396" s="35"/>
    </row>
    <row r="397">
      <c r="A397" s="42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  <c r="BG397" s="35"/>
      <c r="BH397" s="35"/>
      <c r="BI397" s="35"/>
      <c r="BJ397" s="35"/>
      <c r="BK397" s="35"/>
      <c r="BL397" s="35"/>
      <c r="BM397" s="35"/>
      <c r="BN397" s="35"/>
      <c r="BO397" s="35"/>
      <c r="BP397" s="35"/>
      <c r="BQ397" s="35"/>
      <c r="BR397" s="35"/>
      <c r="BS397" s="35"/>
      <c r="BT397" s="35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35"/>
      <c r="CO397" s="35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35"/>
      <c r="DJ397" s="35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35"/>
      <c r="EE397" s="35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35"/>
      <c r="EZ397" s="35"/>
      <c r="FA397" s="35"/>
      <c r="FB397" s="35"/>
      <c r="FC397" s="35"/>
      <c r="FD397" s="35"/>
      <c r="FE397" s="35"/>
      <c r="FF397" s="35"/>
      <c r="FG397" s="35"/>
      <c r="FH397" s="35"/>
      <c r="FI397" s="35"/>
      <c r="FJ397" s="35"/>
      <c r="FK397" s="35"/>
      <c r="FL397" s="35"/>
      <c r="FM397" s="35"/>
      <c r="FN397" s="35"/>
      <c r="FO397" s="35"/>
      <c r="FP397" s="35"/>
      <c r="FQ397" s="35"/>
      <c r="FR397" s="35"/>
      <c r="FS397" s="35"/>
      <c r="FT397" s="35"/>
      <c r="FU397" s="35"/>
      <c r="FV397" s="35"/>
      <c r="FW397" s="35"/>
      <c r="FX397" s="35"/>
      <c r="FY397" s="35"/>
      <c r="FZ397" s="35"/>
      <c r="GA397" s="35"/>
      <c r="GB397" s="35"/>
      <c r="GC397" s="35"/>
      <c r="GD397" s="35"/>
      <c r="GE397" s="35"/>
      <c r="GF397" s="35"/>
      <c r="GG397" s="35"/>
      <c r="GH397" s="35"/>
      <c r="GI397" s="35"/>
      <c r="GJ397" s="35"/>
      <c r="GK397" s="35"/>
      <c r="GL397" s="35"/>
      <c r="GM397" s="35"/>
      <c r="GN397" s="35"/>
      <c r="GO397" s="35"/>
      <c r="GP397" s="35"/>
      <c r="GQ397" s="35"/>
      <c r="GR397" s="35"/>
      <c r="GS397" s="35"/>
      <c r="GT397" s="35"/>
      <c r="GU397" s="35"/>
      <c r="GV397" s="35"/>
      <c r="GW397" s="35"/>
      <c r="GX397" s="35"/>
      <c r="GY397" s="35"/>
      <c r="GZ397" s="35"/>
      <c r="HA397" s="35"/>
      <c r="HB397" s="35"/>
      <c r="HC397" s="35"/>
      <c r="HD397" s="35"/>
      <c r="HE397" s="35"/>
      <c r="HF397" s="35"/>
      <c r="HG397" s="35"/>
      <c r="HH397" s="35"/>
      <c r="HI397" s="35"/>
      <c r="HJ397" s="35"/>
      <c r="HK397" s="35"/>
      <c r="HL397" s="35"/>
      <c r="HM397" s="35"/>
      <c r="HN397" s="35"/>
      <c r="HO397" s="35"/>
      <c r="HP397" s="35"/>
      <c r="HQ397" s="35"/>
      <c r="HR397" s="35"/>
      <c r="HS397" s="35"/>
      <c r="HT397" s="35"/>
      <c r="HU397" s="35"/>
      <c r="HV397" s="35"/>
      <c r="HW397" s="35"/>
      <c r="HX397" s="35"/>
      <c r="HY397" s="35"/>
      <c r="HZ397" s="35"/>
      <c r="IA397" s="35"/>
      <c r="IB397" s="35"/>
      <c r="IC397" s="35"/>
      <c r="ID397" s="35"/>
      <c r="IE397" s="35"/>
      <c r="IF397" s="35"/>
      <c r="IG397" s="35"/>
      <c r="IH397" s="35"/>
      <c r="II397" s="35"/>
      <c r="IJ397" s="35"/>
      <c r="IK397" s="35"/>
      <c r="IL397" s="35"/>
      <c r="IM397" s="35"/>
      <c r="IN397" s="35"/>
      <c r="IO397" s="35"/>
      <c r="IP397" s="35"/>
      <c r="IQ397" s="35"/>
      <c r="IR397" s="35"/>
      <c r="IS397" s="35"/>
      <c r="IT397" s="35"/>
      <c r="IU397" s="35"/>
      <c r="IV397" s="35"/>
      <c r="IW397" s="35"/>
      <c r="IX397" s="35"/>
      <c r="IY397" s="35"/>
      <c r="IZ397" s="35"/>
      <c r="JA397" s="35"/>
      <c r="JB397" s="35"/>
      <c r="JC397" s="35"/>
      <c r="JD397" s="35"/>
      <c r="JE397" s="35"/>
    </row>
    <row r="398">
      <c r="A398" s="42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  <c r="BC398" s="35"/>
      <c r="BD398" s="35"/>
      <c r="BE398" s="35"/>
      <c r="BF398" s="35"/>
      <c r="BG398" s="35"/>
      <c r="BH398" s="35"/>
      <c r="BI398" s="35"/>
      <c r="BJ398" s="35"/>
      <c r="BK398" s="35"/>
      <c r="BL398" s="35"/>
      <c r="BM398" s="35"/>
      <c r="BN398" s="35"/>
      <c r="BO398" s="35"/>
      <c r="BP398" s="35"/>
      <c r="BQ398" s="35"/>
      <c r="BR398" s="35"/>
      <c r="BS398" s="35"/>
      <c r="BT398" s="35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35"/>
      <c r="CO398" s="35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35"/>
      <c r="DJ398" s="35"/>
      <c r="DK398" s="35"/>
      <c r="DL398" s="35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35"/>
      <c r="EE398" s="35"/>
      <c r="EF398" s="35"/>
      <c r="EG398" s="35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35"/>
      <c r="EZ398" s="35"/>
      <c r="FA398" s="35"/>
      <c r="FB398" s="35"/>
      <c r="FC398" s="35"/>
      <c r="FD398" s="35"/>
      <c r="FE398" s="35"/>
      <c r="FF398" s="35"/>
      <c r="FG398" s="35"/>
      <c r="FH398" s="35"/>
      <c r="FI398" s="35"/>
      <c r="FJ398" s="35"/>
      <c r="FK398" s="35"/>
      <c r="FL398" s="35"/>
      <c r="FM398" s="35"/>
      <c r="FN398" s="35"/>
      <c r="FO398" s="35"/>
      <c r="FP398" s="35"/>
      <c r="FQ398" s="35"/>
      <c r="FR398" s="35"/>
      <c r="FS398" s="35"/>
      <c r="FT398" s="35"/>
      <c r="FU398" s="35"/>
      <c r="FV398" s="35"/>
      <c r="FW398" s="35"/>
      <c r="FX398" s="35"/>
      <c r="FY398" s="35"/>
      <c r="FZ398" s="35"/>
      <c r="GA398" s="35"/>
      <c r="GB398" s="35"/>
      <c r="GC398" s="35"/>
      <c r="GD398" s="35"/>
      <c r="GE398" s="35"/>
      <c r="GF398" s="35"/>
      <c r="GG398" s="35"/>
      <c r="GH398" s="35"/>
      <c r="GI398" s="35"/>
      <c r="GJ398" s="35"/>
      <c r="GK398" s="35"/>
      <c r="GL398" s="35"/>
      <c r="GM398" s="35"/>
      <c r="GN398" s="35"/>
      <c r="GO398" s="35"/>
      <c r="GP398" s="35"/>
      <c r="GQ398" s="35"/>
      <c r="GR398" s="35"/>
      <c r="GS398" s="35"/>
      <c r="GT398" s="35"/>
      <c r="GU398" s="35"/>
      <c r="GV398" s="35"/>
      <c r="GW398" s="35"/>
      <c r="GX398" s="35"/>
      <c r="GY398" s="35"/>
      <c r="GZ398" s="35"/>
      <c r="HA398" s="35"/>
      <c r="HB398" s="35"/>
      <c r="HC398" s="35"/>
      <c r="HD398" s="35"/>
      <c r="HE398" s="35"/>
      <c r="HF398" s="35"/>
      <c r="HG398" s="35"/>
      <c r="HH398" s="35"/>
      <c r="HI398" s="35"/>
      <c r="HJ398" s="35"/>
      <c r="HK398" s="35"/>
      <c r="HL398" s="35"/>
      <c r="HM398" s="35"/>
      <c r="HN398" s="35"/>
      <c r="HO398" s="35"/>
      <c r="HP398" s="35"/>
      <c r="HQ398" s="35"/>
      <c r="HR398" s="35"/>
      <c r="HS398" s="35"/>
      <c r="HT398" s="35"/>
      <c r="HU398" s="35"/>
      <c r="HV398" s="35"/>
      <c r="HW398" s="35"/>
      <c r="HX398" s="35"/>
      <c r="HY398" s="35"/>
      <c r="HZ398" s="35"/>
      <c r="IA398" s="35"/>
      <c r="IB398" s="35"/>
      <c r="IC398" s="35"/>
      <c r="ID398" s="35"/>
      <c r="IE398" s="35"/>
      <c r="IF398" s="35"/>
      <c r="IG398" s="35"/>
      <c r="IH398" s="35"/>
      <c r="II398" s="35"/>
      <c r="IJ398" s="35"/>
      <c r="IK398" s="35"/>
      <c r="IL398" s="35"/>
      <c r="IM398" s="35"/>
      <c r="IN398" s="35"/>
      <c r="IO398" s="35"/>
      <c r="IP398" s="35"/>
      <c r="IQ398" s="35"/>
      <c r="IR398" s="35"/>
      <c r="IS398" s="35"/>
      <c r="IT398" s="35"/>
      <c r="IU398" s="35"/>
      <c r="IV398" s="35"/>
      <c r="IW398" s="35"/>
      <c r="IX398" s="35"/>
      <c r="IY398" s="35"/>
      <c r="IZ398" s="35"/>
      <c r="JA398" s="35"/>
      <c r="JB398" s="35"/>
      <c r="JC398" s="35"/>
      <c r="JD398" s="35"/>
      <c r="JE398" s="35"/>
    </row>
    <row r="399">
      <c r="A399" s="42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  <c r="BC399" s="35"/>
      <c r="BD399" s="35"/>
      <c r="BE399" s="35"/>
      <c r="BF399" s="35"/>
      <c r="BG399" s="35"/>
      <c r="BH399" s="35"/>
      <c r="BI399" s="35"/>
      <c r="BJ399" s="35"/>
      <c r="BK399" s="35"/>
      <c r="BL399" s="35"/>
      <c r="BM399" s="35"/>
      <c r="BN399" s="35"/>
      <c r="BO399" s="35"/>
      <c r="BP399" s="35"/>
      <c r="BQ399" s="35"/>
      <c r="BR399" s="35"/>
      <c r="BS399" s="35"/>
      <c r="BT399" s="35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35"/>
      <c r="CO399" s="35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35"/>
      <c r="DJ399" s="35"/>
      <c r="DK399" s="35"/>
      <c r="DL399" s="35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35"/>
      <c r="EE399" s="35"/>
      <c r="EF399" s="35"/>
      <c r="EG399" s="35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35"/>
      <c r="EZ399" s="35"/>
      <c r="FA399" s="35"/>
      <c r="FB399" s="35"/>
      <c r="FC399" s="35"/>
      <c r="FD399" s="35"/>
      <c r="FE399" s="35"/>
      <c r="FF399" s="35"/>
      <c r="FG399" s="35"/>
      <c r="FH399" s="35"/>
      <c r="FI399" s="35"/>
      <c r="FJ399" s="35"/>
      <c r="FK399" s="35"/>
      <c r="FL399" s="35"/>
      <c r="FM399" s="35"/>
      <c r="FN399" s="35"/>
      <c r="FO399" s="35"/>
      <c r="FP399" s="35"/>
      <c r="FQ399" s="35"/>
      <c r="FR399" s="35"/>
      <c r="FS399" s="35"/>
      <c r="FT399" s="35"/>
      <c r="FU399" s="35"/>
      <c r="FV399" s="35"/>
      <c r="FW399" s="35"/>
      <c r="FX399" s="35"/>
      <c r="FY399" s="35"/>
      <c r="FZ399" s="35"/>
      <c r="GA399" s="35"/>
      <c r="GB399" s="35"/>
      <c r="GC399" s="35"/>
      <c r="GD399" s="35"/>
      <c r="GE399" s="35"/>
      <c r="GF399" s="35"/>
      <c r="GG399" s="35"/>
      <c r="GH399" s="35"/>
      <c r="GI399" s="35"/>
      <c r="GJ399" s="35"/>
      <c r="GK399" s="35"/>
      <c r="GL399" s="35"/>
      <c r="GM399" s="35"/>
      <c r="GN399" s="35"/>
      <c r="GO399" s="35"/>
      <c r="GP399" s="35"/>
      <c r="GQ399" s="35"/>
      <c r="GR399" s="35"/>
      <c r="GS399" s="35"/>
      <c r="GT399" s="35"/>
      <c r="GU399" s="35"/>
      <c r="GV399" s="35"/>
      <c r="GW399" s="35"/>
      <c r="GX399" s="35"/>
      <c r="GY399" s="35"/>
      <c r="GZ399" s="35"/>
      <c r="HA399" s="35"/>
      <c r="HB399" s="35"/>
      <c r="HC399" s="35"/>
      <c r="HD399" s="35"/>
      <c r="HE399" s="35"/>
      <c r="HF399" s="35"/>
      <c r="HG399" s="35"/>
      <c r="HH399" s="35"/>
      <c r="HI399" s="35"/>
      <c r="HJ399" s="35"/>
      <c r="HK399" s="35"/>
      <c r="HL399" s="35"/>
      <c r="HM399" s="35"/>
      <c r="HN399" s="35"/>
      <c r="HO399" s="35"/>
      <c r="HP399" s="35"/>
      <c r="HQ399" s="35"/>
      <c r="HR399" s="35"/>
      <c r="HS399" s="35"/>
      <c r="HT399" s="35"/>
      <c r="HU399" s="35"/>
      <c r="HV399" s="35"/>
      <c r="HW399" s="35"/>
      <c r="HX399" s="35"/>
      <c r="HY399" s="35"/>
      <c r="HZ399" s="35"/>
      <c r="IA399" s="35"/>
      <c r="IB399" s="35"/>
      <c r="IC399" s="35"/>
      <c r="ID399" s="35"/>
      <c r="IE399" s="35"/>
      <c r="IF399" s="35"/>
      <c r="IG399" s="35"/>
      <c r="IH399" s="35"/>
      <c r="II399" s="35"/>
      <c r="IJ399" s="35"/>
      <c r="IK399" s="35"/>
      <c r="IL399" s="35"/>
      <c r="IM399" s="35"/>
      <c r="IN399" s="35"/>
      <c r="IO399" s="35"/>
      <c r="IP399" s="35"/>
      <c r="IQ399" s="35"/>
      <c r="IR399" s="35"/>
      <c r="IS399" s="35"/>
      <c r="IT399" s="35"/>
      <c r="IU399" s="35"/>
      <c r="IV399" s="35"/>
      <c r="IW399" s="35"/>
      <c r="IX399" s="35"/>
      <c r="IY399" s="35"/>
      <c r="IZ399" s="35"/>
      <c r="JA399" s="35"/>
      <c r="JB399" s="35"/>
      <c r="JC399" s="35"/>
      <c r="JD399" s="35"/>
      <c r="JE399" s="35"/>
    </row>
    <row r="400">
      <c r="A400" s="42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  <c r="BC400" s="35"/>
      <c r="BD400" s="35"/>
      <c r="BE400" s="35"/>
      <c r="BF400" s="35"/>
      <c r="BG400" s="35"/>
      <c r="BH400" s="35"/>
      <c r="BI400" s="35"/>
      <c r="BJ400" s="35"/>
      <c r="BK400" s="35"/>
      <c r="BL400" s="35"/>
      <c r="BM400" s="35"/>
      <c r="BN400" s="35"/>
      <c r="BO400" s="35"/>
      <c r="BP400" s="35"/>
      <c r="BQ400" s="35"/>
      <c r="BR400" s="35"/>
      <c r="BS400" s="35"/>
      <c r="BT400" s="35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35"/>
      <c r="CO400" s="35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35"/>
      <c r="DJ400" s="35"/>
      <c r="DK400" s="35"/>
      <c r="DL400" s="35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35"/>
      <c r="EE400" s="35"/>
      <c r="EF400" s="35"/>
      <c r="EG400" s="35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35"/>
      <c r="EZ400" s="35"/>
      <c r="FA400" s="35"/>
      <c r="FB400" s="35"/>
      <c r="FC400" s="35"/>
      <c r="FD400" s="35"/>
      <c r="FE400" s="35"/>
      <c r="FF400" s="35"/>
      <c r="FG400" s="35"/>
      <c r="FH400" s="35"/>
      <c r="FI400" s="35"/>
      <c r="FJ400" s="35"/>
      <c r="FK400" s="35"/>
      <c r="FL400" s="35"/>
      <c r="FM400" s="35"/>
      <c r="FN400" s="35"/>
      <c r="FO400" s="35"/>
      <c r="FP400" s="35"/>
      <c r="FQ400" s="35"/>
      <c r="FR400" s="35"/>
      <c r="FS400" s="35"/>
      <c r="FT400" s="35"/>
      <c r="FU400" s="35"/>
      <c r="FV400" s="35"/>
      <c r="FW400" s="35"/>
      <c r="FX400" s="35"/>
      <c r="FY400" s="35"/>
      <c r="FZ400" s="35"/>
      <c r="GA400" s="35"/>
      <c r="GB400" s="35"/>
      <c r="GC400" s="35"/>
      <c r="GD400" s="35"/>
      <c r="GE400" s="35"/>
      <c r="GF400" s="35"/>
      <c r="GG400" s="35"/>
      <c r="GH400" s="35"/>
      <c r="GI400" s="35"/>
      <c r="GJ400" s="35"/>
      <c r="GK400" s="35"/>
      <c r="GL400" s="35"/>
      <c r="GM400" s="35"/>
      <c r="GN400" s="35"/>
      <c r="GO400" s="35"/>
      <c r="GP400" s="35"/>
      <c r="GQ400" s="35"/>
      <c r="GR400" s="35"/>
      <c r="GS400" s="35"/>
      <c r="GT400" s="35"/>
      <c r="GU400" s="35"/>
      <c r="GV400" s="35"/>
      <c r="GW400" s="35"/>
      <c r="GX400" s="35"/>
      <c r="GY400" s="35"/>
      <c r="GZ400" s="35"/>
      <c r="HA400" s="35"/>
      <c r="HB400" s="35"/>
      <c r="HC400" s="35"/>
      <c r="HD400" s="35"/>
      <c r="HE400" s="35"/>
      <c r="HF400" s="35"/>
      <c r="HG400" s="35"/>
      <c r="HH400" s="35"/>
      <c r="HI400" s="35"/>
      <c r="HJ400" s="35"/>
      <c r="HK400" s="35"/>
      <c r="HL400" s="35"/>
      <c r="HM400" s="35"/>
      <c r="HN400" s="35"/>
      <c r="HO400" s="35"/>
      <c r="HP400" s="35"/>
      <c r="HQ400" s="35"/>
      <c r="HR400" s="35"/>
      <c r="HS400" s="35"/>
      <c r="HT400" s="35"/>
      <c r="HU400" s="35"/>
      <c r="HV400" s="35"/>
      <c r="HW400" s="35"/>
      <c r="HX400" s="35"/>
      <c r="HY400" s="35"/>
      <c r="HZ400" s="35"/>
      <c r="IA400" s="35"/>
      <c r="IB400" s="35"/>
      <c r="IC400" s="35"/>
      <c r="ID400" s="35"/>
      <c r="IE400" s="35"/>
      <c r="IF400" s="35"/>
      <c r="IG400" s="35"/>
      <c r="IH400" s="35"/>
      <c r="II400" s="35"/>
      <c r="IJ400" s="35"/>
      <c r="IK400" s="35"/>
      <c r="IL400" s="35"/>
      <c r="IM400" s="35"/>
      <c r="IN400" s="35"/>
      <c r="IO400" s="35"/>
      <c r="IP400" s="35"/>
      <c r="IQ400" s="35"/>
      <c r="IR400" s="35"/>
      <c r="IS400" s="35"/>
      <c r="IT400" s="35"/>
      <c r="IU400" s="35"/>
      <c r="IV400" s="35"/>
      <c r="IW400" s="35"/>
      <c r="IX400" s="35"/>
      <c r="IY400" s="35"/>
      <c r="IZ400" s="35"/>
      <c r="JA400" s="35"/>
      <c r="JB400" s="35"/>
      <c r="JC400" s="35"/>
      <c r="JD400" s="35"/>
      <c r="JE400" s="35"/>
    </row>
    <row r="401">
      <c r="A401" s="42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  <c r="BR401" s="35"/>
      <c r="BS401" s="35"/>
      <c r="BT401" s="35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35"/>
      <c r="CO401" s="35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35"/>
      <c r="DJ401" s="35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35"/>
      <c r="EE401" s="35"/>
      <c r="EF401" s="35"/>
      <c r="EG401" s="35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35"/>
      <c r="EZ401" s="35"/>
      <c r="FA401" s="35"/>
      <c r="FB401" s="35"/>
      <c r="FC401" s="35"/>
      <c r="FD401" s="35"/>
      <c r="FE401" s="35"/>
      <c r="FF401" s="35"/>
      <c r="FG401" s="35"/>
      <c r="FH401" s="35"/>
      <c r="FI401" s="35"/>
      <c r="FJ401" s="35"/>
      <c r="FK401" s="35"/>
      <c r="FL401" s="35"/>
      <c r="FM401" s="35"/>
      <c r="FN401" s="35"/>
      <c r="FO401" s="35"/>
      <c r="FP401" s="35"/>
      <c r="FQ401" s="35"/>
      <c r="FR401" s="35"/>
      <c r="FS401" s="35"/>
      <c r="FT401" s="35"/>
      <c r="FU401" s="35"/>
      <c r="FV401" s="35"/>
      <c r="FW401" s="35"/>
      <c r="FX401" s="35"/>
      <c r="FY401" s="35"/>
      <c r="FZ401" s="35"/>
      <c r="GA401" s="35"/>
      <c r="GB401" s="35"/>
      <c r="GC401" s="35"/>
      <c r="GD401" s="35"/>
      <c r="GE401" s="35"/>
      <c r="GF401" s="35"/>
      <c r="GG401" s="35"/>
      <c r="GH401" s="35"/>
      <c r="GI401" s="35"/>
      <c r="GJ401" s="35"/>
      <c r="GK401" s="35"/>
      <c r="GL401" s="35"/>
      <c r="GM401" s="35"/>
      <c r="GN401" s="35"/>
      <c r="GO401" s="35"/>
      <c r="GP401" s="35"/>
      <c r="GQ401" s="35"/>
      <c r="GR401" s="35"/>
      <c r="GS401" s="35"/>
      <c r="GT401" s="35"/>
      <c r="GU401" s="35"/>
      <c r="GV401" s="35"/>
      <c r="GW401" s="35"/>
      <c r="GX401" s="35"/>
      <c r="GY401" s="35"/>
      <c r="GZ401" s="35"/>
      <c r="HA401" s="35"/>
      <c r="HB401" s="35"/>
      <c r="HC401" s="35"/>
      <c r="HD401" s="35"/>
      <c r="HE401" s="35"/>
      <c r="HF401" s="35"/>
      <c r="HG401" s="35"/>
      <c r="HH401" s="35"/>
      <c r="HI401" s="35"/>
      <c r="HJ401" s="35"/>
      <c r="HK401" s="35"/>
      <c r="HL401" s="35"/>
      <c r="HM401" s="35"/>
      <c r="HN401" s="35"/>
      <c r="HO401" s="35"/>
      <c r="HP401" s="35"/>
      <c r="HQ401" s="35"/>
      <c r="HR401" s="35"/>
      <c r="HS401" s="35"/>
      <c r="HT401" s="35"/>
      <c r="HU401" s="35"/>
      <c r="HV401" s="35"/>
      <c r="HW401" s="35"/>
      <c r="HX401" s="35"/>
      <c r="HY401" s="35"/>
      <c r="HZ401" s="35"/>
      <c r="IA401" s="35"/>
      <c r="IB401" s="35"/>
      <c r="IC401" s="35"/>
      <c r="ID401" s="35"/>
      <c r="IE401" s="35"/>
      <c r="IF401" s="35"/>
      <c r="IG401" s="35"/>
      <c r="IH401" s="35"/>
      <c r="II401" s="35"/>
      <c r="IJ401" s="35"/>
      <c r="IK401" s="35"/>
      <c r="IL401" s="35"/>
      <c r="IM401" s="35"/>
      <c r="IN401" s="35"/>
      <c r="IO401" s="35"/>
      <c r="IP401" s="35"/>
      <c r="IQ401" s="35"/>
      <c r="IR401" s="35"/>
      <c r="IS401" s="35"/>
      <c r="IT401" s="35"/>
      <c r="IU401" s="35"/>
      <c r="IV401" s="35"/>
      <c r="IW401" s="35"/>
      <c r="IX401" s="35"/>
      <c r="IY401" s="35"/>
      <c r="IZ401" s="35"/>
      <c r="JA401" s="35"/>
      <c r="JB401" s="35"/>
      <c r="JC401" s="35"/>
      <c r="JD401" s="35"/>
      <c r="JE401" s="35"/>
    </row>
    <row r="402">
      <c r="A402" s="42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  <c r="BC402" s="35"/>
      <c r="BD402" s="35"/>
      <c r="BE402" s="35"/>
      <c r="BF402" s="35"/>
      <c r="BG402" s="35"/>
      <c r="BH402" s="35"/>
      <c r="BI402" s="35"/>
      <c r="BJ402" s="35"/>
      <c r="BK402" s="35"/>
      <c r="BL402" s="35"/>
      <c r="BM402" s="35"/>
      <c r="BN402" s="35"/>
      <c r="BO402" s="35"/>
      <c r="BP402" s="35"/>
      <c r="BQ402" s="35"/>
      <c r="BR402" s="35"/>
      <c r="BS402" s="35"/>
      <c r="BT402" s="35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35"/>
      <c r="CO402" s="35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35"/>
      <c r="DJ402" s="35"/>
      <c r="DK402" s="35"/>
      <c r="DL402" s="35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35"/>
      <c r="EE402" s="35"/>
      <c r="EF402" s="35"/>
      <c r="EG402" s="35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35"/>
      <c r="EZ402" s="35"/>
      <c r="FA402" s="35"/>
      <c r="FB402" s="35"/>
      <c r="FC402" s="35"/>
      <c r="FD402" s="35"/>
      <c r="FE402" s="35"/>
      <c r="FF402" s="35"/>
      <c r="FG402" s="35"/>
      <c r="FH402" s="35"/>
      <c r="FI402" s="35"/>
      <c r="FJ402" s="35"/>
      <c r="FK402" s="35"/>
      <c r="FL402" s="35"/>
      <c r="FM402" s="35"/>
      <c r="FN402" s="35"/>
      <c r="FO402" s="35"/>
      <c r="FP402" s="35"/>
      <c r="FQ402" s="35"/>
      <c r="FR402" s="35"/>
      <c r="FS402" s="35"/>
      <c r="FT402" s="35"/>
      <c r="FU402" s="35"/>
      <c r="FV402" s="35"/>
      <c r="FW402" s="35"/>
      <c r="FX402" s="35"/>
      <c r="FY402" s="35"/>
      <c r="FZ402" s="35"/>
      <c r="GA402" s="35"/>
      <c r="GB402" s="35"/>
      <c r="GC402" s="35"/>
      <c r="GD402" s="35"/>
      <c r="GE402" s="35"/>
      <c r="GF402" s="35"/>
      <c r="GG402" s="35"/>
      <c r="GH402" s="35"/>
      <c r="GI402" s="35"/>
      <c r="GJ402" s="35"/>
      <c r="GK402" s="35"/>
      <c r="GL402" s="35"/>
      <c r="GM402" s="35"/>
      <c r="GN402" s="35"/>
      <c r="GO402" s="35"/>
      <c r="GP402" s="35"/>
      <c r="GQ402" s="35"/>
      <c r="GR402" s="35"/>
      <c r="GS402" s="35"/>
      <c r="GT402" s="35"/>
      <c r="GU402" s="35"/>
      <c r="GV402" s="35"/>
      <c r="GW402" s="35"/>
      <c r="GX402" s="35"/>
      <c r="GY402" s="35"/>
      <c r="GZ402" s="35"/>
      <c r="HA402" s="35"/>
      <c r="HB402" s="35"/>
      <c r="HC402" s="35"/>
      <c r="HD402" s="35"/>
      <c r="HE402" s="35"/>
      <c r="HF402" s="35"/>
      <c r="HG402" s="35"/>
      <c r="HH402" s="35"/>
      <c r="HI402" s="35"/>
      <c r="HJ402" s="35"/>
      <c r="HK402" s="35"/>
      <c r="HL402" s="35"/>
      <c r="HM402" s="35"/>
      <c r="HN402" s="35"/>
      <c r="HO402" s="35"/>
      <c r="HP402" s="35"/>
      <c r="HQ402" s="35"/>
      <c r="HR402" s="35"/>
      <c r="HS402" s="35"/>
      <c r="HT402" s="35"/>
      <c r="HU402" s="35"/>
      <c r="HV402" s="35"/>
      <c r="HW402" s="35"/>
      <c r="HX402" s="35"/>
      <c r="HY402" s="35"/>
      <c r="HZ402" s="35"/>
      <c r="IA402" s="35"/>
      <c r="IB402" s="35"/>
      <c r="IC402" s="35"/>
      <c r="ID402" s="35"/>
      <c r="IE402" s="35"/>
      <c r="IF402" s="35"/>
      <c r="IG402" s="35"/>
      <c r="IH402" s="35"/>
      <c r="II402" s="35"/>
      <c r="IJ402" s="35"/>
      <c r="IK402" s="35"/>
      <c r="IL402" s="35"/>
      <c r="IM402" s="35"/>
      <c r="IN402" s="35"/>
      <c r="IO402" s="35"/>
      <c r="IP402" s="35"/>
      <c r="IQ402" s="35"/>
      <c r="IR402" s="35"/>
      <c r="IS402" s="35"/>
      <c r="IT402" s="35"/>
      <c r="IU402" s="35"/>
      <c r="IV402" s="35"/>
      <c r="IW402" s="35"/>
      <c r="IX402" s="35"/>
      <c r="IY402" s="35"/>
      <c r="IZ402" s="35"/>
      <c r="JA402" s="35"/>
      <c r="JB402" s="35"/>
      <c r="JC402" s="35"/>
      <c r="JD402" s="35"/>
      <c r="JE402" s="35"/>
    </row>
    <row r="403">
      <c r="A403" s="42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  <c r="BC403" s="35"/>
      <c r="BD403" s="35"/>
      <c r="BE403" s="35"/>
      <c r="BF403" s="35"/>
      <c r="BG403" s="35"/>
      <c r="BH403" s="35"/>
      <c r="BI403" s="35"/>
      <c r="BJ403" s="35"/>
      <c r="BK403" s="35"/>
      <c r="BL403" s="35"/>
      <c r="BM403" s="35"/>
      <c r="BN403" s="35"/>
      <c r="BO403" s="35"/>
      <c r="BP403" s="35"/>
      <c r="BQ403" s="35"/>
      <c r="BR403" s="35"/>
      <c r="BS403" s="35"/>
      <c r="BT403" s="35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35"/>
      <c r="CO403" s="35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35"/>
      <c r="DJ403" s="35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35"/>
      <c r="EE403" s="35"/>
      <c r="EF403" s="35"/>
      <c r="EG403" s="35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35"/>
      <c r="EZ403" s="35"/>
      <c r="FA403" s="35"/>
      <c r="FB403" s="35"/>
      <c r="FC403" s="35"/>
      <c r="FD403" s="35"/>
      <c r="FE403" s="35"/>
      <c r="FF403" s="35"/>
      <c r="FG403" s="35"/>
      <c r="FH403" s="35"/>
      <c r="FI403" s="35"/>
      <c r="FJ403" s="35"/>
      <c r="FK403" s="35"/>
      <c r="FL403" s="35"/>
      <c r="FM403" s="35"/>
      <c r="FN403" s="35"/>
      <c r="FO403" s="35"/>
      <c r="FP403" s="35"/>
      <c r="FQ403" s="35"/>
      <c r="FR403" s="35"/>
      <c r="FS403" s="35"/>
      <c r="FT403" s="35"/>
      <c r="FU403" s="35"/>
      <c r="FV403" s="35"/>
      <c r="FW403" s="35"/>
      <c r="FX403" s="35"/>
      <c r="FY403" s="35"/>
      <c r="FZ403" s="35"/>
      <c r="GA403" s="35"/>
      <c r="GB403" s="35"/>
      <c r="GC403" s="35"/>
      <c r="GD403" s="35"/>
      <c r="GE403" s="35"/>
      <c r="GF403" s="35"/>
      <c r="GG403" s="35"/>
      <c r="GH403" s="35"/>
      <c r="GI403" s="35"/>
      <c r="GJ403" s="35"/>
      <c r="GK403" s="35"/>
      <c r="GL403" s="35"/>
      <c r="GM403" s="35"/>
      <c r="GN403" s="35"/>
      <c r="GO403" s="35"/>
      <c r="GP403" s="35"/>
      <c r="GQ403" s="35"/>
      <c r="GR403" s="35"/>
      <c r="GS403" s="35"/>
      <c r="GT403" s="35"/>
      <c r="GU403" s="35"/>
      <c r="GV403" s="35"/>
      <c r="GW403" s="35"/>
      <c r="GX403" s="35"/>
      <c r="GY403" s="35"/>
      <c r="GZ403" s="35"/>
      <c r="HA403" s="35"/>
      <c r="HB403" s="35"/>
      <c r="HC403" s="35"/>
      <c r="HD403" s="35"/>
      <c r="HE403" s="35"/>
      <c r="HF403" s="35"/>
      <c r="HG403" s="35"/>
      <c r="HH403" s="35"/>
      <c r="HI403" s="35"/>
      <c r="HJ403" s="35"/>
      <c r="HK403" s="35"/>
      <c r="HL403" s="35"/>
      <c r="HM403" s="35"/>
      <c r="HN403" s="35"/>
      <c r="HO403" s="35"/>
      <c r="HP403" s="35"/>
      <c r="HQ403" s="35"/>
      <c r="HR403" s="35"/>
      <c r="HS403" s="35"/>
      <c r="HT403" s="35"/>
      <c r="HU403" s="35"/>
      <c r="HV403" s="35"/>
      <c r="HW403" s="35"/>
      <c r="HX403" s="35"/>
      <c r="HY403" s="35"/>
      <c r="HZ403" s="35"/>
      <c r="IA403" s="35"/>
      <c r="IB403" s="35"/>
      <c r="IC403" s="35"/>
      <c r="ID403" s="35"/>
      <c r="IE403" s="35"/>
      <c r="IF403" s="35"/>
      <c r="IG403" s="35"/>
      <c r="IH403" s="35"/>
      <c r="II403" s="35"/>
      <c r="IJ403" s="35"/>
      <c r="IK403" s="35"/>
      <c r="IL403" s="35"/>
      <c r="IM403" s="35"/>
      <c r="IN403" s="35"/>
      <c r="IO403" s="35"/>
      <c r="IP403" s="35"/>
      <c r="IQ403" s="35"/>
      <c r="IR403" s="35"/>
      <c r="IS403" s="35"/>
      <c r="IT403" s="35"/>
      <c r="IU403" s="35"/>
      <c r="IV403" s="35"/>
      <c r="IW403" s="35"/>
      <c r="IX403" s="35"/>
      <c r="IY403" s="35"/>
      <c r="IZ403" s="35"/>
      <c r="JA403" s="35"/>
      <c r="JB403" s="35"/>
      <c r="JC403" s="35"/>
      <c r="JD403" s="35"/>
      <c r="JE403" s="35"/>
    </row>
    <row r="404">
      <c r="A404" s="42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  <c r="BC404" s="35"/>
      <c r="BD404" s="35"/>
      <c r="BE404" s="35"/>
      <c r="BF404" s="35"/>
      <c r="BG404" s="35"/>
      <c r="BH404" s="35"/>
      <c r="BI404" s="35"/>
      <c r="BJ404" s="35"/>
      <c r="BK404" s="35"/>
      <c r="BL404" s="35"/>
      <c r="BM404" s="35"/>
      <c r="BN404" s="35"/>
      <c r="BO404" s="35"/>
      <c r="BP404" s="35"/>
      <c r="BQ404" s="35"/>
      <c r="BR404" s="35"/>
      <c r="BS404" s="35"/>
      <c r="BT404" s="35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35"/>
      <c r="CO404" s="35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35"/>
      <c r="DJ404" s="35"/>
      <c r="DK404" s="35"/>
      <c r="DL404" s="35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35"/>
      <c r="EE404" s="35"/>
      <c r="EF404" s="35"/>
      <c r="EG404" s="35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35"/>
      <c r="EZ404" s="35"/>
      <c r="FA404" s="35"/>
      <c r="FB404" s="35"/>
      <c r="FC404" s="35"/>
      <c r="FD404" s="35"/>
      <c r="FE404" s="35"/>
      <c r="FF404" s="35"/>
      <c r="FG404" s="35"/>
      <c r="FH404" s="35"/>
      <c r="FI404" s="35"/>
      <c r="FJ404" s="35"/>
      <c r="FK404" s="35"/>
      <c r="FL404" s="35"/>
      <c r="FM404" s="35"/>
      <c r="FN404" s="35"/>
      <c r="FO404" s="35"/>
      <c r="FP404" s="35"/>
      <c r="FQ404" s="35"/>
      <c r="FR404" s="35"/>
      <c r="FS404" s="35"/>
      <c r="FT404" s="35"/>
      <c r="FU404" s="35"/>
      <c r="FV404" s="35"/>
      <c r="FW404" s="35"/>
      <c r="FX404" s="35"/>
      <c r="FY404" s="35"/>
      <c r="FZ404" s="35"/>
      <c r="GA404" s="35"/>
      <c r="GB404" s="35"/>
      <c r="GC404" s="35"/>
      <c r="GD404" s="35"/>
      <c r="GE404" s="35"/>
      <c r="GF404" s="35"/>
      <c r="GG404" s="35"/>
      <c r="GH404" s="35"/>
      <c r="GI404" s="35"/>
      <c r="GJ404" s="35"/>
      <c r="GK404" s="35"/>
      <c r="GL404" s="35"/>
      <c r="GM404" s="35"/>
      <c r="GN404" s="35"/>
      <c r="GO404" s="35"/>
      <c r="GP404" s="35"/>
      <c r="GQ404" s="35"/>
      <c r="GR404" s="35"/>
      <c r="GS404" s="35"/>
      <c r="GT404" s="35"/>
      <c r="GU404" s="35"/>
      <c r="GV404" s="35"/>
      <c r="GW404" s="35"/>
      <c r="GX404" s="35"/>
      <c r="GY404" s="35"/>
      <c r="GZ404" s="35"/>
      <c r="HA404" s="35"/>
      <c r="HB404" s="35"/>
      <c r="HC404" s="35"/>
      <c r="HD404" s="35"/>
      <c r="HE404" s="35"/>
      <c r="HF404" s="35"/>
      <c r="HG404" s="35"/>
      <c r="HH404" s="35"/>
      <c r="HI404" s="35"/>
      <c r="HJ404" s="35"/>
      <c r="HK404" s="35"/>
      <c r="HL404" s="35"/>
      <c r="HM404" s="35"/>
      <c r="HN404" s="35"/>
      <c r="HO404" s="35"/>
      <c r="HP404" s="35"/>
      <c r="HQ404" s="35"/>
      <c r="HR404" s="35"/>
      <c r="HS404" s="35"/>
      <c r="HT404" s="35"/>
      <c r="HU404" s="35"/>
      <c r="HV404" s="35"/>
      <c r="HW404" s="35"/>
      <c r="HX404" s="35"/>
      <c r="HY404" s="35"/>
      <c r="HZ404" s="35"/>
      <c r="IA404" s="35"/>
      <c r="IB404" s="35"/>
      <c r="IC404" s="35"/>
      <c r="ID404" s="35"/>
      <c r="IE404" s="35"/>
      <c r="IF404" s="35"/>
      <c r="IG404" s="35"/>
      <c r="IH404" s="35"/>
      <c r="II404" s="35"/>
      <c r="IJ404" s="35"/>
      <c r="IK404" s="35"/>
      <c r="IL404" s="35"/>
      <c r="IM404" s="35"/>
      <c r="IN404" s="35"/>
      <c r="IO404" s="35"/>
      <c r="IP404" s="35"/>
      <c r="IQ404" s="35"/>
      <c r="IR404" s="35"/>
      <c r="IS404" s="35"/>
      <c r="IT404" s="35"/>
      <c r="IU404" s="35"/>
      <c r="IV404" s="35"/>
      <c r="IW404" s="35"/>
      <c r="IX404" s="35"/>
      <c r="IY404" s="35"/>
      <c r="IZ404" s="35"/>
      <c r="JA404" s="35"/>
      <c r="JB404" s="35"/>
      <c r="JC404" s="35"/>
      <c r="JD404" s="35"/>
      <c r="JE404" s="35"/>
    </row>
    <row r="405">
      <c r="A405" s="42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  <c r="BR405" s="35"/>
      <c r="BS405" s="35"/>
      <c r="BT405" s="35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35"/>
      <c r="CO405" s="35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35"/>
      <c r="DJ405" s="35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35"/>
      <c r="EE405" s="35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35"/>
      <c r="EZ405" s="35"/>
      <c r="FA405" s="35"/>
      <c r="FB405" s="35"/>
      <c r="FC405" s="35"/>
      <c r="FD405" s="35"/>
      <c r="FE405" s="35"/>
      <c r="FF405" s="35"/>
      <c r="FG405" s="35"/>
      <c r="FH405" s="35"/>
      <c r="FI405" s="35"/>
      <c r="FJ405" s="35"/>
      <c r="FK405" s="35"/>
      <c r="FL405" s="35"/>
      <c r="FM405" s="35"/>
      <c r="FN405" s="35"/>
      <c r="FO405" s="35"/>
      <c r="FP405" s="35"/>
      <c r="FQ405" s="35"/>
      <c r="FR405" s="35"/>
      <c r="FS405" s="35"/>
      <c r="FT405" s="35"/>
      <c r="FU405" s="35"/>
      <c r="FV405" s="35"/>
      <c r="FW405" s="35"/>
      <c r="FX405" s="35"/>
      <c r="FY405" s="35"/>
      <c r="FZ405" s="35"/>
      <c r="GA405" s="35"/>
      <c r="GB405" s="35"/>
      <c r="GC405" s="35"/>
      <c r="GD405" s="35"/>
      <c r="GE405" s="35"/>
      <c r="GF405" s="35"/>
      <c r="GG405" s="35"/>
      <c r="GH405" s="35"/>
      <c r="GI405" s="35"/>
      <c r="GJ405" s="35"/>
      <c r="GK405" s="35"/>
      <c r="GL405" s="35"/>
      <c r="GM405" s="35"/>
      <c r="GN405" s="35"/>
      <c r="GO405" s="35"/>
      <c r="GP405" s="35"/>
      <c r="GQ405" s="35"/>
      <c r="GR405" s="35"/>
      <c r="GS405" s="35"/>
      <c r="GT405" s="35"/>
      <c r="GU405" s="35"/>
      <c r="GV405" s="35"/>
      <c r="GW405" s="35"/>
      <c r="GX405" s="35"/>
      <c r="GY405" s="35"/>
      <c r="GZ405" s="35"/>
      <c r="HA405" s="35"/>
      <c r="HB405" s="35"/>
      <c r="HC405" s="35"/>
      <c r="HD405" s="35"/>
      <c r="HE405" s="35"/>
      <c r="HF405" s="35"/>
      <c r="HG405" s="35"/>
      <c r="HH405" s="35"/>
      <c r="HI405" s="35"/>
      <c r="HJ405" s="35"/>
      <c r="HK405" s="35"/>
      <c r="HL405" s="35"/>
      <c r="HM405" s="35"/>
      <c r="HN405" s="35"/>
      <c r="HO405" s="35"/>
      <c r="HP405" s="35"/>
      <c r="HQ405" s="35"/>
      <c r="HR405" s="35"/>
      <c r="HS405" s="35"/>
      <c r="HT405" s="35"/>
      <c r="HU405" s="35"/>
      <c r="HV405" s="35"/>
      <c r="HW405" s="35"/>
      <c r="HX405" s="35"/>
      <c r="HY405" s="35"/>
      <c r="HZ405" s="35"/>
      <c r="IA405" s="35"/>
      <c r="IB405" s="35"/>
      <c r="IC405" s="35"/>
      <c r="ID405" s="35"/>
      <c r="IE405" s="35"/>
      <c r="IF405" s="35"/>
      <c r="IG405" s="35"/>
      <c r="IH405" s="35"/>
      <c r="II405" s="35"/>
      <c r="IJ405" s="35"/>
      <c r="IK405" s="35"/>
      <c r="IL405" s="35"/>
      <c r="IM405" s="35"/>
      <c r="IN405" s="35"/>
      <c r="IO405" s="35"/>
      <c r="IP405" s="35"/>
      <c r="IQ405" s="35"/>
      <c r="IR405" s="35"/>
      <c r="IS405" s="35"/>
      <c r="IT405" s="35"/>
      <c r="IU405" s="35"/>
      <c r="IV405" s="35"/>
      <c r="IW405" s="35"/>
      <c r="IX405" s="35"/>
      <c r="IY405" s="35"/>
      <c r="IZ405" s="35"/>
      <c r="JA405" s="35"/>
      <c r="JB405" s="35"/>
      <c r="JC405" s="35"/>
      <c r="JD405" s="35"/>
      <c r="JE405" s="35"/>
    </row>
    <row r="406">
      <c r="A406" s="42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  <c r="BC406" s="35"/>
      <c r="BD406" s="35"/>
      <c r="BE406" s="35"/>
      <c r="BF406" s="35"/>
      <c r="BG406" s="35"/>
      <c r="BH406" s="35"/>
      <c r="BI406" s="35"/>
      <c r="BJ406" s="35"/>
      <c r="BK406" s="35"/>
      <c r="BL406" s="35"/>
      <c r="BM406" s="35"/>
      <c r="BN406" s="35"/>
      <c r="BO406" s="35"/>
      <c r="BP406" s="35"/>
      <c r="BQ406" s="35"/>
      <c r="BR406" s="35"/>
      <c r="BS406" s="35"/>
      <c r="BT406" s="35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35"/>
      <c r="CO406" s="35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35"/>
      <c r="DJ406" s="35"/>
      <c r="DK406" s="35"/>
      <c r="DL406" s="35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35"/>
      <c r="EE406" s="35"/>
      <c r="EF406" s="35"/>
      <c r="EG406" s="35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35"/>
      <c r="EZ406" s="35"/>
      <c r="FA406" s="35"/>
      <c r="FB406" s="35"/>
      <c r="FC406" s="35"/>
      <c r="FD406" s="35"/>
      <c r="FE406" s="35"/>
      <c r="FF406" s="35"/>
      <c r="FG406" s="35"/>
      <c r="FH406" s="35"/>
      <c r="FI406" s="35"/>
      <c r="FJ406" s="35"/>
      <c r="FK406" s="35"/>
      <c r="FL406" s="35"/>
      <c r="FM406" s="35"/>
      <c r="FN406" s="35"/>
      <c r="FO406" s="35"/>
      <c r="FP406" s="35"/>
      <c r="FQ406" s="35"/>
      <c r="FR406" s="35"/>
      <c r="FS406" s="35"/>
      <c r="FT406" s="35"/>
      <c r="FU406" s="35"/>
      <c r="FV406" s="35"/>
      <c r="FW406" s="35"/>
      <c r="FX406" s="35"/>
      <c r="FY406" s="35"/>
      <c r="FZ406" s="35"/>
      <c r="GA406" s="35"/>
      <c r="GB406" s="35"/>
      <c r="GC406" s="35"/>
      <c r="GD406" s="35"/>
      <c r="GE406" s="35"/>
      <c r="GF406" s="35"/>
      <c r="GG406" s="35"/>
      <c r="GH406" s="35"/>
      <c r="GI406" s="35"/>
      <c r="GJ406" s="35"/>
      <c r="GK406" s="35"/>
      <c r="GL406" s="35"/>
      <c r="GM406" s="35"/>
      <c r="GN406" s="35"/>
      <c r="GO406" s="35"/>
      <c r="GP406" s="35"/>
      <c r="GQ406" s="35"/>
      <c r="GR406" s="35"/>
      <c r="GS406" s="35"/>
      <c r="GT406" s="35"/>
      <c r="GU406" s="35"/>
      <c r="GV406" s="35"/>
      <c r="GW406" s="35"/>
      <c r="GX406" s="35"/>
      <c r="GY406" s="35"/>
      <c r="GZ406" s="35"/>
      <c r="HA406" s="35"/>
      <c r="HB406" s="35"/>
      <c r="HC406" s="35"/>
      <c r="HD406" s="35"/>
      <c r="HE406" s="35"/>
      <c r="HF406" s="35"/>
      <c r="HG406" s="35"/>
      <c r="HH406" s="35"/>
      <c r="HI406" s="35"/>
      <c r="HJ406" s="35"/>
      <c r="HK406" s="35"/>
      <c r="HL406" s="35"/>
      <c r="HM406" s="35"/>
      <c r="HN406" s="35"/>
      <c r="HO406" s="35"/>
      <c r="HP406" s="35"/>
      <c r="HQ406" s="35"/>
      <c r="HR406" s="35"/>
      <c r="HS406" s="35"/>
      <c r="HT406" s="35"/>
      <c r="HU406" s="35"/>
      <c r="HV406" s="35"/>
      <c r="HW406" s="35"/>
      <c r="HX406" s="35"/>
      <c r="HY406" s="35"/>
      <c r="HZ406" s="35"/>
      <c r="IA406" s="35"/>
      <c r="IB406" s="35"/>
      <c r="IC406" s="35"/>
      <c r="ID406" s="35"/>
      <c r="IE406" s="35"/>
      <c r="IF406" s="35"/>
      <c r="IG406" s="35"/>
      <c r="IH406" s="35"/>
      <c r="II406" s="35"/>
      <c r="IJ406" s="35"/>
      <c r="IK406" s="35"/>
      <c r="IL406" s="35"/>
      <c r="IM406" s="35"/>
      <c r="IN406" s="35"/>
      <c r="IO406" s="35"/>
      <c r="IP406" s="35"/>
      <c r="IQ406" s="35"/>
      <c r="IR406" s="35"/>
      <c r="IS406" s="35"/>
      <c r="IT406" s="35"/>
      <c r="IU406" s="35"/>
      <c r="IV406" s="35"/>
      <c r="IW406" s="35"/>
      <c r="IX406" s="35"/>
      <c r="IY406" s="35"/>
      <c r="IZ406" s="35"/>
      <c r="JA406" s="35"/>
      <c r="JB406" s="35"/>
      <c r="JC406" s="35"/>
      <c r="JD406" s="35"/>
      <c r="JE406" s="35"/>
    </row>
    <row r="407">
      <c r="A407" s="42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  <c r="BR407" s="35"/>
      <c r="BS407" s="35"/>
      <c r="BT407" s="35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35"/>
      <c r="CO407" s="35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35"/>
      <c r="DJ407" s="35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35"/>
      <c r="EE407" s="35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35"/>
      <c r="EZ407" s="35"/>
      <c r="FA407" s="35"/>
      <c r="FB407" s="35"/>
      <c r="FC407" s="35"/>
      <c r="FD407" s="35"/>
      <c r="FE407" s="35"/>
      <c r="FF407" s="35"/>
      <c r="FG407" s="35"/>
      <c r="FH407" s="35"/>
      <c r="FI407" s="35"/>
      <c r="FJ407" s="35"/>
      <c r="FK407" s="35"/>
      <c r="FL407" s="35"/>
      <c r="FM407" s="35"/>
      <c r="FN407" s="35"/>
      <c r="FO407" s="35"/>
      <c r="FP407" s="35"/>
      <c r="FQ407" s="35"/>
      <c r="FR407" s="35"/>
      <c r="FS407" s="35"/>
      <c r="FT407" s="35"/>
      <c r="FU407" s="35"/>
      <c r="FV407" s="35"/>
      <c r="FW407" s="35"/>
      <c r="FX407" s="35"/>
      <c r="FY407" s="35"/>
      <c r="FZ407" s="35"/>
      <c r="GA407" s="35"/>
      <c r="GB407" s="35"/>
      <c r="GC407" s="35"/>
      <c r="GD407" s="35"/>
      <c r="GE407" s="35"/>
      <c r="GF407" s="35"/>
      <c r="GG407" s="35"/>
      <c r="GH407" s="35"/>
      <c r="GI407" s="35"/>
      <c r="GJ407" s="35"/>
      <c r="GK407" s="35"/>
      <c r="GL407" s="35"/>
      <c r="GM407" s="35"/>
      <c r="GN407" s="35"/>
      <c r="GO407" s="35"/>
      <c r="GP407" s="35"/>
      <c r="GQ407" s="35"/>
      <c r="GR407" s="35"/>
      <c r="GS407" s="35"/>
      <c r="GT407" s="35"/>
      <c r="GU407" s="35"/>
      <c r="GV407" s="35"/>
      <c r="GW407" s="35"/>
      <c r="GX407" s="35"/>
      <c r="GY407" s="35"/>
      <c r="GZ407" s="35"/>
      <c r="HA407" s="35"/>
      <c r="HB407" s="35"/>
      <c r="HC407" s="35"/>
      <c r="HD407" s="35"/>
      <c r="HE407" s="35"/>
      <c r="HF407" s="35"/>
      <c r="HG407" s="35"/>
      <c r="HH407" s="35"/>
      <c r="HI407" s="35"/>
      <c r="HJ407" s="35"/>
      <c r="HK407" s="35"/>
      <c r="HL407" s="35"/>
      <c r="HM407" s="35"/>
      <c r="HN407" s="35"/>
      <c r="HO407" s="35"/>
      <c r="HP407" s="35"/>
      <c r="HQ407" s="35"/>
      <c r="HR407" s="35"/>
      <c r="HS407" s="35"/>
      <c r="HT407" s="35"/>
      <c r="HU407" s="35"/>
      <c r="HV407" s="35"/>
      <c r="HW407" s="35"/>
      <c r="HX407" s="35"/>
      <c r="HY407" s="35"/>
      <c r="HZ407" s="35"/>
      <c r="IA407" s="35"/>
      <c r="IB407" s="35"/>
      <c r="IC407" s="35"/>
      <c r="ID407" s="35"/>
      <c r="IE407" s="35"/>
      <c r="IF407" s="35"/>
      <c r="IG407" s="35"/>
      <c r="IH407" s="35"/>
      <c r="II407" s="35"/>
      <c r="IJ407" s="35"/>
      <c r="IK407" s="35"/>
      <c r="IL407" s="35"/>
      <c r="IM407" s="35"/>
      <c r="IN407" s="35"/>
      <c r="IO407" s="35"/>
      <c r="IP407" s="35"/>
      <c r="IQ407" s="35"/>
      <c r="IR407" s="35"/>
      <c r="IS407" s="35"/>
      <c r="IT407" s="35"/>
      <c r="IU407" s="35"/>
      <c r="IV407" s="35"/>
      <c r="IW407" s="35"/>
      <c r="IX407" s="35"/>
      <c r="IY407" s="35"/>
      <c r="IZ407" s="35"/>
      <c r="JA407" s="35"/>
      <c r="JB407" s="35"/>
      <c r="JC407" s="35"/>
      <c r="JD407" s="35"/>
      <c r="JE407" s="35"/>
    </row>
    <row r="408">
      <c r="A408" s="42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  <c r="BC408" s="35"/>
      <c r="BD408" s="35"/>
      <c r="BE408" s="35"/>
      <c r="BF408" s="35"/>
      <c r="BG408" s="35"/>
      <c r="BH408" s="35"/>
      <c r="BI408" s="35"/>
      <c r="BJ408" s="35"/>
      <c r="BK408" s="35"/>
      <c r="BL408" s="35"/>
      <c r="BM408" s="35"/>
      <c r="BN408" s="35"/>
      <c r="BO408" s="35"/>
      <c r="BP408" s="35"/>
      <c r="BQ408" s="35"/>
      <c r="BR408" s="35"/>
      <c r="BS408" s="35"/>
      <c r="BT408" s="35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35"/>
      <c r="CO408" s="35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35"/>
      <c r="DJ408" s="35"/>
      <c r="DK408" s="35"/>
      <c r="DL408" s="35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35"/>
      <c r="EE408" s="35"/>
      <c r="EF408" s="35"/>
      <c r="EG408" s="35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35"/>
      <c r="EZ408" s="35"/>
      <c r="FA408" s="35"/>
      <c r="FB408" s="35"/>
      <c r="FC408" s="35"/>
      <c r="FD408" s="35"/>
      <c r="FE408" s="35"/>
      <c r="FF408" s="35"/>
      <c r="FG408" s="35"/>
      <c r="FH408" s="35"/>
      <c r="FI408" s="35"/>
      <c r="FJ408" s="35"/>
      <c r="FK408" s="35"/>
      <c r="FL408" s="35"/>
      <c r="FM408" s="35"/>
      <c r="FN408" s="35"/>
      <c r="FO408" s="35"/>
      <c r="FP408" s="35"/>
      <c r="FQ408" s="35"/>
      <c r="FR408" s="35"/>
      <c r="FS408" s="35"/>
      <c r="FT408" s="35"/>
      <c r="FU408" s="35"/>
      <c r="FV408" s="35"/>
      <c r="FW408" s="35"/>
      <c r="FX408" s="35"/>
      <c r="FY408" s="35"/>
      <c r="FZ408" s="35"/>
      <c r="GA408" s="35"/>
      <c r="GB408" s="35"/>
      <c r="GC408" s="35"/>
      <c r="GD408" s="35"/>
      <c r="GE408" s="35"/>
      <c r="GF408" s="35"/>
      <c r="GG408" s="35"/>
      <c r="GH408" s="35"/>
      <c r="GI408" s="35"/>
      <c r="GJ408" s="35"/>
      <c r="GK408" s="35"/>
      <c r="GL408" s="35"/>
      <c r="GM408" s="35"/>
      <c r="GN408" s="35"/>
      <c r="GO408" s="35"/>
      <c r="GP408" s="35"/>
      <c r="GQ408" s="35"/>
      <c r="GR408" s="35"/>
      <c r="GS408" s="35"/>
      <c r="GT408" s="35"/>
      <c r="GU408" s="35"/>
      <c r="GV408" s="35"/>
      <c r="GW408" s="35"/>
      <c r="GX408" s="35"/>
      <c r="GY408" s="35"/>
      <c r="GZ408" s="35"/>
      <c r="HA408" s="35"/>
      <c r="HB408" s="35"/>
      <c r="HC408" s="35"/>
      <c r="HD408" s="35"/>
      <c r="HE408" s="35"/>
      <c r="HF408" s="35"/>
      <c r="HG408" s="35"/>
      <c r="HH408" s="35"/>
      <c r="HI408" s="35"/>
      <c r="HJ408" s="35"/>
      <c r="HK408" s="35"/>
      <c r="HL408" s="35"/>
      <c r="HM408" s="35"/>
      <c r="HN408" s="35"/>
      <c r="HO408" s="35"/>
      <c r="HP408" s="35"/>
      <c r="HQ408" s="35"/>
      <c r="HR408" s="35"/>
      <c r="HS408" s="35"/>
      <c r="HT408" s="35"/>
      <c r="HU408" s="35"/>
      <c r="HV408" s="35"/>
      <c r="HW408" s="35"/>
      <c r="HX408" s="35"/>
      <c r="HY408" s="35"/>
      <c r="HZ408" s="35"/>
      <c r="IA408" s="35"/>
      <c r="IB408" s="35"/>
      <c r="IC408" s="35"/>
      <c r="ID408" s="35"/>
      <c r="IE408" s="35"/>
      <c r="IF408" s="35"/>
      <c r="IG408" s="35"/>
      <c r="IH408" s="35"/>
      <c r="II408" s="35"/>
      <c r="IJ408" s="35"/>
      <c r="IK408" s="35"/>
      <c r="IL408" s="35"/>
      <c r="IM408" s="35"/>
      <c r="IN408" s="35"/>
      <c r="IO408" s="35"/>
      <c r="IP408" s="35"/>
      <c r="IQ408" s="35"/>
      <c r="IR408" s="35"/>
      <c r="IS408" s="35"/>
      <c r="IT408" s="35"/>
      <c r="IU408" s="35"/>
      <c r="IV408" s="35"/>
      <c r="IW408" s="35"/>
      <c r="IX408" s="35"/>
      <c r="IY408" s="35"/>
      <c r="IZ408" s="35"/>
      <c r="JA408" s="35"/>
      <c r="JB408" s="35"/>
      <c r="JC408" s="35"/>
      <c r="JD408" s="35"/>
      <c r="JE408" s="35"/>
    </row>
    <row r="409">
      <c r="A409" s="42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  <c r="BC409" s="35"/>
      <c r="BD409" s="35"/>
      <c r="BE409" s="35"/>
      <c r="BF409" s="35"/>
      <c r="BG409" s="35"/>
      <c r="BH409" s="35"/>
      <c r="BI409" s="35"/>
      <c r="BJ409" s="35"/>
      <c r="BK409" s="35"/>
      <c r="BL409" s="35"/>
      <c r="BM409" s="35"/>
      <c r="BN409" s="35"/>
      <c r="BO409" s="35"/>
      <c r="BP409" s="35"/>
      <c r="BQ409" s="35"/>
      <c r="BR409" s="35"/>
      <c r="BS409" s="35"/>
      <c r="BT409" s="35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35"/>
      <c r="CO409" s="35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35"/>
      <c r="DJ409" s="35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35"/>
      <c r="EE409" s="35"/>
      <c r="EF409" s="35"/>
      <c r="EG409" s="35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35"/>
      <c r="EZ409" s="35"/>
      <c r="FA409" s="35"/>
      <c r="FB409" s="35"/>
      <c r="FC409" s="35"/>
      <c r="FD409" s="35"/>
      <c r="FE409" s="35"/>
      <c r="FF409" s="35"/>
      <c r="FG409" s="35"/>
      <c r="FH409" s="35"/>
      <c r="FI409" s="35"/>
      <c r="FJ409" s="35"/>
      <c r="FK409" s="35"/>
      <c r="FL409" s="35"/>
      <c r="FM409" s="35"/>
      <c r="FN409" s="35"/>
      <c r="FO409" s="35"/>
      <c r="FP409" s="35"/>
      <c r="FQ409" s="35"/>
      <c r="FR409" s="35"/>
      <c r="FS409" s="35"/>
      <c r="FT409" s="35"/>
      <c r="FU409" s="35"/>
      <c r="FV409" s="35"/>
      <c r="FW409" s="35"/>
      <c r="FX409" s="35"/>
      <c r="FY409" s="35"/>
      <c r="FZ409" s="35"/>
      <c r="GA409" s="35"/>
      <c r="GB409" s="35"/>
      <c r="GC409" s="35"/>
      <c r="GD409" s="35"/>
      <c r="GE409" s="35"/>
      <c r="GF409" s="35"/>
      <c r="GG409" s="35"/>
      <c r="GH409" s="35"/>
      <c r="GI409" s="35"/>
      <c r="GJ409" s="35"/>
      <c r="GK409" s="35"/>
      <c r="GL409" s="35"/>
      <c r="GM409" s="35"/>
      <c r="GN409" s="35"/>
      <c r="GO409" s="35"/>
      <c r="GP409" s="35"/>
      <c r="GQ409" s="35"/>
      <c r="GR409" s="35"/>
      <c r="GS409" s="35"/>
      <c r="GT409" s="35"/>
      <c r="GU409" s="35"/>
      <c r="GV409" s="35"/>
      <c r="GW409" s="35"/>
      <c r="GX409" s="35"/>
      <c r="GY409" s="35"/>
      <c r="GZ409" s="35"/>
      <c r="HA409" s="35"/>
      <c r="HB409" s="35"/>
      <c r="HC409" s="35"/>
      <c r="HD409" s="35"/>
      <c r="HE409" s="35"/>
      <c r="HF409" s="35"/>
      <c r="HG409" s="35"/>
      <c r="HH409" s="35"/>
      <c r="HI409" s="35"/>
      <c r="HJ409" s="35"/>
      <c r="HK409" s="35"/>
      <c r="HL409" s="35"/>
      <c r="HM409" s="35"/>
      <c r="HN409" s="35"/>
      <c r="HO409" s="35"/>
      <c r="HP409" s="35"/>
      <c r="HQ409" s="35"/>
      <c r="HR409" s="35"/>
      <c r="HS409" s="35"/>
      <c r="HT409" s="35"/>
      <c r="HU409" s="35"/>
      <c r="HV409" s="35"/>
      <c r="HW409" s="35"/>
      <c r="HX409" s="35"/>
      <c r="HY409" s="35"/>
      <c r="HZ409" s="35"/>
      <c r="IA409" s="35"/>
      <c r="IB409" s="35"/>
      <c r="IC409" s="35"/>
      <c r="ID409" s="35"/>
      <c r="IE409" s="35"/>
      <c r="IF409" s="35"/>
      <c r="IG409" s="35"/>
      <c r="IH409" s="35"/>
      <c r="II409" s="35"/>
      <c r="IJ409" s="35"/>
      <c r="IK409" s="35"/>
      <c r="IL409" s="35"/>
      <c r="IM409" s="35"/>
      <c r="IN409" s="35"/>
      <c r="IO409" s="35"/>
      <c r="IP409" s="35"/>
      <c r="IQ409" s="35"/>
      <c r="IR409" s="35"/>
      <c r="IS409" s="35"/>
      <c r="IT409" s="35"/>
      <c r="IU409" s="35"/>
      <c r="IV409" s="35"/>
      <c r="IW409" s="35"/>
      <c r="IX409" s="35"/>
      <c r="IY409" s="35"/>
      <c r="IZ409" s="35"/>
      <c r="JA409" s="35"/>
      <c r="JB409" s="35"/>
      <c r="JC409" s="35"/>
      <c r="JD409" s="35"/>
      <c r="JE409" s="35"/>
    </row>
    <row r="410">
      <c r="A410" s="42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  <c r="BC410" s="35"/>
      <c r="BD410" s="35"/>
      <c r="BE410" s="35"/>
      <c r="BF410" s="35"/>
      <c r="BG410" s="35"/>
      <c r="BH410" s="35"/>
      <c r="BI410" s="35"/>
      <c r="BJ410" s="35"/>
      <c r="BK410" s="35"/>
      <c r="BL410" s="35"/>
      <c r="BM410" s="35"/>
      <c r="BN410" s="35"/>
      <c r="BO410" s="35"/>
      <c r="BP410" s="35"/>
      <c r="BQ410" s="35"/>
      <c r="BR410" s="35"/>
      <c r="BS410" s="35"/>
      <c r="BT410" s="35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35"/>
      <c r="CO410" s="35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35"/>
      <c r="DJ410" s="35"/>
      <c r="DK410" s="35"/>
      <c r="DL410" s="35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35"/>
      <c r="EE410" s="35"/>
      <c r="EF410" s="35"/>
      <c r="EG410" s="35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35"/>
      <c r="EZ410" s="35"/>
      <c r="FA410" s="35"/>
      <c r="FB410" s="35"/>
      <c r="FC410" s="35"/>
      <c r="FD410" s="35"/>
      <c r="FE410" s="35"/>
      <c r="FF410" s="35"/>
      <c r="FG410" s="35"/>
      <c r="FH410" s="35"/>
      <c r="FI410" s="35"/>
      <c r="FJ410" s="35"/>
      <c r="FK410" s="35"/>
      <c r="FL410" s="35"/>
      <c r="FM410" s="35"/>
      <c r="FN410" s="35"/>
      <c r="FO410" s="35"/>
      <c r="FP410" s="35"/>
      <c r="FQ410" s="35"/>
      <c r="FR410" s="35"/>
      <c r="FS410" s="35"/>
      <c r="FT410" s="35"/>
      <c r="FU410" s="35"/>
      <c r="FV410" s="35"/>
      <c r="FW410" s="35"/>
      <c r="FX410" s="35"/>
      <c r="FY410" s="35"/>
      <c r="FZ410" s="35"/>
      <c r="GA410" s="35"/>
      <c r="GB410" s="35"/>
      <c r="GC410" s="35"/>
      <c r="GD410" s="35"/>
      <c r="GE410" s="35"/>
      <c r="GF410" s="35"/>
      <c r="GG410" s="35"/>
      <c r="GH410" s="35"/>
      <c r="GI410" s="35"/>
      <c r="GJ410" s="35"/>
      <c r="GK410" s="35"/>
      <c r="GL410" s="35"/>
      <c r="GM410" s="35"/>
      <c r="GN410" s="35"/>
      <c r="GO410" s="35"/>
      <c r="GP410" s="35"/>
      <c r="GQ410" s="35"/>
      <c r="GR410" s="35"/>
      <c r="GS410" s="35"/>
      <c r="GT410" s="35"/>
      <c r="GU410" s="35"/>
      <c r="GV410" s="35"/>
      <c r="GW410" s="35"/>
      <c r="GX410" s="35"/>
      <c r="GY410" s="35"/>
      <c r="GZ410" s="35"/>
      <c r="HA410" s="35"/>
      <c r="HB410" s="35"/>
      <c r="HC410" s="35"/>
      <c r="HD410" s="35"/>
      <c r="HE410" s="35"/>
      <c r="HF410" s="35"/>
      <c r="HG410" s="35"/>
      <c r="HH410" s="35"/>
      <c r="HI410" s="35"/>
      <c r="HJ410" s="35"/>
      <c r="HK410" s="35"/>
      <c r="HL410" s="35"/>
      <c r="HM410" s="35"/>
      <c r="HN410" s="35"/>
      <c r="HO410" s="35"/>
      <c r="HP410" s="35"/>
      <c r="HQ410" s="35"/>
      <c r="HR410" s="35"/>
      <c r="HS410" s="35"/>
      <c r="HT410" s="35"/>
      <c r="HU410" s="35"/>
      <c r="HV410" s="35"/>
      <c r="HW410" s="35"/>
      <c r="HX410" s="35"/>
      <c r="HY410" s="35"/>
      <c r="HZ410" s="35"/>
      <c r="IA410" s="35"/>
      <c r="IB410" s="35"/>
      <c r="IC410" s="35"/>
      <c r="ID410" s="35"/>
      <c r="IE410" s="35"/>
      <c r="IF410" s="35"/>
      <c r="IG410" s="35"/>
      <c r="IH410" s="35"/>
      <c r="II410" s="35"/>
      <c r="IJ410" s="35"/>
      <c r="IK410" s="35"/>
      <c r="IL410" s="35"/>
      <c r="IM410" s="35"/>
      <c r="IN410" s="35"/>
      <c r="IO410" s="35"/>
      <c r="IP410" s="35"/>
      <c r="IQ410" s="35"/>
      <c r="IR410" s="35"/>
      <c r="IS410" s="35"/>
      <c r="IT410" s="35"/>
      <c r="IU410" s="35"/>
      <c r="IV410" s="35"/>
      <c r="IW410" s="35"/>
      <c r="IX410" s="35"/>
      <c r="IY410" s="35"/>
      <c r="IZ410" s="35"/>
      <c r="JA410" s="35"/>
      <c r="JB410" s="35"/>
      <c r="JC410" s="35"/>
      <c r="JD410" s="35"/>
      <c r="JE410" s="35"/>
    </row>
    <row r="411">
      <c r="A411" s="42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  <c r="BC411" s="35"/>
      <c r="BD411" s="35"/>
      <c r="BE411" s="35"/>
      <c r="BF411" s="35"/>
      <c r="BG411" s="35"/>
      <c r="BH411" s="35"/>
      <c r="BI411" s="35"/>
      <c r="BJ411" s="35"/>
      <c r="BK411" s="35"/>
      <c r="BL411" s="35"/>
      <c r="BM411" s="35"/>
      <c r="BN411" s="35"/>
      <c r="BO411" s="35"/>
      <c r="BP411" s="35"/>
      <c r="BQ411" s="35"/>
      <c r="BR411" s="35"/>
      <c r="BS411" s="35"/>
      <c r="BT411" s="35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35"/>
      <c r="CO411" s="35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35"/>
      <c r="DJ411" s="35"/>
      <c r="DK411" s="35"/>
      <c r="DL411" s="35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35"/>
      <c r="EE411" s="35"/>
      <c r="EF411" s="35"/>
      <c r="EG411" s="35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35"/>
      <c r="EZ411" s="35"/>
      <c r="FA411" s="35"/>
      <c r="FB411" s="35"/>
      <c r="FC411" s="35"/>
      <c r="FD411" s="35"/>
      <c r="FE411" s="35"/>
      <c r="FF411" s="35"/>
      <c r="FG411" s="35"/>
      <c r="FH411" s="35"/>
      <c r="FI411" s="35"/>
      <c r="FJ411" s="35"/>
      <c r="FK411" s="35"/>
      <c r="FL411" s="35"/>
      <c r="FM411" s="35"/>
      <c r="FN411" s="35"/>
      <c r="FO411" s="35"/>
      <c r="FP411" s="35"/>
      <c r="FQ411" s="35"/>
      <c r="FR411" s="35"/>
      <c r="FS411" s="35"/>
      <c r="FT411" s="35"/>
      <c r="FU411" s="35"/>
      <c r="FV411" s="35"/>
      <c r="FW411" s="35"/>
      <c r="FX411" s="35"/>
      <c r="FY411" s="35"/>
      <c r="FZ411" s="35"/>
      <c r="GA411" s="35"/>
      <c r="GB411" s="35"/>
      <c r="GC411" s="35"/>
      <c r="GD411" s="35"/>
      <c r="GE411" s="35"/>
      <c r="GF411" s="35"/>
      <c r="GG411" s="35"/>
      <c r="GH411" s="35"/>
      <c r="GI411" s="35"/>
      <c r="GJ411" s="35"/>
      <c r="GK411" s="35"/>
      <c r="GL411" s="35"/>
      <c r="GM411" s="35"/>
      <c r="GN411" s="35"/>
      <c r="GO411" s="35"/>
      <c r="GP411" s="35"/>
      <c r="GQ411" s="35"/>
      <c r="GR411" s="35"/>
      <c r="GS411" s="35"/>
      <c r="GT411" s="35"/>
      <c r="GU411" s="35"/>
      <c r="GV411" s="35"/>
      <c r="GW411" s="35"/>
      <c r="GX411" s="35"/>
      <c r="GY411" s="35"/>
      <c r="GZ411" s="35"/>
      <c r="HA411" s="35"/>
      <c r="HB411" s="35"/>
      <c r="HC411" s="35"/>
      <c r="HD411" s="35"/>
      <c r="HE411" s="35"/>
      <c r="HF411" s="35"/>
      <c r="HG411" s="35"/>
      <c r="HH411" s="35"/>
      <c r="HI411" s="35"/>
      <c r="HJ411" s="35"/>
      <c r="HK411" s="35"/>
      <c r="HL411" s="35"/>
      <c r="HM411" s="35"/>
      <c r="HN411" s="35"/>
      <c r="HO411" s="35"/>
      <c r="HP411" s="35"/>
      <c r="HQ411" s="35"/>
      <c r="HR411" s="35"/>
      <c r="HS411" s="35"/>
      <c r="HT411" s="35"/>
      <c r="HU411" s="35"/>
      <c r="HV411" s="35"/>
      <c r="HW411" s="35"/>
      <c r="HX411" s="35"/>
      <c r="HY411" s="35"/>
      <c r="HZ411" s="35"/>
      <c r="IA411" s="35"/>
      <c r="IB411" s="35"/>
      <c r="IC411" s="35"/>
      <c r="ID411" s="35"/>
      <c r="IE411" s="35"/>
      <c r="IF411" s="35"/>
      <c r="IG411" s="35"/>
      <c r="IH411" s="35"/>
      <c r="II411" s="35"/>
      <c r="IJ411" s="35"/>
      <c r="IK411" s="35"/>
      <c r="IL411" s="35"/>
      <c r="IM411" s="35"/>
      <c r="IN411" s="35"/>
      <c r="IO411" s="35"/>
      <c r="IP411" s="35"/>
      <c r="IQ411" s="35"/>
      <c r="IR411" s="35"/>
      <c r="IS411" s="35"/>
      <c r="IT411" s="35"/>
      <c r="IU411" s="35"/>
      <c r="IV411" s="35"/>
      <c r="IW411" s="35"/>
      <c r="IX411" s="35"/>
      <c r="IY411" s="35"/>
      <c r="IZ411" s="35"/>
      <c r="JA411" s="35"/>
      <c r="JB411" s="35"/>
      <c r="JC411" s="35"/>
      <c r="JD411" s="35"/>
      <c r="JE411" s="35"/>
    </row>
    <row r="412">
      <c r="A412" s="42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/>
      <c r="BQ412" s="35"/>
      <c r="BR412" s="35"/>
      <c r="BS412" s="35"/>
      <c r="BT412" s="35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35"/>
      <c r="CO412" s="35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35"/>
      <c r="DJ412" s="35"/>
      <c r="DK412" s="35"/>
      <c r="DL412" s="35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35"/>
      <c r="EE412" s="35"/>
      <c r="EF412" s="35"/>
      <c r="EG412" s="35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35"/>
      <c r="EZ412" s="35"/>
      <c r="FA412" s="35"/>
      <c r="FB412" s="35"/>
      <c r="FC412" s="35"/>
      <c r="FD412" s="35"/>
      <c r="FE412" s="35"/>
      <c r="FF412" s="35"/>
      <c r="FG412" s="35"/>
      <c r="FH412" s="35"/>
      <c r="FI412" s="35"/>
      <c r="FJ412" s="35"/>
      <c r="FK412" s="35"/>
      <c r="FL412" s="35"/>
      <c r="FM412" s="35"/>
      <c r="FN412" s="35"/>
      <c r="FO412" s="35"/>
      <c r="FP412" s="35"/>
      <c r="FQ412" s="35"/>
      <c r="FR412" s="35"/>
      <c r="FS412" s="35"/>
      <c r="FT412" s="35"/>
      <c r="FU412" s="35"/>
      <c r="FV412" s="35"/>
      <c r="FW412" s="35"/>
      <c r="FX412" s="35"/>
      <c r="FY412" s="35"/>
      <c r="FZ412" s="35"/>
      <c r="GA412" s="35"/>
      <c r="GB412" s="35"/>
      <c r="GC412" s="35"/>
      <c r="GD412" s="35"/>
      <c r="GE412" s="35"/>
      <c r="GF412" s="35"/>
      <c r="GG412" s="35"/>
      <c r="GH412" s="35"/>
      <c r="GI412" s="35"/>
      <c r="GJ412" s="35"/>
      <c r="GK412" s="35"/>
      <c r="GL412" s="35"/>
      <c r="GM412" s="35"/>
      <c r="GN412" s="35"/>
      <c r="GO412" s="35"/>
      <c r="GP412" s="35"/>
      <c r="GQ412" s="35"/>
      <c r="GR412" s="35"/>
      <c r="GS412" s="35"/>
      <c r="GT412" s="35"/>
      <c r="GU412" s="35"/>
      <c r="GV412" s="35"/>
      <c r="GW412" s="35"/>
      <c r="GX412" s="35"/>
      <c r="GY412" s="35"/>
      <c r="GZ412" s="35"/>
      <c r="HA412" s="35"/>
      <c r="HB412" s="35"/>
      <c r="HC412" s="35"/>
      <c r="HD412" s="35"/>
      <c r="HE412" s="35"/>
      <c r="HF412" s="35"/>
      <c r="HG412" s="35"/>
      <c r="HH412" s="35"/>
      <c r="HI412" s="35"/>
      <c r="HJ412" s="35"/>
      <c r="HK412" s="35"/>
      <c r="HL412" s="35"/>
      <c r="HM412" s="35"/>
      <c r="HN412" s="35"/>
      <c r="HO412" s="35"/>
      <c r="HP412" s="35"/>
      <c r="HQ412" s="35"/>
      <c r="HR412" s="35"/>
      <c r="HS412" s="35"/>
      <c r="HT412" s="35"/>
      <c r="HU412" s="35"/>
      <c r="HV412" s="35"/>
      <c r="HW412" s="35"/>
      <c r="HX412" s="35"/>
      <c r="HY412" s="35"/>
      <c r="HZ412" s="35"/>
      <c r="IA412" s="35"/>
      <c r="IB412" s="35"/>
      <c r="IC412" s="35"/>
      <c r="ID412" s="35"/>
      <c r="IE412" s="35"/>
      <c r="IF412" s="35"/>
      <c r="IG412" s="35"/>
      <c r="IH412" s="35"/>
      <c r="II412" s="35"/>
      <c r="IJ412" s="35"/>
      <c r="IK412" s="35"/>
      <c r="IL412" s="35"/>
      <c r="IM412" s="35"/>
      <c r="IN412" s="35"/>
      <c r="IO412" s="35"/>
      <c r="IP412" s="35"/>
      <c r="IQ412" s="35"/>
      <c r="IR412" s="35"/>
      <c r="IS412" s="35"/>
      <c r="IT412" s="35"/>
      <c r="IU412" s="35"/>
      <c r="IV412" s="35"/>
      <c r="IW412" s="35"/>
      <c r="IX412" s="35"/>
      <c r="IY412" s="35"/>
      <c r="IZ412" s="35"/>
      <c r="JA412" s="35"/>
      <c r="JB412" s="35"/>
      <c r="JC412" s="35"/>
      <c r="JD412" s="35"/>
      <c r="JE412" s="35"/>
    </row>
    <row r="413">
      <c r="A413" s="42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  <c r="BC413" s="35"/>
      <c r="BD413" s="35"/>
      <c r="BE413" s="35"/>
      <c r="BF413" s="35"/>
      <c r="BG413" s="35"/>
      <c r="BH413" s="35"/>
      <c r="BI413" s="35"/>
      <c r="BJ413" s="35"/>
      <c r="BK413" s="35"/>
      <c r="BL413" s="35"/>
      <c r="BM413" s="35"/>
      <c r="BN413" s="35"/>
      <c r="BO413" s="35"/>
      <c r="BP413" s="35"/>
      <c r="BQ413" s="35"/>
      <c r="BR413" s="35"/>
      <c r="BS413" s="35"/>
      <c r="BT413" s="35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35"/>
      <c r="CO413" s="35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35"/>
      <c r="DJ413" s="35"/>
      <c r="DK413" s="35"/>
      <c r="DL413" s="35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35"/>
      <c r="EE413" s="35"/>
      <c r="EF413" s="35"/>
      <c r="EG413" s="35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35"/>
      <c r="EZ413" s="35"/>
      <c r="FA413" s="35"/>
      <c r="FB413" s="35"/>
      <c r="FC413" s="35"/>
      <c r="FD413" s="35"/>
      <c r="FE413" s="35"/>
      <c r="FF413" s="35"/>
      <c r="FG413" s="35"/>
      <c r="FH413" s="35"/>
      <c r="FI413" s="35"/>
      <c r="FJ413" s="35"/>
      <c r="FK413" s="35"/>
      <c r="FL413" s="35"/>
      <c r="FM413" s="35"/>
      <c r="FN413" s="35"/>
      <c r="FO413" s="35"/>
      <c r="FP413" s="35"/>
      <c r="FQ413" s="35"/>
      <c r="FR413" s="35"/>
      <c r="FS413" s="35"/>
      <c r="FT413" s="35"/>
      <c r="FU413" s="35"/>
      <c r="FV413" s="35"/>
      <c r="FW413" s="35"/>
      <c r="FX413" s="35"/>
      <c r="FY413" s="35"/>
      <c r="FZ413" s="35"/>
      <c r="GA413" s="35"/>
      <c r="GB413" s="35"/>
      <c r="GC413" s="35"/>
      <c r="GD413" s="35"/>
      <c r="GE413" s="35"/>
      <c r="GF413" s="35"/>
      <c r="GG413" s="35"/>
      <c r="GH413" s="35"/>
      <c r="GI413" s="35"/>
      <c r="GJ413" s="35"/>
      <c r="GK413" s="35"/>
      <c r="GL413" s="35"/>
      <c r="GM413" s="35"/>
      <c r="GN413" s="35"/>
      <c r="GO413" s="35"/>
      <c r="GP413" s="35"/>
      <c r="GQ413" s="35"/>
      <c r="GR413" s="35"/>
      <c r="GS413" s="35"/>
      <c r="GT413" s="35"/>
      <c r="GU413" s="35"/>
      <c r="GV413" s="35"/>
      <c r="GW413" s="35"/>
      <c r="GX413" s="35"/>
      <c r="GY413" s="35"/>
      <c r="GZ413" s="35"/>
      <c r="HA413" s="35"/>
      <c r="HB413" s="35"/>
      <c r="HC413" s="35"/>
      <c r="HD413" s="35"/>
      <c r="HE413" s="35"/>
      <c r="HF413" s="35"/>
      <c r="HG413" s="35"/>
      <c r="HH413" s="35"/>
      <c r="HI413" s="35"/>
      <c r="HJ413" s="35"/>
      <c r="HK413" s="35"/>
      <c r="HL413" s="35"/>
      <c r="HM413" s="35"/>
      <c r="HN413" s="35"/>
      <c r="HO413" s="35"/>
      <c r="HP413" s="35"/>
      <c r="HQ413" s="35"/>
      <c r="HR413" s="35"/>
      <c r="HS413" s="35"/>
      <c r="HT413" s="35"/>
      <c r="HU413" s="35"/>
      <c r="HV413" s="35"/>
      <c r="HW413" s="35"/>
      <c r="HX413" s="35"/>
      <c r="HY413" s="35"/>
      <c r="HZ413" s="35"/>
      <c r="IA413" s="35"/>
      <c r="IB413" s="35"/>
      <c r="IC413" s="35"/>
      <c r="ID413" s="35"/>
      <c r="IE413" s="35"/>
      <c r="IF413" s="35"/>
      <c r="IG413" s="35"/>
      <c r="IH413" s="35"/>
      <c r="II413" s="35"/>
      <c r="IJ413" s="35"/>
      <c r="IK413" s="35"/>
      <c r="IL413" s="35"/>
      <c r="IM413" s="35"/>
      <c r="IN413" s="35"/>
      <c r="IO413" s="35"/>
      <c r="IP413" s="35"/>
      <c r="IQ413" s="35"/>
      <c r="IR413" s="35"/>
      <c r="IS413" s="35"/>
      <c r="IT413" s="35"/>
      <c r="IU413" s="35"/>
      <c r="IV413" s="35"/>
      <c r="IW413" s="35"/>
      <c r="IX413" s="35"/>
      <c r="IY413" s="35"/>
      <c r="IZ413" s="35"/>
      <c r="JA413" s="35"/>
      <c r="JB413" s="35"/>
      <c r="JC413" s="35"/>
      <c r="JD413" s="35"/>
      <c r="JE413" s="35"/>
    </row>
    <row r="414">
      <c r="A414" s="42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  <c r="BR414" s="35"/>
      <c r="BS414" s="35"/>
      <c r="BT414" s="35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35"/>
      <c r="CO414" s="35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35"/>
      <c r="DJ414" s="35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35"/>
      <c r="EE414" s="35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35"/>
      <c r="EZ414" s="35"/>
      <c r="FA414" s="35"/>
      <c r="FB414" s="35"/>
      <c r="FC414" s="35"/>
      <c r="FD414" s="35"/>
      <c r="FE414" s="35"/>
      <c r="FF414" s="35"/>
      <c r="FG414" s="35"/>
      <c r="FH414" s="35"/>
      <c r="FI414" s="35"/>
      <c r="FJ414" s="35"/>
      <c r="FK414" s="35"/>
      <c r="FL414" s="35"/>
      <c r="FM414" s="35"/>
      <c r="FN414" s="35"/>
      <c r="FO414" s="35"/>
      <c r="FP414" s="35"/>
      <c r="FQ414" s="35"/>
      <c r="FR414" s="35"/>
      <c r="FS414" s="35"/>
      <c r="FT414" s="35"/>
      <c r="FU414" s="35"/>
      <c r="FV414" s="35"/>
      <c r="FW414" s="35"/>
      <c r="FX414" s="35"/>
      <c r="FY414" s="35"/>
      <c r="FZ414" s="35"/>
      <c r="GA414" s="35"/>
      <c r="GB414" s="35"/>
      <c r="GC414" s="35"/>
      <c r="GD414" s="35"/>
      <c r="GE414" s="35"/>
      <c r="GF414" s="35"/>
      <c r="GG414" s="35"/>
      <c r="GH414" s="35"/>
      <c r="GI414" s="35"/>
      <c r="GJ414" s="35"/>
      <c r="GK414" s="35"/>
      <c r="GL414" s="35"/>
      <c r="GM414" s="35"/>
      <c r="GN414" s="35"/>
      <c r="GO414" s="35"/>
      <c r="GP414" s="35"/>
      <c r="GQ414" s="35"/>
      <c r="GR414" s="35"/>
      <c r="GS414" s="35"/>
      <c r="GT414" s="35"/>
      <c r="GU414" s="35"/>
      <c r="GV414" s="35"/>
      <c r="GW414" s="35"/>
      <c r="GX414" s="35"/>
      <c r="GY414" s="35"/>
      <c r="GZ414" s="35"/>
      <c r="HA414" s="35"/>
      <c r="HB414" s="35"/>
      <c r="HC414" s="35"/>
      <c r="HD414" s="35"/>
      <c r="HE414" s="35"/>
      <c r="HF414" s="35"/>
      <c r="HG414" s="35"/>
      <c r="HH414" s="35"/>
      <c r="HI414" s="35"/>
      <c r="HJ414" s="35"/>
      <c r="HK414" s="35"/>
      <c r="HL414" s="35"/>
      <c r="HM414" s="35"/>
      <c r="HN414" s="35"/>
      <c r="HO414" s="35"/>
      <c r="HP414" s="35"/>
      <c r="HQ414" s="35"/>
      <c r="HR414" s="35"/>
      <c r="HS414" s="35"/>
      <c r="HT414" s="35"/>
      <c r="HU414" s="35"/>
      <c r="HV414" s="35"/>
      <c r="HW414" s="35"/>
      <c r="HX414" s="35"/>
      <c r="HY414" s="35"/>
      <c r="HZ414" s="35"/>
      <c r="IA414" s="35"/>
      <c r="IB414" s="35"/>
      <c r="IC414" s="35"/>
      <c r="ID414" s="35"/>
      <c r="IE414" s="35"/>
      <c r="IF414" s="35"/>
      <c r="IG414" s="35"/>
      <c r="IH414" s="35"/>
      <c r="II414" s="35"/>
      <c r="IJ414" s="35"/>
      <c r="IK414" s="35"/>
      <c r="IL414" s="35"/>
      <c r="IM414" s="35"/>
      <c r="IN414" s="35"/>
      <c r="IO414" s="35"/>
      <c r="IP414" s="35"/>
      <c r="IQ414" s="35"/>
      <c r="IR414" s="35"/>
      <c r="IS414" s="35"/>
      <c r="IT414" s="35"/>
      <c r="IU414" s="35"/>
      <c r="IV414" s="35"/>
      <c r="IW414" s="35"/>
      <c r="IX414" s="35"/>
      <c r="IY414" s="35"/>
      <c r="IZ414" s="35"/>
      <c r="JA414" s="35"/>
      <c r="JB414" s="35"/>
      <c r="JC414" s="35"/>
      <c r="JD414" s="35"/>
      <c r="JE414" s="35"/>
    </row>
    <row r="415">
      <c r="A415" s="42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  <c r="BR415" s="35"/>
      <c r="BS415" s="35"/>
      <c r="BT415" s="35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35"/>
      <c r="CO415" s="35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35"/>
      <c r="DJ415" s="35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35"/>
      <c r="EE415" s="35"/>
      <c r="EF415" s="35"/>
      <c r="EG415" s="35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35"/>
      <c r="EZ415" s="35"/>
      <c r="FA415" s="35"/>
      <c r="FB415" s="35"/>
      <c r="FC415" s="35"/>
      <c r="FD415" s="35"/>
      <c r="FE415" s="35"/>
      <c r="FF415" s="35"/>
      <c r="FG415" s="35"/>
      <c r="FH415" s="35"/>
      <c r="FI415" s="35"/>
      <c r="FJ415" s="35"/>
      <c r="FK415" s="35"/>
      <c r="FL415" s="35"/>
      <c r="FM415" s="35"/>
      <c r="FN415" s="35"/>
      <c r="FO415" s="35"/>
      <c r="FP415" s="35"/>
      <c r="FQ415" s="35"/>
      <c r="FR415" s="35"/>
      <c r="FS415" s="35"/>
      <c r="FT415" s="35"/>
      <c r="FU415" s="35"/>
      <c r="FV415" s="35"/>
      <c r="FW415" s="35"/>
      <c r="FX415" s="35"/>
      <c r="FY415" s="35"/>
      <c r="FZ415" s="35"/>
      <c r="GA415" s="35"/>
      <c r="GB415" s="35"/>
      <c r="GC415" s="35"/>
      <c r="GD415" s="35"/>
      <c r="GE415" s="35"/>
      <c r="GF415" s="35"/>
      <c r="GG415" s="35"/>
      <c r="GH415" s="35"/>
      <c r="GI415" s="35"/>
      <c r="GJ415" s="35"/>
      <c r="GK415" s="35"/>
      <c r="GL415" s="35"/>
      <c r="GM415" s="35"/>
      <c r="GN415" s="35"/>
      <c r="GO415" s="35"/>
      <c r="GP415" s="35"/>
      <c r="GQ415" s="35"/>
      <c r="GR415" s="35"/>
      <c r="GS415" s="35"/>
      <c r="GT415" s="35"/>
      <c r="GU415" s="35"/>
      <c r="GV415" s="35"/>
      <c r="GW415" s="35"/>
      <c r="GX415" s="35"/>
      <c r="GY415" s="35"/>
      <c r="GZ415" s="35"/>
      <c r="HA415" s="35"/>
      <c r="HB415" s="35"/>
      <c r="HC415" s="35"/>
      <c r="HD415" s="35"/>
      <c r="HE415" s="35"/>
      <c r="HF415" s="35"/>
      <c r="HG415" s="35"/>
      <c r="HH415" s="35"/>
      <c r="HI415" s="35"/>
      <c r="HJ415" s="35"/>
      <c r="HK415" s="35"/>
      <c r="HL415" s="35"/>
      <c r="HM415" s="35"/>
      <c r="HN415" s="35"/>
      <c r="HO415" s="35"/>
      <c r="HP415" s="35"/>
      <c r="HQ415" s="35"/>
      <c r="HR415" s="35"/>
      <c r="HS415" s="35"/>
      <c r="HT415" s="35"/>
      <c r="HU415" s="35"/>
      <c r="HV415" s="35"/>
      <c r="HW415" s="35"/>
      <c r="HX415" s="35"/>
      <c r="HY415" s="35"/>
      <c r="HZ415" s="35"/>
      <c r="IA415" s="35"/>
      <c r="IB415" s="35"/>
      <c r="IC415" s="35"/>
      <c r="ID415" s="35"/>
      <c r="IE415" s="35"/>
      <c r="IF415" s="35"/>
      <c r="IG415" s="35"/>
      <c r="IH415" s="35"/>
      <c r="II415" s="35"/>
      <c r="IJ415" s="35"/>
      <c r="IK415" s="35"/>
      <c r="IL415" s="35"/>
      <c r="IM415" s="35"/>
      <c r="IN415" s="35"/>
      <c r="IO415" s="35"/>
      <c r="IP415" s="35"/>
      <c r="IQ415" s="35"/>
      <c r="IR415" s="35"/>
      <c r="IS415" s="35"/>
      <c r="IT415" s="35"/>
      <c r="IU415" s="35"/>
      <c r="IV415" s="35"/>
      <c r="IW415" s="35"/>
      <c r="IX415" s="35"/>
      <c r="IY415" s="35"/>
      <c r="IZ415" s="35"/>
      <c r="JA415" s="35"/>
      <c r="JB415" s="35"/>
      <c r="JC415" s="35"/>
      <c r="JD415" s="35"/>
      <c r="JE415" s="35"/>
    </row>
    <row r="416">
      <c r="A416" s="42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  <c r="BR416" s="35"/>
      <c r="BS416" s="35"/>
      <c r="BT416" s="35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35"/>
      <c r="CO416" s="35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35"/>
      <c r="DJ416" s="35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35"/>
      <c r="EE416" s="35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35"/>
      <c r="EZ416" s="35"/>
      <c r="FA416" s="35"/>
      <c r="FB416" s="35"/>
      <c r="FC416" s="35"/>
      <c r="FD416" s="35"/>
      <c r="FE416" s="35"/>
      <c r="FF416" s="35"/>
      <c r="FG416" s="35"/>
      <c r="FH416" s="35"/>
      <c r="FI416" s="35"/>
      <c r="FJ416" s="35"/>
      <c r="FK416" s="35"/>
      <c r="FL416" s="35"/>
      <c r="FM416" s="35"/>
      <c r="FN416" s="35"/>
      <c r="FO416" s="35"/>
      <c r="FP416" s="35"/>
      <c r="FQ416" s="35"/>
      <c r="FR416" s="35"/>
      <c r="FS416" s="35"/>
      <c r="FT416" s="35"/>
      <c r="FU416" s="35"/>
      <c r="FV416" s="35"/>
      <c r="FW416" s="35"/>
      <c r="FX416" s="35"/>
      <c r="FY416" s="35"/>
      <c r="FZ416" s="35"/>
      <c r="GA416" s="35"/>
      <c r="GB416" s="35"/>
      <c r="GC416" s="35"/>
      <c r="GD416" s="35"/>
      <c r="GE416" s="35"/>
      <c r="GF416" s="35"/>
      <c r="GG416" s="35"/>
      <c r="GH416" s="35"/>
      <c r="GI416" s="35"/>
      <c r="GJ416" s="35"/>
      <c r="GK416" s="35"/>
      <c r="GL416" s="35"/>
      <c r="GM416" s="35"/>
      <c r="GN416" s="35"/>
      <c r="GO416" s="35"/>
      <c r="GP416" s="35"/>
      <c r="GQ416" s="35"/>
      <c r="GR416" s="35"/>
      <c r="GS416" s="35"/>
      <c r="GT416" s="35"/>
      <c r="GU416" s="35"/>
      <c r="GV416" s="35"/>
      <c r="GW416" s="35"/>
      <c r="GX416" s="35"/>
      <c r="GY416" s="35"/>
      <c r="GZ416" s="35"/>
      <c r="HA416" s="35"/>
      <c r="HB416" s="35"/>
      <c r="HC416" s="35"/>
      <c r="HD416" s="35"/>
      <c r="HE416" s="35"/>
      <c r="HF416" s="35"/>
      <c r="HG416" s="35"/>
      <c r="HH416" s="35"/>
      <c r="HI416" s="35"/>
      <c r="HJ416" s="35"/>
      <c r="HK416" s="35"/>
      <c r="HL416" s="35"/>
      <c r="HM416" s="35"/>
      <c r="HN416" s="35"/>
      <c r="HO416" s="35"/>
      <c r="HP416" s="35"/>
      <c r="HQ416" s="35"/>
      <c r="HR416" s="35"/>
      <c r="HS416" s="35"/>
      <c r="HT416" s="35"/>
      <c r="HU416" s="35"/>
      <c r="HV416" s="35"/>
      <c r="HW416" s="35"/>
      <c r="HX416" s="35"/>
      <c r="HY416" s="35"/>
      <c r="HZ416" s="35"/>
      <c r="IA416" s="35"/>
      <c r="IB416" s="35"/>
      <c r="IC416" s="35"/>
      <c r="ID416" s="35"/>
      <c r="IE416" s="35"/>
      <c r="IF416" s="35"/>
      <c r="IG416" s="35"/>
      <c r="IH416" s="35"/>
      <c r="II416" s="35"/>
      <c r="IJ416" s="35"/>
      <c r="IK416" s="35"/>
      <c r="IL416" s="35"/>
      <c r="IM416" s="35"/>
      <c r="IN416" s="35"/>
      <c r="IO416" s="35"/>
      <c r="IP416" s="35"/>
      <c r="IQ416" s="35"/>
      <c r="IR416" s="35"/>
      <c r="IS416" s="35"/>
      <c r="IT416" s="35"/>
      <c r="IU416" s="35"/>
      <c r="IV416" s="35"/>
      <c r="IW416" s="35"/>
      <c r="IX416" s="35"/>
      <c r="IY416" s="35"/>
      <c r="IZ416" s="35"/>
      <c r="JA416" s="35"/>
      <c r="JB416" s="35"/>
      <c r="JC416" s="35"/>
      <c r="JD416" s="35"/>
      <c r="JE416" s="35"/>
    </row>
    <row r="417">
      <c r="A417" s="42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  <c r="BC417" s="35"/>
      <c r="BD417" s="35"/>
      <c r="BE417" s="35"/>
      <c r="BF417" s="35"/>
      <c r="BG417" s="35"/>
      <c r="BH417" s="35"/>
      <c r="BI417" s="35"/>
      <c r="BJ417" s="35"/>
      <c r="BK417" s="35"/>
      <c r="BL417" s="35"/>
      <c r="BM417" s="35"/>
      <c r="BN417" s="35"/>
      <c r="BO417" s="35"/>
      <c r="BP417" s="35"/>
      <c r="BQ417" s="35"/>
      <c r="BR417" s="35"/>
      <c r="BS417" s="35"/>
      <c r="BT417" s="35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35"/>
      <c r="CO417" s="35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35"/>
      <c r="DJ417" s="35"/>
      <c r="DK417" s="35"/>
      <c r="DL417" s="35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35"/>
      <c r="EE417" s="35"/>
      <c r="EF417" s="35"/>
      <c r="EG417" s="35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35"/>
      <c r="EZ417" s="35"/>
      <c r="FA417" s="35"/>
      <c r="FB417" s="35"/>
      <c r="FC417" s="35"/>
      <c r="FD417" s="35"/>
      <c r="FE417" s="35"/>
      <c r="FF417" s="35"/>
      <c r="FG417" s="35"/>
      <c r="FH417" s="35"/>
      <c r="FI417" s="35"/>
      <c r="FJ417" s="35"/>
      <c r="FK417" s="35"/>
      <c r="FL417" s="35"/>
      <c r="FM417" s="35"/>
      <c r="FN417" s="35"/>
      <c r="FO417" s="35"/>
      <c r="FP417" s="35"/>
      <c r="FQ417" s="35"/>
      <c r="FR417" s="35"/>
      <c r="FS417" s="35"/>
      <c r="FT417" s="35"/>
      <c r="FU417" s="35"/>
      <c r="FV417" s="35"/>
      <c r="FW417" s="35"/>
      <c r="FX417" s="35"/>
      <c r="FY417" s="35"/>
      <c r="FZ417" s="35"/>
      <c r="GA417" s="35"/>
      <c r="GB417" s="35"/>
      <c r="GC417" s="35"/>
      <c r="GD417" s="35"/>
      <c r="GE417" s="35"/>
      <c r="GF417" s="35"/>
      <c r="GG417" s="35"/>
      <c r="GH417" s="35"/>
      <c r="GI417" s="35"/>
      <c r="GJ417" s="35"/>
      <c r="GK417" s="35"/>
      <c r="GL417" s="35"/>
      <c r="GM417" s="35"/>
      <c r="GN417" s="35"/>
      <c r="GO417" s="35"/>
      <c r="GP417" s="35"/>
      <c r="GQ417" s="35"/>
      <c r="GR417" s="35"/>
      <c r="GS417" s="35"/>
      <c r="GT417" s="35"/>
      <c r="GU417" s="35"/>
      <c r="GV417" s="35"/>
      <c r="GW417" s="35"/>
      <c r="GX417" s="35"/>
      <c r="GY417" s="35"/>
      <c r="GZ417" s="35"/>
      <c r="HA417" s="35"/>
      <c r="HB417" s="35"/>
      <c r="HC417" s="35"/>
      <c r="HD417" s="35"/>
      <c r="HE417" s="35"/>
      <c r="HF417" s="35"/>
      <c r="HG417" s="35"/>
      <c r="HH417" s="35"/>
      <c r="HI417" s="35"/>
      <c r="HJ417" s="35"/>
      <c r="HK417" s="35"/>
      <c r="HL417" s="35"/>
      <c r="HM417" s="35"/>
      <c r="HN417" s="35"/>
      <c r="HO417" s="35"/>
      <c r="HP417" s="35"/>
      <c r="HQ417" s="35"/>
      <c r="HR417" s="35"/>
      <c r="HS417" s="35"/>
      <c r="HT417" s="35"/>
      <c r="HU417" s="35"/>
      <c r="HV417" s="35"/>
      <c r="HW417" s="35"/>
      <c r="HX417" s="35"/>
      <c r="HY417" s="35"/>
      <c r="HZ417" s="35"/>
      <c r="IA417" s="35"/>
      <c r="IB417" s="35"/>
      <c r="IC417" s="35"/>
      <c r="ID417" s="35"/>
      <c r="IE417" s="35"/>
      <c r="IF417" s="35"/>
      <c r="IG417" s="35"/>
      <c r="IH417" s="35"/>
      <c r="II417" s="35"/>
      <c r="IJ417" s="35"/>
      <c r="IK417" s="35"/>
      <c r="IL417" s="35"/>
      <c r="IM417" s="35"/>
      <c r="IN417" s="35"/>
      <c r="IO417" s="35"/>
      <c r="IP417" s="35"/>
      <c r="IQ417" s="35"/>
      <c r="IR417" s="35"/>
      <c r="IS417" s="35"/>
      <c r="IT417" s="35"/>
      <c r="IU417" s="35"/>
      <c r="IV417" s="35"/>
      <c r="IW417" s="35"/>
      <c r="IX417" s="35"/>
      <c r="IY417" s="35"/>
      <c r="IZ417" s="35"/>
      <c r="JA417" s="35"/>
      <c r="JB417" s="35"/>
      <c r="JC417" s="35"/>
      <c r="JD417" s="35"/>
      <c r="JE417" s="35"/>
    </row>
    <row r="418">
      <c r="A418" s="42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  <c r="BR418" s="35"/>
      <c r="BS418" s="35"/>
      <c r="BT418" s="35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35"/>
      <c r="CO418" s="35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35"/>
      <c r="DJ418" s="35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35"/>
      <c r="EE418" s="35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35"/>
      <c r="EZ418" s="35"/>
      <c r="FA418" s="35"/>
      <c r="FB418" s="35"/>
      <c r="FC418" s="35"/>
      <c r="FD418" s="35"/>
      <c r="FE418" s="35"/>
      <c r="FF418" s="35"/>
      <c r="FG418" s="35"/>
      <c r="FH418" s="35"/>
      <c r="FI418" s="35"/>
      <c r="FJ418" s="35"/>
      <c r="FK418" s="35"/>
      <c r="FL418" s="35"/>
      <c r="FM418" s="35"/>
      <c r="FN418" s="35"/>
      <c r="FO418" s="35"/>
      <c r="FP418" s="35"/>
      <c r="FQ418" s="35"/>
      <c r="FR418" s="35"/>
      <c r="FS418" s="35"/>
      <c r="FT418" s="35"/>
      <c r="FU418" s="35"/>
      <c r="FV418" s="35"/>
      <c r="FW418" s="35"/>
      <c r="FX418" s="35"/>
      <c r="FY418" s="35"/>
      <c r="FZ418" s="35"/>
      <c r="GA418" s="35"/>
      <c r="GB418" s="35"/>
      <c r="GC418" s="35"/>
      <c r="GD418" s="35"/>
      <c r="GE418" s="35"/>
      <c r="GF418" s="35"/>
      <c r="GG418" s="35"/>
      <c r="GH418" s="35"/>
      <c r="GI418" s="35"/>
      <c r="GJ418" s="35"/>
      <c r="GK418" s="35"/>
      <c r="GL418" s="35"/>
      <c r="GM418" s="35"/>
      <c r="GN418" s="35"/>
      <c r="GO418" s="35"/>
      <c r="GP418" s="35"/>
      <c r="GQ418" s="35"/>
      <c r="GR418" s="35"/>
      <c r="GS418" s="35"/>
      <c r="GT418" s="35"/>
      <c r="GU418" s="35"/>
      <c r="GV418" s="35"/>
      <c r="GW418" s="35"/>
      <c r="GX418" s="35"/>
      <c r="GY418" s="35"/>
      <c r="GZ418" s="35"/>
      <c r="HA418" s="35"/>
      <c r="HB418" s="35"/>
      <c r="HC418" s="35"/>
      <c r="HD418" s="35"/>
      <c r="HE418" s="35"/>
      <c r="HF418" s="35"/>
      <c r="HG418" s="35"/>
      <c r="HH418" s="35"/>
      <c r="HI418" s="35"/>
      <c r="HJ418" s="35"/>
      <c r="HK418" s="35"/>
      <c r="HL418" s="35"/>
      <c r="HM418" s="35"/>
      <c r="HN418" s="35"/>
      <c r="HO418" s="35"/>
      <c r="HP418" s="35"/>
      <c r="HQ418" s="35"/>
      <c r="HR418" s="35"/>
      <c r="HS418" s="35"/>
      <c r="HT418" s="35"/>
      <c r="HU418" s="35"/>
      <c r="HV418" s="35"/>
      <c r="HW418" s="35"/>
      <c r="HX418" s="35"/>
      <c r="HY418" s="35"/>
      <c r="HZ418" s="35"/>
      <c r="IA418" s="35"/>
      <c r="IB418" s="35"/>
      <c r="IC418" s="35"/>
      <c r="ID418" s="35"/>
      <c r="IE418" s="35"/>
      <c r="IF418" s="35"/>
      <c r="IG418" s="35"/>
      <c r="IH418" s="35"/>
      <c r="II418" s="35"/>
      <c r="IJ418" s="35"/>
      <c r="IK418" s="35"/>
      <c r="IL418" s="35"/>
      <c r="IM418" s="35"/>
      <c r="IN418" s="35"/>
      <c r="IO418" s="35"/>
      <c r="IP418" s="35"/>
      <c r="IQ418" s="35"/>
      <c r="IR418" s="35"/>
      <c r="IS418" s="35"/>
      <c r="IT418" s="35"/>
      <c r="IU418" s="35"/>
      <c r="IV418" s="35"/>
      <c r="IW418" s="35"/>
      <c r="IX418" s="35"/>
      <c r="IY418" s="35"/>
      <c r="IZ418" s="35"/>
      <c r="JA418" s="35"/>
      <c r="JB418" s="35"/>
      <c r="JC418" s="35"/>
      <c r="JD418" s="35"/>
      <c r="JE418" s="35"/>
    </row>
    <row r="419">
      <c r="A419" s="42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  <c r="BC419" s="35"/>
      <c r="BD419" s="35"/>
      <c r="BE419" s="35"/>
      <c r="BF419" s="35"/>
      <c r="BG419" s="35"/>
      <c r="BH419" s="35"/>
      <c r="BI419" s="35"/>
      <c r="BJ419" s="35"/>
      <c r="BK419" s="35"/>
      <c r="BL419" s="35"/>
      <c r="BM419" s="35"/>
      <c r="BN419" s="35"/>
      <c r="BO419" s="35"/>
      <c r="BP419" s="35"/>
      <c r="BQ419" s="35"/>
      <c r="BR419" s="35"/>
      <c r="BS419" s="35"/>
      <c r="BT419" s="35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35"/>
      <c r="CO419" s="35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35"/>
      <c r="DJ419" s="35"/>
      <c r="DK419" s="35"/>
      <c r="DL419" s="35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35"/>
      <c r="EE419" s="35"/>
      <c r="EF419" s="35"/>
      <c r="EG419" s="35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35"/>
      <c r="EZ419" s="35"/>
      <c r="FA419" s="35"/>
      <c r="FB419" s="35"/>
      <c r="FC419" s="35"/>
      <c r="FD419" s="35"/>
      <c r="FE419" s="35"/>
      <c r="FF419" s="35"/>
      <c r="FG419" s="35"/>
      <c r="FH419" s="35"/>
      <c r="FI419" s="35"/>
      <c r="FJ419" s="35"/>
      <c r="FK419" s="35"/>
      <c r="FL419" s="35"/>
      <c r="FM419" s="35"/>
      <c r="FN419" s="35"/>
      <c r="FO419" s="35"/>
      <c r="FP419" s="35"/>
      <c r="FQ419" s="35"/>
      <c r="FR419" s="35"/>
      <c r="FS419" s="35"/>
      <c r="FT419" s="35"/>
      <c r="FU419" s="35"/>
      <c r="FV419" s="35"/>
      <c r="FW419" s="35"/>
      <c r="FX419" s="35"/>
      <c r="FY419" s="35"/>
      <c r="FZ419" s="35"/>
      <c r="GA419" s="35"/>
      <c r="GB419" s="35"/>
      <c r="GC419" s="35"/>
      <c r="GD419" s="35"/>
      <c r="GE419" s="35"/>
      <c r="GF419" s="35"/>
      <c r="GG419" s="35"/>
      <c r="GH419" s="35"/>
      <c r="GI419" s="35"/>
      <c r="GJ419" s="35"/>
      <c r="GK419" s="35"/>
      <c r="GL419" s="35"/>
      <c r="GM419" s="35"/>
      <c r="GN419" s="35"/>
      <c r="GO419" s="35"/>
      <c r="GP419" s="35"/>
      <c r="GQ419" s="35"/>
      <c r="GR419" s="35"/>
      <c r="GS419" s="35"/>
      <c r="GT419" s="35"/>
      <c r="GU419" s="35"/>
      <c r="GV419" s="35"/>
      <c r="GW419" s="35"/>
      <c r="GX419" s="35"/>
      <c r="GY419" s="35"/>
      <c r="GZ419" s="35"/>
      <c r="HA419" s="35"/>
      <c r="HB419" s="35"/>
      <c r="HC419" s="35"/>
      <c r="HD419" s="35"/>
      <c r="HE419" s="35"/>
      <c r="HF419" s="35"/>
      <c r="HG419" s="35"/>
      <c r="HH419" s="35"/>
      <c r="HI419" s="35"/>
      <c r="HJ419" s="35"/>
      <c r="HK419" s="35"/>
      <c r="HL419" s="35"/>
      <c r="HM419" s="35"/>
      <c r="HN419" s="35"/>
      <c r="HO419" s="35"/>
      <c r="HP419" s="35"/>
      <c r="HQ419" s="35"/>
      <c r="HR419" s="35"/>
      <c r="HS419" s="35"/>
      <c r="HT419" s="35"/>
      <c r="HU419" s="35"/>
      <c r="HV419" s="35"/>
      <c r="HW419" s="35"/>
      <c r="HX419" s="35"/>
      <c r="HY419" s="35"/>
      <c r="HZ419" s="35"/>
      <c r="IA419" s="35"/>
      <c r="IB419" s="35"/>
      <c r="IC419" s="35"/>
      <c r="ID419" s="35"/>
      <c r="IE419" s="35"/>
      <c r="IF419" s="35"/>
      <c r="IG419" s="35"/>
      <c r="IH419" s="35"/>
      <c r="II419" s="35"/>
      <c r="IJ419" s="35"/>
      <c r="IK419" s="35"/>
      <c r="IL419" s="35"/>
      <c r="IM419" s="35"/>
      <c r="IN419" s="35"/>
      <c r="IO419" s="35"/>
      <c r="IP419" s="35"/>
      <c r="IQ419" s="35"/>
      <c r="IR419" s="35"/>
      <c r="IS419" s="35"/>
      <c r="IT419" s="35"/>
      <c r="IU419" s="35"/>
      <c r="IV419" s="35"/>
      <c r="IW419" s="35"/>
      <c r="IX419" s="35"/>
      <c r="IY419" s="35"/>
      <c r="IZ419" s="35"/>
      <c r="JA419" s="35"/>
      <c r="JB419" s="35"/>
      <c r="JC419" s="35"/>
      <c r="JD419" s="35"/>
      <c r="JE419" s="35"/>
    </row>
    <row r="420">
      <c r="A420" s="42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  <c r="BR420" s="35"/>
      <c r="BS420" s="35"/>
      <c r="BT420" s="35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35"/>
      <c r="CO420" s="35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35"/>
      <c r="DJ420" s="35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35"/>
      <c r="EE420" s="35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35"/>
      <c r="EZ420" s="35"/>
      <c r="FA420" s="35"/>
      <c r="FB420" s="35"/>
      <c r="FC420" s="35"/>
      <c r="FD420" s="35"/>
      <c r="FE420" s="35"/>
      <c r="FF420" s="35"/>
      <c r="FG420" s="35"/>
      <c r="FH420" s="35"/>
      <c r="FI420" s="35"/>
      <c r="FJ420" s="35"/>
      <c r="FK420" s="35"/>
      <c r="FL420" s="35"/>
      <c r="FM420" s="35"/>
      <c r="FN420" s="35"/>
      <c r="FO420" s="35"/>
      <c r="FP420" s="35"/>
      <c r="FQ420" s="35"/>
      <c r="FR420" s="35"/>
      <c r="FS420" s="35"/>
      <c r="FT420" s="35"/>
      <c r="FU420" s="35"/>
      <c r="FV420" s="35"/>
      <c r="FW420" s="35"/>
      <c r="FX420" s="35"/>
      <c r="FY420" s="35"/>
      <c r="FZ420" s="35"/>
      <c r="GA420" s="35"/>
      <c r="GB420" s="35"/>
      <c r="GC420" s="35"/>
      <c r="GD420" s="35"/>
      <c r="GE420" s="35"/>
      <c r="GF420" s="35"/>
      <c r="GG420" s="35"/>
      <c r="GH420" s="35"/>
      <c r="GI420" s="35"/>
      <c r="GJ420" s="35"/>
      <c r="GK420" s="35"/>
      <c r="GL420" s="35"/>
      <c r="GM420" s="35"/>
      <c r="GN420" s="35"/>
      <c r="GO420" s="35"/>
      <c r="GP420" s="35"/>
      <c r="GQ420" s="35"/>
      <c r="GR420" s="35"/>
      <c r="GS420" s="35"/>
      <c r="GT420" s="35"/>
      <c r="GU420" s="35"/>
      <c r="GV420" s="35"/>
      <c r="GW420" s="35"/>
      <c r="GX420" s="35"/>
      <c r="GY420" s="35"/>
      <c r="GZ420" s="35"/>
      <c r="HA420" s="35"/>
      <c r="HB420" s="35"/>
      <c r="HC420" s="35"/>
      <c r="HD420" s="35"/>
      <c r="HE420" s="35"/>
      <c r="HF420" s="35"/>
      <c r="HG420" s="35"/>
      <c r="HH420" s="35"/>
      <c r="HI420" s="35"/>
      <c r="HJ420" s="35"/>
      <c r="HK420" s="35"/>
      <c r="HL420" s="35"/>
      <c r="HM420" s="35"/>
      <c r="HN420" s="35"/>
      <c r="HO420" s="35"/>
      <c r="HP420" s="35"/>
      <c r="HQ420" s="35"/>
      <c r="HR420" s="35"/>
      <c r="HS420" s="35"/>
      <c r="HT420" s="35"/>
      <c r="HU420" s="35"/>
      <c r="HV420" s="35"/>
      <c r="HW420" s="35"/>
      <c r="HX420" s="35"/>
      <c r="HY420" s="35"/>
      <c r="HZ420" s="35"/>
      <c r="IA420" s="35"/>
      <c r="IB420" s="35"/>
      <c r="IC420" s="35"/>
      <c r="ID420" s="35"/>
      <c r="IE420" s="35"/>
      <c r="IF420" s="35"/>
      <c r="IG420" s="35"/>
      <c r="IH420" s="35"/>
      <c r="II420" s="35"/>
      <c r="IJ420" s="35"/>
      <c r="IK420" s="35"/>
      <c r="IL420" s="35"/>
      <c r="IM420" s="35"/>
      <c r="IN420" s="35"/>
      <c r="IO420" s="35"/>
      <c r="IP420" s="35"/>
      <c r="IQ420" s="35"/>
      <c r="IR420" s="35"/>
      <c r="IS420" s="35"/>
      <c r="IT420" s="35"/>
      <c r="IU420" s="35"/>
      <c r="IV420" s="35"/>
      <c r="IW420" s="35"/>
      <c r="IX420" s="35"/>
      <c r="IY420" s="35"/>
      <c r="IZ420" s="35"/>
      <c r="JA420" s="35"/>
      <c r="JB420" s="35"/>
      <c r="JC420" s="35"/>
      <c r="JD420" s="35"/>
      <c r="JE420" s="35"/>
    </row>
    <row r="421">
      <c r="A421" s="42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5"/>
      <c r="BR421" s="35"/>
      <c r="BS421" s="35"/>
      <c r="BT421" s="35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35"/>
      <c r="CO421" s="35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35"/>
      <c r="DJ421" s="35"/>
      <c r="DK421" s="35"/>
      <c r="DL421" s="35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35"/>
      <c r="EE421" s="35"/>
      <c r="EF421" s="35"/>
      <c r="EG421" s="35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35"/>
      <c r="EZ421" s="35"/>
      <c r="FA421" s="35"/>
      <c r="FB421" s="35"/>
      <c r="FC421" s="35"/>
      <c r="FD421" s="35"/>
      <c r="FE421" s="35"/>
      <c r="FF421" s="35"/>
      <c r="FG421" s="35"/>
      <c r="FH421" s="35"/>
      <c r="FI421" s="35"/>
      <c r="FJ421" s="35"/>
      <c r="FK421" s="35"/>
      <c r="FL421" s="35"/>
      <c r="FM421" s="35"/>
      <c r="FN421" s="35"/>
      <c r="FO421" s="35"/>
      <c r="FP421" s="35"/>
      <c r="FQ421" s="35"/>
      <c r="FR421" s="35"/>
      <c r="FS421" s="35"/>
      <c r="FT421" s="35"/>
      <c r="FU421" s="35"/>
      <c r="FV421" s="35"/>
      <c r="FW421" s="35"/>
      <c r="FX421" s="35"/>
      <c r="FY421" s="35"/>
      <c r="FZ421" s="35"/>
      <c r="GA421" s="35"/>
      <c r="GB421" s="35"/>
      <c r="GC421" s="35"/>
      <c r="GD421" s="35"/>
      <c r="GE421" s="35"/>
      <c r="GF421" s="35"/>
      <c r="GG421" s="35"/>
      <c r="GH421" s="35"/>
      <c r="GI421" s="35"/>
      <c r="GJ421" s="35"/>
      <c r="GK421" s="35"/>
      <c r="GL421" s="35"/>
      <c r="GM421" s="35"/>
      <c r="GN421" s="35"/>
      <c r="GO421" s="35"/>
      <c r="GP421" s="35"/>
      <c r="GQ421" s="35"/>
      <c r="GR421" s="35"/>
      <c r="GS421" s="35"/>
      <c r="GT421" s="35"/>
      <c r="GU421" s="35"/>
      <c r="GV421" s="35"/>
      <c r="GW421" s="35"/>
      <c r="GX421" s="35"/>
      <c r="GY421" s="35"/>
      <c r="GZ421" s="35"/>
      <c r="HA421" s="35"/>
      <c r="HB421" s="35"/>
      <c r="HC421" s="35"/>
      <c r="HD421" s="35"/>
      <c r="HE421" s="35"/>
      <c r="HF421" s="35"/>
      <c r="HG421" s="35"/>
      <c r="HH421" s="35"/>
      <c r="HI421" s="35"/>
      <c r="HJ421" s="35"/>
      <c r="HK421" s="35"/>
      <c r="HL421" s="35"/>
      <c r="HM421" s="35"/>
      <c r="HN421" s="35"/>
      <c r="HO421" s="35"/>
      <c r="HP421" s="35"/>
      <c r="HQ421" s="35"/>
      <c r="HR421" s="35"/>
      <c r="HS421" s="35"/>
      <c r="HT421" s="35"/>
      <c r="HU421" s="35"/>
      <c r="HV421" s="35"/>
      <c r="HW421" s="35"/>
      <c r="HX421" s="35"/>
      <c r="HY421" s="35"/>
      <c r="HZ421" s="35"/>
      <c r="IA421" s="35"/>
      <c r="IB421" s="35"/>
      <c r="IC421" s="35"/>
      <c r="ID421" s="35"/>
      <c r="IE421" s="35"/>
      <c r="IF421" s="35"/>
      <c r="IG421" s="35"/>
      <c r="IH421" s="35"/>
      <c r="II421" s="35"/>
      <c r="IJ421" s="35"/>
      <c r="IK421" s="35"/>
      <c r="IL421" s="35"/>
      <c r="IM421" s="35"/>
      <c r="IN421" s="35"/>
      <c r="IO421" s="35"/>
      <c r="IP421" s="35"/>
      <c r="IQ421" s="35"/>
      <c r="IR421" s="35"/>
      <c r="IS421" s="35"/>
      <c r="IT421" s="35"/>
      <c r="IU421" s="35"/>
      <c r="IV421" s="35"/>
      <c r="IW421" s="35"/>
      <c r="IX421" s="35"/>
      <c r="IY421" s="35"/>
      <c r="IZ421" s="35"/>
      <c r="JA421" s="35"/>
      <c r="JB421" s="35"/>
      <c r="JC421" s="35"/>
      <c r="JD421" s="35"/>
      <c r="JE421" s="35"/>
    </row>
    <row r="422">
      <c r="A422" s="42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35"/>
      <c r="BS422" s="35"/>
      <c r="BT422" s="35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35"/>
      <c r="CO422" s="35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35"/>
      <c r="DJ422" s="35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35"/>
      <c r="EE422" s="35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35"/>
      <c r="EZ422" s="35"/>
      <c r="FA422" s="35"/>
      <c r="FB422" s="35"/>
      <c r="FC422" s="35"/>
      <c r="FD422" s="35"/>
      <c r="FE422" s="35"/>
      <c r="FF422" s="35"/>
      <c r="FG422" s="35"/>
      <c r="FH422" s="35"/>
      <c r="FI422" s="35"/>
      <c r="FJ422" s="35"/>
      <c r="FK422" s="35"/>
      <c r="FL422" s="35"/>
      <c r="FM422" s="35"/>
      <c r="FN422" s="35"/>
      <c r="FO422" s="35"/>
      <c r="FP422" s="35"/>
      <c r="FQ422" s="35"/>
      <c r="FR422" s="35"/>
      <c r="FS422" s="35"/>
      <c r="FT422" s="35"/>
      <c r="FU422" s="35"/>
      <c r="FV422" s="35"/>
      <c r="FW422" s="35"/>
      <c r="FX422" s="35"/>
      <c r="FY422" s="35"/>
      <c r="FZ422" s="35"/>
      <c r="GA422" s="35"/>
      <c r="GB422" s="35"/>
      <c r="GC422" s="35"/>
      <c r="GD422" s="35"/>
      <c r="GE422" s="35"/>
      <c r="GF422" s="35"/>
      <c r="GG422" s="35"/>
      <c r="GH422" s="35"/>
      <c r="GI422" s="35"/>
      <c r="GJ422" s="35"/>
      <c r="GK422" s="35"/>
      <c r="GL422" s="35"/>
      <c r="GM422" s="35"/>
      <c r="GN422" s="35"/>
      <c r="GO422" s="35"/>
      <c r="GP422" s="35"/>
      <c r="GQ422" s="35"/>
      <c r="GR422" s="35"/>
      <c r="GS422" s="35"/>
      <c r="GT422" s="35"/>
      <c r="GU422" s="35"/>
      <c r="GV422" s="35"/>
      <c r="GW422" s="35"/>
      <c r="GX422" s="35"/>
      <c r="GY422" s="35"/>
      <c r="GZ422" s="35"/>
      <c r="HA422" s="35"/>
      <c r="HB422" s="35"/>
      <c r="HC422" s="35"/>
      <c r="HD422" s="35"/>
      <c r="HE422" s="35"/>
      <c r="HF422" s="35"/>
      <c r="HG422" s="35"/>
      <c r="HH422" s="35"/>
      <c r="HI422" s="35"/>
      <c r="HJ422" s="35"/>
      <c r="HK422" s="35"/>
      <c r="HL422" s="35"/>
      <c r="HM422" s="35"/>
      <c r="HN422" s="35"/>
      <c r="HO422" s="35"/>
      <c r="HP422" s="35"/>
      <c r="HQ422" s="35"/>
      <c r="HR422" s="35"/>
      <c r="HS422" s="35"/>
      <c r="HT422" s="35"/>
      <c r="HU422" s="35"/>
      <c r="HV422" s="35"/>
      <c r="HW422" s="35"/>
      <c r="HX422" s="35"/>
      <c r="HY422" s="35"/>
      <c r="HZ422" s="35"/>
      <c r="IA422" s="35"/>
      <c r="IB422" s="35"/>
      <c r="IC422" s="35"/>
      <c r="ID422" s="35"/>
      <c r="IE422" s="35"/>
      <c r="IF422" s="35"/>
      <c r="IG422" s="35"/>
      <c r="IH422" s="35"/>
      <c r="II422" s="35"/>
      <c r="IJ422" s="35"/>
      <c r="IK422" s="35"/>
      <c r="IL422" s="35"/>
      <c r="IM422" s="35"/>
      <c r="IN422" s="35"/>
      <c r="IO422" s="35"/>
      <c r="IP422" s="35"/>
      <c r="IQ422" s="35"/>
      <c r="IR422" s="35"/>
      <c r="IS422" s="35"/>
      <c r="IT422" s="35"/>
      <c r="IU422" s="35"/>
      <c r="IV422" s="35"/>
      <c r="IW422" s="35"/>
      <c r="IX422" s="35"/>
      <c r="IY422" s="35"/>
      <c r="IZ422" s="35"/>
      <c r="JA422" s="35"/>
      <c r="JB422" s="35"/>
      <c r="JC422" s="35"/>
      <c r="JD422" s="35"/>
      <c r="JE422" s="35"/>
    </row>
    <row r="423">
      <c r="A423" s="42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/>
      <c r="BP423" s="35"/>
      <c r="BQ423" s="35"/>
      <c r="BR423" s="35"/>
      <c r="BS423" s="35"/>
      <c r="BT423" s="35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35"/>
      <c r="CO423" s="35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35"/>
      <c r="DJ423" s="35"/>
      <c r="DK423" s="35"/>
      <c r="DL423" s="35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35"/>
      <c r="EE423" s="35"/>
      <c r="EF423" s="35"/>
      <c r="EG423" s="35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35"/>
      <c r="EZ423" s="35"/>
      <c r="FA423" s="35"/>
      <c r="FB423" s="35"/>
      <c r="FC423" s="35"/>
      <c r="FD423" s="35"/>
      <c r="FE423" s="35"/>
      <c r="FF423" s="35"/>
      <c r="FG423" s="35"/>
      <c r="FH423" s="35"/>
      <c r="FI423" s="35"/>
      <c r="FJ423" s="35"/>
      <c r="FK423" s="35"/>
      <c r="FL423" s="35"/>
      <c r="FM423" s="35"/>
      <c r="FN423" s="35"/>
      <c r="FO423" s="35"/>
      <c r="FP423" s="35"/>
      <c r="FQ423" s="35"/>
      <c r="FR423" s="35"/>
      <c r="FS423" s="35"/>
      <c r="FT423" s="35"/>
      <c r="FU423" s="35"/>
      <c r="FV423" s="35"/>
      <c r="FW423" s="35"/>
      <c r="FX423" s="35"/>
      <c r="FY423" s="35"/>
      <c r="FZ423" s="35"/>
      <c r="GA423" s="35"/>
      <c r="GB423" s="35"/>
      <c r="GC423" s="35"/>
      <c r="GD423" s="35"/>
      <c r="GE423" s="35"/>
      <c r="GF423" s="35"/>
      <c r="GG423" s="35"/>
      <c r="GH423" s="35"/>
      <c r="GI423" s="35"/>
      <c r="GJ423" s="35"/>
      <c r="GK423" s="35"/>
      <c r="GL423" s="35"/>
      <c r="GM423" s="35"/>
      <c r="GN423" s="35"/>
      <c r="GO423" s="35"/>
      <c r="GP423" s="35"/>
      <c r="GQ423" s="35"/>
      <c r="GR423" s="35"/>
      <c r="GS423" s="35"/>
      <c r="GT423" s="35"/>
      <c r="GU423" s="35"/>
      <c r="GV423" s="35"/>
      <c r="GW423" s="35"/>
      <c r="GX423" s="35"/>
      <c r="GY423" s="35"/>
      <c r="GZ423" s="35"/>
      <c r="HA423" s="35"/>
      <c r="HB423" s="35"/>
      <c r="HC423" s="35"/>
      <c r="HD423" s="35"/>
      <c r="HE423" s="35"/>
      <c r="HF423" s="35"/>
      <c r="HG423" s="35"/>
      <c r="HH423" s="35"/>
      <c r="HI423" s="35"/>
      <c r="HJ423" s="35"/>
      <c r="HK423" s="35"/>
      <c r="HL423" s="35"/>
      <c r="HM423" s="35"/>
      <c r="HN423" s="35"/>
      <c r="HO423" s="35"/>
      <c r="HP423" s="35"/>
      <c r="HQ423" s="35"/>
      <c r="HR423" s="35"/>
      <c r="HS423" s="35"/>
      <c r="HT423" s="35"/>
      <c r="HU423" s="35"/>
      <c r="HV423" s="35"/>
      <c r="HW423" s="35"/>
      <c r="HX423" s="35"/>
      <c r="HY423" s="35"/>
      <c r="HZ423" s="35"/>
      <c r="IA423" s="35"/>
      <c r="IB423" s="35"/>
      <c r="IC423" s="35"/>
      <c r="ID423" s="35"/>
      <c r="IE423" s="35"/>
      <c r="IF423" s="35"/>
      <c r="IG423" s="35"/>
      <c r="IH423" s="35"/>
      <c r="II423" s="35"/>
      <c r="IJ423" s="35"/>
      <c r="IK423" s="35"/>
      <c r="IL423" s="35"/>
      <c r="IM423" s="35"/>
      <c r="IN423" s="35"/>
      <c r="IO423" s="35"/>
      <c r="IP423" s="35"/>
      <c r="IQ423" s="35"/>
      <c r="IR423" s="35"/>
      <c r="IS423" s="35"/>
      <c r="IT423" s="35"/>
      <c r="IU423" s="35"/>
      <c r="IV423" s="35"/>
      <c r="IW423" s="35"/>
      <c r="IX423" s="35"/>
      <c r="IY423" s="35"/>
      <c r="IZ423" s="35"/>
      <c r="JA423" s="35"/>
      <c r="JB423" s="35"/>
      <c r="JC423" s="35"/>
      <c r="JD423" s="35"/>
      <c r="JE423" s="35"/>
    </row>
    <row r="424">
      <c r="A424" s="42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  <c r="BR424" s="35"/>
      <c r="BS424" s="35"/>
      <c r="BT424" s="35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35"/>
      <c r="CO424" s="35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35"/>
      <c r="DJ424" s="35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35"/>
      <c r="EE424" s="35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35"/>
      <c r="EZ424" s="35"/>
      <c r="FA424" s="35"/>
      <c r="FB424" s="35"/>
      <c r="FC424" s="35"/>
      <c r="FD424" s="35"/>
      <c r="FE424" s="35"/>
      <c r="FF424" s="35"/>
      <c r="FG424" s="35"/>
      <c r="FH424" s="35"/>
      <c r="FI424" s="35"/>
      <c r="FJ424" s="35"/>
      <c r="FK424" s="35"/>
      <c r="FL424" s="35"/>
      <c r="FM424" s="35"/>
      <c r="FN424" s="35"/>
      <c r="FO424" s="35"/>
      <c r="FP424" s="35"/>
      <c r="FQ424" s="35"/>
      <c r="FR424" s="35"/>
      <c r="FS424" s="35"/>
      <c r="FT424" s="35"/>
      <c r="FU424" s="35"/>
      <c r="FV424" s="35"/>
      <c r="FW424" s="35"/>
      <c r="FX424" s="35"/>
      <c r="FY424" s="35"/>
      <c r="FZ424" s="35"/>
      <c r="GA424" s="35"/>
      <c r="GB424" s="35"/>
      <c r="GC424" s="35"/>
      <c r="GD424" s="35"/>
      <c r="GE424" s="35"/>
      <c r="GF424" s="35"/>
      <c r="GG424" s="35"/>
      <c r="GH424" s="35"/>
      <c r="GI424" s="35"/>
      <c r="GJ424" s="35"/>
      <c r="GK424" s="35"/>
      <c r="GL424" s="35"/>
      <c r="GM424" s="35"/>
      <c r="GN424" s="35"/>
      <c r="GO424" s="35"/>
      <c r="GP424" s="35"/>
      <c r="GQ424" s="35"/>
      <c r="GR424" s="35"/>
      <c r="GS424" s="35"/>
      <c r="GT424" s="35"/>
      <c r="GU424" s="35"/>
      <c r="GV424" s="35"/>
      <c r="GW424" s="35"/>
      <c r="GX424" s="35"/>
      <c r="GY424" s="35"/>
      <c r="GZ424" s="35"/>
      <c r="HA424" s="35"/>
      <c r="HB424" s="35"/>
      <c r="HC424" s="35"/>
      <c r="HD424" s="35"/>
      <c r="HE424" s="35"/>
      <c r="HF424" s="35"/>
      <c r="HG424" s="35"/>
      <c r="HH424" s="35"/>
      <c r="HI424" s="35"/>
      <c r="HJ424" s="35"/>
      <c r="HK424" s="35"/>
      <c r="HL424" s="35"/>
      <c r="HM424" s="35"/>
      <c r="HN424" s="35"/>
      <c r="HO424" s="35"/>
      <c r="HP424" s="35"/>
      <c r="HQ424" s="35"/>
      <c r="HR424" s="35"/>
      <c r="HS424" s="35"/>
      <c r="HT424" s="35"/>
      <c r="HU424" s="35"/>
      <c r="HV424" s="35"/>
      <c r="HW424" s="35"/>
      <c r="HX424" s="35"/>
      <c r="HY424" s="35"/>
      <c r="HZ424" s="35"/>
      <c r="IA424" s="35"/>
      <c r="IB424" s="35"/>
      <c r="IC424" s="35"/>
      <c r="ID424" s="35"/>
      <c r="IE424" s="35"/>
      <c r="IF424" s="35"/>
      <c r="IG424" s="35"/>
      <c r="IH424" s="35"/>
      <c r="II424" s="35"/>
      <c r="IJ424" s="35"/>
      <c r="IK424" s="35"/>
      <c r="IL424" s="35"/>
      <c r="IM424" s="35"/>
      <c r="IN424" s="35"/>
      <c r="IO424" s="35"/>
      <c r="IP424" s="35"/>
      <c r="IQ424" s="35"/>
      <c r="IR424" s="35"/>
      <c r="IS424" s="35"/>
      <c r="IT424" s="35"/>
      <c r="IU424" s="35"/>
      <c r="IV424" s="35"/>
      <c r="IW424" s="35"/>
      <c r="IX424" s="35"/>
      <c r="IY424" s="35"/>
      <c r="IZ424" s="35"/>
      <c r="JA424" s="35"/>
      <c r="JB424" s="35"/>
      <c r="JC424" s="35"/>
      <c r="JD424" s="35"/>
      <c r="JE424" s="35"/>
    </row>
    <row r="425">
      <c r="A425" s="42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  <c r="BC425" s="35"/>
      <c r="BD425" s="35"/>
      <c r="BE425" s="35"/>
      <c r="BF425" s="35"/>
      <c r="BG425" s="35"/>
      <c r="BH425" s="35"/>
      <c r="BI425" s="35"/>
      <c r="BJ425" s="35"/>
      <c r="BK425" s="35"/>
      <c r="BL425" s="35"/>
      <c r="BM425" s="35"/>
      <c r="BN425" s="35"/>
      <c r="BO425" s="35"/>
      <c r="BP425" s="35"/>
      <c r="BQ425" s="35"/>
      <c r="BR425" s="35"/>
      <c r="BS425" s="35"/>
      <c r="BT425" s="35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35"/>
      <c r="CO425" s="35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35"/>
      <c r="DJ425" s="35"/>
      <c r="DK425" s="35"/>
      <c r="DL425" s="35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35"/>
      <c r="EE425" s="35"/>
      <c r="EF425" s="35"/>
      <c r="EG425" s="35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35"/>
      <c r="EZ425" s="35"/>
      <c r="FA425" s="35"/>
      <c r="FB425" s="35"/>
      <c r="FC425" s="35"/>
      <c r="FD425" s="35"/>
      <c r="FE425" s="35"/>
      <c r="FF425" s="35"/>
      <c r="FG425" s="35"/>
      <c r="FH425" s="35"/>
      <c r="FI425" s="35"/>
      <c r="FJ425" s="35"/>
      <c r="FK425" s="35"/>
      <c r="FL425" s="35"/>
      <c r="FM425" s="35"/>
      <c r="FN425" s="35"/>
      <c r="FO425" s="35"/>
      <c r="FP425" s="35"/>
      <c r="FQ425" s="35"/>
      <c r="FR425" s="35"/>
      <c r="FS425" s="35"/>
      <c r="FT425" s="35"/>
      <c r="FU425" s="35"/>
      <c r="FV425" s="35"/>
      <c r="FW425" s="35"/>
      <c r="FX425" s="35"/>
      <c r="FY425" s="35"/>
      <c r="FZ425" s="35"/>
      <c r="GA425" s="35"/>
      <c r="GB425" s="35"/>
      <c r="GC425" s="35"/>
      <c r="GD425" s="35"/>
      <c r="GE425" s="35"/>
      <c r="GF425" s="35"/>
      <c r="GG425" s="35"/>
      <c r="GH425" s="35"/>
      <c r="GI425" s="35"/>
      <c r="GJ425" s="35"/>
      <c r="GK425" s="35"/>
      <c r="GL425" s="35"/>
      <c r="GM425" s="35"/>
      <c r="GN425" s="35"/>
      <c r="GO425" s="35"/>
      <c r="GP425" s="35"/>
      <c r="GQ425" s="35"/>
      <c r="GR425" s="35"/>
      <c r="GS425" s="35"/>
      <c r="GT425" s="35"/>
      <c r="GU425" s="35"/>
      <c r="GV425" s="35"/>
      <c r="GW425" s="35"/>
      <c r="GX425" s="35"/>
      <c r="GY425" s="35"/>
      <c r="GZ425" s="35"/>
      <c r="HA425" s="35"/>
      <c r="HB425" s="35"/>
      <c r="HC425" s="35"/>
      <c r="HD425" s="35"/>
      <c r="HE425" s="35"/>
      <c r="HF425" s="35"/>
      <c r="HG425" s="35"/>
      <c r="HH425" s="35"/>
      <c r="HI425" s="35"/>
      <c r="HJ425" s="35"/>
      <c r="HK425" s="35"/>
      <c r="HL425" s="35"/>
      <c r="HM425" s="35"/>
      <c r="HN425" s="35"/>
      <c r="HO425" s="35"/>
      <c r="HP425" s="35"/>
      <c r="HQ425" s="35"/>
      <c r="HR425" s="35"/>
      <c r="HS425" s="35"/>
      <c r="HT425" s="35"/>
      <c r="HU425" s="35"/>
      <c r="HV425" s="35"/>
      <c r="HW425" s="35"/>
      <c r="HX425" s="35"/>
      <c r="HY425" s="35"/>
      <c r="HZ425" s="35"/>
      <c r="IA425" s="35"/>
      <c r="IB425" s="35"/>
      <c r="IC425" s="35"/>
      <c r="ID425" s="35"/>
      <c r="IE425" s="35"/>
      <c r="IF425" s="35"/>
      <c r="IG425" s="35"/>
      <c r="IH425" s="35"/>
      <c r="II425" s="35"/>
      <c r="IJ425" s="35"/>
      <c r="IK425" s="35"/>
      <c r="IL425" s="35"/>
      <c r="IM425" s="35"/>
      <c r="IN425" s="35"/>
      <c r="IO425" s="35"/>
      <c r="IP425" s="35"/>
      <c r="IQ425" s="35"/>
      <c r="IR425" s="35"/>
      <c r="IS425" s="35"/>
      <c r="IT425" s="35"/>
      <c r="IU425" s="35"/>
      <c r="IV425" s="35"/>
      <c r="IW425" s="35"/>
      <c r="IX425" s="35"/>
      <c r="IY425" s="35"/>
      <c r="IZ425" s="35"/>
      <c r="JA425" s="35"/>
      <c r="JB425" s="35"/>
      <c r="JC425" s="35"/>
      <c r="JD425" s="35"/>
      <c r="JE425" s="35"/>
    </row>
    <row r="426">
      <c r="A426" s="42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35"/>
      <c r="CO426" s="35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35"/>
      <c r="DJ426" s="35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35"/>
      <c r="EE426" s="35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35"/>
      <c r="EZ426" s="35"/>
      <c r="FA426" s="35"/>
      <c r="FB426" s="35"/>
      <c r="FC426" s="35"/>
      <c r="FD426" s="35"/>
      <c r="FE426" s="35"/>
      <c r="FF426" s="35"/>
      <c r="FG426" s="35"/>
      <c r="FH426" s="35"/>
      <c r="FI426" s="35"/>
      <c r="FJ426" s="35"/>
      <c r="FK426" s="35"/>
      <c r="FL426" s="35"/>
      <c r="FM426" s="35"/>
      <c r="FN426" s="35"/>
      <c r="FO426" s="35"/>
      <c r="FP426" s="35"/>
      <c r="FQ426" s="35"/>
      <c r="FR426" s="35"/>
      <c r="FS426" s="35"/>
      <c r="FT426" s="35"/>
      <c r="FU426" s="35"/>
      <c r="FV426" s="35"/>
      <c r="FW426" s="35"/>
      <c r="FX426" s="35"/>
      <c r="FY426" s="35"/>
      <c r="FZ426" s="35"/>
      <c r="GA426" s="35"/>
      <c r="GB426" s="35"/>
      <c r="GC426" s="35"/>
      <c r="GD426" s="35"/>
      <c r="GE426" s="35"/>
      <c r="GF426" s="35"/>
      <c r="GG426" s="35"/>
      <c r="GH426" s="35"/>
      <c r="GI426" s="35"/>
      <c r="GJ426" s="35"/>
      <c r="GK426" s="35"/>
      <c r="GL426" s="35"/>
      <c r="GM426" s="35"/>
      <c r="GN426" s="35"/>
      <c r="GO426" s="35"/>
      <c r="GP426" s="35"/>
      <c r="GQ426" s="35"/>
      <c r="GR426" s="35"/>
      <c r="GS426" s="35"/>
      <c r="GT426" s="35"/>
      <c r="GU426" s="35"/>
      <c r="GV426" s="35"/>
      <c r="GW426" s="35"/>
      <c r="GX426" s="35"/>
      <c r="GY426" s="35"/>
      <c r="GZ426" s="35"/>
      <c r="HA426" s="35"/>
      <c r="HB426" s="35"/>
      <c r="HC426" s="35"/>
      <c r="HD426" s="35"/>
      <c r="HE426" s="35"/>
      <c r="HF426" s="35"/>
      <c r="HG426" s="35"/>
      <c r="HH426" s="35"/>
      <c r="HI426" s="35"/>
      <c r="HJ426" s="35"/>
      <c r="HK426" s="35"/>
      <c r="HL426" s="35"/>
      <c r="HM426" s="35"/>
      <c r="HN426" s="35"/>
      <c r="HO426" s="35"/>
      <c r="HP426" s="35"/>
      <c r="HQ426" s="35"/>
      <c r="HR426" s="35"/>
      <c r="HS426" s="35"/>
      <c r="HT426" s="35"/>
      <c r="HU426" s="35"/>
      <c r="HV426" s="35"/>
      <c r="HW426" s="35"/>
      <c r="HX426" s="35"/>
      <c r="HY426" s="35"/>
      <c r="HZ426" s="35"/>
      <c r="IA426" s="35"/>
      <c r="IB426" s="35"/>
      <c r="IC426" s="35"/>
      <c r="ID426" s="35"/>
      <c r="IE426" s="35"/>
      <c r="IF426" s="35"/>
      <c r="IG426" s="35"/>
      <c r="IH426" s="35"/>
      <c r="II426" s="35"/>
      <c r="IJ426" s="35"/>
      <c r="IK426" s="35"/>
      <c r="IL426" s="35"/>
      <c r="IM426" s="35"/>
      <c r="IN426" s="35"/>
      <c r="IO426" s="35"/>
      <c r="IP426" s="35"/>
      <c r="IQ426" s="35"/>
      <c r="IR426" s="35"/>
      <c r="IS426" s="35"/>
      <c r="IT426" s="35"/>
      <c r="IU426" s="35"/>
      <c r="IV426" s="35"/>
      <c r="IW426" s="35"/>
      <c r="IX426" s="35"/>
      <c r="IY426" s="35"/>
      <c r="IZ426" s="35"/>
      <c r="JA426" s="35"/>
      <c r="JB426" s="35"/>
      <c r="JC426" s="35"/>
      <c r="JD426" s="35"/>
      <c r="JE426" s="35"/>
    </row>
    <row r="427">
      <c r="A427" s="42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5"/>
      <c r="BR427" s="35"/>
      <c r="BS427" s="35"/>
      <c r="BT427" s="35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35"/>
      <c r="CO427" s="35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35"/>
      <c r="DJ427" s="35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35"/>
      <c r="EE427" s="35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35"/>
      <c r="EZ427" s="35"/>
      <c r="FA427" s="35"/>
      <c r="FB427" s="35"/>
      <c r="FC427" s="35"/>
      <c r="FD427" s="35"/>
      <c r="FE427" s="35"/>
      <c r="FF427" s="35"/>
      <c r="FG427" s="35"/>
      <c r="FH427" s="35"/>
      <c r="FI427" s="35"/>
      <c r="FJ427" s="35"/>
      <c r="FK427" s="35"/>
      <c r="FL427" s="35"/>
      <c r="FM427" s="35"/>
      <c r="FN427" s="35"/>
      <c r="FO427" s="35"/>
      <c r="FP427" s="35"/>
      <c r="FQ427" s="35"/>
      <c r="FR427" s="35"/>
      <c r="FS427" s="35"/>
      <c r="FT427" s="35"/>
      <c r="FU427" s="35"/>
      <c r="FV427" s="35"/>
      <c r="FW427" s="35"/>
      <c r="FX427" s="35"/>
      <c r="FY427" s="35"/>
      <c r="FZ427" s="35"/>
      <c r="GA427" s="35"/>
      <c r="GB427" s="35"/>
      <c r="GC427" s="35"/>
      <c r="GD427" s="35"/>
      <c r="GE427" s="35"/>
      <c r="GF427" s="35"/>
      <c r="GG427" s="35"/>
      <c r="GH427" s="35"/>
      <c r="GI427" s="35"/>
      <c r="GJ427" s="35"/>
      <c r="GK427" s="35"/>
      <c r="GL427" s="35"/>
      <c r="GM427" s="35"/>
      <c r="GN427" s="35"/>
      <c r="GO427" s="35"/>
      <c r="GP427" s="35"/>
      <c r="GQ427" s="35"/>
      <c r="GR427" s="35"/>
      <c r="GS427" s="35"/>
      <c r="GT427" s="35"/>
      <c r="GU427" s="35"/>
      <c r="GV427" s="35"/>
      <c r="GW427" s="35"/>
      <c r="GX427" s="35"/>
      <c r="GY427" s="35"/>
      <c r="GZ427" s="35"/>
      <c r="HA427" s="35"/>
      <c r="HB427" s="35"/>
      <c r="HC427" s="35"/>
      <c r="HD427" s="35"/>
      <c r="HE427" s="35"/>
      <c r="HF427" s="35"/>
      <c r="HG427" s="35"/>
      <c r="HH427" s="35"/>
      <c r="HI427" s="35"/>
      <c r="HJ427" s="35"/>
      <c r="HK427" s="35"/>
      <c r="HL427" s="35"/>
      <c r="HM427" s="35"/>
      <c r="HN427" s="35"/>
      <c r="HO427" s="35"/>
      <c r="HP427" s="35"/>
      <c r="HQ427" s="35"/>
      <c r="HR427" s="35"/>
      <c r="HS427" s="35"/>
      <c r="HT427" s="35"/>
      <c r="HU427" s="35"/>
      <c r="HV427" s="35"/>
      <c r="HW427" s="35"/>
      <c r="HX427" s="35"/>
      <c r="HY427" s="35"/>
      <c r="HZ427" s="35"/>
      <c r="IA427" s="35"/>
      <c r="IB427" s="35"/>
      <c r="IC427" s="35"/>
      <c r="ID427" s="35"/>
      <c r="IE427" s="35"/>
      <c r="IF427" s="35"/>
      <c r="IG427" s="35"/>
      <c r="IH427" s="35"/>
      <c r="II427" s="35"/>
      <c r="IJ427" s="35"/>
      <c r="IK427" s="35"/>
      <c r="IL427" s="35"/>
      <c r="IM427" s="35"/>
      <c r="IN427" s="35"/>
      <c r="IO427" s="35"/>
      <c r="IP427" s="35"/>
      <c r="IQ427" s="35"/>
      <c r="IR427" s="35"/>
      <c r="IS427" s="35"/>
      <c r="IT427" s="35"/>
      <c r="IU427" s="35"/>
      <c r="IV427" s="35"/>
      <c r="IW427" s="35"/>
      <c r="IX427" s="35"/>
      <c r="IY427" s="35"/>
      <c r="IZ427" s="35"/>
      <c r="JA427" s="35"/>
      <c r="JB427" s="35"/>
      <c r="JC427" s="35"/>
      <c r="JD427" s="35"/>
      <c r="JE427" s="35"/>
    </row>
    <row r="428">
      <c r="A428" s="42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35"/>
      <c r="BS428" s="35"/>
      <c r="BT428" s="35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35"/>
      <c r="CO428" s="35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35"/>
      <c r="DJ428" s="35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35"/>
      <c r="EE428" s="35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35"/>
      <c r="EZ428" s="35"/>
      <c r="FA428" s="35"/>
      <c r="FB428" s="35"/>
      <c r="FC428" s="35"/>
      <c r="FD428" s="35"/>
      <c r="FE428" s="35"/>
      <c r="FF428" s="35"/>
      <c r="FG428" s="35"/>
      <c r="FH428" s="35"/>
      <c r="FI428" s="35"/>
      <c r="FJ428" s="35"/>
      <c r="FK428" s="35"/>
      <c r="FL428" s="35"/>
      <c r="FM428" s="35"/>
      <c r="FN428" s="35"/>
      <c r="FO428" s="35"/>
      <c r="FP428" s="35"/>
      <c r="FQ428" s="35"/>
      <c r="FR428" s="35"/>
      <c r="FS428" s="35"/>
      <c r="FT428" s="35"/>
      <c r="FU428" s="35"/>
      <c r="FV428" s="35"/>
      <c r="FW428" s="35"/>
      <c r="FX428" s="35"/>
      <c r="FY428" s="35"/>
      <c r="FZ428" s="35"/>
      <c r="GA428" s="35"/>
      <c r="GB428" s="35"/>
      <c r="GC428" s="35"/>
      <c r="GD428" s="35"/>
      <c r="GE428" s="35"/>
      <c r="GF428" s="35"/>
      <c r="GG428" s="35"/>
      <c r="GH428" s="35"/>
      <c r="GI428" s="35"/>
      <c r="GJ428" s="35"/>
      <c r="GK428" s="35"/>
      <c r="GL428" s="35"/>
      <c r="GM428" s="35"/>
      <c r="GN428" s="35"/>
      <c r="GO428" s="35"/>
      <c r="GP428" s="35"/>
      <c r="GQ428" s="35"/>
      <c r="GR428" s="35"/>
      <c r="GS428" s="35"/>
      <c r="GT428" s="35"/>
      <c r="GU428" s="35"/>
      <c r="GV428" s="35"/>
      <c r="GW428" s="35"/>
      <c r="GX428" s="35"/>
      <c r="GY428" s="35"/>
      <c r="GZ428" s="35"/>
      <c r="HA428" s="35"/>
      <c r="HB428" s="35"/>
      <c r="HC428" s="35"/>
      <c r="HD428" s="35"/>
      <c r="HE428" s="35"/>
      <c r="HF428" s="35"/>
      <c r="HG428" s="35"/>
      <c r="HH428" s="35"/>
      <c r="HI428" s="35"/>
      <c r="HJ428" s="35"/>
      <c r="HK428" s="35"/>
      <c r="HL428" s="35"/>
      <c r="HM428" s="35"/>
      <c r="HN428" s="35"/>
      <c r="HO428" s="35"/>
      <c r="HP428" s="35"/>
      <c r="HQ428" s="35"/>
      <c r="HR428" s="35"/>
      <c r="HS428" s="35"/>
      <c r="HT428" s="35"/>
      <c r="HU428" s="35"/>
      <c r="HV428" s="35"/>
      <c r="HW428" s="35"/>
      <c r="HX428" s="35"/>
      <c r="HY428" s="35"/>
      <c r="HZ428" s="35"/>
      <c r="IA428" s="35"/>
      <c r="IB428" s="35"/>
      <c r="IC428" s="35"/>
      <c r="ID428" s="35"/>
      <c r="IE428" s="35"/>
      <c r="IF428" s="35"/>
      <c r="IG428" s="35"/>
      <c r="IH428" s="35"/>
      <c r="II428" s="35"/>
      <c r="IJ428" s="35"/>
      <c r="IK428" s="35"/>
      <c r="IL428" s="35"/>
      <c r="IM428" s="35"/>
      <c r="IN428" s="35"/>
      <c r="IO428" s="35"/>
      <c r="IP428" s="35"/>
      <c r="IQ428" s="35"/>
      <c r="IR428" s="35"/>
      <c r="IS428" s="35"/>
      <c r="IT428" s="35"/>
      <c r="IU428" s="35"/>
      <c r="IV428" s="35"/>
      <c r="IW428" s="35"/>
      <c r="IX428" s="35"/>
      <c r="IY428" s="35"/>
      <c r="IZ428" s="35"/>
      <c r="JA428" s="35"/>
      <c r="JB428" s="35"/>
      <c r="JC428" s="35"/>
      <c r="JD428" s="35"/>
      <c r="JE428" s="35"/>
    </row>
    <row r="429">
      <c r="A429" s="42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  <c r="BC429" s="35"/>
      <c r="BD429" s="35"/>
      <c r="BE429" s="35"/>
      <c r="BF429" s="35"/>
      <c r="BG429" s="35"/>
      <c r="BH429" s="35"/>
      <c r="BI429" s="35"/>
      <c r="BJ429" s="35"/>
      <c r="BK429" s="35"/>
      <c r="BL429" s="35"/>
      <c r="BM429" s="35"/>
      <c r="BN429" s="35"/>
      <c r="BO429" s="35"/>
      <c r="BP429" s="35"/>
      <c r="BQ429" s="35"/>
      <c r="BR429" s="35"/>
      <c r="BS429" s="35"/>
      <c r="BT429" s="35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35"/>
      <c r="CO429" s="35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35"/>
      <c r="DJ429" s="35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35"/>
      <c r="EE429" s="35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35"/>
      <c r="EZ429" s="35"/>
      <c r="FA429" s="35"/>
      <c r="FB429" s="35"/>
      <c r="FC429" s="35"/>
      <c r="FD429" s="35"/>
      <c r="FE429" s="35"/>
      <c r="FF429" s="35"/>
      <c r="FG429" s="35"/>
      <c r="FH429" s="35"/>
      <c r="FI429" s="35"/>
      <c r="FJ429" s="35"/>
      <c r="FK429" s="35"/>
      <c r="FL429" s="35"/>
      <c r="FM429" s="35"/>
      <c r="FN429" s="35"/>
      <c r="FO429" s="35"/>
      <c r="FP429" s="35"/>
      <c r="FQ429" s="35"/>
      <c r="FR429" s="35"/>
      <c r="FS429" s="35"/>
      <c r="FT429" s="35"/>
      <c r="FU429" s="35"/>
      <c r="FV429" s="35"/>
      <c r="FW429" s="35"/>
      <c r="FX429" s="35"/>
      <c r="FY429" s="35"/>
      <c r="FZ429" s="35"/>
      <c r="GA429" s="35"/>
      <c r="GB429" s="35"/>
      <c r="GC429" s="35"/>
      <c r="GD429" s="35"/>
      <c r="GE429" s="35"/>
      <c r="GF429" s="35"/>
      <c r="GG429" s="35"/>
      <c r="GH429" s="35"/>
      <c r="GI429" s="35"/>
      <c r="GJ429" s="35"/>
      <c r="GK429" s="35"/>
      <c r="GL429" s="35"/>
      <c r="GM429" s="35"/>
      <c r="GN429" s="35"/>
      <c r="GO429" s="35"/>
      <c r="GP429" s="35"/>
      <c r="GQ429" s="35"/>
      <c r="GR429" s="35"/>
      <c r="GS429" s="35"/>
      <c r="GT429" s="35"/>
      <c r="GU429" s="35"/>
      <c r="GV429" s="35"/>
      <c r="GW429" s="35"/>
      <c r="GX429" s="35"/>
      <c r="GY429" s="35"/>
      <c r="GZ429" s="35"/>
      <c r="HA429" s="35"/>
      <c r="HB429" s="35"/>
      <c r="HC429" s="35"/>
      <c r="HD429" s="35"/>
      <c r="HE429" s="35"/>
      <c r="HF429" s="35"/>
      <c r="HG429" s="35"/>
      <c r="HH429" s="35"/>
      <c r="HI429" s="35"/>
      <c r="HJ429" s="35"/>
      <c r="HK429" s="35"/>
      <c r="HL429" s="35"/>
      <c r="HM429" s="35"/>
      <c r="HN429" s="35"/>
      <c r="HO429" s="35"/>
      <c r="HP429" s="35"/>
      <c r="HQ429" s="35"/>
      <c r="HR429" s="35"/>
      <c r="HS429" s="35"/>
      <c r="HT429" s="35"/>
      <c r="HU429" s="35"/>
      <c r="HV429" s="35"/>
      <c r="HW429" s="35"/>
      <c r="HX429" s="35"/>
      <c r="HY429" s="35"/>
      <c r="HZ429" s="35"/>
      <c r="IA429" s="35"/>
      <c r="IB429" s="35"/>
      <c r="IC429" s="35"/>
      <c r="ID429" s="35"/>
      <c r="IE429" s="35"/>
      <c r="IF429" s="35"/>
      <c r="IG429" s="35"/>
      <c r="IH429" s="35"/>
      <c r="II429" s="35"/>
      <c r="IJ429" s="35"/>
      <c r="IK429" s="35"/>
      <c r="IL429" s="35"/>
      <c r="IM429" s="35"/>
      <c r="IN429" s="35"/>
      <c r="IO429" s="35"/>
      <c r="IP429" s="35"/>
      <c r="IQ429" s="35"/>
      <c r="IR429" s="35"/>
      <c r="IS429" s="35"/>
      <c r="IT429" s="35"/>
      <c r="IU429" s="35"/>
      <c r="IV429" s="35"/>
      <c r="IW429" s="35"/>
      <c r="IX429" s="35"/>
      <c r="IY429" s="35"/>
      <c r="IZ429" s="35"/>
      <c r="JA429" s="35"/>
      <c r="JB429" s="35"/>
      <c r="JC429" s="35"/>
      <c r="JD429" s="35"/>
      <c r="JE429" s="35"/>
    </row>
    <row r="430">
      <c r="A430" s="42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  <c r="BR430" s="35"/>
      <c r="BS430" s="35"/>
      <c r="BT430" s="35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35"/>
      <c r="CO430" s="35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35"/>
      <c r="DJ430" s="35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35"/>
      <c r="EE430" s="35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35"/>
      <c r="EZ430" s="35"/>
      <c r="FA430" s="35"/>
      <c r="FB430" s="35"/>
      <c r="FC430" s="35"/>
      <c r="FD430" s="35"/>
      <c r="FE430" s="35"/>
      <c r="FF430" s="35"/>
      <c r="FG430" s="35"/>
      <c r="FH430" s="35"/>
      <c r="FI430" s="35"/>
      <c r="FJ430" s="35"/>
      <c r="FK430" s="35"/>
      <c r="FL430" s="35"/>
      <c r="FM430" s="35"/>
      <c r="FN430" s="35"/>
      <c r="FO430" s="35"/>
      <c r="FP430" s="35"/>
      <c r="FQ430" s="35"/>
      <c r="FR430" s="35"/>
      <c r="FS430" s="35"/>
      <c r="FT430" s="35"/>
      <c r="FU430" s="35"/>
      <c r="FV430" s="35"/>
      <c r="FW430" s="35"/>
      <c r="FX430" s="35"/>
      <c r="FY430" s="35"/>
      <c r="FZ430" s="35"/>
      <c r="GA430" s="35"/>
      <c r="GB430" s="35"/>
      <c r="GC430" s="35"/>
      <c r="GD430" s="35"/>
      <c r="GE430" s="35"/>
      <c r="GF430" s="35"/>
      <c r="GG430" s="35"/>
      <c r="GH430" s="35"/>
      <c r="GI430" s="35"/>
      <c r="GJ430" s="35"/>
      <c r="GK430" s="35"/>
      <c r="GL430" s="35"/>
      <c r="GM430" s="35"/>
      <c r="GN430" s="35"/>
      <c r="GO430" s="35"/>
      <c r="GP430" s="35"/>
      <c r="GQ430" s="35"/>
      <c r="GR430" s="35"/>
      <c r="GS430" s="35"/>
      <c r="GT430" s="35"/>
      <c r="GU430" s="35"/>
      <c r="GV430" s="35"/>
      <c r="GW430" s="35"/>
      <c r="GX430" s="35"/>
      <c r="GY430" s="35"/>
      <c r="GZ430" s="35"/>
      <c r="HA430" s="35"/>
      <c r="HB430" s="35"/>
      <c r="HC430" s="35"/>
      <c r="HD430" s="35"/>
      <c r="HE430" s="35"/>
      <c r="HF430" s="35"/>
      <c r="HG430" s="35"/>
      <c r="HH430" s="35"/>
      <c r="HI430" s="35"/>
      <c r="HJ430" s="35"/>
      <c r="HK430" s="35"/>
      <c r="HL430" s="35"/>
      <c r="HM430" s="35"/>
      <c r="HN430" s="35"/>
      <c r="HO430" s="35"/>
      <c r="HP430" s="35"/>
      <c r="HQ430" s="35"/>
      <c r="HR430" s="35"/>
      <c r="HS430" s="35"/>
      <c r="HT430" s="35"/>
      <c r="HU430" s="35"/>
      <c r="HV430" s="35"/>
      <c r="HW430" s="35"/>
      <c r="HX430" s="35"/>
      <c r="HY430" s="35"/>
      <c r="HZ430" s="35"/>
      <c r="IA430" s="35"/>
      <c r="IB430" s="35"/>
      <c r="IC430" s="35"/>
      <c r="ID430" s="35"/>
      <c r="IE430" s="35"/>
      <c r="IF430" s="35"/>
      <c r="IG430" s="35"/>
      <c r="IH430" s="35"/>
      <c r="II430" s="35"/>
      <c r="IJ430" s="35"/>
      <c r="IK430" s="35"/>
      <c r="IL430" s="35"/>
      <c r="IM430" s="35"/>
      <c r="IN430" s="35"/>
      <c r="IO430" s="35"/>
      <c r="IP430" s="35"/>
      <c r="IQ430" s="35"/>
      <c r="IR430" s="35"/>
      <c r="IS430" s="35"/>
      <c r="IT430" s="35"/>
      <c r="IU430" s="35"/>
      <c r="IV430" s="35"/>
      <c r="IW430" s="35"/>
      <c r="IX430" s="35"/>
      <c r="IY430" s="35"/>
      <c r="IZ430" s="35"/>
      <c r="JA430" s="35"/>
      <c r="JB430" s="35"/>
      <c r="JC430" s="35"/>
      <c r="JD430" s="35"/>
      <c r="JE430" s="35"/>
    </row>
    <row r="431">
      <c r="A431" s="42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  <c r="BC431" s="35"/>
      <c r="BD431" s="35"/>
      <c r="BE431" s="35"/>
      <c r="BF431" s="35"/>
      <c r="BG431" s="35"/>
      <c r="BH431" s="35"/>
      <c r="BI431" s="35"/>
      <c r="BJ431" s="35"/>
      <c r="BK431" s="35"/>
      <c r="BL431" s="35"/>
      <c r="BM431" s="35"/>
      <c r="BN431" s="35"/>
      <c r="BO431" s="35"/>
      <c r="BP431" s="35"/>
      <c r="BQ431" s="35"/>
      <c r="BR431" s="35"/>
      <c r="BS431" s="35"/>
      <c r="BT431" s="35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35"/>
      <c r="CO431" s="35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35"/>
      <c r="DJ431" s="35"/>
      <c r="DK431" s="35"/>
      <c r="DL431" s="35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35"/>
      <c r="EE431" s="35"/>
      <c r="EF431" s="35"/>
      <c r="EG431" s="35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35"/>
      <c r="EZ431" s="35"/>
      <c r="FA431" s="35"/>
      <c r="FB431" s="35"/>
      <c r="FC431" s="35"/>
      <c r="FD431" s="35"/>
      <c r="FE431" s="35"/>
      <c r="FF431" s="35"/>
      <c r="FG431" s="35"/>
      <c r="FH431" s="35"/>
      <c r="FI431" s="35"/>
      <c r="FJ431" s="35"/>
      <c r="FK431" s="35"/>
      <c r="FL431" s="35"/>
      <c r="FM431" s="35"/>
      <c r="FN431" s="35"/>
      <c r="FO431" s="35"/>
      <c r="FP431" s="35"/>
      <c r="FQ431" s="35"/>
      <c r="FR431" s="35"/>
      <c r="FS431" s="35"/>
      <c r="FT431" s="35"/>
      <c r="FU431" s="35"/>
      <c r="FV431" s="35"/>
      <c r="FW431" s="35"/>
      <c r="FX431" s="35"/>
      <c r="FY431" s="35"/>
      <c r="FZ431" s="35"/>
      <c r="GA431" s="35"/>
      <c r="GB431" s="35"/>
      <c r="GC431" s="35"/>
      <c r="GD431" s="35"/>
      <c r="GE431" s="35"/>
      <c r="GF431" s="35"/>
      <c r="GG431" s="35"/>
      <c r="GH431" s="35"/>
      <c r="GI431" s="35"/>
      <c r="GJ431" s="35"/>
      <c r="GK431" s="35"/>
      <c r="GL431" s="35"/>
      <c r="GM431" s="35"/>
      <c r="GN431" s="35"/>
      <c r="GO431" s="35"/>
      <c r="GP431" s="35"/>
      <c r="GQ431" s="35"/>
      <c r="GR431" s="35"/>
      <c r="GS431" s="35"/>
      <c r="GT431" s="35"/>
      <c r="GU431" s="35"/>
      <c r="GV431" s="35"/>
      <c r="GW431" s="35"/>
      <c r="GX431" s="35"/>
      <c r="GY431" s="35"/>
      <c r="GZ431" s="35"/>
      <c r="HA431" s="35"/>
      <c r="HB431" s="35"/>
      <c r="HC431" s="35"/>
      <c r="HD431" s="35"/>
      <c r="HE431" s="35"/>
      <c r="HF431" s="35"/>
      <c r="HG431" s="35"/>
      <c r="HH431" s="35"/>
      <c r="HI431" s="35"/>
      <c r="HJ431" s="35"/>
      <c r="HK431" s="35"/>
      <c r="HL431" s="35"/>
      <c r="HM431" s="35"/>
      <c r="HN431" s="35"/>
      <c r="HO431" s="35"/>
      <c r="HP431" s="35"/>
      <c r="HQ431" s="35"/>
      <c r="HR431" s="35"/>
      <c r="HS431" s="35"/>
      <c r="HT431" s="35"/>
      <c r="HU431" s="35"/>
      <c r="HV431" s="35"/>
      <c r="HW431" s="35"/>
      <c r="HX431" s="35"/>
      <c r="HY431" s="35"/>
      <c r="HZ431" s="35"/>
      <c r="IA431" s="35"/>
      <c r="IB431" s="35"/>
      <c r="IC431" s="35"/>
      <c r="ID431" s="35"/>
      <c r="IE431" s="35"/>
      <c r="IF431" s="35"/>
      <c r="IG431" s="35"/>
      <c r="IH431" s="35"/>
      <c r="II431" s="35"/>
      <c r="IJ431" s="35"/>
      <c r="IK431" s="35"/>
      <c r="IL431" s="35"/>
      <c r="IM431" s="35"/>
      <c r="IN431" s="35"/>
      <c r="IO431" s="35"/>
      <c r="IP431" s="35"/>
      <c r="IQ431" s="35"/>
      <c r="IR431" s="35"/>
      <c r="IS431" s="35"/>
      <c r="IT431" s="35"/>
      <c r="IU431" s="35"/>
      <c r="IV431" s="35"/>
      <c r="IW431" s="35"/>
      <c r="IX431" s="35"/>
      <c r="IY431" s="35"/>
      <c r="IZ431" s="35"/>
      <c r="JA431" s="35"/>
      <c r="JB431" s="35"/>
      <c r="JC431" s="35"/>
      <c r="JD431" s="35"/>
      <c r="JE431" s="35"/>
    </row>
    <row r="432">
      <c r="A432" s="42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5"/>
      <c r="BR432" s="35"/>
      <c r="BS432" s="35"/>
      <c r="BT432" s="35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35"/>
      <c r="CO432" s="35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35"/>
      <c r="DJ432" s="35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35"/>
      <c r="EE432" s="35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35"/>
      <c r="EZ432" s="35"/>
      <c r="FA432" s="35"/>
      <c r="FB432" s="35"/>
      <c r="FC432" s="35"/>
      <c r="FD432" s="35"/>
      <c r="FE432" s="35"/>
      <c r="FF432" s="35"/>
      <c r="FG432" s="35"/>
      <c r="FH432" s="35"/>
      <c r="FI432" s="35"/>
      <c r="FJ432" s="35"/>
      <c r="FK432" s="35"/>
      <c r="FL432" s="35"/>
      <c r="FM432" s="35"/>
      <c r="FN432" s="35"/>
      <c r="FO432" s="35"/>
      <c r="FP432" s="35"/>
      <c r="FQ432" s="35"/>
      <c r="FR432" s="35"/>
      <c r="FS432" s="35"/>
      <c r="FT432" s="35"/>
      <c r="FU432" s="35"/>
      <c r="FV432" s="35"/>
      <c r="FW432" s="35"/>
      <c r="FX432" s="35"/>
      <c r="FY432" s="35"/>
      <c r="FZ432" s="35"/>
      <c r="GA432" s="35"/>
      <c r="GB432" s="35"/>
      <c r="GC432" s="35"/>
      <c r="GD432" s="35"/>
      <c r="GE432" s="35"/>
      <c r="GF432" s="35"/>
      <c r="GG432" s="35"/>
      <c r="GH432" s="35"/>
      <c r="GI432" s="35"/>
      <c r="GJ432" s="35"/>
      <c r="GK432" s="35"/>
      <c r="GL432" s="35"/>
      <c r="GM432" s="35"/>
      <c r="GN432" s="35"/>
      <c r="GO432" s="35"/>
      <c r="GP432" s="35"/>
      <c r="GQ432" s="35"/>
      <c r="GR432" s="35"/>
      <c r="GS432" s="35"/>
      <c r="GT432" s="35"/>
      <c r="GU432" s="35"/>
      <c r="GV432" s="35"/>
      <c r="GW432" s="35"/>
      <c r="GX432" s="35"/>
      <c r="GY432" s="35"/>
      <c r="GZ432" s="35"/>
      <c r="HA432" s="35"/>
      <c r="HB432" s="35"/>
      <c r="HC432" s="35"/>
      <c r="HD432" s="35"/>
      <c r="HE432" s="35"/>
      <c r="HF432" s="35"/>
      <c r="HG432" s="35"/>
      <c r="HH432" s="35"/>
      <c r="HI432" s="35"/>
      <c r="HJ432" s="35"/>
      <c r="HK432" s="35"/>
      <c r="HL432" s="35"/>
      <c r="HM432" s="35"/>
      <c r="HN432" s="35"/>
      <c r="HO432" s="35"/>
      <c r="HP432" s="35"/>
      <c r="HQ432" s="35"/>
      <c r="HR432" s="35"/>
      <c r="HS432" s="35"/>
      <c r="HT432" s="35"/>
      <c r="HU432" s="35"/>
      <c r="HV432" s="35"/>
      <c r="HW432" s="35"/>
      <c r="HX432" s="35"/>
      <c r="HY432" s="35"/>
      <c r="HZ432" s="35"/>
      <c r="IA432" s="35"/>
      <c r="IB432" s="35"/>
      <c r="IC432" s="35"/>
      <c r="ID432" s="35"/>
      <c r="IE432" s="35"/>
      <c r="IF432" s="35"/>
      <c r="IG432" s="35"/>
      <c r="IH432" s="35"/>
      <c r="II432" s="35"/>
      <c r="IJ432" s="35"/>
      <c r="IK432" s="35"/>
      <c r="IL432" s="35"/>
      <c r="IM432" s="35"/>
      <c r="IN432" s="35"/>
      <c r="IO432" s="35"/>
      <c r="IP432" s="35"/>
      <c r="IQ432" s="35"/>
      <c r="IR432" s="35"/>
      <c r="IS432" s="35"/>
      <c r="IT432" s="35"/>
      <c r="IU432" s="35"/>
      <c r="IV432" s="35"/>
      <c r="IW432" s="35"/>
      <c r="IX432" s="35"/>
      <c r="IY432" s="35"/>
      <c r="IZ432" s="35"/>
      <c r="JA432" s="35"/>
      <c r="JB432" s="35"/>
      <c r="JC432" s="35"/>
      <c r="JD432" s="35"/>
      <c r="JE432" s="35"/>
    </row>
    <row r="433">
      <c r="A433" s="42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  <c r="BC433" s="35"/>
      <c r="BD433" s="35"/>
      <c r="BE433" s="35"/>
      <c r="BF433" s="35"/>
      <c r="BG433" s="35"/>
      <c r="BH433" s="35"/>
      <c r="BI433" s="35"/>
      <c r="BJ433" s="35"/>
      <c r="BK433" s="35"/>
      <c r="BL433" s="35"/>
      <c r="BM433" s="35"/>
      <c r="BN433" s="35"/>
      <c r="BO433" s="35"/>
      <c r="BP433" s="35"/>
      <c r="BQ433" s="35"/>
      <c r="BR433" s="35"/>
      <c r="BS433" s="35"/>
      <c r="BT433" s="35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35"/>
      <c r="CO433" s="35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35"/>
      <c r="DJ433" s="35"/>
      <c r="DK433" s="35"/>
      <c r="DL433" s="35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35"/>
      <c r="EE433" s="35"/>
      <c r="EF433" s="35"/>
      <c r="EG433" s="35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35"/>
      <c r="EZ433" s="35"/>
      <c r="FA433" s="35"/>
      <c r="FB433" s="35"/>
      <c r="FC433" s="35"/>
      <c r="FD433" s="35"/>
      <c r="FE433" s="35"/>
      <c r="FF433" s="35"/>
      <c r="FG433" s="35"/>
      <c r="FH433" s="35"/>
      <c r="FI433" s="35"/>
      <c r="FJ433" s="35"/>
      <c r="FK433" s="35"/>
      <c r="FL433" s="35"/>
      <c r="FM433" s="35"/>
      <c r="FN433" s="35"/>
      <c r="FO433" s="35"/>
      <c r="FP433" s="35"/>
      <c r="FQ433" s="35"/>
      <c r="FR433" s="35"/>
      <c r="FS433" s="35"/>
      <c r="FT433" s="35"/>
      <c r="FU433" s="35"/>
      <c r="FV433" s="35"/>
      <c r="FW433" s="35"/>
      <c r="FX433" s="35"/>
      <c r="FY433" s="35"/>
      <c r="FZ433" s="35"/>
      <c r="GA433" s="35"/>
      <c r="GB433" s="35"/>
      <c r="GC433" s="35"/>
      <c r="GD433" s="35"/>
      <c r="GE433" s="35"/>
      <c r="GF433" s="35"/>
      <c r="GG433" s="35"/>
      <c r="GH433" s="35"/>
      <c r="GI433" s="35"/>
      <c r="GJ433" s="35"/>
      <c r="GK433" s="35"/>
      <c r="GL433" s="35"/>
      <c r="GM433" s="35"/>
      <c r="GN433" s="35"/>
      <c r="GO433" s="35"/>
      <c r="GP433" s="35"/>
      <c r="GQ433" s="35"/>
      <c r="GR433" s="35"/>
      <c r="GS433" s="35"/>
      <c r="GT433" s="35"/>
      <c r="GU433" s="35"/>
      <c r="GV433" s="35"/>
      <c r="GW433" s="35"/>
      <c r="GX433" s="35"/>
      <c r="GY433" s="35"/>
      <c r="GZ433" s="35"/>
      <c r="HA433" s="35"/>
      <c r="HB433" s="35"/>
      <c r="HC433" s="35"/>
      <c r="HD433" s="35"/>
      <c r="HE433" s="35"/>
      <c r="HF433" s="35"/>
      <c r="HG433" s="35"/>
      <c r="HH433" s="35"/>
      <c r="HI433" s="35"/>
      <c r="HJ433" s="35"/>
      <c r="HK433" s="35"/>
      <c r="HL433" s="35"/>
      <c r="HM433" s="35"/>
      <c r="HN433" s="35"/>
      <c r="HO433" s="35"/>
      <c r="HP433" s="35"/>
      <c r="HQ433" s="35"/>
      <c r="HR433" s="35"/>
      <c r="HS433" s="35"/>
      <c r="HT433" s="35"/>
      <c r="HU433" s="35"/>
      <c r="HV433" s="35"/>
      <c r="HW433" s="35"/>
      <c r="HX433" s="35"/>
      <c r="HY433" s="35"/>
      <c r="HZ433" s="35"/>
      <c r="IA433" s="35"/>
      <c r="IB433" s="35"/>
      <c r="IC433" s="35"/>
      <c r="ID433" s="35"/>
      <c r="IE433" s="35"/>
      <c r="IF433" s="35"/>
      <c r="IG433" s="35"/>
      <c r="IH433" s="35"/>
      <c r="II433" s="35"/>
      <c r="IJ433" s="35"/>
      <c r="IK433" s="35"/>
      <c r="IL433" s="35"/>
      <c r="IM433" s="35"/>
      <c r="IN433" s="35"/>
      <c r="IO433" s="35"/>
      <c r="IP433" s="35"/>
      <c r="IQ433" s="35"/>
      <c r="IR433" s="35"/>
      <c r="IS433" s="35"/>
      <c r="IT433" s="35"/>
      <c r="IU433" s="35"/>
      <c r="IV433" s="35"/>
      <c r="IW433" s="35"/>
      <c r="IX433" s="35"/>
      <c r="IY433" s="35"/>
      <c r="IZ433" s="35"/>
      <c r="JA433" s="35"/>
      <c r="JB433" s="35"/>
      <c r="JC433" s="35"/>
      <c r="JD433" s="35"/>
      <c r="JE433" s="35"/>
    </row>
    <row r="434">
      <c r="A434" s="42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  <c r="BA434" s="35"/>
      <c r="BB434" s="35"/>
      <c r="BC434" s="35"/>
      <c r="BD434" s="35"/>
      <c r="BE434" s="35"/>
      <c r="BF434" s="35"/>
      <c r="BG434" s="35"/>
      <c r="BH434" s="35"/>
      <c r="BI434" s="35"/>
      <c r="BJ434" s="35"/>
      <c r="BK434" s="35"/>
      <c r="BL434" s="35"/>
      <c r="BM434" s="35"/>
      <c r="BN434" s="35"/>
      <c r="BO434" s="35"/>
      <c r="BP434" s="35"/>
      <c r="BQ434" s="35"/>
      <c r="BR434" s="35"/>
      <c r="BS434" s="35"/>
      <c r="BT434" s="35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35"/>
      <c r="CO434" s="35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35"/>
      <c r="DJ434" s="35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35"/>
      <c r="EE434" s="35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35"/>
      <c r="EZ434" s="35"/>
      <c r="FA434" s="35"/>
      <c r="FB434" s="35"/>
      <c r="FC434" s="35"/>
      <c r="FD434" s="35"/>
      <c r="FE434" s="35"/>
      <c r="FF434" s="35"/>
      <c r="FG434" s="35"/>
      <c r="FH434" s="35"/>
      <c r="FI434" s="35"/>
      <c r="FJ434" s="35"/>
      <c r="FK434" s="35"/>
      <c r="FL434" s="35"/>
      <c r="FM434" s="35"/>
      <c r="FN434" s="35"/>
      <c r="FO434" s="35"/>
      <c r="FP434" s="35"/>
      <c r="FQ434" s="35"/>
      <c r="FR434" s="35"/>
      <c r="FS434" s="35"/>
      <c r="FT434" s="35"/>
      <c r="FU434" s="35"/>
      <c r="FV434" s="35"/>
      <c r="FW434" s="35"/>
      <c r="FX434" s="35"/>
      <c r="FY434" s="35"/>
      <c r="FZ434" s="35"/>
      <c r="GA434" s="35"/>
      <c r="GB434" s="35"/>
      <c r="GC434" s="35"/>
      <c r="GD434" s="35"/>
      <c r="GE434" s="35"/>
      <c r="GF434" s="35"/>
      <c r="GG434" s="35"/>
      <c r="GH434" s="35"/>
      <c r="GI434" s="35"/>
      <c r="GJ434" s="35"/>
      <c r="GK434" s="35"/>
      <c r="GL434" s="35"/>
      <c r="GM434" s="35"/>
      <c r="GN434" s="35"/>
      <c r="GO434" s="35"/>
      <c r="GP434" s="35"/>
      <c r="GQ434" s="35"/>
      <c r="GR434" s="35"/>
      <c r="GS434" s="35"/>
      <c r="GT434" s="35"/>
      <c r="GU434" s="35"/>
      <c r="GV434" s="35"/>
      <c r="GW434" s="35"/>
      <c r="GX434" s="35"/>
      <c r="GY434" s="35"/>
      <c r="GZ434" s="35"/>
      <c r="HA434" s="35"/>
      <c r="HB434" s="35"/>
      <c r="HC434" s="35"/>
      <c r="HD434" s="35"/>
      <c r="HE434" s="35"/>
      <c r="HF434" s="35"/>
      <c r="HG434" s="35"/>
      <c r="HH434" s="35"/>
      <c r="HI434" s="35"/>
      <c r="HJ434" s="35"/>
      <c r="HK434" s="35"/>
      <c r="HL434" s="35"/>
      <c r="HM434" s="35"/>
      <c r="HN434" s="35"/>
      <c r="HO434" s="35"/>
      <c r="HP434" s="35"/>
      <c r="HQ434" s="35"/>
      <c r="HR434" s="35"/>
      <c r="HS434" s="35"/>
      <c r="HT434" s="35"/>
      <c r="HU434" s="35"/>
      <c r="HV434" s="35"/>
      <c r="HW434" s="35"/>
      <c r="HX434" s="35"/>
      <c r="HY434" s="35"/>
      <c r="HZ434" s="35"/>
      <c r="IA434" s="35"/>
      <c r="IB434" s="35"/>
      <c r="IC434" s="35"/>
      <c r="ID434" s="35"/>
      <c r="IE434" s="35"/>
      <c r="IF434" s="35"/>
      <c r="IG434" s="35"/>
      <c r="IH434" s="35"/>
      <c r="II434" s="35"/>
      <c r="IJ434" s="35"/>
      <c r="IK434" s="35"/>
      <c r="IL434" s="35"/>
      <c r="IM434" s="35"/>
      <c r="IN434" s="35"/>
      <c r="IO434" s="35"/>
      <c r="IP434" s="35"/>
      <c r="IQ434" s="35"/>
      <c r="IR434" s="35"/>
      <c r="IS434" s="35"/>
      <c r="IT434" s="35"/>
      <c r="IU434" s="35"/>
      <c r="IV434" s="35"/>
      <c r="IW434" s="35"/>
      <c r="IX434" s="35"/>
      <c r="IY434" s="35"/>
      <c r="IZ434" s="35"/>
      <c r="JA434" s="35"/>
      <c r="JB434" s="35"/>
      <c r="JC434" s="35"/>
      <c r="JD434" s="35"/>
      <c r="JE434" s="35"/>
    </row>
    <row r="435">
      <c r="A435" s="42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  <c r="BA435" s="35"/>
      <c r="BB435" s="35"/>
      <c r="BC435" s="35"/>
      <c r="BD435" s="35"/>
      <c r="BE435" s="35"/>
      <c r="BF435" s="35"/>
      <c r="BG435" s="35"/>
      <c r="BH435" s="35"/>
      <c r="BI435" s="35"/>
      <c r="BJ435" s="35"/>
      <c r="BK435" s="35"/>
      <c r="BL435" s="35"/>
      <c r="BM435" s="35"/>
      <c r="BN435" s="35"/>
      <c r="BO435" s="35"/>
      <c r="BP435" s="35"/>
      <c r="BQ435" s="35"/>
      <c r="BR435" s="35"/>
      <c r="BS435" s="35"/>
      <c r="BT435" s="35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35"/>
      <c r="CO435" s="35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35"/>
      <c r="DJ435" s="35"/>
      <c r="DK435" s="35"/>
      <c r="DL435" s="35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35"/>
      <c r="EE435" s="35"/>
      <c r="EF435" s="35"/>
      <c r="EG435" s="35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35"/>
      <c r="EZ435" s="35"/>
      <c r="FA435" s="35"/>
      <c r="FB435" s="35"/>
      <c r="FC435" s="35"/>
      <c r="FD435" s="35"/>
      <c r="FE435" s="35"/>
      <c r="FF435" s="35"/>
      <c r="FG435" s="35"/>
      <c r="FH435" s="35"/>
      <c r="FI435" s="35"/>
      <c r="FJ435" s="35"/>
      <c r="FK435" s="35"/>
      <c r="FL435" s="35"/>
      <c r="FM435" s="35"/>
      <c r="FN435" s="35"/>
      <c r="FO435" s="35"/>
      <c r="FP435" s="35"/>
      <c r="FQ435" s="35"/>
      <c r="FR435" s="35"/>
      <c r="FS435" s="35"/>
      <c r="FT435" s="35"/>
      <c r="FU435" s="35"/>
      <c r="FV435" s="35"/>
      <c r="FW435" s="35"/>
      <c r="FX435" s="35"/>
      <c r="FY435" s="35"/>
      <c r="FZ435" s="35"/>
      <c r="GA435" s="35"/>
      <c r="GB435" s="35"/>
      <c r="GC435" s="35"/>
      <c r="GD435" s="35"/>
      <c r="GE435" s="35"/>
      <c r="GF435" s="35"/>
      <c r="GG435" s="35"/>
      <c r="GH435" s="35"/>
      <c r="GI435" s="35"/>
      <c r="GJ435" s="35"/>
      <c r="GK435" s="35"/>
      <c r="GL435" s="35"/>
      <c r="GM435" s="35"/>
      <c r="GN435" s="35"/>
      <c r="GO435" s="35"/>
      <c r="GP435" s="35"/>
      <c r="GQ435" s="35"/>
      <c r="GR435" s="35"/>
      <c r="GS435" s="35"/>
      <c r="GT435" s="35"/>
      <c r="GU435" s="35"/>
      <c r="GV435" s="35"/>
      <c r="GW435" s="35"/>
      <c r="GX435" s="35"/>
      <c r="GY435" s="35"/>
      <c r="GZ435" s="35"/>
      <c r="HA435" s="35"/>
      <c r="HB435" s="35"/>
      <c r="HC435" s="35"/>
      <c r="HD435" s="35"/>
      <c r="HE435" s="35"/>
      <c r="HF435" s="35"/>
      <c r="HG435" s="35"/>
      <c r="HH435" s="35"/>
      <c r="HI435" s="35"/>
      <c r="HJ435" s="35"/>
      <c r="HK435" s="35"/>
      <c r="HL435" s="35"/>
      <c r="HM435" s="35"/>
      <c r="HN435" s="35"/>
      <c r="HO435" s="35"/>
      <c r="HP435" s="35"/>
      <c r="HQ435" s="35"/>
      <c r="HR435" s="35"/>
      <c r="HS435" s="35"/>
      <c r="HT435" s="35"/>
      <c r="HU435" s="35"/>
      <c r="HV435" s="35"/>
      <c r="HW435" s="35"/>
      <c r="HX435" s="35"/>
      <c r="HY435" s="35"/>
      <c r="HZ435" s="35"/>
      <c r="IA435" s="35"/>
      <c r="IB435" s="35"/>
      <c r="IC435" s="35"/>
      <c r="ID435" s="35"/>
      <c r="IE435" s="35"/>
      <c r="IF435" s="35"/>
      <c r="IG435" s="35"/>
      <c r="IH435" s="35"/>
      <c r="II435" s="35"/>
      <c r="IJ435" s="35"/>
      <c r="IK435" s="35"/>
      <c r="IL435" s="35"/>
      <c r="IM435" s="35"/>
      <c r="IN435" s="35"/>
      <c r="IO435" s="35"/>
      <c r="IP435" s="35"/>
      <c r="IQ435" s="35"/>
      <c r="IR435" s="35"/>
      <c r="IS435" s="35"/>
      <c r="IT435" s="35"/>
      <c r="IU435" s="35"/>
      <c r="IV435" s="35"/>
      <c r="IW435" s="35"/>
      <c r="IX435" s="35"/>
      <c r="IY435" s="35"/>
      <c r="IZ435" s="35"/>
      <c r="JA435" s="35"/>
      <c r="JB435" s="35"/>
      <c r="JC435" s="35"/>
      <c r="JD435" s="35"/>
      <c r="JE435" s="35"/>
    </row>
    <row r="436">
      <c r="A436" s="42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  <c r="BC436" s="35"/>
      <c r="BD436" s="35"/>
      <c r="BE436" s="35"/>
      <c r="BF436" s="35"/>
      <c r="BG436" s="35"/>
      <c r="BH436" s="35"/>
      <c r="BI436" s="35"/>
      <c r="BJ436" s="35"/>
      <c r="BK436" s="35"/>
      <c r="BL436" s="35"/>
      <c r="BM436" s="35"/>
      <c r="BN436" s="35"/>
      <c r="BO436" s="35"/>
      <c r="BP436" s="35"/>
      <c r="BQ436" s="35"/>
      <c r="BR436" s="35"/>
      <c r="BS436" s="35"/>
      <c r="BT436" s="35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35"/>
      <c r="CO436" s="35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35"/>
      <c r="DJ436" s="35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35"/>
      <c r="EE436" s="35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35"/>
      <c r="EZ436" s="35"/>
      <c r="FA436" s="35"/>
      <c r="FB436" s="35"/>
      <c r="FC436" s="35"/>
      <c r="FD436" s="35"/>
      <c r="FE436" s="35"/>
      <c r="FF436" s="35"/>
      <c r="FG436" s="35"/>
      <c r="FH436" s="35"/>
      <c r="FI436" s="35"/>
      <c r="FJ436" s="35"/>
      <c r="FK436" s="35"/>
      <c r="FL436" s="35"/>
      <c r="FM436" s="35"/>
      <c r="FN436" s="35"/>
      <c r="FO436" s="35"/>
      <c r="FP436" s="35"/>
      <c r="FQ436" s="35"/>
      <c r="FR436" s="35"/>
      <c r="FS436" s="35"/>
      <c r="FT436" s="35"/>
      <c r="FU436" s="35"/>
      <c r="FV436" s="35"/>
      <c r="FW436" s="35"/>
      <c r="FX436" s="35"/>
      <c r="FY436" s="35"/>
      <c r="FZ436" s="35"/>
      <c r="GA436" s="35"/>
      <c r="GB436" s="35"/>
      <c r="GC436" s="35"/>
      <c r="GD436" s="35"/>
      <c r="GE436" s="35"/>
      <c r="GF436" s="35"/>
      <c r="GG436" s="35"/>
      <c r="GH436" s="35"/>
      <c r="GI436" s="35"/>
      <c r="GJ436" s="35"/>
      <c r="GK436" s="35"/>
      <c r="GL436" s="35"/>
      <c r="GM436" s="35"/>
      <c r="GN436" s="35"/>
      <c r="GO436" s="35"/>
      <c r="GP436" s="35"/>
      <c r="GQ436" s="35"/>
      <c r="GR436" s="35"/>
      <c r="GS436" s="35"/>
      <c r="GT436" s="35"/>
      <c r="GU436" s="35"/>
      <c r="GV436" s="35"/>
      <c r="GW436" s="35"/>
      <c r="GX436" s="35"/>
      <c r="GY436" s="35"/>
      <c r="GZ436" s="35"/>
      <c r="HA436" s="35"/>
      <c r="HB436" s="35"/>
      <c r="HC436" s="35"/>
      <c r="HD436" s="35"/>
      <c r="HE436" s="35"/>
      <c r="HF436" s="35"/>
      <c r="HG436" s="35"/>
      <c r="HH436" s="35"/>
      <c r="HI436" s="35"/>
      <c r="HJ436" s="35"/>
      <c r="HK436" s="35"/>
      <c r="HL436" s="35"/>
      <c r="HM436" s="35"/>
      <c r="HN436" s="35"/>
      <c r="HO436" s="35"/>
      <c r="HP436" s="35"/>
      <c r="HQ436" s="35"/>
      <c r="HR436" s="35"/>
      <c r="HS436" s="35"/>
      <c r="HT436" s="35"/>
      <c r="HU436" s="35"/>
      <c r="HV436" s="35"/>
      <c r="HW436" s="35"/>
      <c r="HX436" s="35"/>
      <c r="HY436" s="35"/>
      <c r="HZ436" s="35"/>
      <c r="IA436" s="35"/>
      <c r="IB436" s="35"/>
      <c r="IC436" s="35"/>
      <c r="ID436" s="35"/>
      <c r="IE436" s="35"/>
      <c r="IF436" s="35"/>
      <c r="IG436" s="35"/>
      <c r="IH436" s="35"/>
      <c r="II436" s="35"/>
      <c r="IJ436" s="35"/>
      <c r="IK436" s="35"/>
      <c r="IL436" s="35"/>
      <c r="IM436" s="35"/>
      <c r="IN436" s="35"/>
      <c r="IO436" s="35"/>
      <c r="IP436" s="35"/>
      <c r="IQ436" s="35"/>
      <c r="IR436" s="35"/>
      <c r="IS436" s="35"/>
      <c r="IT436" s="35"/>
      <c r="IU436" s="35"/>
      <c r="IV436" s="35"/>
      <c r="IW436" s="35"/>
      <c r="IX436" s="35"/>
      <c r="IY436" s="35"/>
      <c r="IZ436" s="35"/>
      <c r="JA436" s="35"/>
      <c r="JB436" s="35"/>
      <c r="JC436" s="35"/>
      <c r="JD436" s="35"/>
      <c r="JE436" s="35"/>
    </row>
    <row r="437">
      <c r="A437" s="42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  <c r="BC437" s="35"/>
      <c r="BD437" s="35"/>
      <c r="BE437" s="35"/>
      <c r="BF437" s="35"/>
      <c r="BG437" s="35"/>
      <c r="BH437" s="35"/>
      <c r="BI437" s="35"/>
      <c r="BJ437" s="35"/>
      <c r="BK437" s="35"/>
      <c r="BL437" s="35"/>
      <c r="BM437" s="35"/>
      <c r="BN437" s="35"/>
      <c r="BO437" s="35"/>
      <c r="BP437" s="35"/>
      <c r="BQ437" s="35"/>
      <c r="BR437" s="35"/>
      <c r="BS437" s="35"/>
      <c r="BT437" s="35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35"/>
      <c r="CO437" s="35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35"/>
      <c r="DJ437" s="35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35"/>
      <c r="EE437" s="35"/>
      <c r="EF437" s="35"/>
      <c r="EG437" s="35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35"/>
      <c r="EZ437" s="35"/>
      <c r="FA437" s="35"/>
      <c r="FB437" s="35"/>
      <c r="FC437" s="35"/>
      <c r="FD437" s="35"/>
      <c r="FE437" s="35"/>
      <c r="FF437" s="35"/>
      <c r="FG437" s="35"/>
      <c r="FH437" s="35"/>
      <c r="FI437" s="35"/>
      <c r="FJ437" s="35"/>
      <c r="FK437" s="35"/>
      <c r="FL437" s="35"/>
      <c r="FM437" s="35"/>
      <c r="FN437" s="35"/>
      <c r="FO437" s="35"/>
      <c r="FP437" s="35"/>
      <c r="FQ437" s="35"/>
      <c r="FR437" s="35"/>
      <c r="FS437" s="35"/>
      <c r="FT437" s="35"/>
      <c r="FU437" s="35"/>
      <c r="FV437" s="35"/>
      <c r="FW437" s="35"/>
      <c r="FX437" s="35"/>
      <c r="FY437" s="35"/>
      <c r="FZ437" s="35"/>
      <c r="GA437" s="35"/>
      <c r="GB437" s="35"/>
      <c r="GC437" s="35"/>
      <c r="GD437" s="35"/>
      <c r="GE437" s="35"/>
      <c r="GF437" s="35"/>
      <c r="GG437" s="35"/>
      <c r="GH437" s="35"/>
      <c r="GI437" s="35"/>
      <c r="GJ437" s="35"/>
      <c r="GK437" s="35"/>
      <c r="GL437" s="35"/>
      <c r="GM437" s="35"/>
      <c r="GN437" s="35"/>
      <c r="GO437" s="35"/>
      <c r="GP437" s="35"/>
      <c r="GQ437" s="35"/>
      <c r="GR437" s="35"/>
      <c r="GS437" s="35"/>
      <c r="GT437" s="35"/>
      <c r="GU437" s="35"/>
      <c r="GV437" s="35"/>
      <c r="GW437" s="35"/>
      <c r="GX437" s="35"/>
      <c r="GY437" s="35"/>
      <c r="GZ437" s="35"/>
      <c r="HA437" s="35"/>
      <c r="HB437" s="35"/>
      <c r="HC437" s="35"/>
      <c r="HD437" s="35"/>
      <c r="HE437" s="35"/>
      <c r="HF437" s="35"/>
      <c r="HG437" s="35"/>
      <c r="HH437" s="35"/>
      <c r="HI437" s="35"/>
      <c r="HJ437" s="35"/>
      <c r="HK437" s="35"/>
      <c r="HL437" s="35"/>
      <c r="HM437" s="35"/>
      <c r="HN437" s="35"/>
      <c r="HO437" s="35"/>
      <c r="HP437" s="35"/>
      <c r="HQ437" s="35"/>
      <c r="HR437" s="35"/>
      <c r="HS437" s="35"/>
      <c r="HT437" s="35"/>
      <c r="HU437" s="35"/>
      <c r="HV437" s="35"/>
      <c r="HW437" s="35"/>
      <c r="HX437" s="35"/>
      <c r="HY437" s="35"/>
      <c r="HZ437" s="35"/>
      <c r="IA437" s="35"/>
      <c r="IB437" s="35"/>
      <c r="IC437" s="35"/>
      <c r="ID437" s="35"/>
      <c r="IE437" s="35"/>
      <c r="IF437" s="35"/>
      <c r="IG437" s="35"/>
      <c r="IH437" s="35"/>
      <c r="II437" s="35"/>
      <c r="IJ437" s="35"/>
      <c r="IK437" s="35"/>
      <c r="IL437" s="35"/>
      <c r="IM437" s="35"/>
      <c r="IN437" s="35"/>
      <c r="IO437" s="35"/>
      <c r="IP437" s="35"/>
      <c r="IQ437" s="35"/>
      <c r="IR437" s="35"/>
      <c r="IS437" s="35"/>
      <c r="IT437" s="35"/>
      <c r="IU437" s="35"/>
      <c r="IV437" s="35"/>
      <c r="IW437" s="35"/>
      <c r="IX437" s="35"/>
      <c r="IY437" s="35"/>
      <c r="IZ437" s="35"/>
      <c r="JA437" s="35"/>
      <c r="JB437" s="35"/>
      <c r="JC437" s="35"/>
      <c r="JD437" s="35"/>
      <c r="JE437" s="35"/>
    </row>
    <row r="438">
      <c r="A438" s="42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  <c r="BC438" s="35"/>
      <c r="BD438" s="35"/>
      <c r="BE438" s="35"/>
      <c r="BF438" s="35"/>
      <c r="BG438" s="35"/>
      <c r="BH438" s="35"/>
      <c r="BI438" s="35"/>
      <c r="BJ438" s="35"/>
      <c r="BK438" s="35"/>
      <c r="BL438" s="35"/>
      <c r="BM438" s="35"/>
      <c r="BN438" s="35"/>
      <c r="BO438" s="35"/>
      <c r="BP438" s="35"/>
      <c r="BQ438" s="35"/>
      <c r="BR438" s="35"/>
      <c r="BS438" s="35"/>
      <c r="BT438" s="35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35"/>
      <c r="CO438" s="35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35"/>
      <c r="DJ438" s="35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35"/>
      <c r="EE438" s="35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35"/>
      <c r="EZ438" s="35"/>
      <c r="FA438" s="35"/>
      <c r="FB438" s="35"/>
      <c r="FC438" s="35"/>
      <c r="FD438" s="35"/>
      <c r="FE438" s="35"/>
      <c r="FF438" s="35"/>
      <c r="FG438" s="35"/>
      <c r="FH438" s="35"/>
      <c r="FI438" s="35"/>
      <c r="FJ438" s="35"/>
      <c r="FK438" s="35"/>
      <c r="FL438" s="35"/>
      <c r="FM438" s="35"/>
      <c r="FN438" s="35"/>
      <c r="FO438" s="35"/>
      <c r="FP438" s="35"/>
      <c r="FQ438" s="35"/>
      <c r="FR438" s="35"/>
      <c r="FS438" s="35"/>
      <c r="FT438" s="35"/>
      <c r="FU438" s="35"/>
      <c r="FV438" s="35"/>
      <c r="FW438" s="35"/>
      <c r="FX438" s="35"/>
      <c r="FY438" s="35"/>
      <c r="FZ438" s="35"/>
      <c r="GA438" s="35"/>
      <c r="GB438" s="35"/>
      <c r="GC438" s="35"/>
      <c r="GD438" s="35"/>
      <c r="GE438" s="35"/>
      <c r="GF438" s="35"/>
      <c r="GG438" s="35"/>
      <c r="GH438" s="35"/>
      <c r="GI438" s="35"/>
      <c r="GJ438" s="35"/>
      <c r="GK438" s="35"/>
      <c r="GL438" s="35"/>
      <c r="GM438" s="35"/>
      <c r="GN438" s="35"/>
      <c r="GO438" s="35"/>
      <c r="GP438" s="35"/>
      <c r="GQ438" s="35"/>
      <c r="GR438" s="35"/>
      <c r="GS438" s="35"/>
      <c r="GT438" s="35"/>
      <c r="GU438" s="35"/>
      <c r="GV438" s="35"/>
      <c r="GW438" s="35"/>
      <c r="GX438" s="35"/>
      <c r="GY438" s="35"/>
      <c r="GZ438" s="35"/>
      <c r="HA438" s="35"/>
      <c r="HB438" s="35"/>
      <c r="HC438" s="35"/>
      <c r="HD438" s="35"/>
      <c r="HE438" s="35"/>
      <c r="HF438" s="35"/>
      <c r="HG438" s="35"/>
      <c r="HH438" s="35"/>
      <c r="HI438" s="35"/>
      <c r="HJ438" s="35"/>
      <c r="HK438" s="35"/>
      <c r="HL438" s="35"/>
      <c r="HM438" s="35"/>
      <c r="HN438" s="35"/>
      <c r="HO438" s="35"/>
      <c r="HP438" s="35"/>
      <c r="HQ438" s="35"/>
      <c r="HR438" s="35"/>
      <c r="HS438" s="35"/>
      <c r="HT438" s="35"/>
      <c r="HU438" s="35"/>
      <c r="HV438" s="35"/>
      <c r="HW438" s="35"/>
      <c r="HX438" s="35"/>
      <c r="HY438" s="35"/>
      <c r="HZ438" s="35"/>
      <c r="IA438" s="35"/>
      <c r="IB438" s="35"/>
      <c r="IC438" s="35"/>
      <c r="ID438" s="35"/>
      <c r="IE438" s="35"/>
      <c r="IF438" s="35"/>
      <c r="IG438" s="35"/>
      <c r="IH438" s="35"/>
      <c r="II438" s="35"/>
      <c r="IJ438" s="35"/>
      <c r="IK438" s="35"/>
      <c r="IL438" s="35"/>
      <c r="IM438" s="35"/>
      <c r="IN438" s="35"/>
      <c r="IO438" s="35"/>
      <c r="IP438" s="35"/>
      <c r="IQ438" s="35"/>
      <c r="IR438" s="35"/>
      <c r="IS438" s="35"/>
      <c r="IT438" s="35"/>
      <c r="IU438" s="35"/>
      <c r="IV438" s="35"/>
      <c r="IW438" s="35"/>
      <c r="IX438" s="35"/>
      <c r="IY438" s="35"/>
      <c r="IZ438" s="35"/>
      <c r="JA438" s="35"/>
      <c r="JB438" s="35"/>
      <c r="JC438" s="35"/>
      <c r="JD438" s="35"/>
      <c r="JE438" s="35"/>
    </row>
    <row r="439">
      <c r="A439" s="42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  <c r="BC439" s="35"/>
      <c r="BD439" s="35"/>
      <c r="BE439" s="35"/>
      <c r="BF439" s="35"/>
      <c r="BG439" s="35"/>
      <c r="BH439" s="35"/>
      <c r="BI439" s="35"/>
      <c r="BJ439" s="35"/>
      <c r="BK439" s="35"/>
      <c r="BL439" s="35"/>
      <c r="BM439" s="35"/>
      <c r="BN439" s="35"/>
      <c r="BO439" s="35"/>
      <c r="BP439" s="35"/>
      <c r="BQ439" s="35"/>
      <c r="BR439" s="35"/>
      <c r="BS439" s="35"/>
      <c r="BT439" s="35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35"/>
      <c r="CO439" s="35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35"/>
      <c r="DJ439" s="35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35"/>
      <c r="EE439" s="35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35"/>
      <c r="EZ439" s="35"/>
      <c r="FA439" s="35"/>
      <c r="FB439" s="35"/>
      <c r="FC439" s="35"/>
      <c r="FD439" s="35"/>
      <c r="FE439" s="35"/>
      <c r="FF439" s="35"/>
      <c r="FG439" s="35"/>
      <c r="FH439" s="35"/>
      <c r="FI439" s="35"/>
      <c r="FJ439" s="35"/>
      <c r="FK439" s="35"/>
      <c r="FL439" s="35"/>
      <c r="FM439" s="35"/>
      <c r="FN439" s="35"/>
      <c r="FO439" s="35"/>
      <c r="FP439" s="35"/>
      <c r="FQ439" s="35"/>
      <c r="FR439" s="35"/>
      <c r="FS439" s="35"/>
      <c r="FT439" s="35"/>
      <c r="FU439" s="35"/>
      <c r="FV439" s="35"/>
      <c r="FW439" s="35"/>
      <c r="FX439" s="35"/>
      <c r="FY439" s="35"/>
      <c r="FZ439" s="35"/>
      <c r="GA439" s="35"/>
      <c r="GB439" s="35"/>
      <c r="GC439" s="35"/>
      <c r="GD439" s="35"/>
      <c r="GE439" s="35"/>
      <c r="GF439" s="35"/>
      <c r="GG439" s="35"/>
      <c r="GH439" s="35"/>
      <c r="GI439" s="35"/>
      <c r="GJ439" s="35"/>
      <c r="GK439" s="35"/>
      <c r="GL439" s="35"/>
      <c r="GM439" s="35"/>
      <c r="GN439" s="35"/>
      <c r="GO439" s="35"/>
      <c r="GP439" s="35"/>
      <c r="GQ439" s="35"/>
      <c r="GR439" s="35"/>
      <c r="GS439" s="35"/>
      <c r="GT439" s="35"/>
      <c r="GU439" s="35"/>
      <c r="GV439" s="35"/>
      <c r="GW439" s="35"/>
      <c r="GX439" s="35"/>
      <c r="GY439" s="35"/>
      <c r="GZ439" s="35"/>
      <c r="HA439" s="35"/>
      <c r="HB439" s="35"/>
      <c r="HC439" s="35"/>
      <c r="HD439" s="35"/>
      <c r="HE439" s="35"/>
      <c r="HF439" s="35"/>
      <c r="HG439" s="35"/>
      <c r="HH439" s="35"/>
      <c r="HI439" s="35"/>
      <c r="HJ439" s="35"/>
      <c r="HK439" s="35"/>
      <c r="HL439" s="35"/>
      <c r="HM439" s="35"/>
      <c r="HN439" s="35"/>
      <c r="HO439" s="35"/>
      <c r="HP439" s="35"/>
      <c r="HQ439" s="35"/>
      <c r="HR439" s="35"/>
      <c r="HS439" s="35"/>
      <c r="HT439" s="35"/>
      <c r="HU439" s="35"/>
      <c r="HV439" s="35"/>
      <c r="HW439" s="35"/>
      <c r="HX439" s="35"/>
      <c r="HY439" s="35"/>
      <c r="HZ439" s="35"/>
      <c r="IA439" s="35"/>
      <c r="IB439" s="35"/>
      <c r="IC439" s="35"/>
      <c r="ID439" s="35"/>
      <c r="IE439" s="35"/>
      <c r="IF439" s="35"/>
      <c r="IG439" s="35"/>
      <c r="IH439" s="35"/>
      <c r="II439" s="35"/>
      <c r="IJ439" s="35"/>
      <c r="IK439" s="35"/>
      <c r="IL439" s="35"/>
      <c r="IM439" s="35"/>
      <c r="IN439" s="35"/>
      <c r="IO439" s="35"/>
      <c r="IP439" s="35"/>
      <c r="IQ439" s="35"/>
      <c r="IR439" s="35"/>
      <c r="IS439" s="35"/>
      <c r="IT439" s="35"/>
      <c r="IU439" s="35"/>
      <c r="IV439" s="35"/>
      <c r="IW439" s="35"/>
      <c r="IX439" s="35"/>
      <c r="IY439" s="35"/>
      <c r="IZ439" s="35"/>
      <c r="JA439" s="35"/>
      <c r="JB439" s="35"/>
      <c r="JC439" s="35"/>
      <c r="JD439" s="35"/>
      <c r="JE439" s="35"/>
    </row>
    <row r="440">
      <c r="A440" s="42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  <c r="BC440" s="35"/>
      <c r="BD440" s="35"/>
      <c r="BE440" s="35"/>
      <c r="BF440" s="35"/>
      <c r="BG440" s="35"/>
      <c r="BH440" s="35"/>
      <c r="BI440" s="35"/>
      <c r="BJ440" s="35"/>
      <c r="BK440" s="35"/>
      <c r="BL440" s="35"/>
      <c r="BM440" s="35"/>
      <c r="BN440" s="35"/>
      <c r="BO440" s="35"/>
      <c r="BP440" s="35"/>
      <c r="BQ440" s="35"/>
      <c r="BR440" s="35"/>
      <c r="BS440" s="35"/>
      <c r="BT440" s="35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35"/>
      <c r="CO440" s="35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35"/>
      <c r="DJ440" s="35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35"/>
      <c r="EE440" s="35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35"/>
      <c r="EZ440" s="35"/>
      <c r="FA440" s="35"/>
      <c r="FB440" s="35"/>
      <c r="FC440" s="35"/>
      <c r="FD440" s="35"/>
      <c r="FE440" s="35"/>
      <c r="FF440" s="35"/>
      <c r="FG440" s="35"/>
      <c r="FH440" s="35"/>
      <c r="FI440" s="35"/>
      <c r="FJ440" s="35"/>
      <c r="FK440" s="35"/>
      <c r="FL440" s="35"/>
      <c r="FM440" s="35"/>
      <c r="FN440" s="35"/>
      <c r="FO440" s="35"/>
      <c r="FP440" s="35"/>
      <c r="FQ440" s="35"/>
      <c r="FR440" s="35"/>
      <c r="FS440" s="35"/>
      <c r="FT440" s="35"/>
      <c r="FU440" s="35"/>
      <c r="FV440" s="35"/>
      <c r="FW440" s="35"/>
      <c r="FX440" s="35"/>
      <c r="FY440" s="35"/>
      <c r="FZ440" s="35"/>
      <c r="GA440" s="35"/>
      <c r="GB440" s="35"/>
      <c r="GC440" s="35"/>
      <c r="GD440" s="35"/>
      <c r="GE440" s="35"/>
      <c r="GF440" s="35"/>
      <c r="GG440" s="35"/>
      <c r="GH440" s="35"/>
      <c r="GI440" s="35"/>
      <c r="GJ440" s="35"/>
      <c r="GK440" s="35"/>
      <c r="GL440" s="35"/>
      <c r="GM440" s="35"/>
      <c r="GN440" s="35"/>
      <c r="GO440" s="35"/>
      <c r="GP440" s="35"/>
      <c r="GQ440" s="35"/>
      <c r="GR440" s="35"/>
      <c r="GS440" s="35"/>
      <c r="GT440" s="35"/>
      <c r="GU440" s="35"/>
      <c r="GV440" s="35"/>
      <c r="GW440" s="35"/>
      <c r="GX440" s="35"/>
      <c r="GY440" s="35"/>
      <c r="GZ440" s="35"/>
      <c r="HA440" s="35"/>
      <c r="HB440" s="35"/>
      <c r="HC440" s="35"/>
      <c r="HD440" s="35"/>
      <c r="HE440" s="35"/>
      <c r="HF440" s="35"/>
      <c r="HG440" s="35"/>
      <c r="HH440" s="35"/>
      <c r="HI440" s="35"/>
      <c r="HJ440" s="35"/>
      <c r="HK440" s="35"/>
      <c r="HL440" s="35"/>
      <c r="HM440" s="35"/>
      <c r="HN440" s="35"/>
      <c r="HO440" s="35"/>
      <c r="HP440" s="35"/>
      <c r="HQ440" s="35"/>
      <c r="HR440" s="35"/>
      <c r="HS440" s="35"/>
      <c r="HT440" s="35"/>
      <c r="HU440" s="35"/>
      <c r="HV440" s="35"/>
      <c r="HW440" s="35"/>
      <c r="HX440" s="35"/>
      <c r="HY440" s="35"/>
      <c r="HZ440" s="35"/>
      <c r="IA440" s="35"/>
      <c r="IB440" s="35"/>
      <c r="IC440" s="35"/>
      <c r="ID440" s="35"/>
      <c r="IE440" s="35"/>
      <c r="IF440" s="35"/>
      <c r="IG440" s="35"/>
      <c r="IH440" s="35"/>
      <c r="II440" s="35"/>
      <c r="IJ440" s="35"/>
      <c r="IK440" s="35"/>
      <c r="IL440" s="35"/>
      <c r="IM440" s="35"/>
      <c r="IN440" s="35"/>
      <c r="IO440" s="35"/>
      <c r="IP440" s="35"/>
      <c r="IQ440" s="35"/>
      <c r="IR440" s="35"/>
      <c r="IS440" s="35"/>
      <c r="IT440" s="35"/>
      <c r="IU440" s="35"/>
      <c r="IV440" s="35"/>
      <c r="IW440" s="35"/>
      <c r="IX440" s="35"/>
      <c r="IY440" s="35"/>
      <c r="IZ440" s="35"/>
      <c r="JA440" s="35"/>
      <c r="JB440" s="35"/>
      <c r="JC440" s="35"/>
      <c r="JD440" s="35"/>
      <c r="JE440" s="35"/>
    </row>
    <row r="441">
      <c r="A441" s="42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  <c r="BA441" s="35"/>
      <c r="BB441" s="35"/>
      <c r="BC441" s="35"/>
      <c r="BD441" s="35"/>
      <c r="BE441" s="35"/>
      <c r="BF441" s="35"/>
      <c r="BG441" s="35"/>
      <c r="BH441" s="35"/>
      <c r="BI441" s="35"/>
      <c r="BJ441" s="35"/>
      <c r="BK441" s="35"/>
      <c r="BL441" s="35"/>
      <c r="BM441" s="35"/>
      <c r="BN441" s="35"/>
      <c r="BO441" s="35"/>
      <c r="BP441" s="35"/>
      <c r="BQ441" s="35"/>
      <c r="BR441" s="35"/>
      <c r="BS441" s="35"/>
      <c r="BT441" s="35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35"/>
      <c r="CO441" s="35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35"/>
      <c r="DJ441" s="35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35"/>
      <c r="EE441" s="35"/>
      <c r="EF441" s="35"/>
      <c r="EG441" s="35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35"/>
      <c r="EZ441" s="35"/>
      <c r="FA441" s="35"/>
      <c r="FB441" s="35"/>
      <c r="FC441" s="35"/>
      <c r="FD441" s="35"/>
      <c r="FE441" s="35"/>
      <c r="FF441" s="35"/>
      <c r="FG441" s="35"/>
      <c r="FH441" s="35"/>
      <c r="FI441" s="35"/>
      <c r="FJ441" s="35"/>
      <c r="FK441" s="35"/>
      <c r="FL441" s="35"/>
      <c r="FM441" s="35"/>
      <c r="FN441" s="35"/>
      <c r="FO441" s="35"/>
      <c r="FP441" s="35"/>
      <c r="FQ441" s="35"/>
      <c r="FR441" s="35"/>
      <c r="FS441" s="35"/>
      <c r="FT441" s="35"/>
      <c r="FU441" s="35"/>
      <c r="FV441" s="35"/>
      <c r="FW441" s="35"/>
      <c r="FX441" s="35"/>
      <c r="FY441" s="35"/>
      <c r="FZ441" s="35"/>
      <c r="GA441" s="35"/>
      <c r="GB441" s="35"/>
      <c r="GC441" s="35"/>
      <c r="GD441" s="35"/>
      <c r="GE441" s="35"/>
      <c r="GF441" s="35"/>
      <c r="GG441" s="35"/>
      <c r="GH441" s="35"/>
      <c r="GI441" s="35"/>
      <c r="GJ441" s="35"/>
      <c r="GK441" s="35"/>
      <c r="GL441" s="35"/>
      <c r="GM441" s="35"/>
      <c r="GN441" s="35"/>
      <c r="GO441" s="35"/>
      <c r="GP441" s="35"/>
      <c r="GQ441" s="35"/>
      <c r="GR441" s="35"/>
      <c r="GS441" s="35"/>
      <c r="GT441" s="35"/>
      <c r="GU441" s="35"/>
      <c r="GV441" s="35"/>
      <c r="GW441" s="35"/>
      <c r="GX441" s="35"/>
      <c r="GY441" s="35"/>
      <c r="GZ441" s="35"/>
      <c r="HA441" s="35"/>
      <c r="HB441" s="35"/>
      <c r="HC441" s="35"/>
      <c r="HD441" s="35"/>
      <c r="HE441" s="35"/>
      <c r="HF441" s="35"/>
      <c r="HG441" s="35"/>
      <c r="HH441" s="35"/>
      <c r="HI441" s="35"/>
      <c r="HJ441" s="35"/>
      <c r="HK441" s="35"/>
      <c r="HL441" s="35"/>
      <c r="HM441" s="35"/>
      <c r="HN441" s="35"/>
      <c r="HO441" s="35"/>
      <c r="HP441" s="35"/>
      <c r="HQ441" s="35"/>
      <c r="HR441" s="35"/>
      <c r="HS441" s="35"/>
      <c r="HT441" s="35"/>
      <c r="HU441" s="35"/>
      <c r="HV441" s="35"/>
      <c r="HW441" s="35"/>
      <c r="HX441" s="35"/>
      <c r="HY441" s="35"/>
      <c r="HZ441" s="35"/>
      <c r="IA441" s="35"/>
      <c r="IB441" s="35"/>
      <c r="IC441" s="35"/>
      <c r="ID441" s="35"/>
      <c r="IE441" s="35"/>
      <c r="IF441" s="35"/>
      <c r="IG441" s="35"/>
      <c r="IH441" s="35"/>
      <c r="II441" s="35"/>
      <c r="IJ441" s="35"/>
      <c r="IK441" s="35"/>
      <c r="IL441" s="35"/>
      <c r="IM441" s="35"/>
      <c r="IN441" s="35"/>
      <c r="IO441" s="35"/>
      <c r="IP441" s="35"/>
      <c r="IQ441" s="35"/>
      <c r="IR441" s="35"/>
      <c r="IS441" s="35"/>
      <c r="IT441" s="35"/>
      <c r="IU441" s="35"/>
      <c r="IV441" s="35"/>
      <c r="IW441" s="35"/>
      <c r="IX441" s="35"/>
      <c r="IY441" s="35"/>
      <c r="IZ441" s="35"/>
      <c r="JA441" s="35"/>
      <c r="JB441" s="35"/>
      <c r="JC441" s="35"/>
      <c r="JD441" s="35"/>
      <c r="JE441" s="35"/>
    </row>
    <row r="442">
      <c r="A442" s="42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  <c r="BC442" s="35"/>
      <c r="BD442" s="35"/>
      <c r="BE442" s="35"/>
      <c r="BF442" s="35"/>
      <c r="BG442" s="35"/>
      <c r="BH442" s="35"/>
      <c r="BI442" s="35"/>
      <c r="BJ442" s="35"/>
      <c r="BK442" s="35"/>
      <c r="BL442" s="35"/>
      <c r="BM442" s="35"/>
      <c r="BN442" s="35"/>
      <c r="BO442" s="35"/>
      <c r="BP442" s="35"/>
      <c r="BQ442" s="35"/>
      <c r="BR442" s="35"/>
      <c r="BS442" s="35"/>
      <c r="BT442" s="35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35"/>
      <c r="CO442" s="35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35"/>
      <c r="DJ442" s="35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35"/>
      <c r="EE442" s="35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35"/>
      <c r="EZ442" s="35"/>
      <c r="FA442" s="35"/>
      <c r="FB442" s="35"/>
      <c r="FC442" s="35"/>
      <c r="FD442" s="35"/>
      <c r="FE442" s="35"/>
      <c r="FF442" s="35"/>
      <c r="FG442" s="35"/>
      <c r="FH442" s="35"/>
      <c r="FI442" s="35"/>
      <c r="FJ442" s="35"/>
      <c r="FK442" s="35"/>
      <c r="FL442" s="35"/>
      <c r="FM442" s="35"/>
      <c r="FN442" s="35"/>
      <c r="FO442" s="35"/>
      <c r="FP442" s="35"/>
      <c r="FQ442" s="35"/>
      <c r="FR442" s="35"/>
      <c r="FS442" s="35"/>
      <c r="FT442" s="35"/>
      <c r="FU442" s="35"/>
      <c r="FV442" s="35"/>
      <c r="FW442" s="35"/>
      <c r="FX442" s="35"/>
      <c r="FY442" s="35"/>
      <c r="FZ442" s="35"/>
      <c r="GA442" s="35"/>
      <c r="GB442" s="35"/>
      <c r="GC442" s="35"/>
      <c r="GD442" s="35"/>
      <c r="GE442" s="35"/>
      <c r="GF442" s="35"/>
      <c r="GG442" s="35"/>
      <c r="GH442" s="35"/>
      <c r="GI442" s="35"/>
      <c r="GJ442" s="35"/>
      <c r="GK442" s="35"/>
      <c r="GL442" s="35"/>
      <c r="GM442" s="35"/>
      <c r="GN442" s="35"/>
      <c r="GO442" s="35"/>
      <c r="GP442" s="35"/>
      <c r="GQ442" s="35"/>
      <c r="GR442" s="35"/>
      <c r="GS442" s="35"/>
      <c r="GT442" s="35"/>
      <c r="GU442" s="35"/>
      <c r="GV442" s="35"/>
      <c r="GW442" s="35"/>
      <c r="GX442" s="35"/>
      <c r="GY442" s="35"/>
      <c r="GZ442" s="35"/>
      <c r="HA442" s="35"/>
      <c r="HB442" s="35"/>
      <c r="HC442" s="35"/>
      <c r="HD442" s="35"/>
      <c r="HE442" s="35"/>
      <c r="HF442" s="35"/>
      <c r="HG442" s="35"/>
      <c r="HH442" s="35"/>
      <c r="HI442" s="35"/>
      <c r="HJ442" s="35"/>
      <c r="HK442" s="35"/>
      <c r="HL442" s="35"/>
      <c r="HM442" s="35"/>
      <c r="HN442" s="35"/>
      <c r="HO442" s="35"/>
      <c r="HP442" s="35"/>
      <c r="HQ442" s="35"/>
      <c r="HR442" s="35"/>
      <c r="HS442" s="35"/>
      <c r="HT442" s="35"/>
      <c r="HU442" s="35"/>
      <c r="HV442" s="35"/>
      <c r="HW442" s="35"/>
      <c r="HX442" s="35"/>
      <c r="HY442" s="35"/>
      <c r="HZ442" s="35"/>
      <c r="IA442" s="35"/>
      <c r="IB442" s="35"/>
      <c r="IC442" s="35"/>
      <c r="ID442" s="35"/>
      <c r="IE442" s="35"/>
      <c r="IF442" s="35"/>
      <c r="IG442" s="35"/>
      <c r="IH442" s="35"/>
      <c r="II442" s="35"/>
      <c r="IJ442" s="35"/>
      <c r="IK442" s="35"/>
      <c r="IL442" s="35"/>
      <c r="IM442" s="35"/>
      <c r="IN442" s="35"/>
      <c r="IO442" s="35"/>
      <c r="IP442" s="35"/>
      <c r="IQ442" s="35"/>
      <c r="IR442" s="35"/>
      <c r="IS442" s="35"/>
      <c r="IT442" s="35"/>
      <c r="IU442" s="35"/>
      <c r="IV442" s="35"/>
      <c r="IW442" s="35"/>
      <c r="IX442" s="35"/>
      <c r="IY442" s="35"/>
      <c r="IZ442" s="35"/>
      <c r="JA442" s="35"/>
      <c r="JB442" s="35"/>
      <c r="JC442" s="35"/>
      <c r="JD442" s="35"/>
      <c r="JE442" s="35"/>
    </row>
    <row r="443">
      <c r="A443" s="42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  <c r="BC443" s="35"/>
      <c r="BD443" s="35"/>
      <c r="BE443" s="35"/>
      <c r="BF443" s="35"/>
      <c r="BG443" s="35"/>
      <c r="BH443" s="35"/>
      <c r="BI443" s="35"/>
      <c r="BJ443" s="35"/>
      <c r="BK443" s="35"/>
      <c r="BL443" s="35"/>
      <c r="BM443" s="35"/>
      <c r="BN443" s="35"/>
      <c r="BO443" s="35"/>
      <c r="BP443" s="35"/>
      <c r="BQ443" s="35"/>
      <c r="BR443" s="35"/>
      <c r="BS443" s="35"/>
      <c r="BT443" s="35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35"/>
      <c r="CO443" s="35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35"/>
      <c r="DJ443" s="35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35"/>
      <c r="EE443" s="35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35"/>
      <c r="EZ443" s="35"/>
      <c r="FA443" s="35"/>
      <c r="FB443" s="35"/>
      <c r="FC443" s="35"/>
      <c r="FD443" s="35"/>
      <c r="FE443" s="35"/>
      <c r="FF443" s="35"/>
      <c r="FG443" s="35"/>
      <c r="FH443" s="35"/>
      <c r="FI443" s="35"/>
      <c r="FJ443" s="35"/>
      <c r="FK443" s="35"/>
      <c r="FL443" s="35"/>
      <c r="FM443" s="35"/>
      <c r="FN443" s="35"/>
      <c r="FO443" s="35"/>
      <c r="FP443" s="35"/>
      <c r="FQ443" s="35"/>
      <c r="FR443" s="35"/>
      <c r="FS443" s="35"/>
      <c r="FT443" s="35"/>
      <c r="FU443" s="35"/>
      <c r="FV443" s="35"/>
      <c r="FW443" s="35"/>
      <c r="FX443" s="35"/>
      <c r="FY443" s="35"/>
      <c r="FZ443" s="35"/>
      <c r="GA443" s="35"/>
      <c r="GB443" s="35"/>
      <c r="GC443" s="35"/>
      <c r="GD443" s="35"/>
      <c r="GE443" s="35"/>
      <c r="GF443" s="35"/>
      <c r="GG443" s="35"/>
      <c r="GH443" s="35"/>
      <c r="GI443" s="35"/>
      <c r="GJ443" s="35"/>
      <c r="GK443" s="35"/>
      <c r="GL443" s="35"/>
      <c r="GM443" s="35"/>
      <c r="GN443" s="35"/>
      <c r="GO443" s="35"/>
      <c r="GP443" s="35"/>
      <c r="GQ443" s="35"/>
      <c r="GR443" s="35"/>
      <c r="GS443" s="35"/>
      <c r="GT443" s="35"/>
      <c r="GU443" s="35"/>
      <c r="GV443" s="35"/>
      <c r="GW443" s="35"/>
      <c r="GX443" s="35"/>
      <c r="GY443" s="35"/>
      <c r="GZ443" s="35"/>
      <c r="HA443" s="35"/>
      <c r="HB443" s="35"/>
      <c r="HC443" s="35"/>
      <c r="HD443" s="35"/>
      <c r="HE443" s="35"/>
      <c r="HF443" s="35"/>
      <c r="HG443" s="35"/>
      <c r="HH443" s="35"/>
      <c r="HI443" s="35"/>
      <c r="HJ443" s="35"/>
      <c r="HK443" s="35"/>
      <c r="HL443" s="35"/>
      <c r="HM443" s="35"/>
      <c r="HN443" s="35"/>
      <c r="HO443" s="35"/>
      <c r="HP443" s="35"/>
      <c r="HQ443" s="35"/>
      <c r="HR443" s="35"/>
      <c r="HS443" s="35"/>
      <c r="HT443" s="35"/>
      <c r="HU443" s="35"/>
      <c r="HV443" s="35"/>
      <c r="HW443" s="35"/>
      <c r="HX443" s="35"/>
      <c r="HY443" s="35"/>
      <c r="HZ443" s="35"/>
      <c r="IA443" s="35"/>
      <c r="IB443" s="35"/>
      <c r="IC443" s="35"/>
      <c r="ID443" s="35"/>
      <c r="IE443" s="35"/>
      <c r="IF443" s="35"/>
      <c r="IG443" s="35"/>
      <c r="IH443" s="35"/>
      <c r="II443" s="35"/>
      <c r="IJ443" s="35"/>
      <c r="IK443" s="35"/>
      <c r="IL443" s="35"/>
      <c r="IM443" s="35"/>
      <c r="IN443" s="35"/>
      <c r="IO443" s="35"/>
      <c r="IP443" s="35"/>
      <c r="IQ443" s="35"/>
      <c r="IR443" s="35"/>
      <c r="IS443" s="35"/>
      <c r="IT443" s="35"/>
      <c r="IU443" s="35"/>
      <c r="IV443" s="35"/>
      <c r="IW443" s="35"/>
      <c r="IX443" s="35"/>
      <c r="IY443" s="35"/>
      <c r="IZ443" s="35"/>
      <c r="JA443" s="35"/>
      <c r="JB443" s="35"/>
      <c r="JC443" s="35"/>
      <c r="JD443" s="35"/>
      <c r="JE443" s="35"/>
    </row>
    <row r="444">
      <c r="A444" s="42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  <c r="BR444" s="35"/>
      <c r="BS444" s="35"/>
      <c r="BT444" s="35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35"/>
      <c r="CO444" s="35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35"/>
      <c r="DJ444" s="35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35"/>
      <c r="EE444" s="35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35"/>
      <c r="EZ444" s="35"/>
      <c r="FA444" s="35"/>
      <c r="FB444" s="35"/>
      <c r="FC444" s="35"/>
      <c r="FD444" s="35"/>
      <c r="FE444" s="35"/>
      <c r="FF444" s="35"/>
      <c r="FG444" s="35"/>
      <c r="FH444" s="35"/>
      <c r="FI444" s="35"/>
      <c r="FJ444" s="35"/>
      <c r="FK444" s="35"/>
      <c r="FL444" s="35"/>
      <c r="FM444" s="35"/>
      <c r="FN444" s="35"/>
      <c r="FO444" s="35"/>
      <c r="FP444" s="35"/>
      <c r="FQ444" s="35"/>
      <c r="FR444" s="35"/>
      <c r="FS444" s="35"/>
      <c r="FT444" s="35"/>
      <c r="FU444" s="35"/>
      <c r="FV444" s="35"/>
      <c r="FW444" s="35"/>
      <c r="FX444" s="35"/>
      <c r="FY444" s="35"/>
      <c r="FZ444" s="35"/>
      <c r="GA444" s="35"/>
      <c r="GB444" s="35"/>
      <c r="GC444" s="35"/>
      <c r="GD444" s="35"/>
      <c r="GE444" s="35"/>
      <c r="GF444" s="35"/>
      <c r="GG444" s="35"/>
      <c r="GH444" s="35"/>
      <c r="GI444" s="35"/>
      <c r="GJ444" s="35"/>
      <c r="GK444" s="35"/>
      <c r="GL444" s="35"/>
      <c r="GM444" s="35"/>
      <c r="GN444" s="35"/>
      <c r="GO444" s="35"/>
      <c r="GP444" s="35"/>
      <c r="GQ444" s="35"/>
      <c r="GR444" s="35"/>
      <c r="GS444" s="35"/>
      <c r="GT444" s="35"/>
      <c r="GU444" s="35"/>
      <c r="GV444" s="35"/>
      <c r="GW444" s="35"/>
      <c r="GX444" s="35"/>
      <c r="GY444" s="35"/>
      <c r="GZ444" s="35"/>
      <c r="HA444" s="35"/>
      <c r="HB444" s="35"/>
      <c r="HC444" s="35"/>
      <c r="HD444" s="35"/>
      <c r="HE444" s="35"/>
      <c r="HF444" s="35"/>
      <c r="HG444" s="35"/>
      <c r="HH444" s="35"/>
      <c r="HI444" s="35"/>
      <c r="HJ444" s="35"/>
      <c r="HK444" s="35"/>
      <c r="HL444" s="35"/>
      <c r="HM444" s="35"/>
      <c r="HN444" s="35"/>
      <c r="HO444" s="35"/>
      <c r="HP444" s="35"/>
      <c r="HQ444" s="35"/>
      <c r="HR444" s="35"/>
      <c r="HS444" s="35"/>
      <c r="HT444" s="35"/>
      <c r="HU444" s="35"/>
      <c r="HV444" s="35"/>
      <c r="HW444" s="35"/>
      <c r="HX444" s="35"/>
      <c r="HY444" s="35"/>
      <c r="HZ444" s="35"/>
      <c r="IA444" s="35"/>
      <c r="IB444" s="35"/>
      <c r="IC444" s="35"/>
      <c r="ID444" s="35"/>
      <c r="IE444" s="35"/>
      <c r="IF444" s="35"/>
      <c r="IG444" s="35"/>
      <c r="IH444" s="35"/>
      <c r="II444" s="35"/>
      <c r="IJ444" s="35"/>
      <c r="IK444" s="35"/>
      <c r="IL444" s="35"/>
      <c r="IM444" s="35"/>
      <c r="IN444" s="35"/>
      <c r="IO444" s="35"/>
      <c r="IP444" s="35"/>
      <c r="IQ444" s="35"/>
      <c r="IR444" s="35"/>
      <c r="IS444" s="35"/>
      <c r="IT444" s="35"/>
      <c r="IU444" s="35"/>
      <c r="IV444" s="35"/>
      <c r="IW444" s="35"/>
      <c r="IX444" s="35"/>
      <c r="IY444" s="35"/>
      <c r="IZ444" s="35"/>
      <c r="JA444" s="35"/>
      <c r="JB444" s="35"/>
      <c r="JC444" s="35"/>
      <c r="JD444" s="35"/>
      <c r="JE444" s="35"/>
    </row>
    <row r="445">
      <c r="A445" s="42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5"/>
      <c r="BR445" s="35"/>
      <c r="BS445" s="35"/>
      <c r="BT445" s="35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35"/>
      <c r="CO445" s="35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35"/>
      <c r="DJ445" s="35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35"/>
      <c r="EE445" s="35"/>
      <c r="EF445" s="35"/>
      <c r="EG445" s="35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35"/>
      <c r="EZ445" s="35"/>
      <c r="FA445" s="35"/>
      <c r="FB445" s="35"/>
      <c r="FC445" s="35"/>
      <c r="FD445" s="35"/>
      <c r="FE445" s="35"/>
      <c r="FF445" s="35"/>
      <c r="FG445" s="35"/>
      <c r="FH445" s="35"/>
      <c r="FI445" s="35"/>
      <c r="FJ445" s="35"/>
      <c r="FK445" s="35"/>
      <c r="FL445" s="35"/>
      <c r="FM445" s="35"/>
      <c r="FN445" s="35"/>
      <c r="FO445" s="35"/>
      <c r="FP445" s="35"/>
      <c r="FQ445" s="35"/>
      <c r="FR445" s="35"/>
      <c r="FS445" s="35"/>
      <c r="FT445" s="35"/>
      <c r="FU445" s="35"/>
      <c r="FV445" s="35"/>
      <c r="FW445" s="35"/>
      <c r="FX445" s="35"/>
      <c r="FY445" s="35"/>
      <c r="FZ445" s="35"/>
      <c r="GA445" s="35"/>
      <c r="GB445" s="35"/>
      <c r="GC445" s="35"/>
      <c r="GD445" s="35"/>
      <c r="GE445" s="35"/>
      <c r="GF445" s="35"/>
      <c r="GG445" s="35"/>
      <c r="GH445" s="35"/>
      <c r="GI445" s="35"/>
      <c r="GJ445" s="35"/>
      <c r="GK445" s="35"/>
      <c r="GL445" s="35"/>
      <c r="GM445" s="35"/>
      <c r="GN445" s="35"/>
      <c r="GO445" s="35"/>
      <c r="GP445" s="35"/>
      <c r="GQ445" s="35"/>
      <c r="GR445" s="35"/>
      <c r="GS445" s="35"/>
      <c r="GT445" s="35"/>
      <c r="GU445" s="35"/>
      <c r="GV445" s="35"/>
      <c r="GW445" s="35"/>
      <c r="GX445" s="35"/>
      <c r="GY445" s="35"/>
      <c r="GZ445" s="35"/>
      <c r="HA445" s="35"/>
      <c r="HB445" s="35"/>
      <c r="HC445" s="35"/>
      <c r="HD445" s="35"/>
      <c r="HE445" s="35"/>
      <c r="HF445" s="35"/>
      <c r="HG445" s="35"/>
      <c r="HH445" s="35"/>
      <c r="HI445" s="35"/>
      <c r="HJ445" s="35"/>
      <c r="HK445" s="35"/>
      <c r="HL445" s="35"/>
      <c r="HM445" s="35"/>
      <c r="HN445" s="35"/>
      <c r="HO445" s="35"/>
      <c r="HP445" s="35"/>
      <c r="HQ445" s="35"/>
      <c r="HR445" s="35"/>
      <c r="HS445" s="35"/>
      <c r="HT445" s="35"/>
      <c r="HU445" s="35"/>
      <c r="HV445" s="35"/>
      <c r="HW445" s="35"/>
      <c r="HX445" s="35"/>
      <c r="HY445" s="35"/>
      <c r="HZ445" s="35"/>
      <c r="IA445" s="35"/>
      <c r="IB445" s="35"/>
      <c r="IC445" s="35"/>
      <c r="ID445" s="35"/>
      <c r="IE445" s="35"/>
      <c r="IF445" s="35"/>
      <c r="IG445" s="35"/>
      <c r="IH445" s="35"/>
      <c r="II445" s="35"/>
      <c r="IJ445" s="35"/>
      <c r="IK445" s="35"/>
      <c r="IL445" s="35"/>
      <c r="IM445" s="35"/>
      <c r="IN445" s="35"/>
      <c r="IO445" s="35"/>
      <c r="IP445" s="35"/>
      <c r="IQ445" s="35"/>
      <c r="IR445" s="35"/>
      <c r="IS445" s="35"/>
      <c r="IT445" s="35"/>
      <c r="IU445" s="35"/>
      <c r="IV445" s="35"/>
      <c r="IW445" s="35"/>
      <c r="IX445" s="35"/>
      <c r="IY445" s="35"/>
      <c r="IZ445" s="35"/>
      <c r="JA445" s="35"/>
      <c r="JB445" s="35"/>
      <c r="JC445" s="35"/>
      <c r="JD445" s="35"/>
      <c r="JE445" s="35"/>
    </row>
    <row r="446">
      <c r="A446" s="42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  <c r="BD446" s="35"/>
      <c r="BE446" s="35"/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  <c r="BR446" s="35"/>
      <c r="BS446" s="35"/>
      <c r="BT446" s="35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35"/>
      <c r="CO446" s="35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35"/>
      <c r="DJ446" s="35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35"/>
      <c r="EE446" s="35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35"/>
      <c r="EZ446" s="35"/>
      <c r="FA446" s="35"/>
      <c r="FB446" s="35"/>
      <c r="FC446" s="35"/>
      <c r="FD446" s="35"/>
      <c r="FE446" s="35"/>
      <c r="FF446" s="35"/>
      <c r="FG446" s="35"/>
      <c r="FH446" s="35"/>
      <c r="FI446" s="35"/>
      <c r="FJ446" s="35"/>
      <c r="FK446" s="35"/>
      <c r="FL446" s="35"/>
      <c r="FM446" s="35"/>
      <c r="FN446" s="35"/>
      <c r="FO446" s="35"/>
      <c r="FP446" s="35"/>
      <c r="FQ446" s="35"/>
      <c r="FR446" s="35"/>
      <c r="FS446" s="35"/>
      <c r="FT446" s="35"/>
      <c r="FU446" s="35"/>
      <c r="FV446" s="35"/>
      <c r="FW446" s="35"/>
      <c r="FX446" s="35"/>
      <c r="FY446" s="35"/>
      <c r="FZ446" s="35"/>
      <c r="GA446" s="35"/>
      <c r="GB446" s="35"/>
      <c r="GC446" s="35"/>
      <c r="GD446" s="35"/>
      <c r="GE446" s="35"/>
      <c r="GF446" s="35"/>
      <c r="GG446" s="35"/>
      <c r="GH446" s="35"/>
      <c r="GI446" s="35"/>
      <c r="GJ446" s="35"/>
      <c r="GK446" s="35"/>
      <c r="GL446" s="35"/>
      <c r="GM446" s="35"/>
      <c r="GN446" s="35"/>
      <c r="GO446" s="35"/>
      <c r="GP446" s="35"/>
      <c r="GQ446" s="35"/>
      <c r="GR446" s="35"/>
      <c r="GS446" s="35"/>
      <c r="GT446" s="35"/>
      <c r="GU446" s="35"/>
      <c r="GV446" s="35"/>
      <c r="GW446" s="35"/>
      <c r="GX446" s="35"/>
      <c r="GY446" s="35"/>
      <c r="GZ446" s="35"/>
      <c r="HA446" s="35"/>
      <c r="HB446" s="35"/>
      <c r="HC446" s="35"/>
      <c r="HD446" s="35"/>
      <c r="HE446" s="35"/>
      <c r="HF446" s="35"/>
      <c r="HG446" s="35"/>
      <c r="HH446" s="35"/>
      <c r="HI446" s="35"/>
      <c r="HJ446" s="35"/>
      <c r="HK446" s="35"/>
      <c r="HL446" s="35"/>
      <c r="HM446" s="35"/>
      <c r="HN446" s="35"/>
      <c r="HO446" s="35"/>
      <c r="HP446" s="35"/>
      <c r="HQ446" s="35"/>
      <c r="HR446" s="35"/>
      <c r="HS446" s="35"/>
      <c r="HT446" s="35"/>
      <c r="HU446" s="35"/>
      <c r="HV446" s="35"/>
      <c r="HW446" s="35"/>
      <c r="HX446" s="35"/>
      <c r="HY446" s="35"/>
      <c r="HZ446" s="35"/>
      <c r="IA446" s="35"/>
      <c r="IB446" s="35"/>
      <c r="IC446" s="35"/>
      <c r="ID446" s="35"/>
      <c r="IE446" s="35"/>
      <c r="IF446" s="35"/>
      <c r="IG446" s="35"/>
      <c r="IH446" s="35"/>
      <c r="II446" s="35"/>
      <c r="IJ446" s="35"/>
      <c r="IK446" s="35"/>
      <c r="IL446" s="35"/>
      <c r="IM446" s="35"/>
      <c r="IN446" s="35"/>
      <c r="IO446" s="35"/>
      <c r="IP446" s="35"/>
      <c r="IQ446" s="35"/>
      <c r="IR446" s="35"/>
      <c r="IS446" s="35"/>
      <c r="IT446" s="35"/>
      <c r="IU446" s="35"/>
      <c r="IV446" s="35"/>
      <c r="IW446" s="35"/>
      <c r="IX446" s="35"/>
      <c r="IY446" s="35"/>
      <c r="IZ446" s="35"/>
      <c r="JA446" s="35"/>
      <c r="JB446" s="35"/>
      <c r="JC446" s="35"/>
      <c r="JD446" s="35"/>
      <c r="JE446" s="35"/>
    </row>
    <row r="447">
      <c r="A447" s="42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  <c r="BC447" s="35"/>
      <c r="BD447" s="35"/>
      <c r="BE447" s="35"/>
      <c r="BF447" s="35"/>
      <c r="BG447" s="35"/>
      <c r="BH447" s="35"/>
      <c r="BI447" s="35"/>
      <c r="BJ447" s="35"/>
      <c r="BK447" s="35"/>
      <c r="BL447" s="35"/>
      <c r="BM447" s="35"/>
      <c r="BN447" s="35"/>
      <c r="BO447" s="35"/>
      <c r="BP447" s="35"/>
      <c r="BQ447" s="35"/>
      <c r="BR447" s="35"/>
      <c r="BS447" s="35"/>
      <c r="BT447" s="35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35"/>
      <c r="CO447" s="35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35"/>
      <c r="DJ447" s="35"/>
      <c r="DK447" s="35"/>
      <c r="DL447" s="35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35"/>
      <c r="EE447" s="35"/>
      <c r="EF447" s="35"/>
      <c r="EG447" s="35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35"/>
      <c r="EZ447" s="35"/>
      <c r="FA447" s="35"/>
      <c r="FB447" s="35"/>
      <c r="FC447" s="35"/>
      <c r="FD447" s="35"/>
      <c r="FE447" s="35"/>
      <c r="FF447" s="35"/>
      <c r="FG447" s="35"/>
      <c r="FH447" s="35"/>
      <c r="FI447" s="35"/>
      <c r="FJ447" s="35"/>
      <c r="FK447" s="35"/>
      <c r="FL447" s="35"/>
      <c r="FM447" s="35"/>
      <c r="FN447" s="35"/>
      <c r="FO447" s="35"/>
      <c r="FP447" s="35"/>
      <c r="FQ447" s="35"/>
      <c r="FR447" s="35"/>
      <c r="FS447" s="35"/>
      <c r="FT447" s="35"/>
      <c r="FU447" s="35"/>
      <c r="FV447" s="35"/>
      <c r="FW447" s="35"/>
      <c r="FX447" s="35"/>
      <c r="FY447" s="35"/>
      <c r="FZ447" s="35"/>
      <c r="GA447" s="35"/>
      <c r="GB447" s="35"/>
      <c r="GC447" s="35"/>
      <c r="GD447" s="35"/>
      <c r="GE447" s="35"/>
      <c r="GF447" s="35"/>
      <c r="GG447" s="35"/>
      <c r="GH447" s="35"/>
      <c r="GI447" s="35"/>
      <c r="GJ447" s="35"/>
      <c r="GK447" s="35"/>
      <c r="GL447" s="35"/>
      <c r="GM447" s="35"/>
      <c r="GN447" s="35"/>
      <c r="GO447" s="35"/>
      <c r="GP447" s="35"/>
      <c r="GQ447" s="35"/>
      <c r="GR447" s="35"/>
      <c r="GS447" s="35"/>
      <c r="GT447" s="35"/>
      <c r="GU447" s="35"/>
      <c r="GV447" s="35"/>
      <c r="GW447" s="35"/>
      <c r="GX447" s="35"/>
      <c r="GY447" s="35"/>
      <c r="GZ447" s="35"/>
      <c r="HA447" s="35"/>
      <c r="HB447" s="35"/>
      <c r="HC447" s="35"/>
      <c r="HD447" s="35"/>
      <c r="HE447" s="35"/>
      <c r="HF447" s="35"/>
      <c r="HG447" s="35"/>
      <c r="HH447" s="35"/>
      <c r="HI447" s="35"/>
      <c r="HJ447" s="35"/>
      <c r="HK447" s="35"/>
      <c r="HL447" s="35"/>
      <c r="HM447" s="35"/>
      <c r="HN447" s="35"/>
      <c r="HO447" s="35"/>
      <c r="HP447" s="35"/>
      <c r="HQ447" s="35"/>
      <c r="HR447" s="35"/>
      <c r="HS447" s="35"/>
      <c r="HT447" s="35"/>
      <c r="HU447" s="35"/>
      <c r="HV447" s="35"/>
      <c r="HW447" s="35"/>
      <c r="HX447" s="35"/>
      <c r="HY447" s="35"/>
      <c r="HZ447" s="35"/>
      <c r="IA447" s="35"/>
      <c r="IB447" s="35"/>
      <c r="IC447" s="35"/>
      <c r="ID447" s="35"/>
      <c r="IE447" s="35"/>
      <c r="IF447" s="35"/>
      <c r="IG447" s="35"/>
      <c r="IH447" s="35"/>
      <c r="II447" s="35"/>
      <c r="IJ447" s="35"/>
      <c r="IK447" s="35"/>
      <c r="IL447" s="35"/>
      <c r="IM447" s="35"/>
      <c r="IN447" s="35"/>
      <c r="IO447" s="35"/>
      <c r="IP447" s="35"/>
      <c r="IQ447" s="35"/>
      <c r="IR447" s="35"/>
      <c r="IS447" s="35"/>
      <c r="IT447" s="35"/>
      <c r="IU447" s="35"/>
      <c r="IV447" s="35"/>
      <c r="IW447" s="35"/>
      <c r="IX447" s="35"/>
      <c r="IY447" s="35"/>
      <c r="IZ447" s="35"/>
      <c r="JA447" s="35"/>
      <c r="JB447" s="35"/>
      <c r="JC447" s="35"/>
      <c r="JD447" s="35"/>
      <c r="JE447" s="35"/>
    </row>
    <row r="448">
      <c r="A448" s="42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  <c r="BC448" s="35"/>
      <c r="BD448" s="35"/>
      <c r="BE448" s="35"/>
      <c r="BF448" s="35"/>
      <c r="BG448" s="35"/>
      <c r="BH448" s="35"/>
      <c r="BI448" s="35"/>
      <c r="BJ448" s="35"/>
      <c r="BK448" s="35"/>
      <c r="BL448" s="35"/>
      <c r="BM448" s="35"/>
      <c r="BN448" s="35"/>
      <c r="BO448" s="35"/>
      <c r="BP448" s="35"/>
      <c r="BQ448" s="35"/>
      <c r="BR448" s="35"/>
      <c r="BS448" s="35"/>
      <c r="BT448" s="35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35"/>
      <c r="CO448" s="35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35"/>
      <c r="DJ448" s="35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35"/>
      <c r="EE448" s="35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35"/>
      <c r="EZ448" s="35"/>
      <c r="FA448" s="35"/>
      <c r="FB448" s="35"/>
      <c r="FC448" s="35"/>
      <c r="FD448" s="35"/>
      <c r="FE448" s="35"/>
      <c r="FF448" s="35"/>
      <c r="FG448" s="35"/>
      <c r="FH448" s="35"/>
      <c r="FI448" s="35"/>
      <c r="FJ448" s="35"/>
      <c r="FK448" s="35"/>
      <c r="FL448" s="35"/>
      <c r="FM448" s="35"/>
      <c r="FN448" s="35"/>
      <c r="FO448" s="35"/>
      <c r="FP448" s="35"/>
      <c r="FQ448" s="35"/>
      <c r="FR448" s="35"/>
      <c r="FS448" s="35"/>
      <c r="FT448" s="35"/>
      <c r="FU448" s="35"/>
      <c r="FV448" s="35"/>
      <c r="FW448" s="35"/>
      <c r="FX448" s="35"/>
      <c r="FY448" s="35"/>
      <c r="FZ448" s="35"/>
      <c r="GA448" s="35"/>
      <c r="GB448" s="35"/>
      <c r="GC448" s="35"/>
      <c r="GD448" s="35"/>
      <c r="GE448" s="35"/>
      <c r="GF448" s="35"/>
      <c r="GG448" s="35"/>
      <c r="GH448" s="35"/>
      <c r="GI448" s="35"/>
      <c r="GJ448" s="35"/>
      <c r="GK448" s="35"/>
      <c r="GL448" s="35"/>
      <c r="GM448" s="35"/>
      <c r="GN448" s="35"/>
      <c r="GO448" s="35"/>
      <c r="GP448" s="35"/>
      <c r="GQ448" s="35"/>
      <c r="GR448" s="35"/>
      <c r="GS448" s="35"/>
      <c r="GT448" s="35"/>
      <c r="GU448" s="35"/>
      <c r="GV448" s="35"/>
      <c r="GW448" s="35"/>
      <c r="GX448" s="35"/>
      <c r="GY448" s="35"/>
      <c r="GZ448" s="35"/>
      <c r="HA448" s="35"/>
      <c r="HB448" s="35"/>
      <c r="HC448" s="35"/>
      <c r="HD448" s="35"/>
      <c r="HE448" s="35"/>
      <c r="HF448" s="35"/>
      <c r="HG448" s="35"/>
      <c r="HH448" s="35"/>
      <c r="HI448" s="35"/>
      <c r="HJ448" s="35"/>
      <c r="HK448" s="35"/>
      <c r="HL448" s="35"/>
      <c r="HM448" s="35"/>
      <c r="HN448" s="35"/>
      <c r="HO448" s="35"/>
      <c r="HP448" s="35"/>
      <c r="HQ448" s="35"/>
      <c r="HR448" s="35"/>
      <c r="HS448" s="35"/>
      <c r="HT448" s="35"/>
      <c r="HU448" s="35"/>
      <c r="HV448" s="35"/>
      <c r="HW448" s="35"/>
      <c r="HX448" s="35"/>
      <c r="HY448" s="35"/>
      <c r="HZ448" s="35"/>
      <c r="IA448" s="35"/>
      <c r="IB448" s="35"/>
      <c r="IC448" s="35"/>
      <c r="ID448" s="35"/>
      <c r="IE448" s="35"/>
      <c r="IF448" s="35"/>
      <c r="IG448" s="35"/>
      <c r="IH448" s="35"/>
      <c r="II448" s="35"/>
      <c r="IJ448" s="35"/>
      <c r="IK448" s="35"/>
      <c r="IL448" s="35"/>
      <c r="IM448" s="35"/>
      <c r="IN448" s="35"/>
      <c r="IO448" s="35"/>
      <c r="IP448" s="35"/>
      <c r="IQ448" s="35"/>
      <c r="IR448" s="35"/>
      <c r="IS448" s="35"/>
      <c r="IT448" s="35"/>
      <c r="IU448" s="35"/>
      <c r="IV448" s="35"/>
      <c r="IW448" s="35"/>
      <c r="IX448" s="35"/>
      <c r="IY448" s="35"/>
      <c r="IZ448" s="35"/>
      <c r="JA448" s="35"/>
      <c r="JB448" s="35"/>
      <c r="JC448" s="35"/>
      <c r="JD448" s="35"/>
      <c r="JE448" s="35"/>
    </row>
    <row r="449">
      <c r="A449" s="42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  <c r="BD449" s="35"/>
      <c r="BE449" s="35"/>
      <c r="BF449" s="35"/>
      <c r="BG449" s="35"/>
      <c r="BH449" s="35"/>
      <c r="BI449" s="35"/>
      <c r="BJ449" s="35"/>
      <c r="BK449" s="35"/>
      <c r="BL449" s="35"/>
      <c r="BM449" s="35"/>
      <c r="BN449" s="35"/>
      <c r="BO449" s="35"/>
      <c r="BP449" s="35"/>
      <c r="BQ449" s="35"/>
      <c r="BR449" s="35"/>
      <c r="BS449" s="35"/>
      <c r="BT449" s="35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35"/>
      <c r="CO449" s="35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35"/>
      <c r="DJ449" s="35"/>
      <c r="DK449" s="35"/>
      <c r="DL449" s="35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35"/>
      <c r="EE449" s="35"/>
      <c r="EF449" s="35"/>
      <c r="EG449" s="35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35"/>
      <c r="EZ449" s="35"/>
      <c r="FA449" s="35"/>
      <c r="FB449" s="35"/>
      <c r="FC449" s="35"/>
      <c r="FD449" s="35"/>
      <c r="FE449" s="35"/>
      <c r="FF449" s="35"/>
      <c r="FG449" s="35"/>
      <c r="FH449" s="35"/>
      <c r="FI449" s="35"/>
      <c r="FJ449" s="35"/>
      <c r="FK449" s="35"/>
      <c r="FL449" s="35"/>
      <c r="FM449" s="35"/>
      <c r="FN449" s="35"/>
      <c r="FO449" s="35"/>
      <c r="FP449" s="35"/>
      <c r="FQ449" s="35"/>
      <c r="FR449" s="35"/>
      <c r="FS449" s="35"/>
      <c r="FT449" s="35"/>
      <c r="FU449" s="35"/>
      <c r="FV449" s="35"/>
      <c r="FW449" s="35"/>
      <c r="FX449" s="35"/>
      <c r="FY449" s="35"/>
      <c r="FZ449" s="35"/>
      <c r="GA449" s="35"/>
      <c r="GB449" s="35"/>
      <c r="GC449" s="35"/>
      <c r="GD449" s="35"/>
      <c r="GE449" s="35"/>
      <c r="GF449" s="35"/>
      <c r="GG449" s="35"/>
      <c r="GH449" s="35"/>
      <c r="GI449" s="35"/>
      <c r="GJ449" s="35"/>
      <c r="GK449" s="35"/>
      <c r="GL449" s="35"/>
      <c r="GM449" s="35"/>
      <c r="GN449" s="35"/>
      <c r="GO449" s="35"/>
      <c r="GP449" s="35"/>
      <c r="GQ449" s="35"/>
      <c r="GR449" s="35"/>
      <c r="GS449" s="35"/>
      <c r="GT449" s="35"/>
      <c r="GU449" s="35"/>
      <c r="GV449" s="35"/>
      <c r="GW449" s="35"/>
      <c r="GX449" s="35"/>
      <c r="GY449" s="35"/>
      <c r="GZ449" s="35"/>
      <c r="HA449" s="35"/>
      <c r="HB449" s="35"/>
      <c r="HC449" s="35"/>
      <c r="HD449" s="35"/>
      <c r="HE449" s="35"/>
      <c r="HF449" s="35"/>
      <c r="HG449" s="35"/>
      <c r="HH449" s="35"/>
      <c r="HI449" s="35"/>
      <c r="HJ449" s="35"/>
      <c r="HK449" s="35"/>
      <c r="HL449" s="35"/>
      <c r="HM449" s="35"/>
      <c r="HN449" s="35"/>
      <c r="HO449" s="35"/>
      <c r="HP449" s="35"/>
      <c r="HQ449" s="35"/>
      <c r="HR449" s="35"/>
      <c r="HS449" s="35"/>
      <c r="HT449" s="35"/>
      <c r="HU449" s="35"/>
      <c r="HV449" s="35"/>
      <c r="HW449" s="35"/>
      <c r="HX449" s="35"/>
      <c r="HY449" s="35"/>
      <c r="HZ449" s="35"/>
      <c r="IA449" s="35"/>
      <c r="IB449" s="35"/>
      <c r="IC449" s="35"/>
      <c r="ID449" s="35"/>
      <c r="IE449" s="35"/>
      <c r="IF449" s="35"/>
      <c r="IG449" s="35"/>
      <c r="IH449" s="35"/>
      <c r="II449" s="35"/>
      <c r="IJ449" s="35"/>
      <c r="IK449" s="35"/>
      <c r="IL449" s="35"/>
      <c r="IM449" s="35"/>
      <c r="IN449" s="35"/>
      <c r="IO449" s="35"/>
      <c r="IP449" s="35"/>
      <c r="IQ449" s="35"/>
      <c r="IR449" s="35"/>
      <c r="IS449" s="35"/>
      <c r="IT449" s="35"/>
      <c r="IU449" s="35"/>
      <c r="IV449" s="35"/>
      <c r="IW449" s="35"/>
      <c r="IX449" s="35"/>
      <c r="IY449" s="35"/>
      <c r="IZ449" s="35"/>
      <c r="JA449" s="35"/>
      <c r="JB449" s="35"/>
      <c r="JC449" s="35"/>
      <c r="JD449" s="35"/>
      <c r="JE449" s="35"/>
    </row>
    <row r="450">
      <c r="A450" s="42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  <c r="BR450" s="35"/>
      <c r="BS450" s="35"/>
      <c r="BT450" s="35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35"/>
      <c r="CO450" s="35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35"/>
      <c r="DJ450" s="35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35"/>
      <c r="EE450" s="35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35"/>
      <c r="EZ450" s="35"/>
      <c r="FA450" s="35"/>
      <c r="FB450" s="35"/>
      <c r="FC450" s="35"/>
      <c r="FD450" s="35"/>
      <c r="FE450" s="35"/>
      <c r="FF450" s="35"/>
      <c r="FG450" s="35"/>
      <c r="FH450" s="35"/>
      <c r="FI450" s="35"/>
      <c r="FJ450" s="35"/>
      <c r="FK450" s="35"/>
      <c r="FL450" s="35"/>
      <c r="FM450" s="35"/>
      <c r="FN450" s="35"/>
      <c r="FO450" s="35"/>
      <c r="FP450" s="35"/>
      <c r="FQ450" s="35"/>
      <c r="FR450" s="35"/>
      <c r="FS450" s="35"/>
      <c r="FT450" s="35"/>
      <c r="FU450" s="35"/>
      <c r="FV450" s="35"/>
      <c r="FW450" s="35"/>
      <c r="FX450" s="35"/>
      <c r="FY450" s="35"/>
      <c r="FZ450" s="35"/>
      <c r="GA450" s="35"/>
      <c r="GB450" s="35"/>
      <c r="GC450" s="35"/>
      <c r="GD450" s="35"/>
      <c r="GE450" s="35"/>
      <c r="GF450" s="35"/>
      <c r="GG450" s="35"/>
      <c r="GH450" s="35"/>
      <c r="GI450" s="35"/>
      <c r="GJ450" s="35"/>
      <c r="GK450" s="35"/>
      <c r="GL450" s="35"/>
      <c r="GM450" s="35"/>
      <c r="GN450" s="35"/>
      <c r="GO450" s="35"/>
      <c r="GP450" s="35"/>
      <c r="GQ450" s="35"/>
      <c r="GR450" s="35"/>
      <c r="GS450" s="35"/>
      <c r="GT450" s="35"/>
      <c r="GU450" s="35"/>
      <c r="GV450" s="35"/>
      <c r="GW450" s="35"/>
      <c r="GX450" s="35"/>
      <c r="GY450" s="35"/>
      <c r="GZ450" s="35"/>
      <c r="HA450" s="35"/>
      <c r="HB450" s="35"/>
      <c r="HC450" s="35"/>
      <c r="HD450" s="35"/>
      <c r="HE450" s="35"/>
      <c r="HF450" s="35"/>
      <c r="HG450" s="35"/>
      <c r="HH450" s="35"/>
      <c r="HI450" s="35"/>
      <c r="HJ450" s="35"/>
      <c r="HK450" s="35"/>
      <c r="HL450" s="35"/>
      <c r="HM450" s="35"/>
      <c r="HN450" s="35"/>
      <c r="HO450" s="35"/>
      <c r="HP450" s="35"/>
      <c r="HQ450" s="35"/>
      <c r="HR450" s="35"/>
      <c r="HS450" s="35"/>
      <c r="HT450" s="35"/>
      <c r="HU450" s="35"/>
      <c r="HV450" s="35"/>
      <c r="HW450" s="35"/>
      <c r="HX450" s="35"/>
      <c r="HY450" s="35"/>
      <c r="HZ450" s="35"/>
      <c r="IA450" s="35"/>
      <c r="IB450" s="35"/>
      <c r="IC450" s="35"/>
      <c r="ID450" s="35"/>
      <c r="IE450" s="35"/>
      <c r="IF450" s="35"/>
      <c r="IG450" s="35"/>
      <c r="IH450" s="35"/>
      <c r="II450" s="35"/>
      <c r="IJ450" s="35"/>
      <c r="IK450" s="35"/>
      <c r="IL450" s="35"/>
      <c r="IM450" s="35"/>
      <c r="IN450" s="35"/>
      <c r="IO450" s="35"/>
      <c r="IP450" s="35"/>
      <c r="IQ450" s="35"/>
      <c r="IR450" s="35"/>
      <c r="IS450" s="35"/>
      <c r="IT450" s="35"/>
      <c r="IU450" s="35"/>
      <c r="IV450" s="35"/>
      <c r="IW450" s="35"/>
      <c r="IX450" s="35"/>
      <c r="IY450" s="35"/>
      <c r="IZ450" s="35"/>
      <c r="JA450" s="35"/>
      <c r="JB450" s="35"/>
      <c r="JC450" s="35"/>
      <c r="JD450" s="35"/>
      <c r="JE450" s="35"/>
    </row>
    <row r="451">
      <c r="A451" s="42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5"/>
      <c r="BN451" s="35"/>
      <c r="BO451" s="35"/>
      <c r="BP451" s="35"/>
      <c r="BQ451" s="35"/>
      <c r="BR451" s="35"/>
      <c r="BS451" s="35"/>
      <c r="BT451" s="35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35"/>
      <c r="CO451" s="35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35"/>
      <c r="DJ451" s="35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35"/>
      <c r="EE451" s="35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35"/>
      <c r="EZ451" s="35"/>
      <c r="FA451" s="35"/>
      <c r="FB451" s="35"/>
      <c r="FC451" s="35"/>
      <c r="FD451" s="35"/>
      <c r="FE451" s="35"/>
      <c r="FF451" s="35"/>
      <c r="FG451" s="35"/>
      <c r="FH451" s="35"/>
      <c r="FI451" s="35"/>
      <c r="FJ451" s="35"/>
      <c r="FK451" s="35"/>
      <c r="FL451" s="35"/>
      <c r="FM451" s="35"/>
      <c r="FN451" s="35"/>
      <c r="FO451" s="35"/>
      <c r="FP451" s="35"/>
      <c r="FQ451" s="35"/>
      <c r="FR451" s="35"/>
      <c r="FS451" s="35"/>
      <c r="FT451" s="35"/>
      <c r="FU451" s="35"/>
      <c r="FV451" s="35"/>
      <c r="FW451" s="35"/>
      <c r="FX451" s="35"/>
      <c r="FY451" s="35"/>
      <c r="FZ451" s="35"/>
      <c r="GA451" s="35"/>
      <c r="GB451" s="35"/>
      <c r="GC451" s="35"/>
      <c r="GD451" s="35"/>
      <c r="GE451" s="35"/>
      <c r="GF451" s="35"/>
      <c r="GG451" s="35"/>
      <c r="GH451" s="35"/>
      <c r="GI451" s="35"/>
      <c r="GJ451" s="35"/>
      <c r="GK451" s="35"/>
      <c r="GL451" s="35"/>
      <c r="GM451" s="35"/>
      <c r="GN451" s="35"/>
      <c r="GO451" s="35"/>
      <c r="GP451" s="35"/>
      <c r="GQ451" s="35"/>
      <c r="GR451" s="35"/>
      <c r="GS451" s="35"/>
      <c r="GT451" s="35"/>
      <c r="GU451" s="35"/>
      <c r="GV451" s="35"/>
      <c r="GW451" s="35"/>
      <c r="GX451" s="35"/>
      <c r="GY451" s="35"/>
      <c r="GZ451" s="35"/>
      <c r="HA451" s="35"/>
      <c r="HB451" s="35"/>
      <c r="HC451" s="35"/>
      <c r="HD451" s="35"/>
      <c r="HE451" s="35"/>
      <c r="HF451" s="35"/>
      <c r="HG451" s="35"/>
      <c r="HH451" s="35"/>
      <c r="HI451" s="35"/>
      <c r="HJ451" s="35"/>
      <c r="HK451" s="35"/>
      <c r="HL451" s="35"/>
      <c r="HM451" s="35"/>
      <c r="HN451" s="35"/>
      <c r="HO451" s="35"/>
      <c r="HP451" s="35"/>
      <c r="HQ451" s="35"/>
      <c r="HR451" s="35"/>
      <c r="HS451" s="35"/>
      <c r="HT451" s="35"/>
      <c r="HU451" s="35"/>
      <c r="HV451" s="35"/>
      <c r="HW451" s="35"/>
      <c r="HX451" s="35"/>
      <c r="HY451" s="35"/>
      <c r="HZ451" s="35"/>
      <c r="IA451" s="35"/>
      <c r="IB451" s="35"/>
      <c r="IC451" s="35"/>
      <c r="ID451" s="35"/>
      <c r="IE451" s="35"/>
      <c r="IF451" s="35"/>
      <c r="IG451" s="35"/>
      <c r="IH451" s="35"/>
      <c r="II451" s="35"/>
      <c r="IJ451" s="35"/>
      <c r="IK451" s="35"/>
      <c r="IL451" s="35"/>
      <c r="IM451" s="35"/>
      <c r="IN451" s="35"/>
      <c r="IO451" s="35"/>
      <c r="IP451" s="35"/>
      <c r="IQ451" s="35"/>
      <c r="IR451" s="35"/>
      <c r="IS451" s="35"/>
      <c r="IT451" s="35"/>
      <c r="IU451" s="35"/>
      <c r="IV451" s="35"/>
      <c r="IW451" s="35"/>
      <c r="IX451" s="35"/>
      <c r="IY451" s="35"/>
      <c r="IZ451" s="35"/>
      <c r="JA451" s="35"/>
      <c r="JB451" s="35"/>
      <c r="JC451" s="35"/>
      <c r="JD451" s="35"/>
      <c r="JE451" s="35"/>
    </row>
    <row r="452">
      <c r="A452" s="42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5"/>
      <c r="BN452" s="35"/>
      <c r="BO452" s="35"/>
      <c r="BP452" s="35"/>
      <c r="BQ452" s="35"/>
      <c r="BR452" s="35"/>
      <c r="BS452" s="35"/>
      <c r="BT452" s="35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35"/>
      <c r="CO452" s="35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35"/>
      <c r="DJ452" s="35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35"/>
      <c r="EE452" s="35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35"/>
      <c r="EZ452" s="35"/>
      <c r="FA452" s="35"/>
      <c r="FB452" s="35"/>
      <c r="FC452" s="35"/>
      <c r="FD452" s="35"/>
      <c r="FE452" s="35"/>
      <c r="FF452" s="35"/>
      <c r="FG452" s="35"/>
      <c r="FH452" s="35"/>
      <c r="FI452" s="35"/>
      <c r="FJ452" s="35"/>
      <c r="FK452" s="35"/>
      <c r="FL452" s="35"/>
      <c r="FM452" s="35"/>
      <c r="FN452" s="35"/>
      <c r="FO452" s="35"/>
      <c r="FP452" s="35"/>
      <c r="FQ452" s="35"/>
      <c r="FR452" s="35"/>
      <c r="FS452" s="35"/>
      <c r="FT452" s="35"/>
      <c r="FU452" s="35"/>
      <c r="FV452" s="35"/>
      <c r="FW452" s="35"/>
      <c r="FX452" s="35"/>
      <c r="FY452" s="35"/>
      <c r="FZ452" s="35"/>
      <c r="GA452" s="35"/>
      <c r="GB452" s="35"/>
      <c r="GC452" s="35"/>
      <c r="GD452" s="35"/>
      <c r="GE452" s="35"/>
      <c r="GF452" s="35"/>
      <c r="GG452" s="35"/>
      <c r="GH452" s="35"/>
      <c r="GI452" s="35"/>
      <c r="GJ452" s="35"/>
      <c r="GK452" s="35"/>
      <c r="GL452" s="35"/>
      <c r="GM452" s="35"/>
      <c r="GN452" s="35"/>
      <c r="GO452" s="35"/>
      <c r="GP452" s="35"/>
      <c r="GQ452" s="35"/>
      <c r="GR452" s="35"/>
      <c r="GS452" s="35"/>
      <c r="GT452" s="35"/>
      <c r="GU452" s="35"/>
      <c r="GV452" s="35"/>
      <c r="GW452" s="35"/>
      <c r="GX452" s="35"/>
      <c r="GY452" s="35"/>
      <c r="GZ452" s="35"/>
      <c r="HA452" s="35"/>
      <c r="HB452" s="35"/>
      <c r="HC452" s="35"/>
      <c r="HD452" s="35"/>
      <c r="HE452" s="35"/>
      <c r="HF452" s="35"/>
      <c r="HG452" s="35"/>
      <c r="HH452" s="35"/>
      <c r="HI452" s="35"/>
      <c r="HJ452" s="35"/>
      <c r="HK452" s="35"/>
      <c r="HL452" s="35"/>
      <c r="HM452" s="35"/>
      <c r="HN452" s="35"/>
      <c r="HO452" s="35"/>
      <c r="HP452" s="35"/>
      <c r="HQ452" s="35"/>
      <c r="HR452" s="35"/>
      <c r="HS452" s="35"/>
      <c r="HT452" s="35"/>
      <c r="HU452" s="35"/>
      <c r="HV452" s="35"/>
      <c r="HW452" s="35"/>
      <c r="HX452" s="35"/>
      <c r="HY452" s="35"/>
      <c r="HZ452" s="35"/>
      <c r="IA452" s="35"/>
      <c r="IB452" s="35"/>
      <c r="IC452" s="35"/>
      <c r="ID452" s="35"/>
      <c r="IE452" s="35"/>
      <c r="IF452" s="35"/>
      <c r="IG452" s="35"/>
      <c r="IH452" s="35"/>
      <c r="II452" s="35"/>
      <c r="IJ452" s="35"/>
      <c r="IK452" s="35"/>
      <c r="IL452" s="35"/>
      <c r="IM452" s="35"/>
      <c r="IN452" s="35"/>
      <c r="IO452" s="35"/>
      <c r="IP452" s="35"/>
      <c r="IQ452" s="35"/>
      <c r="IR452" s="35"/>
      <c r="IS452" s="35"/>
      <c r="IT452" s="35"/>
      <c r="IU452" s="35"/>
      <c r="IV452" s="35"/>
      <c r="IW452" s="35"/>
      <c r="IX452" s="35"/>
      <c r="IY452" s="35"/>
      <c r="IZ452" s="35"/>
      <c r="JA452" s="35"/>
      <c r="JB452" s="35"/>
      <c r="JC452" s="35"/>
      <c r="JD452" s="35"/>
      <c r="JE452" s="35"/>
    </row>
    <row r="453">
      <c r="A453" s="42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35"/>
      <c r="BG453" s="35"/>
      <c r="BH453" s="35"/>
      <c r="BI453" s="35"/>
      <c r="BJ453" s="35"/>
      <c r="BK453" s="35"/>
      <c r="BL453" s="35"/>
      <c r="BM453" s="35"/>
      <c r="BN453" s="35"/>
      <c r="BO453" s="35"/>
      <c r="BP453" s="35"/>
      <c r="BQ453" s="35"/>
      <c r="BR453" s="35"/>
      <c r="BS453" s="35"/>
      <c r="BT453" s="35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35"/>
      <c r="CO453" s="35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35"/>
      <c r="DJ453" s="35"/>
      <c r="DK453" s="35"/>
      <c r="DL453" s="35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35"/>
      <c r="EE453" s="35"/>
      <c r="EF453" s="35"/>
      <c r="EG453" s="35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35"/>
      <c r="EZ453" s="35"/>
      <c r="FA453" s="35"/>
      <c r="FB453" s="35"/>
      <c r="FC453" s="35"/>
      <c r="FD453" s="35"/>
      <c r="FE453" s="35"/>
      <c r="FF453" s="35"/>
      <c r="FG453" s="35"/>
      <c r="FH453" s="35"/>
      <c r="FI453" s="35"/>
      <c r="FJ453" s="35"/>
      <c r="FK453" s="35"/>
      <c r="FL453" s="35"/>
      <c r="FM453" s="35"/>
      <c r="FN453" s="35"/>
      <c r="FO453" s="35"/>
      <c r="FP453" s="35"/>
      <c r="FQ453" s="35"/>
      <c r="FR453" s="35"/>
      <c r="FS453" s="35"/>
      <c r="FT453" s="35"/>
      <c r="FU453" s="35"/>
      <c r="FV453" s="35"/>
      <c r="FW453" s="35"/>
      <c r="FX453" s="35"/>
      <c r="FY453" s="35"/>
      <c r="FZ453" s="35"/>
      <c r="GA453" s="35"/>
      <c r="GB453" s="35"/>
      <c r="GC453" s="35"/>
      <c r="GD453" s="35"/>
      <c r="GE453" s="35"/>
      <c r="GF453" s="35"/>
      <c r="GG453" s="35"/>
      <c r="GH453" s="35"/>
      <c r="GI453" s="35"/>
      <c r="GJ453" s="35"/>
      <c r="GK453" s="35"/>
      <c r="GL453" s="35"/>
      <c r="GM453" s="35"/>
      <c r="GN453" s="35"/>
      <c r="GO453" s="35"/>
      <c r="GP453" s="35"/>
      <c r="GQ453" s="35"/>
      <c r="GR453" s="35"/>
      <c r="GS453" s="35"/>
      <c r="GT453" s="35"/>
      <c r="GU453" s="35"/>
      <c r="GV453" s="35"/>
      <c r="GW453" s="35"/>
      <c r="GX453" s="35"/>
      <c r="GY453" s="35"/>
      <c r="GZ453" s="35"/>
      <c r="HA453" s="35"/>
      <c r="HB453" s="35"/>
      <c r="HC453" s="35"/>
      <c r="HD453" s="35"/>
      <c r="HE453" s="35"/>
      <c r="HF453" s="35"/>
      <c r="HG453" s="35"/>
      <c r="HH453" s="35"/>
      <c r="HI453" s="35"/>
      <c r="HJ453" s="35"/>
      <c r="HK453" s="35"/>
      <c r="HL453" s="35"/>
      <c r="HM453" s="35"/>
      <c r="HN453" s="35"/>
      <c r="HO453" s="35"/>
      <c r="HP453" s="35"/>
      <c r="HQ453" s="35"/>
      <c r="HR453" s="35"/>
      <c r="HS453" s="35"/>
      <c r="HT453" s="35"/>
      <c r="HU453" s="35"/>
      <c r="HV453" s="35"/>
      <c r="HW453" s="35"/>
      <c r="HX453" s="35"/>
      <c r="HY453" s="35"/>
      <c r="HZ453" s="35"/>
      <c r="IA453" s="35"/>
      <c r="IB453" s="35"/>
      <c r="IC453" s="35"/>
      <c r="ID453" s="35"/>
      <c r="IE453" s="35"/>
      <c r="IF453" s="35"/>
      <c r="IG453" s="35"/>
      <c r="IH453" s="35"/>
      <c r="II453" s="35"/>
      <c r="IJ453" s="35"/>
      <c r="IK453" s="35"/>
      <c r="IL453" s="35"/>
      <c r="IM453" s="35"/>
      <c r="IN453" s="35"/>
      <c r="IO453" s="35"/>
      <c r="IP453" s="35"/>
      <c r="IQ453" s="35"/>
      <c r="IR453" s="35"/>
      <c r="IS453" s="35"/>
      <c r="IT453" s="35"/>
      <c r="IU453" s="35"/>
      <c r="IV453" s="35"/>
      <c r="IW453" s="35"/>
      <c r="IX453" s="35"/>
      <c r="IY453" s="35"/>
      <c r="IZ453" s="35"/>
      <c r="JA453" s="35"/>
      <c r="JB453" s="35"/>
      <c r="JC453" s="35"/>
      <c r="JD453" s="35"/>
      <c r="JE453" s="35"/>
    </row>
    <row r="454">
      <c r="A454" s="42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5"/>
      <c r="BN454" s="35"/>
      <c r="BO454" s="35"/>
      <c r="BP454" s="35"/>
      <c r="BQ454" s="35"/>
      <c r="BR454" s="35"/>
      <c r="BS454" s="35"/>
      <c r="BT454" s="35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35"/>
      <c r="CO454" s="35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35"/>
      <c r="DJ454" s="35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35"/>
      <c r="EE454" s="35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35"/>
      <c r="EZ454" s="35"/>
      <c r="FA454" s="35"/>
      <c r="FB454" s="35"/>
      <c r="FC454" s="35"/>
      <c r="FD454" s="35"/>
      <c r="FE454" s="35"/>
      <c r="FF454" s="35"/>
      <c r="FG454" s="35"/>
      <c r="FH454" s="35"/>
      <c r="FI454" s="35"/>
      <c r="FJ454" s="35"/>
      <c r="FK454" s="35"/>
      <c r="FL454" s="35"/>
      <c r="FM454" s="35"/>
      <c r="FN454" s="35"/>
      <c r="FO454" s="35"/>
      <c r="FP454" s="35"/>
      <c r="FQ454" s="35"/>
      <c r="FR454" s="35"/>
      <c r="FS454" s="35"/>
      <c r="FT454" s="35"/>
      <c r="FU454" s="35"/>
      <c r="FV454" s="35"/>
      <c r="FW454" s="35"/>
      <c r="FX454" s="35"/>
      <c r="FY454" s="35"/>
      <c r="FZ454" s="35"/>
      <c r="GA454" s="35"/>
      <c r="GB454" s="35"/>
      <c r="GC454" s="35"/>
      <c r="GD454" s="35"/>
      <c r="GE454" s="35"/>
      <c r="GF454" s="35"/>
      <c r="GG454" s="35"/>
      <c r="GH454" s="35"/>
      <c r="GI454" s="35"/>
      <c r="GJ454" s="35"/>
      <c r="GK454" s="35"/>
      <c r="GL454" s="35"/>
      <c r="GM454" s="35"/>
      <c r="GN454" s="35"/>
      <c r="GO454" s="35"/>
      <c r="GP454" s="35"/>
      <c r="GQ454" s="35"/>
      <c r="GR454" s="35"/>
      <c r="GS454" s="35"/>
      <c r="GT454" s="35"/>
      <c r="GU454" s="35"/>
      <c r="GV454" s="35"/>
      <c r="GW454" s="35"/>
      <c r="GX454" s="35"/>
      <c r="GY454" s="35"/>
      <c r="GZ454" s="35"/>
      <c r="HA454" s="35"/>
      <c r="HB454" s="35"/>
      <c r="HC454" s="35"/>
      <c r="HD454" s="35"/>
      <c r="HE454" s="35"/>
      <c r="HF454" s="35"/>
      <c r="HG454" s="35"/>
      <c r="HH454" s="35"/>
      <c r="HI454" s="35"/>
      <c r="HJ454" s="35"/>
      <c r="HK454" s="35"/>
      <c r="HL454" s="35"/>
      <c r="HM454" s="35"/>
      <c r="HN454" s="35"/>
      <c r="HO454" s="35"/>
      <c r="HP454" s="35"/>
      <c r="HQ454" s="35"/>
      <c r="HR454" s="35"/>
      <c r="HS454" s="35"/>
      <c r="HT454" s="35"/>
      <c r="HU454" s="35"/>
      <c r="HV454" s="35"/>
      <c r="HW454" s="35"/>
      <c r="HX454" s="35"/>
      <c r="HY454" s="35"/>
      <c r="HZ454" s="35"/>
      <c r="IA454" s="35"/>
      <c r="IB454" s="35"/>
      <c r="IC454" s="35"/>
      <c r="ID454" s="35"/>
      <c r="IE454" s="35"/>
      <c r="IF454" s="35"/>
      <c r="IG454" s="35"/>
      <c r="IH454" s="35"/>
      <c r="II454" s="35"/>
      <c r="IJ454" s="35"/>
      <c r="IK454" s="35"/>
      <c r="IL454" s="35"/>
      <c r="IM454" s="35"/>
      <c r="IN454" s="35"/>
      <c r="IO454" s="35"/>
      <c r="IP454" s="35"/>
      <c r="IQ454" s="35"/>
      <c r="IR454" s="35"/>
      <c r="IS454" s="35"/>
      <c r="IT454" s="35"/>
      <c r="IU454" s="35"/>
      <c r="IV454" s="35"/>
      <c r="IW454" s="35"/>
      <c r="IX454" s="35"/>
      <c r="IY454" s="35"/>
      <c r="IZ454" s="35"/>
      <c r="JA454" s="35"/>
      <c r="JB454" s="35"/>
      <c r="JC454" s="35"/>
      <c r="JD454" s="35"/>
      <c r="JE454" s="35"/>
    </row>
    <row r="455">
      <c r="A455" s="42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5"/>
      <c r="BN455" s="35"/>
      <c r="BO455" s="35"/>
      <c r="BP455" s="35"/>
      <c r="BQ455" s="35"/>
      <c r="BR455" s="35"/>
      <c r="BS455" s="35"/>
      <c r="BT455" s="35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35"/>
      <c r="CO455" s="35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35"/>
      <c r="DJ455" s="35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35"/>
      <c r="EE455" s="35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35"/>
      <c r="EZ455" s="35"/>
      <c r="FA455" s="35"/>
      <c r="FB455" s="35"/>
      <c r="FC455" s="35"/>
      <c r="FD455" s="35"/>
      <c r="FE455" s="35"/>
      <c r="FF455" s="35"/>
      <c r="FG455" s="35"/>
      <c r="FH455" s="35"/>
      <c r="FI455" s="35"/>
      <c r="FJ455" s="35"/>
      <c r="FK455" s="35"/>
      <c r="FL455" s="35"/>
      <c r="FM455" s="35"/>
      <c r="FN455" s="35"/>
      <c r="FO455" s="35"/>
      <c r="FP455" s="35"/>
      <c r="FQ455" s="35"/>
      <c r="FR455" s="35"/>
      <c r="FS455" s="35"/>
      <c r="FT455" s="35"/>
      <c r="FU455" s="35"/>
      <c r="FV455" s="35"/>
      <c r="FW455" s="35"/>
      <c r="FX455" s="35"/>
      <c r="FY455" s="35"/>
      <c r="FZ455" s="35"/>
      <c r="GA455" s="35"/>
      <c r="GB455" s="35"/>
      <c r="GC455" s="35"/>
      <c r="GD455" s="35"/>
      <c r="GE455" s="35"/>
      <c r="GF455" s="35"/>
      <c r="GG455" s="35"/>
      <c r="GH455" s="35"/>
      <c r="GI455" s="35"/>
      <c r="GJ455" s="35"/>
      <c r="GK455" s="35"/>
      <c r="GL455" s="35"/>
      <c r="GM455" s="35"/>
      <c r="GN455" s="35"/>
      <c r="GO455" s="35"/>
      <c r="GP455" s="35"/>
      <c r="GQ455" s="35"/>
      <c r="GR455" s="35"/>
      <c r="GS455" s="35"/>
      <c r="GT455" s="35"/>
      <c r="GU455" s="35"/>
      <c r="GV455" s="35"/>
      <c r="GW455" s="35"/>
      <c r="GX455" s="35"/>
      <c r="GY455" s="35"/>
      <c r="GZ455" s="35"/>
      <c r="HA455" s="35"/>
      <c r="HB455" s="35"/>
      <c r="HC455" s="35"/>
      <c r="HD455" s="35"/>
      <c r="HE455" s="35"/>
      <c r="HF455" s="35"/>
      <c r="HG455" s="35"/>
      <c r="HH455" s="35"/>
      <c r="HI455" s="35"/>
      <c r="HJ455" s="35"/>
      <c r="HK455" s="35"/>
      <c r="HL455" s="35"/>
      <c r="HM455" s="35"/>
      <c r="HN455" s="35"/>
      <c r="HO455" s="35"/>
      <c r="HP455" s="35"/>
      <c r="HQ455" s="35"/>
      <c r="HR455" s="35"/>
      <c r="HS455" s="35"/>
      <c r="HT455" s="35"/>
      <c r="HU455" s="35"/>
      <c r="HV455" s="35"/>
      <c r="HW455" s="35"/>
      <c r="HX455" s="35"/>
      <c r="HY455" s="35"/>
      <c r="HZ455" s="35"/>
      <c r="IA455" s="35"/>
      <c r="IB455" s="35"/>
      <c r="IC455" s="35"/>
      <c r="ID455" s="35"/>
      <c r="IE455" s="35"/>
      <c r="IF455" s="35"/>
      <c r="IG455" s="35"/>
      <c r="IH455" s="35"/>
      <c r="II455" s="35"/>
      <c r="IJ455" s="35"/>
      <c r="IK455" s="35"/>
      <c r="IL455" s="35"/>
      <c r="IM455" s="35"/>
      <c r="IN455" s="35"/>
      <c r="IO455" s="35"/>
      <c r="IP455" s="35"/>
      <c r="IQ455" s="35"/>
      <c r="IR455" s="35"/>
      <c r="IS455" s="35"/>
      <c r="IT455" s="35"/>
      <c r="IU455" s="35"/>
      <c r="IV455" s="35"/>
      <c r="IW455" s="35"/>
      <c r="IX455" s="35"/>
      <c r="IY455" s="35"/>
      <c r="IZ455" s="35"/>
      <c r="JA455" s="35"/>
      <c r="JB455" s="35"/>
      <c r="JC455" s="35"/>
      <c r="JD455" s="35"/>
      <c r="JE455" s="35"/>
    </row>
    <row r="456">
      <c r="A456" s="42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5"/>
      <c r="BN456" s="35"/>
      <c r="BO456" s="35"/>
      <c r="BP456" s="35"/>
      <c r="BQ456" s="35"/>
      <c r="BR456" s="35"/>
      <c r="BS456" s="35"/>
      <c r="BT456" s="35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35"/>
      <c r="CO456" s="35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35"/>
      <c r="DJ456" s="35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35"/>
      <c r="EE456" s="35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35"/>
      <c r="EZ456" s="35"/>
      <c r="FA456" s="35"/>
      <c r="FB456" s="35"/>
      <c r="FC456" s="35"/>
      <c r="FD456" s="35"/>
      <c r="FE456" s="35"/>
      <c r="FF456" s="35"/>
      <c r="FG456" s="35"/>
      <c r="FH456" s="35"/>
      <c r="FI456" s="35"/>
      <c r="FJ456" s="35"/>
      <c r="FK456" s="35"/>
      <c r="FL456" s="35"/>
      <c r="FM456" s="35"/>
      <c r="FN456" s="35"/>
      <c r="FO456" s="35"/>
      <c r="FP456" s="35"/>
      <c r="FQ456" s="35"/>
      <c r="FR456" s="35"/>
      <c r="FS456" s="35"/>
      <c r="FT456" s="35"/>
      <c r="FU456" s="35"/>
      <c r="FV456" s="35"/>
      <c r="FW456" s="35"/>
      <c r="FX456" s="35"/>
      <c r="FY456" s="35"/>
      <c r="FZ456" s="35"/>
      <c r="GA456" s="35"/>
      <c r="GB456" s="35"/>
      <c r="GC456" s="35"/>
      <c r="GD456" s="35"/>
      <c r="GE456" s="35"/>
      <c r="GF456" s="35"/>
      <c r="GG456" s="35"/>
      <c r="GH456" s="35"/>
      <c r="GI456" s="35"/>
      <c r="GJ456" s="35"/>
      <c r="GK456" s="35"/>
      <c r="GL456" s="35"/>
      <c r="GM456" s="35"/>
      <c r="GN456" s="35"/>
      <c r="GO456" s="35"/>
      <c r="GP456" s="35"/>
      <c r="GQ456" s="35"/>
      <c r="GR456" s="35"/>
      <c r="GS456" s="35"/>
      <c r="GT456" s="35"/>
      <c r="GU456" s="35"/>
      <c r="GV456" s="35"/>
      <c r="GW456" s="35"/>
      <c r="GX456" s="35"/>
      <c r="GY456" s="35"/>
      <c r="GZ456" s="35"/>
      <c r="HA456" s="35"/>
      <c r="HB456" s="35"/>
      <c r="HC456" s="35"/>
      <c r="HD456" s="35"/>
      <c r="HE456" s="35"/>
      <c r="HF456" s="35"/>
      <c r="HG456" s="35"/>
      <c r="HH456" s="35"/>
      <c r="HI456" s="35"/>
      <c r="HJ456" s="35"/>
      <c r="HK456" s="35"/>
      <c r="HL456" s="35"/>
      <c r="HM456" s="35"/>
      <c r="HN456" s="35"/>
      <c r="HO456" s="35"/>
      <c r="HP456" s="35"/>
      <c r="HQ456" s="35"/>
      <c r="HR456" s="35"/>
      <c r="HS456" s="35"/>
      <c r="HT456" s="35"/>
      <c r="HU456" s="35"/>
      <c r="HV456" s="35"/>
      <c r="HW456" s="35"/>
      <c r="HX456" s="35"/>
      <c r="HY456" s="35"/>
      <c r="HZ456" s="35"/>
      <c r="IA456" s="35"/>
      <c r="IB456" s="35"/>
      <c r="IC456" s="35"/>
      <c r="ID456" s="35"/>
      <c r="IE456" s="35"/>
      <c r="IF456" s="35"/>
      <c r="IG456" s="35"/>
      <c r="IH456" s="35"/>
      <c r="II456" s="35"/>
      <c r="IJ456" s="35"/>
      <c r="IK456" s="35"/>
      <c r="IL456" s="35"/>
      <c r="IM456" s="35"/>
      <c r="IN456" s="35"/>
      <c r="IO456" s="35"/>
      <c r="IP456" s="35"/>
      <c r="IQ456" s="35"/>
      <c r="IR456" s="35"/>
      <c r="IS456" s="35"/>
      <c r="IT456" s="35"/>
      <c r="IU456" s="35"/>
      <c r="IV456" s="35"/>
      <c r="IW456" s="35"/>
      <c r="IX456" s="35"/>
      <c r="IY456" s="35"/>
      <c r="IZ456" s="35"/>
      <c r="JA456" s="35"/>
      <c r="JB456" s="35"/>
      <c r="JC456" s="35"/>
      <c r="JD456" s="35"/>
      <c r="JE456" s="35"/>
    </row>
    <row r="457">
      <c r="A457" s="42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5"/>
      <c r="BN457" s="35"/>
      <c r="BO457" s="35"/>
      <c r="BP457" s="35"/>
      <c r="BQ457" s="35"/>
      <c r="BR457" s="35"/>
      <c r="BS457" s="35"/>
      <c r="BT457" s="35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35"/>
      <c r="CO457" s="35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35"/>
      <c r="DJ457" s="35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35"/>
      <c r="EE457" s="35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35"/>
      <c r="EZ457" s="35"/>
      <c r="FA457" s="35"/>
      <c r="FB457" s="35"/>
      <c r="FC457" s="35"/>
      <c r="FD457" s="35"/>
      <c r="FE457" s="35"/>
      <c r="FF457" s="35"/>
      <c r="FG457" s="35"/>
      <c r="FH457" s="35"/>
      <c r="FI457" s="35"/>
      <c r="FJ457" s="35"/>
      <c r="FK457" s="35"/>
      <c r="FL457" s="35"/>
      <c r="FM457" s="35"/>
      <c r="FN457" s="35"/>
      <c r="FO457" s="35"/>
      <c r="FP457" s="35"/>
      <c r="FQ457" s="35"/>
      <c r="FR457" s="35"/>
      <c r="FS457" s="35"/>
      <c r="FT457" s="35"/>
      <c r="FU457" s="35"/>
      <c r="FV457" s="35"/>
      <c r="FW457" s="35"/>
      <c r="FX457" s="35"/>
      <c r="FY457" s="35"/>
      <c r="FZ457" s="35"/>
      <c r="GA457" s="35"/>
      <c r="GB457" s="35"/>
      <c r="GC457" s="35"/>
      <c r="GD457" s="35"/>
      <c r="GE457" s="35"/>
      <c r="GF457" s="35"/>
      <c r="GG457" s="35"/>
      <c r="GH457" s="35"/>
      <c r="GI457" s="35"/>
      <c r="GJ457" s="35"/>
      <c r="GK457" s="35"/>
      <c r="GL457" s="35"/>
      <c r="GM457" s="35"/>
      <c r="GN457" s="35"/>
      <c r="GO457" s="35"/>
      <c r="GP457" s="35"/>
      <c r="GQ457" s="35"/>
      <c r="GR457" s="35"/>
      <c r="GS457" s="35"/>
      <c r="GT457" s="35"/>
      <c r="GU457" s="35"/>
      <c r="GV457" s="35"/>
      <c r="GW457" s="35"/>
      <c r="GX457" s="35"/>
      <c r="GY457" s="35"/>
      <c r="GZ457" s="35"/>
      <c r="HA457" s="35"/>
      <c r="HB457" s="35"/>
      <c r="HC457" s="35"/>
      <c r="HD457" s="35"/>
      <c r="HE457" s="35"/>
      <c r="HF457" s="35"/>
      <c r="HG457" s="35"/>
      <c r="HH457" s="35"/>
      <c r="HI457" s="35"/>
      <c r="HJ457" s="35"/>
      <c r="HK457" s="35"/>
      <c r="HL457" s="35"/>
      <c r="HM457" s="35"/>
      <c r="HN457" s="35"/>
      <c r="HO457" s="35"/>
      <c r="HP457" s="35"/>
      <c r="HQ457" s="35"/>
      <c r="HR457" s="35"/>
      <c r="HS457" s="35"/>
      <c r="HT457" s="35"/>
      <c r="HU457" s="35"/>
      <c r="HV457" s="35"/>
      <c r="HW457" s="35"/>
      <c r="HX457" s="35"/>
      <c r="HY457" s="35"/>
      <c r="HZ457" s="35"/>
      <c r="IA457" s="35"/>
      <c r="IB457" s="35"/>
      <c r="IC457" s="35"/>
      <c r="ID457" s="35"/>
      <c r="IE457" s="35"/>
      <c r="IF457" s="35"/>
      <c r="IG457" s="35"/>
      <c r="IH457" s="35"/>
      <c r="II457" s="35"/>
      <c r="IJ457" s="35"/>
      <c r="IK457" s="35"/>
      <c r="IL457" s="35"/>
      <c r="IM457" s="35"/>
      <c r="IN457" s="35"/>
      <c r="IO457" s="35"/>
      <c r="IP457" s="35"/>
      <c r="IQ457" s="35"/>
      <c r="IR457" s="35"/>
      <c r="IS457" s="35"/>
      <c r="IT457" s="35"/>
      <c r="IU457" s="35"/>
      <c r="IV457" s="35"/>
      <c r="IW457" s="35"/>
      <c r="IX457" s="35"/>
      <c r="IY457" s="35"/>
      <c r="IZ457" s="35"/>
      <c r="JA457" s="35"/>
      <c r="JB457" s="35"/>
      <c r="JC457" s="35"/>
      <c r="JD457" s="35"/>
      <c r="JE457" s="35"/>
    </row>
    <row r="458">
      <c r="A458" s="42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/>
      <c r="BG458" s="35"/>
      <c r="BH458" s="35"/>
      <c r="BI458" s="35"/>
      <c r="BJ458" s="35"/>
      <c r="BK458" s="35"/>
      <c r="BL458" s="35"/>
      <c r="BM458" s="35"/>
      <c r="BN458" s="35"/>
      <c r="BO458" s="35"/>
      <c r="BP458" s="35"/>
      <c r="BQ458" s="35"/>
      <c r="BR458" s="35"/>
      <c r="BS458" s="35"/>
      <c r="BT458" s="35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35"/>
      <c r="CO458" s="35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35"/>
      <c r="DJ458" s="35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35"/>
      <c r="EE458" s="35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35"/>
      <c r="EZ458" s="35"/>
      <c r="FA458" s="35"/>
      <c r="FB458" s="35"/>
      <c r="FC458" s="35"/>
      <c r="FD458" s="35"/>
      <c r="FE458" s="35"/>
      <c r="FF458" s="35"/>
      <c r="FG458" s="35"/>
      <c r="FH458" s="35"/>
      <c r="FI458" s="35"/>
      <c r="FJ458" s="35"/>
      <c r="FK458" s="35"/>
      <c r="FL458" s="35"/>
      <c r="FM458" s="35"/>
      <c r="FN458" s="35"/>
      <c r="FO458" s="35"/>
      <c r="FP458" s="35"/>
      <c r="FQ458" s="35"/>
      <c r="FR458" s="35"/>
      <c r="FS458" s="35"/>
      <c r="FT458" s="35"/>
      <c r="FU458" s="35"/>
      <c r="FV458" s="35"/>
      <c r="FW458" s="35"/>
      <c r="FX458" s="35"/>
      <c r="FY458" s="35"/>
      <c r="FZ458" s="35"/>
      <c r="GA458" s="35"/>
      <c r="GB458" s="35"/>
      <c r="GC458" s="35"/>
      <c r="GD458" s="35"/>
      <c r="GE458" s="35"/>
      <c r="GF458" s="35"/>
      <c r="GG458" s="35"/>
      <c r="GH458" s="35"/>
      <c r="GI458" s="35"/>
      <c r="GJ458" s="35"/>
      <c r="GK458" s="35"/>
      <c r="GL458" s="35"/>
      <c r="GM458" s="35"/>
      <c r="GN458" s="35"/>
      <c r="GO458" s="35"/>
      <c r="GP458" s="35"/>
      <c r="GQ458" s="35"/>
      <c r="GR458" s="35"/>
      <c r="GS458" s="35"/>
      <c r="GT458" s="35"/>
      <c r="GU458" s="35"/>
      <c r="GV458" s="35"/>
      <c r="GW458" s="35"/>
      <c r="GX458" s="35"/>
      <c r="GY458" s="35"/>
      <c r="GZ458" s="35"/>
      <c r="HA458" s="35"/>
      <c r="HB458" s="35"/>
      <c r="HC458" s="35"/>
      <c r="HD458" s="35"/>
      <c r="HE458" s="35"/>
      <c r="HF458" s="35"/>
      <c r="HG458" s="35"/>
      <c r="HH458" s="35"/>
      <c r="HI458" s="35"/>
      <c r="HJ458" s="35"/>
      <c r="HK458" s="35"/>
      <c r="HL458" s="35"/>
      <c r="HM458" s="35"/>
      <c r="HN458" s="35"/>
      <c r="HO458" s="35"/>
      <c r="HP458" s="35"/>
      <c r="HQ458" s="35"/>
      <c r="HR458" s="35"/>
      <c r="HS458" s="35"/>
      <c r="HT458" s="35"/>
      <c r="HU458" s="35"/>
      <c r="HV458" s="35"/>
      <c r="HW458" s="35"/>
      <c r="HX458" s="35"/>
      <c r="HY458" s="35"/>
      <c r="HZ458" s="35"/>
      <c r="IA458" s="35"/>
      <c r="IB458" s="35"/>
      <c r="IC458" s="35"/>
      <c r="ID458" s="35"/>
      <c r="IE458" s="35"/>
      <c r="IF458" s="35"/>
      <c r="IG458" s="35"/>
      <c r="IH458" s="35"/>
      <c r="II458" s="35"/>
      <c r="IJ458" s="35"/>
      <c r="IK458" s="35"/>
      <c r="IL458" s="35"/>
      <c r="IM458" s="35"/>
      <c r="IN458" s="35"/>
      <c r="IO458" s="35"/>
      <c r="IP458" s="35"/>
      <c r="IQ458" s="35"/>
      <c r="IR458" s="35"/>
      <c r="IS458" s="35"/>
      <c r="IT458" s="35"/>
      <c r="IU458" s="35"/>
      <c r="IV458" s="35"/>
      <c r="IW458" s="35"/>
      <c r="IX458" s="35"/>
      <c r="IY458" s="35"/>
      <c r="IZ458" s="35"/>
      <c r="JA458" s="35"/>
      <c r="JB458" s="35"/>
      <c r="JC458" s="35"/>
      <c r="JD458" s="35"/>
      <c r="JE458" s="35"/>
    </row>
    <row r="459">
      <c r="A459" s="42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  <c r="BD459" s="35"/>
      <c r="BE459" s="35"/>
      <c r="BF459" s="35"/>
      <c r="BG459" s="35"/>
      <c r="BH459" s="35"/>
      <c r="BI459" s="35"/>
      <c r="BJ459" s="35"/>
      <c r="BK459" s="35"/>
      <c r="BL459" s="35"/>
      <c r="BM459" s="35"/>
      <c r="BN459" s="35"/>
      <c r="BO459" s="35"/>
      <c r="BP459" s="35"/>
      <c r="BQ459" s="35"/>
      <c r="BR459" s="35"/>
      <c r="BS459" s="35"/>
      <c r="BT459" s="35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35"/>
      <c r="CO459" s="35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35"/>
      <c r="DJ459" s="35"/>
      <c r="DK459" s="35"/>
      <c r="DL459" s="35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35"/>
      <c r="EE459" s="35"/>
      <c r="EF459" s="35"/>
      <c r="EG459" s="35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35"/>
      <c r="EZ459" s="35"/>
      <c r="FA459" s="35"/>
      <c r="FB459" s="35"/>
      <c r="FC459" s="35"/>
      <c r="FD459" s="35"/>
      <c r="FE459" s="35"/>
      <c r="FF459" s="35"/>
      <c r="FG459" s="35"/>
      <c r="FH459" s="35"/>
      <c r="FI459" s="35"/>
      <c r="FJ459" s="35"/>
      <c r="FK459" s="35"/>
      <c r="FL459" s="35"/>
      <c r="FM459" s="35"/>
      <c r="FN459" s="35"/>
      <c r="FO459" s="35"/>
      <c r="FP459" s="35"/>
      <c r="FQ459" s="35"/>
      <c r="FR459" s="35"/>
      <c r="FS459" s="35"/>
      <c r="FT459" s="35"/>
      <c r="FU459" s="35"/>
      <c r="FV459" s="35"/>
      <c r="FW459" s="35"/>
      <c r="FX459" s="35"/>
      <c r="FY459" s="35"/>
      <c r="FZ459" s="35"/>
      <c r="GA459" s="35"/>
      <c r="GB459" s="35"/>
      <c r="GC459" s="35"/>
      <c r="GD459" s="35"/>
      <c r="GE459" s="35"/>
      <c r="GF459" s="35"/>
      <c r="GG459" s="35"/>
      <c r="GH459" s="35"/>
      <c r="GI459" s="35"/>
      <c r="GJ459" s="35"/>
      <c r="GK459" s="35"/>
      <c r="GL459" s="35"/>
      <c r="GM459" s="35"/>
      <c r="GN459" s="35"/>
      <c r="GO459" s="35"/>
      <c r="GP459" s="35"/>
      <c r="GQ459" s="35"/>
      <c r="GR459" s="35"/>
      <c r="GS459" s="35"/>
      <c r="GT459" s="35"/>
      <c r="GU459" s="35"/>
      <c r="GV459" s="35"/>
      <c r="GW459" s="35"/>
      <c r="GX459" s="35"/>
      <c r="GY459" s="35"/>
      <c r="GZ459" s="35"/>
      <c r="HA459" s="35"/>
      <c r="HB459" s="35"/>
      <c r="HC459" s="35"/>
      <c r="HD459" s="35"/>
      <c r="HE459" s="35"/>
      <c r="HF459" s="35"/>
      <c r="HG459" s="35"/>
      <c r="HH459" s="35"/>
      <c r="HI459" s="35"/>
      <c r="HJ459" s="35"/>
      <c r="HK459" s="35"/>
      <c r="HL459" s="35"/>
      <c r="HM459" s="35"/>
      <c r="HN459" s="35"/>
      <c r="HO459" s="35"/>
      <c r="HP459" s="35"/>
      <c r="HQ459" s="35"/>
      <c r="HR459" s="35"/>
      <c r="HS459" s="35"/>
      <c r="HT459" s="35"/>
      <c r="HU459" s="35"/>
      <c r="HV459" s="35"/>
      <c r="HW459" s="35"/>
      <c r="HX459" s="35"/>
      <c r="HY459" s="35"/>
      <c r="HZ459" s="35"/>
      <c r="IA459" s="35"/>
      <c r="IB459" s="35"/>
      <c r="IC459" s="35"/>
      <c r="ID459" s="35"/>
      <c r="IE459" s="35"/>
      <c r="IF459" s="35"/>
      <c r="IG459" s="35"/>
      <c r="IH459" s="35"/>
      <c r="II459" s="35"/>
      <c r="IJ459" s="35"/>
      <c r="IK459" s="35"/>
      <c r="IL459" s="35"/>
      <c r="IM459" s="35"/>
      <c r="IN459" s="35"/>
      <c r="IO459" s="35"/>
      <c r="IP459" s="35"/>
      <c r="IQ459" s="35"/>
      <c r="IR459" s="35"/>
      <c r="IS459" s="35"/>
      <c r="IT459" s="35"/>
      <c r="IU459" s="35"/>
      <c r="IV459" s="35"/>
      <c r="IW459" s="35"/>
      <c r="IX459" s="35"/>
      <c r="IY459" s="35"/>
      <c r="IZ459" s="35"/>
      <c r="JA459" s="35"/>
      <c r="JB459" s="35"/>
      <c r="JC459" s="35"/>
      <c r="JD459" s="35"/>
      <c r="JE459" s="35"/>
    </row>
    <row r="460">
      <c r="A460" s="42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5"/>
      <c r="BM460" s="35"/>
      <c r="BN460" s="35"/>
      <c r="BO460" s="35"/>
      <c r="BP460" s="35"/>
      <c r="BQ460" s="35"/>
      <c r="BR460" s="35"/>
      <c r="BS460" s="35"/>
      <c r="BT460" s="35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35"/>
      <c r="CO460" s="35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35"/>
      <c r="DJ460" s="35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35"/>
      <c r="EE460" s="35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35"/>
      <c r="EZ460" s="35"/>
      <c r="FA460" s="35"/>
      <c r="FB460" s="35"/>
      <c r="FC460" s="35"/>
      <c r="FD460" s="35"/>
      <c r="FE460" s="35"/>
      <c r="FF460" s="35"/>
      <c r="FG460" s="35"/>
      <c r="FH460" s="35"/>
      <c r="FI460" s="35"/>
      <c r="FJ460" s="35"/>
      <c r="FK460" s="35"/>
      <c r="FL460" s="35"/>
      <c r="FM460" s="35"/>
      <c r="FN460" s="35"/>
      <c r="FO460" s="35"/>
      <c r="FP460" s="35"/>
      <c r="FQ460" s="35"/>
      <c r="FR460" s="35"/>
      <c r="FS460" s="35"/>
      <c r="FT460" s="35"/>
      <c r="FU460" s="35"/>
      <c r="FV460" s="35"/>
      <c r="FW460" s="35"/>
      <c r="FX460" s="35"/>
      <c r="FY460" s="35"/>
      <c r="FZ460" s="35"/>
      <c r="GA460" s="35"/>
      <c r="GB460" s="35"/>
      <c r="GC460" s="35"/>
      <c r="GD460" s="35"/>
      <c r="GE460" s="35"/>
      <c r="GF460" s="35"/>
      <c r="GG460" s="35"/>
      <c r="GH460" s="35"/>
      <c r="GI460" s="35"/>
      <c r="GJ460" s="35"/>
      <c r="GK460" s="35"/>
      <c r="GL460" s="35"/>
      <c r="GM460" s="35"/>
      <c r="GN460" s="35"/>
      <c r="GO460" s="35"/>
      <c r="GP460" s="35"/>
      <c r="GQ460" s="35"/>
      <c r="GR460" s="35"/>
      <c r="GS460" s="35"/>
      <c r="GT460" s="35"/>
      <c r="GU460" s="35"/>
      <c r="GV460" s="35"/>
      <c r="GW460" s="35"/>
      <c r="GX460" s="35"/>
      <c r="GY460" s="35"/>
      <c r="GZ460" s="35"/>
      <c r="HA460" s="35"/>
      <c r="HB460" s="35"/>
      <c r="HC460" s="35"/>
      <c r="HD460" s="35"/>
      <c r="HE460" s="35"/>
      <c r="HF460" s="35"/>
      <c r="HG460" s="35"/>
      <c r="HH460" s="35"/>
      <c r="HI460" s="35"/>
      <c r="HJ460" s="35"/>
      <c r="HK460" s="35"/>
      <c r="HL460" s="35"/>
      <c r="HM460" s="35"/>
      <c r="HN460" s="35"/>
      <c r="HO460" s="35"/>
      <c r="HP460" s="35"/>
      <c r="HQ460" s="35"/>
      <c r="HR460" s="35"/>
      <c r="HS460" s="35"/>
      <c r="HT460" s="35"/>
      <c r="HU460" s="35"/>
      <c r="HV460" s="35"/>
      <c r="HW460" s="35"/>
      <c r="HX460" s="35"/>
      <c r="HY460" s="35"/>
      <c r="HZ460" s="35"/>
      <c r="IA460" s="35"/>
      <c r="IB460" s="35"/>
      <c r="IC460" s="35"/>
      <c r="ID460" s="35"/>
      <c r="IE460" s="35"/>
      <c r="IF460" s="35"/>
      <c r="IG460" s="35"/>
      <c r="IH460" s="35"/>
      <c r="II460" s="35"/>
      <c r="IJ460" s="35"/>
      <c r="IK460" s="35"/>
      <c r="IL460" s="35"/>
      <c r="IM460" s="35"/>
      <c r="IN460" s="35"/>
      <c r="IO460" s="35"/>
      <c r="IP460" s="35"/>
      <c r="IQ460" s="35"/>
      <c r="IR460" s="35"/>
      <c r="IS460" s="35"/>
      <c r="IT460" s="35"/>
      <c r="IU460" s="35"/>
      <c r="IV460" s="35"/>
      <c r="IW460" s="35"/>
      <c r="IX460" s="35"/>
      <c r="IY460" s="35"/>
      <c r="IZ460" s="35"/>
      <c r="JA460" s="35"/>
      <c r="JB460" s="35"/>
      <c r="JC460" s="35"/>
      <c r="JD460" s="35"/>
      <c r="JE460" s="35"/>
    </row>
    <row r="461">
      <c r="A461" s="42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5"/>
      <c r="BR461" s="35"/>
      <c r="BS461" s="35"/>
      <c r="BT461" s="35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35"/>
      <c r="CO461" s="35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35"/>
      <c r="DJ461" s="35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35"/>
      <c r="EE461" s="35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35"/>
      <c r="EZ461" s="35"/>
      <c r="FA461" s="35"/>
      <c r="FB461" s="35"/>
      <c r="FC461" s="35"/>
      <c r="FD461" s="35"/>
      <c r="FE461" s="35"/>
      <c r="FF461" s="35"/>
      <c r="FG461" s="35"/>
      <c r="FH461" s="35"/>
      <c r="FI461" s="35"/>
      <c r="FJ461" s="35"/>
      <c r="FK461" s="35"/>
      <c r="FL461" s="35"/>
      <c r="FM461" s="35"/>
      <c r="FN461" s="35"/>
      <c r="FO461" s="35"/>
      <c r="FP461" s="35"/>
      <c r="FQ461" s="35"/>
      <c r="FR461" s="35"/>
      <c r="FS461" s="35"/>
      <c r="FT461" s="35"/>
      <c r="FU461" s="35"/>
      <c r="FV461" s="35"/>
      <c r="FW461" s="35"/>
      <c r="FX461" s="35"/>
      <c r="FY461" s="35"/>
      <c r="FZ461" s="35"/>
      <c r="GA461" s="35"/>
      <c r="GB461" s="35"/>
      <c r="GC461" s="35"/>
      <c r="GD461" s="35"/>
      <c r="GE461" s="35"/>
      <c r="GF461" s="35"/>
      <c r="GG461" s="35"/>
      <c r="GH461" s="35"/>
      <c r="GI461" s="35"/>
      <c r="GJ461" s="35"/>
      <c r="GK461" s="35"/>
      <c r="GL461" s="35"/>
      <c r="GM461" s="35"/>
      <c r="GN461" s="35"/>
      <c r="GO461" s="35"/>
      <c r="GP461" s="35"/>
      <c r="GQ461" s="35"/>
      <c r="GR461" s="35"/>
      <c r="GS461" s="35"/>
      <c r="GT461" s="35"/>
      <c r="GU461" s="35"/>
      <c r="GV461" s="35"/>
      <c r="GW461" s="35"/>
      <c r="GX461" s="35"/>
      <c r="GY461" s="35"/>
      <c r="GZ461" s="35"/>
      <c r="HA461" s="35"/>
      <c r="HB461" s="35"/>
      <c r="HC461" s="35"/>
      <c r="HD461" s="35"/>
      <c r="HE461" s="35"/>
      <c r="HF461" s="35"/>
      <c r="HG461" s="35"/>
      <c r="HH461" s="35"/>
      <c r="HI461" s="35"/>
      <c r="HJ461" s="35"/>
      <c r="HK461" s="35"/>
      <c r="HL461" s="35"/>
      <c r="HM461" s="35"/>
      <c r="HN461" s="35"/>
      <c r="HO461" s="35"/>
      <c r="HP461" s="35"/>
      <c r="HQ461" s="35"/>
      <c r="HR461" s="35"/>
      <c r="HS461" s="35"/>
      <c r="HT461" s="35"/>
      <c r="HU461" s="35"/>
      <c r="HV461" s="35"/>
      <c r="HW461" s="35"/>
      <c r="HX461" s="35"/>
      <c r="HY461" s="35"/>
      <c r="HZ461" s="35"/>
      <c r="IA461" s="35"/>
      <c r="IB461" s="35"/>
      <c r="IC461" s="35"/>
      <c r="ID461" s="35"/>
      <c r="IE461" s="35"/>
      <c r="IF461" s="35"/>
      <c r="IG461" s="35"/>
      <c r="IH461" s="35"/>
      <c r="II461" s="35"/>
      <c r="IJ461" s="35"/>
      <c r="IK461" s="35"/>
      <c r="IL461" s="35"/>
      <c r="IM461" s="35"/>
      <c r="IN461" s="35"/>
      <c r="IO461" s="35"/>
      <c r="IP461" s="35"/>
      <c r="IQ461" s="35"/>
      <c r="IR461" s="35"/>
      <c r="IS461" s="35"/>
      <c r="IT461" s="35"/>
      <c r="IU461" s="35"/>
      <c r="IV461" s="35"/>
      <c r="IW461" s="35"/>
      <c r="IX461" s="35"/>
      <c r="IY461" s="35"/>
      <c r="IZ461" s="35"/>
      <c r="JA461" s="35"/>
      <c r="JB461" s="35"/>
      <c r="JC461" s="35"/>
      <c r="JD461" s="35"/>
      <c r="JE461" s="35"/>
    </row>
    <row r="462">
      <c r="A462" s="42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  <c r="BD462" s="35"/>
      <c r="BE462" s="35"/>
      <c r="BF462" s="35"/>
      <c r="BG462" s="35"/>
      <c r="BH462" s="35"/>
      <c r="BI462" s="35"/>
      <c r="BJ462" s="35"/>
      <c r="BK462" s="35"/>
      <c r="BL462" s="35"/>
      <c r="BM462" s="35"/>
      <c r="BN462" s="35"/>
      <c r="BO462" s="35"/>
      <c r="BP462" s="35"/>
      <c r="BQ462" s="35"/>
      <c r="BR462" s="35"/>
      <c r="BS462" s="35"/>
      <c r="BT462" s="35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35"/>
      <c r="CO462" s="35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35"/>
      <c r="DJ462" s="35"/>
      <c r="DK462" s="35"/>
      <c r="DL462" s="35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35"/>
      <c r="EE462" s="35"/>
      <c r="EF462" s="35"/>
      <c r="EG462" s="35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35"/>
      <c r="EZ462" s="35"/>
      <c r="FA462" s="35"/>
      <c r="FB462" s="35"/>
      <c r="FC462" s="35"/>
      <c r="FD462" s="35"/>
      <c r="FE462" s="35"/>
      <c r="FF462" s="35"/>
      <c r="FG462" s="35"/>
      <c r="FH462" s="35"/>
      <c r="FI462" s="35"/>
      <c r="FJ462" s="35"/>
      <c r="FK462" s="35"/>
      <c r="FL462" s="35"/>
      <c r="FM462" s="35"/>
      <c r="FN462" s="35"/>
      <c r="FO462" s="35"/>
      <c r="FP462" s="35"/>
      <c r="FQ462" s="35"/>
      <c r="FR462" s="35"/>
      <c r="FS462" s="35"/>
      <c r="FT462" s="35"/>
      <c r="FU462" s="35"/>
      <c r="FV462" s="35"/>
      <c r="FW462" s="35"/>
      <c r="FX462" s="35"/>
      <c r="FY462" s="35"/>
      <c r="FZ462" s="35"/>
      <c r="GA462" s="35"/>
      <c r="GB462" s="35"/>
      <c r="GC462" s="35"/>
      <c r="GD462" s="35"/>
      <c r="GE462" s="35"/>
      <c r="GF462" s="35"/>
      <c r="GG462" s="35"/>
      <c r="GH462" s="35"/>
      <c r="GI462" s="35"/>
      <c r="GJ462" s="35"/>
      <c r="GK462" s="35"/>
      <c r="GL462" s="35"/>
      <c r="GM462" s="35"/>
      <c r="GN462" s="35"/>
      <c r="GO462" s="35"/>
      <c r="GP462" s="35"/>
      <c r="GQ462" s="35"/>
      <c r="GR462" s="35"/>
      <c r="GS462" s="35"/>
      <c r="GT462" s="35"/>
      <c r="GU462" s="35"/>
      <c r="GV462" s="35"/>
      <c r="GW462" s="35"/>
      <c r="GX462" s="35"/>
      <c r="GY462" s="35"/>
      <c r="GZ462" s="35"/>
      <c r="HA462" s="35"/>
      <c r="HB462" s="35"/>
      <c r="HC462" s="35"/>
      <c r="HD462" s="35"/>
      <c r="HE462" s="35"/>
      <c r="HF462" s="35"/>
      <c r="HG462" s="35"/>
      <c r="HH462" s="35"/>
      <c r="HI462" s="35"/>
      <c r="HJ462" s="35"/>
      <c r="HK462" s="35"/>
      <c r="HL462" s="35"/>
      <c r="HM462" s="35"/>
      <c r="HN462" s="35"/>
      <c r="HO462" s="35"/>
      <c r="HP462" s="35"/>
      <c r="HQ462" s="35"/>
      <c r="HR462" s="35"/>
      <c r="HS462" s="35"/>
      <c r="HT462" s="35"/>
      <c r="HU462" s="35"/>
      <c r="HV462" s="35"/>
      <c r="HW462" s="35"/>
      <c r="HX462" s="35"/>
      <c r="HY462" s="35"/>
      <c r="HZ462" s="35"/>
      <c r="IA462" s="35"/>
      <c r="IB462" s="35"/>
      <c r="IC462" s="35"/>
      <c r="ID462" s="35"/>
      <c r="IE462" s="35"/>
      <c r="IF462" s="35"/>
      <c r="IG462" s="35"/>
      <c r="IH462" s="35"/>
      <c r="II462" s="35"/>
      <c r="IJ462" s="35"/>
      <c r="IK462" s="35"/>
      <c r="IL462" s="35"/>
      <c r="IM462" s="35"/>
      <c r="IN462" s="35"/>
      <c r="IO462" s="35"/>
      <c r="IP462" s="35"/>
      <c r="IQ462" s="35"/>
      <c r="IR462" s="35"/>
      <c r="IS462" s="35"/>
      <c r="IT462" s="35"/>
      <c r="IU462" s="35"/>
      <c r="IV462" s="35"/>
      <c r="IW462" s="35"/>
      <c r="IX462" s="35"/>
      <c r="IY462" s="35"/>
      <c r="IZ462" s="35"/>
      <c r="JA462" s="35"/>
      <c r="JB462" s="35"/>
      <c r="JC462" s="35"/>
      <c r="JD462" s="35"/>
      <c r="JE462" s="35"/>
    </row>
    <row r="463">
      <c r="A463" s="42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/>
      <c r="BP463" s="35"/>
      <c r="BQ463" s="35"/>
      <c r="BR463" s="35"/>
      <c r="BS463" s="35"/>
      <c r="BT463" s="35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35"/>
      <c r="CO463" s="35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35"/>
      <c r="DJ463" s="35"/>
      <c r="DK463" s="35"/>
      <c r="DL463" s="35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35"/>
      <c r="EE463" s="35"/>
      <c r="EF463" s="35"/>
      <c r="EG463" s="35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35"/>
      <c r="EZ463" s="35"/>
      <c r="FA463" s="35"/>
      <c r="FB463" s="35"/>
      <c r="FC463" s="35"/>
      <c r="FD463" s="35"/>
      <c r="FE463" s="35"/>
      <c r="FF463" s="35"/>
      <c r="FG463" s="35"/>
      <c r="FH463" s="35"/>
      <c r="FI463" s="35"/>
      <c r="FJ463" s="35"/>
      <c r="FK463" s="35"/>
      <c r="FL463" s="35"/>
      <c r="FM463" s="35"/>
      <c r="FN463" s="35"/>
      <c r="FO463" s="35"/>
      <c r="FP463" s="35"/>
      <c r="FQ463" s="35"/>
      <c r="FR463" s="35"/>
      <c r="FS463" s="35"/>
      <c r="FT463" s="35"/>
      <c r="FU463" s="35"/>
      <c r="FV463" s="35"/>
      <c r="FW463" s="35"/>
      <c r="FX463" s="35"/>
      <c r="FY463" s="35"/>
      <c r="FZ463" s="35"/>
      <c r="GA463" s="35"/>
      <c r="GB463" s="35"/>
      <c r="GC463" s="35"/>
      <c r="GD463" s="35"/>
      <c r="GE463" s="35"/>
      <c r="GF463" s="35"/>
      <c r="GG463" s="35"/>
      <c r="GH463" s="35"/>
      <c r="GI463" s="35"/>
      <c r="GJ463" s="35"/>
      <c r="GK463" s="35"/>
      <c r="GL463" s="35"/>
      <c r="GM463" s="35"/>
      <c r="GN463" s="35"/>
      <c r="GO463" s="35"/>
      <c r="GP463" s="35"/>
      <c r="GQ463" s="35"/>
      <c r="GR463" s="35"/>
      <c r="GS463" s="35"/>
      <c r="GT463" s="35"/>
      <c r="GU463" s="35"/>
      <c r="GV463" s="35"/>
      <c r="GW463" s="35"/>
      <c r="GX463" s="35"/>
      <c r="GY463" s="35"/>
      <c r="GZ463" s="35"/>
      <c r="HA463" s="35"/>
      <c r="HB463" s="35"/>
      <c r="HC463" s="35"/>
      <c r="HD463" s="35"/>
      <c r="HE463" s="35"/>
      <c r="HF463" s="35"/>
      <c r="HG463" s="35"/>
      <c r="HH463" s="35"/>
      <c r="HI463" s="35"/>
      <c r="HJ463" s="35"/>
      <c r="HK463" s="35"/>
      <c r="HL463" s="35"/>
      <c r="HM463" s="35"/>
      <c r="HN463" s="35"/>
      <c r="HO463" s="35"/>
      <c r="HP463" s="35"/>
      <c r="HQ463" s="35"/>
      <c r="HR463" s="35"/>
      <c r="HS463" s="35"/>
      <c r="HT463" s="35"/>
      <c r="HU463" s="35"/>
      <c r="HV463" s="35"/>
      <c r="HW463" s="35"/>
      <c r="HX463" s="35"/>
      <c r="HY463" s="35"/>
      <c r="HZ463" s="35"/>
      <c r="IA463" s="35"/>
      <c r="IB463" s="35"/>
      <c r="IC463" s="35"/>
      <c r="ID463" s="35"/>
      <c r="IE463" s="35"/>
      <c r="IF463" s="35"/>
      <c r="IG463" s="35"/>
      <c r="IH463" s="35"/>
      <c r="II463" s="35"/>
      <c r="IJ463" s="35"/>
      <c r="IK463" s="35"/>
      <c r="IL463" s="35"/>
      <c r="IM463" s="35"/>
      <c r="IN463" s="35"/>
      <c r="IO463" s="35"/>
      <c r="IP463" s="35"/>
      <c r="IQ463" s="35"/>
      <c r="IR463" s="35"/>
      <c r="IS463" s="35"/>
      <c r="IT463" s="35"/>
      <c r="IU463" s="35"/>
      <c r="IV463" s="35"/>
      <c r="IW463" s="35"/>
      <c r="IX463" s="35"/>
      <c r="IY463" s="35"/>
      <c r="IZ463" s="35"/>
      <c r="JA463" s="35"/>
      <c r="JB463" s="35"/>
      <c r="JC463" s="35"/>
      <c r="JD463" s="35"/>
      <c r="JE463" s="35"/>
    </row>
    <row r="464">
      <c r="A464" s="42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  <c r="BD464" s="35"/>
      <c r="BE464" s="35"/>
      <c r="BF464" s="35"/>
      <c r="BG464" s="35"/>
      <c r="BH464" s="35"/>
      <c r="BI464" s="35"/>
      <c r="BJ464" s="35"/>
      <c r="BK464" s="35"/>
      <c r="BL464" s="35"/>
      <c r="BM464" s="35"/>
      <c r="BN464" s="35"/>
      <c r="BO464" s="35"/>
      <c r="BP464" s="35"/>
      <c r="BQ464" s="35"/>
      <c r="BR464" s="35"/>
      <c r="BS464" s="35"/>
      <c r="BT464" s="35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35"/>
      <c r="CO464" s="35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35"/>
      <c r="DJ464" s="35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35"/>
      <c r="EE464" s="35"/>
      <c r="EF464" s="35"/>
      <c r="EG464" s="35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35"/>
      <c r="EZ464" s="35"/>
      <c r="FA464" s="35"/>
      <c r="FB464" s="35"/>
      <c r="FC464" s="35"/>
      <c r="FD464" s="35"/>
      <c r="FE464" s="35"/>
      <c r="FF464" s="35"/>
      <c r="FG464" s="35"/>
      <c r="FH464" s="35"/>
      <c r="FI464" s="35"/>
      <c r="FJ464" s="35"/>
      <c r="FK464" s="35"/>
      <c r="FL464" s="35"/>
      <c r="FM464" s="35"/>
      <c r="FN464" s="35"/>
      <c r="FO464" s="35"/>
      <c r="FP464" s="35"/>
      <c r="FQ464" s="35"/>
      <c r="FR464" s="35"/>
      <c r="FS464" s="35"/>
      <c r="FT464" s="35"/>
      <c r="FU464" s="35"/>
      <c r="FV464" s="35"/>
      <c r="FW464" s="35"/>
      <c r="FX464" s="35"/>
      <c r="FY464" s="35"/>
      <c r="FZ464" s="35"/>
      <c r="GA464" s="35"/>
      <c r="GB464" s="35"/>
      <c r="GC464" s="35"/>
      <c r="GD464" s="35"/>
      <c r="GE464" s="35"/>
      <c r="GF464" s="35"/>
      <c r="GG464" s="35"/>
      <c r="GH464" s="35"/>
      <c r="GI464" s="35"/>
      <c r="GJ464" s="35"/>
      <c r="GK464" s="35"/>
      <c r="GL464" s="35"/>
      <c r="GM464" s="35"/>
      <c r="GN464" s="35"/>
      <c r="GO464" s="35"/>
      <c r="GP464" s="35"/>
      <c r="GQ464" s="35"/>
      <c r="GR464" s="35"/>
      <c r="GS464" s="35"/>
      <c r="GT464" s="35"/>
      <c r="GU464" s="35"/>
      <c r="GV464" s="35"/>
      <c r="GW464" s="35"/>
      <c r="GX464" s="35"/>
      <c r="GY464" s="35"/>
      <c r="GZ464" s="35"/>
      <c r="HA464" s="35"/>
      <c r="HB464" s="35"/>
      <c r="HC464" s="35"/>
      <c r="HD464" s="35"/>
      <c r="HE464" s="35"/>
      <c r="HF464" s="35"/>
      <c r="HG464" s="35"/>
      <c r="HH464" s="35"/>
      <c r="HI464" s="35"/>
      <c r="HJ464" s="35"/>
      <c r="HK464" s="35"/>
      <c r="HL464" s="35"/>
      <c r="HM464" s="35"/>
      <c r="HN464" s="35"/>
      <c r="HO464" s="35"/>
      <c r="HP464" s="35"/>
      <c r="HQ464" s="35"/>
      <c r="HR464" s="35"/>
      <c r="HS464" s="35"/>
      <c r="HT464" s="35"/>
      <c r="HU464" s="35"/>
      <c r="HV464" s="35"/>
      <c r="HW464" s="35"/>
      <c r="HX464" s="35"/>
      <c r="HY464" s="35"/>
      <c r="HZ464" s="35"/>
      <c r="IA464" s="35"/>
      <c r="IB464" s="35"/>
      <c r="IC464" s="35"/>
      <c r="ID464" s="35"/>
      <c r="IE464" s="35"/>
      <c r="IF464" s="35"/>
      <c r="IG464" s="35"/>
      <c r="IH464" s="35"/>
      <c r="II464" s="35"/>
      <c r="IJ464" s="35"/>
      <c r="IK464" s="35"/>
      <c r="IL464" s="35"/>
      <c r="IM464" s="35"/>
      <c r="IN464" s="35"/>
      <c r="IO464" s="35"/>
      <c r="IP464" s="35"/>
      <c r="IQ464" s="35"/>
      <c r="IR464" s="35"/>
      <c r="IS464" s="35"/>
      <c r="IT464" s="35"/>
      <c r="IU464" s="35"/>
      <c r="IV464" s="35"/>
      <c r="IW464" s="35"/>
      <c r="IX464" s="35"/>
      <c r="IY464" s="35"/>
      <c r="IZ464" s="35"/>
      <c r="JA464" s="35"/>
      <c r="JB464" s="35"/>
      <c r="JC464" s="35"/>
      <c r="JD464" s="35"/>
      <c r="JE464" s="35"/>
    </row>
    <row r="465">
      <c r="A465" s="42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  <c r="BD465" s="35"/>
      <c r="BE465" s="35"/>
      <c r="BF465" s="35"/>
      <c r="BG465" s="35"/>
      <c r="BH465" s="35"/>
      <c r="BI465" s="35"/>
      <c r="BJ465" s="35"/>
      <c r="BK465" s="35"/>
      <c r="BL465" s="35"/>
      <c r="BM465" s="35"/>
      <c r="BN465" s="35"/>
      <c r="BO465" s="35"/>
      <c r="BP465" s="35"/>
      <c r="BQ465" s="35"/>
      <c r="BR465" s="35"/>
      <c r="BS465" s="35"/>
      <c r="BT465" s="35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35"/>
      <c r="CO465" s="35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35"/>
      <c r="DJ465" s="35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35"/>
      <c r="EE465" s="35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35"/>
      <c r="EZ465" s="35"/>
      <c r="FA465" s="35"/>
      <c r="FB465" s="35"/>
      <c r="FC465" s="35"/>
      <c r="FD465" s="35"/>
      <c r="FE465" s="35"/>
      <c r="FF465" s="35"/>
      <c r="FG465" s="35"/>
      <c r="FH465" s="35"/>
      <c r="FI465" s="35"/>
      <c r="FJ465" s="35"/>
      <c r="FK465" s="35"/>
      <c r="FL465" s="35"/>
      <c r="FM465" s="35"/>
      <c r="FN465" s="35"/>
      <c r="FO465" s="35"/>
      <c r="FP465" s="35"/>
      <c r="FQ465" s="35"/>
      <c r="FR465" s="35"/>
      <c r="FS465" s="35"/>
      <c r="FT465" s="35"/>
      <c r="FU465" s="35"/>
      <c r="FV465" s="35"/>
      <c r="FW465" s="35"/>
      <c r="FX465" s="35"/>
      <c r="FY465" s="35"/>
      <c r="FZ465" s="35"/>
      <c r="GA465" s="35"/>
      <c r="GB465" s="35"/>
      <c r="GC465" s="35"/>
      <c r="GD465" s="35"/>
      <c r="GE465" s="35"/>
      <c r="GF465" s="35"/>
      <c r="GG465" s="35"/>
      <c r="GH465" s="35"/>
      <c r="GI465" s="35"/>
      <c r="GJ465" s="35"/>
      <c r="GK465" s="35"/>
      <c r="GL465" s="35"/>
      <c r="GM465" s="35"/>
      <c r="GN465" s="35"/>
      <c r="GO465" s="35"/>
      <c r="GP465" s="35"/>
      <c r="GQ465" s="35"/>
      <c r="GR465" s="35"/>
      <c r="GS465" s="35"/>
      <c r="GT465" s="35"/>
      <c r="GU465" s="35"/>
      <c r="GV465" s="35"/>
      <c r="GW465" s="35"/>
      <c r="GX465" s="35"/>
      <c r="GY465" s="35"/>
      <c r="GZ465" s="35"/>
      <c r="HA465" s="35"/>
      <c r="HB465" s="35"/>
      <c r="HC465" s="35"/>
      <c r="HD465" s="35"/>
      <c r="HE465" s="35"/>
      <c r="HF465" s="35"/>
      <c r="HG465" s="35"/>
      <c r="HH465" s="35"/>
      <c r="HI465" s="35"/>
      <c r="HJ465" s="35"/>
      <c r="HK465" s="35"/>
      <c r="HL465" s="35"/>
      <c r="HM465" s="35"/>
      <c r="HN465" s="35"/>
      <c r="HO465" s="35"/>
      <c r="HP465" s="35"/>
      <c r="HQ465" s="35"/>
      <c r="HR465" s="35"/>
      <c r="HS465" s="35"/>
      <c r="HT465" s="35"/>
      <c r="HU465" s="35"/>
      <c r="HV465" s="35"/>
      <c r="HW465" s="35"/>
      <c r="HX465" s="35"/>
      <c r="HY465" s="35"/>
      <c r="HZ465" s="35"/>
      <c r="IA465" s="35"/>
      <c r="IB465" s="35"/>
      <c r="IC465" s="35"/>
      <c r="ID465" s="35"/>
      <c r="IE465" s="35"/>
      <c r="IF465" s="35"/>
      <c r="IG465" s="35"/>
      <c r="IH465" s="35"/>
      <c r="II465" s="35"/>
      <c r="IJ465" s="35"/>
      <c r="IK465" s="35"/>
      <c r="IL465" s="35"/>
      <c r="IM465" s="35"/>
      <c r="IN465" s="35"/>
      <c r="IO465" s="35"/>
      <c r="IP465" s="35"/>
      <c r="IQ465" s="35"/>
      <c r="IR465" s="35"/>
      <c r="IS465" s="35"/>
      <c r="IT465" s="35"/>
      <c r="IU465" s="35"/>
      <c r="IV465" s="35"/>
      <c r="IW465" s="35"/>
      <c r="IX465" s="35"/>
      <c r="IY465" s="35"/>
      <c r="IZ465" s="35"/>
      <c r="JA465" s="35"/>
      <c r="JB465" s="35"/>
      <c r="JC465" s="35"/>
      <c r="JD465" s="35"/>
      <c r="JE465" s="35"/>
    </row>
    <row r="466">
      <c r="A466" s="42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/>
      <c r="BP466" s="35"/>
      <c r="BQ466" s="35"/>
      <c r="BR466" s="35"/>
      <c r="BS466" s="35"/>
      <c r="BT466" s="35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35"/>
      <c r="CO466" s="35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35"/>
      <c r="DJ466" s="35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35"/>
      <c r="EE466" s="35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35"/>
      <c r="EZ466" s="35"/>
      <c r="FA466" s="35"/>
      <c r="FB466" s="35"/>
      <c r="FC466" s="35"/>
      <c r="FD466" s="35"/>
      <c r="FE466" s="35"/>
      <c r="FF466" s="35"/>
      <c r="FG466" s="35"/>
      <c r="FH466" s="35"/>
      <c r="FI466" s="35"/>
      <c r="FJ466" s="35"/>
      <c r="FK466" s="35"/>
      <c r="FL466" s="35"/>
      <c r="FM466" s="35"/>
      <c r="FN466" s="35"/>
      <c r="FO466" s="35"/>
      <c r="FP466" s="35"/>
      <c r="FQ466" s="35"/>
      <c r="FR466" s="35"/>
      <c r="FS466" s="35"/>
      <c r="FT466" s="35"/>
      <c r="FU466" s="35"/>
      <c r="FV466" s="35"/>
      <c r="FW466" s="35"/>
      <c r="FX466" s="35"/>
      <c r="FY466" s="35"/>
      <c r="FZ466" s="35"/>
      <c r="GA466" s="35"/>
      <c r="GB466" s="35"/>
      <c r="GC466" s="35"/>
      <c r="GD466" s="35"/>
      <c r="GE466" s="35"/>
      <c r="GF466" s="35"/>
      <c r="GG466" s="35"/>
      <c r="GH466" s="35"/>
      <c r="GI466" s="35"/>
      <c r="GJ466" s="35"/>
      <c r="GK466" s="35"/>
      <c r="GL466" s="35"/>
      <c r="GM466" s="35"/>
      <c r="GN466" s="35"/>
      <c r="GO466" s="35"/>
      <c r="GP466" s="35"/>
      <c r="GQ466" s="35"/>
      <c r="GR466" s="35"/>
      <c r="GS466" s="35"/>
      <c r="GT466" s="35"/>
      <c r="GU466" s="35"/>
      <c r="GV466" s="35"/>
      <c r="GW466" s="35"/>
      <c r="GX466" s="35"/>
      <c r="GY466" s="35"/>
      <c r="GZ466" s="35"/>
      <c r="HA466" s="35"/>
      <c r="HB466" s="35"/>
      <c r="HC466" s="35"/>
      <c r="HD466" s="35"/>
      <c r="HE466" s="35"/>
      <c r="HF466" s="35"/>
      <c r="HG466" s="35"/>
      <c r="HH466" s="35"/>
      <c r="HI466" s="35"/>
      <c r="HJ466" s="35"/>
      <c r="HK466" s="35"/>
      <c r="HL466" s="35"/>
      <c r="HM466" s="35"/>
      <c r="HN466" s="35"/>
      <c r="HO466" s="35"/>
      <c r="HP466" s="35"/>
      <c r="HQ466" s="35"/>
      <c r="HR466" s="35"/>
      <c r="HS466" s="35"/>
      <c r="HT466" s="35"/>
      <c r="HU466" s="35"/>
      <c r="HV466" s="35"/>
      <c r="HW466" s="35"/>
      <c r="HX466" s="35"/>
      <c r="HY466" s="35"/>
      <c r="HZ466" s="35"/>
      <c r="IA466" s="35"/>
      <c r="IB466" s="35"/>
      <c r="IC466" s="35"/>
      <c r="ID466" s="35"/>
      <c r="IE466" s="35"/>
      <c r="IF466" s="35"/>
      <c r="IG466" s="35"/>
      <c r="IH466" s="35"/>
      <c r="II466" s="35"/>
      <c r="IJ466" s="35"/>
      <c r="IK466" s="35"/>
      <c r="IL466" s="35"/>
      <c r="IM466" s="35"/>
      <c r="IN466" s="35"/>
      <c r="IO466" s="35"/>
      <c r="IP466" s="35"/>
      <c r="IQ466" s="35"/>
      <c r="IR466" s="35"/>
      <c r="IS466" s="35"/>
      <c r="IT466" s="35"/>
      <c r="IU466" s="35"/>
      <c r="IV466" s="35"/>
      <c r="IW466" s="35"/>
      <c r="IX466" s="35"/>
      <c r="IY466" s="35"/>
      <c r="IZ466" s="35"/>
      <c r="JA466" s="35"/>
      <c r="JB466" s="35"/>
      <c r="JC466" s="35"/>
      <c r="JD466" s="35"/>
      <c r="JE466" s="35"/>
    </row>
    <row r="467">
      <c r="A467" s="42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  <c r="BD467" s="35"/>
      <c r="BE467" s="35"/>
      <c r="BF467" s="35"/>
      <c r="BG467" s="35"/>
      <c r="BH467" s="35"/>
      <c r="BI467" s="35"/>
      <c r="BJ467" s="35"/>
      <c r="BK467" s="35"/>
      <c r="BL467" s="35"/>
      <c r="BM467" s="35"/>
      <c r="BN467" s="35"/>
      <c r="BO467" s="35"/>
      <c r="BP467" s="35"/>
      <c r="BQ467" s="35"/>
      <c r="BR467" s="35"/>
      <c r="BS467" s="35"/>
      <c r="BT467" s="35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35"/>
      <c r="CO467" s="35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35"/>
      <c r="DJ467" s="35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35"/>
      <c r="EE467" s="35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35"/>
      <c r="EZ467" s="35"/>
      <c r="FA467" s="35"/>
      <c r="FB467" s="35"/>
      <c r="FC467" s="35"/>
      <c r="FD467" s="35"/>
      <c r="FE467" s="35"/>
      <c r="FF467" s="35"/>
      <c r="FG467" s="35"/>
      <c r="FH467" s="35"/>
      <c r="FI467" s="35"/>
      <c r="FJ467" s="35"/>
      <c r="FK467" s="35"/>
      <c r="FL467" s="35"/>
      <c r="FM467" s="35"/>
      <c r="FN467" s="35"/>
      <c r="FO467" s="35"/>
      <c r="FP467" s="35"/>
      <c r="FQ467" s="35"/>
      <c r="FR467" s="35"/>
      <c r="FS467" s="35"/>
      <c r="FT467" s="35"/>
      <c r="FU467" s="35"/>
      <c r="FV467" s="35"/>
      <c r="FW467" s="35"/>
      <c r="FX467" s="35"/>
      <c r="FY467" s="35"/>
      <c r="FZ467" s="35"/>
      <c r="GA467" s="35"/>
      <c r="GB467" s="35"/>
      <c r="GC467" s="35"/>
      <c r="GD467" s="35"/>
      <c r="GE467" s="35"/>
      <c r="GF467" s="35"/>
      <c r="GG467" s="35"/>
      <c r="GH467" s="35"/>
      <c r="GI467" s="35"/>
      <c r="GJ467" s="35"/>
      <c r="GK467" s="35"/>
      <c r="GL467" s="35"/>
      <c r="GM467" s="35"/>
      <c r="GN467" s="35"/>
      <c r="GO467" s="35"/>
      <c r="GP467" s="35"/>
      <c r="GQ467" s="35"/>
      <c r="GR467" s="35"/>
      <c r="GS467" s="35"/>
      <c r="GT467" s="35"/>
      <c r="GU467" s="35"/>
      <c r="GV467" s="35"/>
      <c r="GW467" s="35"/>
      <c r="GX467" s="35"/>
      <c r="GY467" s="35"/>
      <c r="GZ467" s="35"/>
      <c r="HA467" s="35"/>
      <c r="HB467" s="35"/>
      <c r="HC467" s="35"/>
      <c r="HD467" s="35"/>
      <c r="HE467" s="35"/>
      <c r="HF467" s="35"/>
      <c r="HG467" s="35"/>
      <c r="HH467" s="35"/>
      <c r="HI467" s="35"/>
      <c r="HJ467" s="35"/>
      <c r="HK467" s="35"/>
      <c r="HL467" s="35"/>
      <c r="HM467" s="35"/>
      <c r="HN467" s="35"/>
      <c r="HO467" s="35"/>
      <c r="HP467" s="35"/>
      <c r="HQ467" s="35"/>
      <c r="HR467" s="35"/>
      <c r="HS467" s="35"/>
      <c r="HT467" s="35"/>
      <c r="HU467" s="35"/>
      <c r="HV467" s="35"/>
      <c r="HW467" s="35"/>
      <c r="HX467" s="35"/>
      <c r="HY467" s="35"/>
      <c r="HZ467" s="35"/>
      <c r="IA467" s="35"/>
      <c r="IB467" s="35"/>
      <c r="IC467" s="35"/>
      <c r="ID467" s="35"/>
      <c r="IE467" s="35"/>
      <c r="IF467" s="35"/>
      <c r="IG467" s="35"/>
      <c r="IH467" s="35"/>
      <c r="II467" s="35"/>
      <c r="IJ467" s="35"/>
      <c r="IK467" s="35"/>
      <c r="IL467" s="35"/>
      <c r="IM467" s="35"/>
      <c r="IN467" s="35"/>
      <c r="IO467" s="35"/>
      <c r="IP467" s="35"/>
      <c r="IQ467" s="35"/>
      <c r="IR467" s="35"/>
      <c r="IS467" s="35"/>
      <c r="IT467" s="35"/>
      <c r="IU467" s="35"/>
      <c r="IV467" s="35"/>
      <c r="IW467" s="35"/>
      <c r="IX467" s="35"/>
      <c r="IY467" s="35"/>
      <c r="IZ467" s="35"/>
      <c r="JA467" s="35"/>
      <c r="JB467" s="35"/>
      <c r="JC467" s="35"/>
      <c r="JD467" s="35"/>
      <c r="JE467" s="35"/>
    </row>
    <row r="468">
      <c r="A468" s="42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  <c r="BC468" s="35"/>
      <c r="BD468" s="35"/>
      <c r="BE468" s="35"/>
      <c r="BF468" s="35"/>
      <c r="BG468" s="35"/>
      <c r="BH468" s="35"/>
      <c r="BI468" s="35"/>
      <c r="BJ468" s="35"/>
      <c r="BK468" s="35"/>
      <c r="BL468" s="35"/>
      <c r="BM468" s="35"/>
      <c r="BN468" s="35"/>
      <c r="BO468" s="35"/>
      <c r="BP468" s="35"/>
      <c r="BQ468" s="35"/>
      <c r="BR468" s="35"/>
      <c r="BS468" s="35"/>
      <c r="BT468" s="35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35"/>
      <c r="CO468" s="35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35"/>
      <c r="DJ468" s="35"/>
      <c r="DK468" s="35"/>
      <c r="DL468" s="35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35"/>
      <c r="EE468" s="35"/>
      <c r="EF468" s="35"/>
      <c r="EG468" s="35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35"/>
      <c r="EZ468" s="35"/>
      <c r="FA468" s="35"/>
      <c r="FB468" s="35"/>
      <c r="FC468" s="35"/>
      <c r="FD468" s="35"/>
      <c r="FE468" s="35"/>
      <c r="FF468" s="35"/>
      <c r="FG468" s="35"/>
      <c r="FH468" s="35"/>
      <c r="FI468" s="35"/>
      <c r="FJ468" s="35"/>
      <c r="FK468" s="35"/>
      <c r="FL468" s="35"/>
      <c r="FM468" s="35"/>
      <c r="FN468" s="35"/>
      <c r="FO468" s="35"/>
      <c r="FP468" s="35"/>
      <c r="FQ468" s="35"/>
      <c r="FR468" s="35"/>
      <c r="FS468" s="35"/>
      <c r="FT468" s="35"/>
      <c r="FU468" s="35"/>
      <c r="FV468" s="35"/>
      <c r="FW468" s="35"/>
      <c r="FX468" s="35"/>
      <c r="FY468" s="35"/>
      <c r="FZ468" s="35"/>
      <c r="GA468" s="35"/>
      <c r="GB468" s="35"/>
      <c r="GC468" s="35"/>
      <c r="GD468" s="35"/>
      <c r="GE468" s="35"/>
      <c r="GF468" s="35"/>
      <c r="GG468" s="35"/>
      <c r="GH468" s="35"/>
      <c r="GI468" s="35"/>
      <c r="GJ468" s="35"/>
      <c r="GK468" s="35"/>
      <c r="GL468" s="35"/>
      <c r="GM468" s="35"/>
      <c r="GN468" s="35"/>
      <c r="GO468" s="35"/>
      <c r="GP468" s="35"/>
      <c r="GQ468" s="35"/>
      <c r="GR468" s="35"/>
      <c r="GS468" s="35"/>
      <c r="GT468" s="35"/>
      <c r="GU468" s="35"/>
      <c r="GV468" s="35"/>
      <c r="GW468" s="35"/>
      <c r="GX468" s="35"/>
      <c r="GY468" s="35"/>
      <c r="GZ468" s="35"/>
      <c r="HA468" s="35"/>
      <c r="HB468" s="35"/>
      <c r="HC468" s="35"/>
      <c r="HD468" s="35"/>
      <c r="HE468" s="35"/>
      <c r="HF468" s="35"/>
      <c r="HG468" s="35"/>
      <c r="HH468" s="35"/>
      <c r="HI468" s="35"/>
      <c r="HJ468" s="35"/>
      <c r="HK468" s="35"/>
      <c r="HL468" s="35"/>
      <c r="HM468" s="35"/>
      <c r="HN468" s="35"/>
      <c r="HO468" s="35"/>
      <c r="HP468" s="35"/>
      <c r="HQ468" s="35"/>
      <c r="HR468" s="35"/>
      <c r="HS468" s="35"/>
      <c r="HT468" s="35"/>
      <c r="HU468" s="35"/>
      <c r="HV468" s="35"/>
      <c r="HW468" s="35"/>
      <c r="HX468" s="35"/>
      <c r="HY468" s="35"/>
      <c r="HZ468" s="35"/>
      <c r="IA468" s="35"/>
      <c r="IB468" s="35"/>
      <c r="IC468" s="35"/>
      <c r="ID468" s="35"/>
      <c r="IE468" s="35"/>
      <c r="IF468" s="35"/>
      <c r="IG468" s="35"/>
      <c r="IH468" s="35"/>
      <c r="II468" s="35"/>
      <c r="IJ468" s="35"/>
      <c r="IK468" s="35"/>
      <c r="IL468" s="35"/>
      <c r="IM468" s="35"/>
      <c r="IN468" s="35"/>
      <c r="IO468" s="35"/>
      <c r="IP468" s="35"/>
      <c r="IQ468" s="35"/>
      <c r="IR468" s="35"/>
      <c r="IS468" s="35"/>
      <c r="IT468" s="35"/>
      <c r="IU468" s="35"/>
      <c r="IV468" s="35"/>
      <c r="IW468" s="35"/>
      <c r="IX468" s="35"/>
      <c r="IY468" s="35"/>
      <c r="IZ468" s="35"/>
      <c r="JA468" s="35"/>
      <c r="JB468" s="35"/>
      <c r="JC468" s="35"/>
      <c r="JD468" s="35"/>
      <c r="JE468" s="35"/>
    </row>
    <row r="469">
      <c r="A469" s="42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  <c r="BD469" s="35"/>
      <c r="BE469" s="35"/>
      <c r="BF469" s="35"/>
      <c r="BG469" s="35"/>
      <c r="BH469" s="35"/>
      <c r="BI469" s="35"/>
      <c r="BJ469" s="35"/>
      <c r="BK469" s="35"/>
      <c r="BL469" s="35"/>
      <c r="BM469" s="35"/>
      <c r="BN469" s="35"/>
      <c r="BO469" s="35"/>
      <c r="BP469" s="35"/>
      <c r="BQ469" s="35"/>
      <c r="BR469" s="35"/>
      <c r="BS469" s="35"/>
      <c r="BT469" s="35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35"/>
      <c r="CO469" s="35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35"/>
      <c r="DJ469" s="35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35"/>
      <c r="EE469" s="35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35"/>
      <c r="EZ469" s="35"/>
      <c r="FA469" s="35"/>
      <c r="FB469" s="35"/>
      <c r="FC469" s="35"/>
      <c r="FD469" s="35"/>
      <c r="FE469" s="35"/>
      <c r="FF469" s="35"/>
      <c r="FG469" s="35"/>
      <c r="FH469" s="35"/>
      <c r="FI469" s="35"/>
      <c r="FJ469" s="35"/>
      <c r="FK469" s="35"/>
      <c r="FL469" s="35"/>
      <c r="FM469" s="35"/>
      <c r="FN469" s="35"/>
      <c r="FO469" s="35"/>
      <c r="FP469" s="35"/>
      <c r="FQ469" s="35"/>
      <c r="FR469" s="35"/>
      <c r="FS469" s="35"/>
      <c r="FT469" s="35"/>
      <c r="FU469" s="35"/>
      <c r="FV469" s="35"/>
      <c r="FW469" s="35"/>
      <c r="FX469" s="35"/>
      <c r="FY469" s="35"/>
      <c r="FZ469" s="35"/>
      <c r="GA469" s="35"/>
      <c r="GB469" s="35"/>
      <c r="GC469" s="35"/>
      <c r="GD469" s="35"/>
      <c r="GE469" s="35"/>
      <c r="GF469" s="35"/>
      <c r="GG469" s="35"/>
      <c r="GH469" s="35"/>
      <c r="GI469" s="35"/>
      <c r="GJ469" s="35"/>
      <c r="GK469" s="35"/>
      <c r="GL469" s="35"/>
      <c r="GM469" s="35"/>
      <c r="GN469" s="35"/>
      <c r="GO469" s="35"/>
      <c r="GP469" s="35"/>
      <c r="GQ469" s="35"/>
      <c r="GR469" s="35"/>
      <c r="GS469" s="35"/>
      <c r="GT469" s="35"/>
      <c r="GU469" s="35"/>
      <c r="GV469" s="35"/>
      <c r="GW469" s="35"/>
      <c r="GX469" s="35"/>
      <c r="GY469" s="35"/>
      <c r="GZ469" s="35"/>
      <c r="HA469" s="35"/>
      <c r="HB469" s="35"/>
      <c r="HC469" s="35"/>
      <c r="HD469" s="35"/>
      <c r="HE469" s="35"/>
      <c r="HF469" s="35"/>
      <c r="HG469" s="35"/>
      <c r="HH469" s="35"/>
      <c r="HI469" s="35"/>
      <c r="HJ469" s="35"/>
      <c r="HK469" s="35"/>
      <c r="HL469" s="35"/>
      <c r="HM469" s="35"/>
      <c r="HN469" s="35"/>
      <c r="HO469" s="35"/>
      <c r="HP469" s="35"/>
      <c r="HQ469" s="35"/>
      <c r="HR469" s="35"/>
      <c r="HS469" s="35"/>
      <c r="HT469" s="35"/>
      <c r="HU469" s="35"/>
      <c r="HV469" s="35"/>
      <c r="HW469" s="35"/>
      <c r="HX469" s="35"/>
      <c r="HY469" s="35"/>
      <c r="HZ469" s="35"/>
      <c r="IA469" s="35"/>
      <c r="IB469" s="35"/>
      <c r="IC469" s="35"/>
      <c r="ID469" s="35"/>
      <c r="IE469" s="35"/>
      <c r="IF469" s="35"/>
      <c r="IG469" s="35"/>
      <c r="IH469" s="35"/>
      <c r="II469" s="35"/>
      <c r="IJ469" s="35"/>
      <c r="IK469" s="35"/>
      <c r="IL469" s="35"/>
      <c r="IM469" s="35"/>
      <c r="IN469" s="35"/>
      <c r="IO469" s="35"/>
      <c r="IP469" s="35"/>
      <c r="IQ469" s="35"/>
      <c r="IR469" s="35"/>
      <c r="IS469" s="35"/>
      <c r="IT469" s="35"/>
      <c r="IU469" s="35"/>
      <c r="IV469" s="35"/>
      <c r="IW469" s="35"/>
      <c r="IX469" s="35"/>
      <c r="IY469" s="35"/>
      <c r="IZ469" s="35"/>
      <c r="JA469" s="35"/>
      <c r="JB469" s="35"/>
      <c r="JC469" s="35"/>
      <c r="JD469" s="35"/>
      <c r="JE469" s="35"/>
    </row>
    <row r="470">
      <c r="A470" s="42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  <c r="BD470" s="35"/>
      <c r="BE470" s="35"/>
      <c r="BF470" s="35"/>
      <c r="BG470" s="35"/>
      <c r="BH470" s="35"/>
      <c r="BI470" s="35"/>
      <c r="BJ470" s="35"/>
      <c r="BK470" s="35"/>
      <c r="BL470" s="35"/>
      <c r="BM470" s="35"/>
      <c r="BN470" s="35"/>
      <c r="BO470" s="35"/>
      <c r="BP470" s="35"/>
      <c r="BQ470" s="35"/>
      <c r="BR470" s="35"/>
      <c r="BS470" s="35"/>
      <c r="BT470" s="35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35"/>
      <c r="CO470" s="35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35"/>
      <c r="DJ470" s="35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35"/>
      <c r="EE470" s="35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35"/>
      <c r="EZ470" s="35"/>
      <c r="FA470" s="35"/>
      <c r="FB470" s="35"/>
      <c r="FC470" s="35"/>
      <c r="FD470" s="35"/>
      <c r="FE470" s="35"/>
      <c r="FF470" s="35"/>
      <c r="FG470" s="35"/>
      <c r="FH470" s="35"/>
      <c r="FI470" s="35"/>
      <c r="FJ470" s="35"/>
      <c r="FK470" s="35"/>
      <c r="FL470" s="35"/>
      <c r="FM470" s="35"/>
      <c r="FN470" s="35"/>
      <c r="FO470" s="35"/>
      <c r="FP470" s="35"/>
      <c r="FQ470" s="35"/>
      <c r="FR470" s="35"/>
      <c r="FS470" s="35"/>
      <c r="FT470" s="35"/>
      <c r="FU470" s="35"/>
      <c r="FV470" s="35"/>
      <c r="FW470" s="35"/>
      <c r="FX470" s="35"/>
      <c r="FY470" s="35"/>
      <c r="FZ470" s="35"/>
      <c r="GA470" s="35"/>
      <c r="GB470" s="35"/>
      <c r="GC470" s="35"/>
      <c r="GD470" s="35"/>
      <c r="GE470" s="35"/>
      <c r="GF470" s="35"/>
      <c r="GG470" s="35"/>
      <c r="GH470" s="35"/>
      <c r="GI470" s="35"/>
      <c r="GJ470" s="35"/>
      <c r="GK470" s="35"/>
      <c r="GL470" s="35"/>
      <c r="GM470" s="35"/>
      <c r="GN470" s="35"/>
      <c r="GO470" s="35"/>
      <c r="GP470" s="35"/>
      <c r="GQ470" s="35"/>
      <c r="GR470" s="35"/>
      <c r="GS470" s="35"/>
      <c r="GT470" s="35"/>
      <c r="GU470" s="35"/>
      <c r="GV470" s="35"/>
      <c r="GW470" s="35"/>
      <c r="GX470" s="35"/>
      <c r="GY470" s="35"/>
      <c r="GZ470" s="35"/>
      <c r="HA470" s="35"/>
      <c r="HB470" s="35"/>
      <c r="HC470" s="35"/>
      <c r="HD470" s="35"/>
      <c r="HE470" s="35"/>
      <c r="HF470" s="35"/>
      <c r="HG470" s="35"/>
      <c r="HH470" s="35"/>
      <c r="HI470" s="35"/>
      <c r="HJ470" s="35"/>
      <c r="HK470" s="35"/>
      <c r="HL470" s="35"/>
      <c r="HM470" s="35"/>
      <c r="HN470" s="35"/>
      <c r="HO470" s="35"/>
      <c r="HP470" s="35"/>
      <c r="HQ470" s="35"/>
      <c r="HR470" s="35"/>
      <c r="HS470" s="35"/>
      <c r="HT470" s="35"/>
      <c r="HU470" s="35"/>
      <c r="HV470" s="35"/>
      <c r="HW470" s="35"/>
      <c r="HX470" s="35"/>
      <c r="HY470" s="35"/>
      <c r="HZ470" s="35"/>
      <c r="IA470" s="35"/>
      <c r="IB470" s="35"/>
      <c r="IC470" s="35"/>
      <c r="ID470" s="35"/>
      <c r="IE470" s="35"/>
      <c r="IF470" s="35"/>
      <c r="IG470" s="35"/>
      <c r="IH470" s="35"/>
      <c r="II470" s="35"/>
      <c r="IJ470" s="35"/>
      <c r="IK470" s="35"/>
      <c r="IL470" s="35"/>
      <c r="IM470" s="35"/>
      <c r="IN470" s="35"/>
      <c r="IO470" s="35"/>
      <c r="IP470" s="35"/>
      <c r="IQ470" s="35"/>
      <c r="IR470" s="35"/>
      <c r="IS470" s="35"/>
      <c r="IT470" s="35"/>
      <c r="IU470" s="35"/>
      <c r="IV470" s="35"/>
      <c r="IW470" s="35"/>
      <c r="IX470" s="35"/>
      <c r="IY470" s="35"/>
      <c r="IZ470" s="35"/>
      <c r="JA470" s="35"/>
      <c r="JB470" s="35"/>
      <c r="JC470" s="35"/>
      <c r="JD470" s="35"/>
      <c r="JE470" s="35"/>
    </row>
    <row r="471">
      <c r="A471" s="42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35"/>
      <c r="BA471" s="35"/>
      <c r="BB471" s="35"/>
      <c r="BC471" s="35"/>
      <c r="BD471" s="35"/>
      <c r="BE471" s="35"/>
      <c r="BF471" s="35"/>
      <c r="BG471" s="35"/>
      <c r="BH471" s="35"/>
      <c r="BI471" s="35"/>
      <c r="BJ471" s="35"/>
      <c r="BK471" s="35"/>
      <c r="BL471" s="35"/>
      <c r="BM471" s="35"/>
      <c r="BN471" s="35"/>
      <c r="BO471" s="35"/>
      <c r="BP471" s="35"/>
      <c r="BQ471" s="35"/>
      <c r="BR471" s="35"/>
      <c r="BS471" s="35"/>
      <c r="BT471" s="35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35"/>
      <c r="CO471" s="35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35"/>
      <c r="DJ471" s="35"/>
      <c r="DK471" s="35"/>
      <c r="DL471" s="35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35"/>
      <c r="EE471" s="35"/>
      <c r="EF471" s="35"/>
      <c r="EG471" s="35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35"/>
      <c r="EZ471" s="35"/>
      <c r="FA471" s="35"/>
      <c r="FB471" s="35"/>
      <c r="FC471" s="35"/>
      <c r="FD471" s="35"/>
      <c r="FE471" s="35"/>
      <c r="FF471" s="35"/>
      <c r="FG471" s="35"/>
      <c r="FH471" s="35"/>
      <c r="FI471" s="35"/>
      <c r="FJ471" s="35"/>
      <c r="FK471" s="35"/>
      <c r="FL471" s="35"/>
      <c r="FM471" s="35"/>
      <c r="FN471" s="35"/>
      <c r="FO471" s="35"/>
      <c r="FP471" s="35"/>
      <c r="FQ471" s="35"/>
      <c r="FR471" s="35"/>
      <c r="FS471" s="35"/>
      <c r="FT471" s="35"/>
      <c r="FU471" s="35"/>
      <c r="FV471" s="35"/>
      <c r="FW471" s="35"/>
      <c r="FX471" s="35"/>
      <c r="FY471" s="35"/>
      <c r="FZ471" s="35"/>
      <c r="GA471" s="35"/>
      <c r="GB471" s="35"/>
      <c r="GC471" s="35"/>
      <c r="GD471" s="35"/>
      <c r="GE471" s="35"/>
      <c r="GF471" s="35"/>
      <c r="GG471" s="35"/>
      <c r="GH471" s="35"/>
      <c r="GI471" s="35"/>
      <c r="GJ471" s="35"/>
      <c r="GK471" s="35"/>
      <c r="GL471" s="35"/>
      <c r="GM471" s="35"/>
      <c r="GN471" s="35"/>
      <c r="GO471" s="35"/>
      <c r="GP471" s="35"/>
      <c r="GQ471" s="35"/>
      <c r="GR471" s="35"/>
      <c r="GS471" s="35"/>
      <c r="GT471" s="35"/>
      <c r="GU471" s="35"/>
      <c r="GV471" s="35"/>
      <c r="GW471" s="35"/>
      <c r="GX471" s="35"/>
      <c r="GY471" s="35"/>
      <c r="GZ471" s="35"/>
      <c r="HA471" s="35"/>
      <c r="HB471" s="35"/>
      <c r="HC471" s="35"/>
      <c r="HD471" s="35"/>
      <c r="HE471" s="35"/>
      <c r="HF471" s="35"/>
      <c r="HG471" s="35"/>
      <c r="HH471" s="35"/>
      <c r="HI471" s="35"/>
      <c r="HJ471" s="35"/>
      <c r="HK471" s="35"/>
      <c r="HL471" s="35"/>
      <c r="HM471" s="35"/>
      <c r="HN471" s="35"/>
      <c r="HO471" s="35"/>
      <c r="HP471" s="35"/>
      <c r="HQ471" s="35"/>
      <c r="HR471" s="35"/>
      <c r="HS471" s="35"/>
      <c r="HT471" s="35"/>
      <c r="HU471" s="35"/>
      <c r="HV471" s="35"/>
      <c r="HW471" s="35"/>
      <c r="HX471" s="35"/>
      <c r="HY471" s="35"/>
      <c r="HZ471" s="35"/>
      <c r="IA471" s="35"/>
      <c r="IB471" s="35"/>
      <c r="IC471" s="35"/>
      <c r="ID471" s="35"/>
      <c r="IE471" s="35"/>
      <c r="IF471" s="35"/>
      <c r="IG471" s="35"/>
      <c r="IH471" s="35"/>
      <c r="II471" s="35"/>
      <c r="IJ471" s="35"/>
      <c r="IK471" s="35"/>
      <c r="IL471" s="35"/>
      <c r="IM471" s="35"/>
      <c r="IN471" s="35"/>
      <c r="IO471" s="35"/>
      <c r="IP471" s="35"/>
      <c r="IQ471" s="35"/>
      <c r="IR471" s="35"/>
      <c r="IS471" s="35"/>
      <c r="IT471" s="35"/>
      <c r="IU471" s="35"/>
      <c r="IV471" s="35"/>
      <c r="IW471" s="35"/>
      <c r="IX471" s="35"/>
      <c r="IY471" s="35"/>
      <c r="IZ471" s="35"/>
      <c r="JA471" s="35"/>
      <c r="JB471" s="35"/>
      <c r="JC471" s="35"/>
      <c r="JD471" s="35"/>
      <c r="JE471" s="35"/>
    </row>
    <row r="472">
      <c r="A472" s="42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  <c r="AZ472" s="35"/>
      <c r="BA472" s="35"/>
      <c r="BB472" s="35"/>
      <c r="BC472" s="35"/>
      <c r="BD472" s="35"/>
      <c r="BE472" s="35"/>
      <c r="BF472" s="35"/>
      <c r="BG472" s="35"/>
      <c r="BH472" s="35"/>
      <c r="BI472" s="35"/>
      <c r="BJ472" s="35"/>
      <c r="BK472" s="35"/>
      <c r="BL472" s="35"/>
      <c r="BM472" s="35"/>
      <c r="BN472" s="35"/>
      <c r="BO472" s="35"/>
      <c r="BP472" s="35"/>
      <c r="BQ472" s="35"/>
      <c r="BR472" s="35"/>
      <c r="BS472" s="35"/>
      <c r="BT472" s="35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35"/>
      <c r="CO472" s="35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35"/>
      <c r="DJ472" s="35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35"/>
      <c r="EE472" s="35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35"/>
      <c r="EZ472" s="35"/>
      <c r="FA472" s="35"/>
      <c r="FB472" s="35"/>
      <c r="FC472" s="35"/>
      <c r="FD472" s="35"/>
      <c r="FE472" s="35"/>
      <c r="FF472" s="35"/>
      <c r="FG472" s="35"/>
      <c r="FH472" s="35"/>
      <c r="FI472" s="35"/>
      <c r="FJ472" s="35"/>
      <c r="FK472" s="35"/>
      <c r="FL472" s="35"/>
      <c r="FM472" s="35"/>
      <c r="FN472" s="35"/>
      <c r="FO472" s="35"/>
      <c r="FP472" s="35"/>
      <c r="FQ472" s="35"/>
      <c r="FR472" s="35"/>
      <c r="FS472" s="35"/>
      <c r="FT472" s="35"/>
      <c r="FU472" s="35"/>
      <c r="FV472" s="35"/>
      <c r="FW472" s="35"/>
      <c r="FX472" s="35"/>
      <c r="FY472" s="35"/>
      <c r="FZ472" s="35"/>
      <c r="GA472" s="35"/>
      <c r="GB472" s="35"/>
      <c r="GC472" s="35"/>
      <c r="GD472" s="35"/>
      <c r="GE472" s="35"/>
      <c r="GF472" s="35"/>
      <c r="GG472" s="35"/>
      <c r="GH472" s="35"/>
      <c r="GI472" s="35"/>
      <c r="GJ472" s="35"/>
      <c r="GK472" s="35"/>
      <c r="GL472" s="35"/>
      <c r="GM472" s="35"/>
      <c r="GN472" s="35"/>
      <c r="GO472" s="35"/>
      <c r="GP472" s="35"/>
      <c r="GQ472" s="35"/>
      <c r="GR472" s="35"/>
      <c r="GS472" s="35"/>
      <c r="GT472" s="35"/>
      <c r="GU472" s="35"/>
      <c r="GV472" s="35"/>
      <c r="GW472" s="35"/>
      <c r="GX472" s="35"/>
      <c r="GY472" s="35"/>
      <c r="GZ472" s="35"/>
      <c r="HA472" s="35"/>
      <c r="HB472" s="35"/>
      <c r="HC472" s="35"/>
      <c r="HD472" s="35"/>
      <c r="HE472" s="35"/>
      <c r="HF472" s="35"/>
      <c r="HG472" s="35"/>
      <c r="HH472" s="35"/>
      <c r="HI472" s="35"/>
      <c r="HJ472" s="35"/>
      <c r="HK472" s="35"/>
      <c r="HL472" s="35"/>
      <c r="HM472" s="35"/>
      <c r="HN472" s="35"/>
      <c r="HO472" s="35"/>
      <c r="HP472" s="35"/>
      <c r="HQ472" s="35"/>
      <c r="HR472" s="35"/>
      <c r="HS472" s="35"/>
      <c r="HT472" s="35"/>
      <c r="HU472" s="35"/>
      <c r="HV472" s="35"/>
      <c r="HW472" s="35"/>
      <c r="HX472" s="35"/>
      <c r="HY472" s="35"/>
      <c r="HZ472" s="35"/>
      <c r="IA472" s="35"/>
      <c r="IB472" s="35"/>
      <c r="IC472" s="35"/>
      <c r="ID472" s="35"/>
      <c r="IE472" s="35"/>
      <c r="IF472" s="35"/>
      <c r="IG472" s="35"/>
      <c r="IH472" s="35"/>
      <c r="II472" s="35"/>
      <c r="IJ472" s="35"/>
      <c r="IK472" s="35"/>
      <c r="IL472" s="35"/>
      <c r="IM472" s="35"/>
      <c r="IN472" s="35"/>
      <c r="IO472" s="35"/>
      <c r="IP472" s="35"/>
      <c r="IQ472" s="35"/>
      <c r="IR472" s="35"/>
      <c r="IS472" s="35"/>
      <c r="IT472" s="35"/>
      <c r="IU472" s="35"/>
      <c r="IV472" s="35"/>
      <c r="IW472" s="35"/>
      <c r="IX472" s="35"/>
      <c r="IY472" s="35"/>
      <c r="IZ472" s="35"/>
      <c r="JA472" s="35"/>
      <c r="JB472" s="35"/>
      <c r="JC472" s="35"/>
      <c r="JD472" s="35"/>
      <c r="JE472" s="35"/>
    </row>
    <row r="473">
      <c r="A473" s="42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  <c r="AZ473" s="35"/>
      <c r="BA473" s="35"/>
      <c r="BB473" s="35"/>
      <c r="BC473" s="35"/>
      <c r="BD473" s="35"/>
      <c r="BE473" s="35"/>
      <c r="BF473" s="35"/>
      <c r="BG473" s="35"/>
      <c r="BH473" s="35"/>
      <c r="BI473" s="35"/>
      <c r="BJ473" s="35"/>
      <c r="BK473" s="35"/>
      <c r="BL473" s="35"/>
      <c r="BM473" s="35"/>
      <c r="BN473" s="35"/>
      <c r="BO473" s="35"/>
      <c r="BP473" s="35"/>
      <c r="BQ473" s="35"/>
      <c r="BR473" s="35"/>
      <c r="BS473" s="35"/>
      <c r="BT473" s="35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35"/>
      <c r="CO473" s="35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35"/>
      <c r="DJ473" s="35"/>
      <c r="DK473" s="35"/>
      <c r="DL473" s="35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35"/>
      <c r="EE473" s="35"/>
      <c r="EF473" s="35"/>
      <c r="EG473" s="35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35"/>
      <c r="EZ473" s="35"/>
      <c r="FA473" s="35"/>
      <c r="FB473" s="35"/>
      <c r="FC473" s="35"/>
      <c r="FD473" s="35"/>
      <c r="FE473" s="35"/>
      <c r="FF473" s="35"/>
      <c r="FG473" s="35"/>
      <c r="FH473" s="35"/>
      <c r="FI473" s="35"/>
      <c r="FJ473" s="35"/>
      <c r="FK473" s="35"/>
      <c r="FL473" s="35"/>
      <c r="FM473" s="35"/>
      <c r="FN473" s="35"/>
      <c r="FO473" s="35"/>
      <c r="FP473" s="35"/>
      <c r="FQ473" s="35"/>
      <c r="FR473" s="35"/>
      <c r="FS473" s="35"/>
      <c r="FT473" s="35"/>
      <c r="FU473" s="35"/>
      <c r="FV473" s="35"/>
      <c r="FW473" s="35"/>
      <c r="FX473" s="35"/>
      <c r="FY473" s="35"/>
      <c r="FZ473" s="35"/>
      <c r="GA473" s="35"/>
      <c r="GB473" s="35"/>
      <c r="GC473" s="35"/>
      <c r="GD473" s="35"/>
      <c r="GE473" s="35"/>
      <c r="GF473" s="35"/>
      <c r="GG473" s="35"/>
      <c r="GH473" s="35"/>
      <c r="GI473" s="35"/>
      <c r="GJ473" s="35"/>
      <c r="GK473" s="35"/>
      <c r="GL473" s="35"/>
      <c r="GM473" s="35"/>
      <c r="GN473" s="35"/>
      <c r="GO473" s="35"/>
      <c r="GP473" s="35"/>
      <c r="GQ473" s="35"/>
      <c r="GR473" s="35"/>
      <c r="GS473" s="35"/>
      <c r="GT473" s="35"/>
      <c r="GU473" s="35"/>
      <c r="GV473" s="35"/>
      <c r="GW473" s="35"/>
      <c r="GX473" s="35"/>
      <c r="GY473" s="35"/>
      <c r="GZ473" s="35"/>
      <c r="HA473" s="35"/>
      <c r="HB473" s="35"/>
      <c r="HC473" s="35"/>
      <c r="HD473" s="35"/>
      <c r="HE473" s="35"/>
      <c r="HF473" s="35"/>
      <c r="HG473" s="35"/>
      <c r="HH473" s="35"/>
      <c r="HI473" s="35"/>
      <c r="HJ473" s="35"/>
      <c r="HK473" s="35"/>
      <c r="HL473" s="35"/>
      <c r="HM473" s="35"/>
      <c r="HN473" s="35"/>
      <c r="HO473" s="35"/>
      <c r="HP473" s="35"/>
      <c r="HQ473" s="35"/>
      <c r="HR473" s="35"/>
      <c r="HS473" s="35"/>
      <c r="HT473" s="35"/>
      <c r="HU473" s="35"/>
      <c r="HV473" s="35"/>
      <c r="HW473" s="35"/>
      <c r="HX473" s="35"/>
      <c r="HY473" s="35"/>
      <c r="HZ473" s="35"/>
      <c r="IA473" s="35"/>
      <c r="IB473" s="35"/>
      <c r="IC473" s="35"/>
      <c r="ID473" s="35"/>
      <c r="IE473" s="35"/>
      <c r="IF473" s="35"/>
      <c r="IG473" s="35"/>
      <c r="IH473" s="35"/>
      <c r="II473" s="35"/>
      <c r="IJ473" s="35"/>
      <c r="IK473" s="35"/>
      <c r="IL473" s="35"/>
      <c r="IM473" s="35"/>
      <c r="IN473" s="35"/>
      <c r="IO473" s="35"/>
      <c r="IP473" s="35"/>
      <c r="IQ473" s="35"/>
      <c r="IR473" s="35"/>
      <c r="IS473" s="35"/>
      <c r="IT473" s="35"/>
      <c r="IU473" s="35"/>
      <c r="IV473" s="35"/>
      <c r="IW473" s="35"/>
      <c r="IX473" s="35"/>
      <c r="IY473" s="35"/>
      <c r="IZ473" s="35"/>
      <c r="JA473" s="35"/>
      <c r="JB473" s="35"/>
      <c r="JC473" s="35"/>
      <c r="JD473" s="35"/>
      <c r="JE473" s="35"/>
    </row>
    <row r="474">
      <c r="A474" s="42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  <c r="BC474" s="35"/>
      <c r="BD474" s="35"/>
      <c r="BE474" s="35"/>
      <c r="BF474" s="35"/>
      <c r="BG474" s="35"/>
      <c r="BH474" s="35"/>
      <c r="BI474" s="35"/>
      <c r="BJ474" s="35"/>
      <c r="BK474" s="35"/>
      <c r="BL474" s="35"/>
      <c r="BM474" s="35"/>
      <c r="BN474" s="35"/>
      <c r="BO474" s="35"/>
      <c r="BP474" s="35"/>
      <c r="BQ474" s="35"/>
      <c r="BR474" s="35"/>
      <c r="BS474" s="35"/>
      <c r="BT474" s="35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35"/>
      <c r="CO474" s="35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35"/>
      <c r="DJ474" s="35"/>
      <c r="DK474" s="35"/>
      <c r="DL474" s="35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35"/>
      <c r="EE474" s="35"/>
      <c r="EF474" s="35"/>
      <c r="EG474" s="35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35"/>
      <c r="EZ474" s="35"/>
      <c r="FA474" s="35"/>
      <c r="FB474" s="35"/>
      <c r="FC474" s="35"/>
      <c r="FD474" s="35"/>
      <c r="FE474" s="35"/>
      <c r="FF474" s="35"/>
      <c r="FG474" s="35"/>
      <c r="FH474" s="35"/>
      <c r="FI474" s="35"/>
      <c r="FJ474" s="35"/>
      <c r="FK474" s="35"/>
      <c r="FL474" s="35"/>
      <c r="FM474" s="35"/>
      <c r="FN474" s="35"/>
      <c r="FO474" s="35"/>
      <c r="FP474" s="35"/>
      <c r="FQ474" s="35"/>
      <c r="FR474" s="35"/>
      <c r="FS474" s="35"/>
      <c r="FT474" s="35"/>
      <c r="FU474" s="35"/>
      <c r="FV474" s="35"/>
      <c r="FW474" s="35"/>
      <c r="FX474" s="35"/>
      <c r="FY474" s="35"/>
      <c r="FZ474" s="35"/>
      <c r="GA474" s="35"/>
      <c r="GB474" s="35"/>
      <c r="GC474" s="35"/>
      <c r="GD474" s="35"/>
      <c r="GE474" s="35"/>
      <c r="GF474" s="35"/>
      <c r="GG474" s="35"/>
      <c r="GH474" s="35"/>
      <c r="GI474" s="35"/>
      <c r="GJ474" s="35"/>
      <c r="GK474" s="35"/>
      <c r="GL474" s="35"/>
      <c r="GM474" s="35"/>
      <c r="GN474" s="35"/>
      <c r="GO474" s="35"/>
      <c r="GP474" s="35"/>
      <c r="GQ474" s="35"/>
      <c r="GR474" s="35"/>
      <c r="GS474" s="35"/>
      <c r="GT474" s="35"/>
      <c r="GU474" s="35"/>
      <c r="GV474" s="35"/>
      <c r="GW474" s="35"/>
      <c r="GX474" s="35"/>
      <c r="GY474" s="35"/>
      <c r="GZ474" s="35"/>
      <c r="HA474" s="35"/>
      <c r="HB474" s="35"/>
      <c r="HC474" s="35"/>
      <c r="HD474" s="35"/>
      <c r="HE474" s="35"/>
      <c r="HF474" s="35"/>
      <c r="HG474" s="35"/>
      <c r="HH474" s="35"/>
      <c r="HI474" s="35"/>
      <c r="HJ474" s="35"/>
      <c r="HK474" s="35"/>
      <c r="HL474" s="35"/>
      <c r="HM474" s="35"/>
      <c r="HN474" s="35"/>
      <c r="HO474" s="35"/>
      <c r="HP474" s="35"/>
      <c r="HQ474" s="35"/>
      <c r="HR474" s="35"/>
      <c r="HS474" s="35"/>
      <c r="HT474" s="35"/>
      <c r="HU474" s="35"/>
      <c r="HV474" s="35"/>
      <c r="HW474" s="35"/>
      <c r="HX474" s="35"/>
      <c r="HY474" s="35"/>
      <c r="HZ474" s="35"/>
      <c r="IA474" s="35"/>
      <c r="IB474" s="35"/>
      <c r="IC474" s="35"/>
      <c r="ID474" s="35"/>
      <c r="IE474" s="35"/>
      <c r="IF474" s="35"/>
      <c r="IG474" s="35"/>
      <c r="IH474" s="35"/>
      <c r="II474" s="35"/>
      <c r="IJ474" s="35"/>
      <c r="IK474" s="35"/>
      <c r="IL474" s="35"/>
      <c r="IM474" s="35"/>
      <c r="IN474" s="35"/>
      <c r="IO474" s="35"/>
      <c r="IP474" s="35"/>
      <c r="IQ474" s="35"/>
      <c r="IR474" s="35"/>
      <c r="IS474" s="35"/>
      <c r="IT474" s="35"/>
      <c r="IU474" s="35"/>
      <c r="IV474" s="35"/>
      <c r="IW474" s="35"/>
      <c r="IX474" s="35"/>
      <c r="IY474" s="35"/>
      <c r="IZ474" s="35"/>
      <c r="JA474" s="35"/>
      <c r="JB474" s="35"/>
      <c r="JC474" s="35"/>
      <c r="JD474" s="35"/>
      <c r="JE474" s="35"/>
    </row>
    <row r="475">
      <c r="A475" s="42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  <c r="BC475" s="35"/>
      <c r="BD475" s="35"/>
      <c r="BE475" s="35"/>
      <c r="BF475" s="35"/>
      <c r="BG475" s="35"/>
      <c r="BH475" s="35"/>
      <c r="BI475" s="35"/>
      <c r="BJ475" s="35"/>
      <c r="BK475" s="35"/>
      <c r="BL475" s="35"/>
      <c r="BM475" s="35"/>
      <c r="BN475" s="35"/>
      <c r="BO475" s="35"/>
      <c r="BP475" s="35"/>
      <c r="BQ475" s="35"/>
      <c r="BR475" s="35"/>
      <c r="BS475" s="35"/>
      <c r="BT475" s="35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35"/>
      <c r="CO475" s="35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35"/>
      <c r="DJ475" s="35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35"/>
      <c r="EE475" s="35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35"/>
      <c r="EZ475" s="35"/>
      <c r="FA475" s="35"/>
      <c r="FB475" s="35"/>
      <c r="FC475" s="35"/>
      <c r="FD475" s="35"/>
      <c r="FE475" s="35"/>
      <c r="FF475" s="35"/>
      <c r="FG475" s="35"/>
      <c r="FH475" s="35"/>
      <c r="FI475" s="35"/>
      <c r="FJ475" s="35"/>
      <c r="FK475" s="35"/>
      <c r="FL475" s="35"/>
      <c r="FM475" s="35"/>
      <c r="FN475" s="35"/>
      <c r="FO475" s="35"/>
      <c r="FP475" s="35"/>
      <c r="FQ475" s="35"/>
      <c r="FR475" s="35"/>
      <c r="FS475" s="35"/>
      <c r="FT475" s="35"/>
      <c r="FU475" s="35"/>
      <c r="FV475" s="35"/>
      <c r="FW475" s="35"/>
      <c r="FX475" s="35"/>
      <c r="FY475" s="35"/>
      <c r="FZ475" s="35"/>
      <c r="GA475" s="35"/>
      <c r="GB475" s="35"/>
      <c r="GC475" s="35"/>
      <c r="GD475" s="35"/>
      <c r="GE475" s="35"/>
      <c r="GF475" s="35"/>
      <c r="GG475" s="35"/>
      <c r="GH475" s="35"/>
      <c r="GI475" s="35"/>
      <c r="GJ475" s="35"/>
      <c r="GK475" s="35"/>
      <c r="GL475" s="35"/>
      <c r="GM475" s="35"/>
      <c r="GN475" s="35"/>
      <c r="GO475" s="35"/>
      <c r="GP475" s="35"/>
      <c r="GQ475" s="35"/>
      <c r="GR475" s="35"/>
      <c r="GS475" s="35"/>
      <c r="GT475" s="35"/>
      <c r="GU475" s="35"/>
      <c r="GV475" s="35"/>
      <c r="GW475" s="35"/>
      <c r="GX475" s="35"/>
      <c r="GY475" s="35"/>
      <c r="GZ475" s="35"/>
      <c r="HA475" s="35"/>
      <c r="HB475" s="35"/>
      <c r="HC475" s="35"/>
      <c r="HD475" s="35"/>
      <c r="HE475" s="35"/>
      <c r="HF475" s="35"/>
      <c r="HG475" s="35"/>
      <c r="HH475" s="35"/>
      <c r="HI475" s="35"/>
      <c r="HJ475" s="35"/>
      <c r="HK475" s="35"/>
      <c r="HL475" s="35"/>
      <c r="HM475" s="35"/>
      <c r="HN475" s="35"/>
      <c r="HO475" s="35"/>
      <c r="HP475" s="35"/>
      <c r="HQ475" s="35"/>
      <c r="HR475" s="35"/>
      <c r="HS475" s="35"/>
      <c r="HT475" s="35"/>
      <c r="HU475" s="35"/>
      <c r="HV475" s="35"/>
      <c r="HW475" s="35"/>
      <c r="HX475" s="35"/>
      <c r="HY475" s="35"/>
      <c r="HZ475" s="35"/>
      <c r="IA475" s="35"/>
      <c r="IB475" s="35"/>
      <c r="IC475" s="35"/>
      <c r="ID475" s="35"/>
      <c r="IE475" s="35"/>
      <c r="IF475" s="35"/>
      <c r="IG475" s="35"/>
      <c r="IH475" s="35"/>
      <c r="II475" s="35"/>
      <c r="IJ475" s="35"/>
      <c r="IK475" s="35"/>
      <c r="IL475" s="35"/>
      <c r="IM475" s="35"/>
      <c r="IN475" s="35"/>
      <c r="IO475" s="35"/>
      <c r="IP475" s="35"/>
      <c r="IQ475" s="35"/>
      <c r="IR475" s="35"/>
      <c r="IS475" s="35"/>
      <c r="IT475" s="35"/>
      <c r="IU475" s="35"/>
      <c r="IV475" s="35"/>
      <c r="IW475" s="35"/>
      <c r="IX475" s="35"/>
      <c r="IY475" s="35"/>
      <c r="IZ475" s="35"/>
      <c r="JA475" s="35"/>
      <c r="JB475" s="35"/>
      <c r="JC475" s="35"/>
      <c r="JD475" s="35"/>
      <c r="JE475" s="35"/>
    </row>
    <row r="476">
      <c r="A476" s="42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  <c r="AZ476" s="35"/>
      <c r="BA476" s="35"/>
      <c r="BB476" s="35"/>
      <c r="BC476" s="35"/>
      <c r="BD476" s="35"/>
      <c r="BE476" s="35"/>
      <c r="BF476" s="35"/>
      <c r="BG476" s="35"/>
      <c r="BH476" s="35"/>
      <c r="BI476" s="35"/>
      <c r="BJ476" s="35"/>
      <c r="BK476" s="35"/>
      <c r="BL476" s="35"/>
      <c r="BM476" s="35"/>
      <c r="BN476" s="35"/>
      <c r="BO476" s="35"/>
      <c r="BP476" s="35"/>
      <c r="BQ476" s="35"/>
      <c r="BR476" s="35"/>
      <c r="BS476" s="35"/>
      <c r="BT476" s="35"/>
      <c r="BU476" s="35"/>
      <c r="BV476" s="35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35"/>
      <c r="CO476" s="35"/>
      <c r="CP476" s="35"/>
      <c r="CQ476" s="35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35"/>
      <c r="DJ476" s="35"/>
      <c r="DK476" s="35"/>
      <c r="DL476" s="35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35"/>
      <c r="EE476" s="35"/>
      <c r="EF476" s="35"/>
      <c r="EG476" s="35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35"/>
      <c r="EZ476" s="35"/>
      <c r="FA476" s="35"/>
      <c r="FB476" s="35"/>
      <c r="FC476" s="35"/>
      <c r="FD476" s="35"/>
      <c r="FE476" s="35"/>
      <c r="FF476" s="35"/>
      <c r="FG476" s="35"/>
      <c r="FH476" s="35"/>
      <c r="FI476" s="35"/>
      <c r="FJ476" s="35"/>
      <c r="FK476" s="35"/>
      <c r="FL476" s="35"/>
      <c r="FM476" s="35"/>
      <c r="FN476" s="35"/>
      <c r="FO476" s="35"/>
      <c r="FP476" s="35"/>
      <c r="FQ476" s="35"/>
      <c r="FR476" s="35"/>
      <c r="FS476" s="35"/>
      <c r="FT476" s="35"/>
      <c r="FU476" s="35"/>
      <c r="FV476" s="35"/>
      <c r="FW476" s="35"/>
      <c r="FX476" s="35"/>
      <c r="FY476" s="35"/>
      <c r="FZ476" s="35"/>
      <c r="GA476" s="35"/>
      <c r="GB476" s="35"/>
      <c r="GC476" s="35"/>
      <c r="GD476" s="35"/>
      <c r="GE476" s="35"/>
      <c r="GF476" s="35"/>
      <c r="GG476" s="35"/>
      <c r="GH476" s="35"/>
      <c r="GI476" s="35"/>
      <c r="GJ476" s="35"/>
      <c r="GK476" s="35"/>
      <c r="GL476" s="35"/>
      <c r="GM476" s="35"/>
      <c r="GN476" s="35"/>
      <c r="GO476" s="35"/>
      <c r="GP476" s="35"/>
      <c r="GQ476" s="35"/>
      <c r="GR476" s="35"/>
      <c r="GS476" s="35"/>
      <c r="GT476" s="35"/>
      <c r="GU476" s="35"/>
      <c r="GV476" s="35"/>
      <c r="GW476" s="35"/>
      <c r="GX476" s="35"/>
      <c r="GY476" s="35"/>
      <c r="GZ476" s="35"/>
      <c r="HA476" s="35"/>
      <c r="HB476" s="35"/>
      <c r="HC476" s="35"/>
      <c r="HD476" s="35"/>
      <c r="HE476" s="35"/>
      <c r="HF476" s="35"/>
      <c r="HG476" s="35"/>
      <c r="HH476" s="35"/>
      <c r="HI476" s="35"/>
      <c r="HJ476" s="35"/>
      <c r="HK476" s="35"/>
      <c r="HL476" s="35"/>
      <c r="HM476" s="35"/>
      <c r="HN476" s="35"/>
      <c r="HO476" s="35"/>
      <c r="HP476" s="35"/>
      <c r="HQ476" s="35"/>
      <c r="HR476" s="35"/>
      <c r="HS476" s="35"/>
      <c r="HT476" s="35"/>
      <c r="HU476" s="35"/>
      <c r="HV476" s="35"/>
      <c r="HW476" s="35"/>
      <c r="HX476" s="35"/>
      <c r="HY476" s="35"/>
      <c r="HZ476" s="35"/>
      <c r="IA476" s="35"/>
      <c r="IB476" s="35"/>
      <c r="IC476" s="35"/>
      <c r="ID476" s="35"/>
      <c r="IE476" s="35"/>
      <c r="IF476" s="35"/>
      <c r="IG476" s="35"/>
      <c r="IH476" s="35"/>
      <c r="II476" s="35"/>
      <c r="IJ476" s="35"/>
      <c r="IK476" s="35"/>
      <c r="IL476" s="35"/>
      <c r="IM476" s="35"/>
      <c r="IN476" s="35"/>
      <c r="IO476" s="35"/>
      <c r="IP476" s="35"/>
      <c r="IQ476" s="35"/>
      <c r="IR476" s="35"/>
      <c r="IS476" s="35"/>
      <c r="IT476" s="35"/>
      <c r="IU476" s="35"/>
      <c r="IV476" s="35"/>
      <c r="IW476" s="35"/>
      <c r="IX476" s="35"/>
      <c r="IY476" s="35"/>
      <c r="IZ476" s="35"/>
      <c r="JA476" s="35"/>
      <c r="JB476" s="35"/>
      <c r="JC476" s="35"/>
      <c r="JD476" s="35"/>
      <c r="JE476" s="35"/>
    </row>
    <row r="477">
      <c r="A477" s="42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  <c r="AZ477" s="35"/>
      <c r="BA477" s="35"/>
      <c r="BB477" s="35"/>
      <c r="BC477" s="35"/>
      <c r="BD477" s="35"/>
      <c r="BE477" s="35"/>
      <c r="BF477" s="35"/>
      <c r="BG477" s="35"/>
      <c r="BH477" s="35"/>
      <c r="BI477" s="35"/>
      <c r="BJ477" s="35"/>
      <c r="BK477" s="35"/>
      <c r="BL477" s="35"/>
      <c r="BM477" s="35"/>
      <c r="BN477" s="35"/>
      <c r="BO477" s="35"/>
      <c r="BP477" s="35"/>
      <c r="BQ477" s="35"/>
      <c r="BR477" s="35"/>
      <c r="BS477" s="35"/>
      <c r="BT477" s="35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35"/>
      <c r="CO477" s="35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35"/>
      <c r="DJ477" s="35"/>
      <c r="DK477" s="35"/>
      <c r="DL477" s="35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35"/>
      <c r="EE477" s="35"/>
      <c r="EF477" s="35"/>
      <c r="EG477" s="35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35"/>
      <c r="EZ477" s="35"/>
      <c r="FA477" s="35"/>
      <c r="FB477" s="35"/>
      <c r="FC477" s="35"/>
      <c r="FD477" s="35"/>
      <c r="FE477" s="35"/>
      <c r="FF477" s="35"/>
      <c r="FG477" s="35"/>
      <c r="FH477" s="35"/>
      <c r="FI477" s="35"/>
      <c r="FJ477" s="35"/>
      <c r="FK477" s="35"/>
      <c r="FL477" s="35"/>
      <c r="FM477" s="35"/>
      <c r="FN477" s="35"/>
      <c r="FO477" s="35"/>
      <c r="FP477" s="35"/>
      <c r="FQ477" s="35"/>
      <c r="FR477" s="35"/>
      <c r="FS477" s="35"/>
      <c r="FT477" s="35"/>
      <c r="FU477" s="35"/>
      <c r="FV477" s="35"/>
      <c r="FW477" s="35"/>
      <c r="FX477" s="35"/>
      <c r="FY477" s="35"/>
      <c r="FZ477" s="35"/>
      <c r="GA477" s="35"/>
      <c r="GB477" s="35"/>
      <c r="GC477" s="35"/>
      <c r="GD477" s="35"/>
      <c r="GE477" s="35"/>
      <c r="GF477" s="35"/>
      <c r="GG477" s="35"/>
      <c r="GH477" s="35"/>
      <c r="GI477" s="35"/>
      <c r="GJ477" s="35"/>
      <c r="GK477" s="35"/>
      <c r="GL477" s="35"/>
      <c r="GM477" s="35"/>
      <c r="GN477" s="35"/>
      <c r="GO477" s="35"/>
      <c r="GP477" s="35"/>
      <c r="GQ477" s="35"/>
      <c r="GR477" s="35"/>
      <c r="GS477" s="35"/>
      <c r="GT477" s="35"/>
      <c r="GU477" s="35"/>
      <c r="GV477" s="35"/>
      <c r="GW477" s="35"/>
      <c r="GX477" s="35"/>
      <c r="GY477" s="35"/>
      <c r="GZ477" s="35"/>
      <c r="HA477" s="35"/>
      <c r="HB477" s="35"/>
      <c r="HC477" s="35"/>
      <c r="HD477" s="35"/>
      <c r="HE477" s="35"/>
      <c r="HF477" s="35"/>
      <c r="HG477" s="35"/>
      <c r="HH477" s="35"/>
      <c r="HI477" s="35"/>
      <c r="HJ477" s="35"/>
      <c r="HK477" s="35"/>
      <c r="HL477" s="35"/>
      <c r="HM477" s="35"/>
      <c r="HN477" s="35"/>
      <c r="HO477" s="35"/>
      <c r="HP477" s="35"/>
      <c r="HQ477" s="35"/>
      <c r="HR477" s="35"/>
      <c r="HS477" s="35"/>
      <c r="HT477" s="35"/>
      <c r="HU477" s="35"/>
      <c r="HV477" s="35"/>
      <c r="HW477" s="35"/>
      <c r="HX477" s="35"/>
      <c r="HY477" s="35"/>
      <c r="HZ477" s="35"/>
      <c r="IA477" s="35"/>
      <c r="IB477" s="35"/>
      <c r="IC477" s="35"/>
      <c r="ID477" s="35"/>
      <c r="IE477" s="35"/>
      <c r="IF477" s="35"/>
      <c r="IG477" s="35"/>
      <c r="IH477" s="35"/>
      <c r="II477" s="35"/>
      <c r="IJ477" s="35"/>
      <c r="IK477" s="35"/>
      <c r="IL477" s="35"/>
      <c r="IM477" s="35"/>
      <c r="IN477" s="35"/>
      <c r="IO477" s="35"/>
      <c r="IP477" s="35"/>
      <c r="IQ477" s="35"/>
      <c r="IR477" s="35"/>
      <c r="IS477" s="35"/>
      <c r="IT477" s="35"/>
      <c r="IU477" s="35"/>
      <c r="IV477" s="35"/>
      <c r="IW477" s="35"/>
      <c r="IX477" s="35"/>
      <c r="IY477" s="35"/>
      <c r="IZ477" s="35"/>
      <c r="JA477" s="35"/>
      <c r="JB477" s="35"/>
      <c r="JC477" s="35"/>
      <c r="JD477" s="35"/>
      <c r="JE477" s="35"/>
    </row>
    <row r="478">
      <c r="A478" s="42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35"/>
      <c r="BA478" s="35"/>
      <c r="BB478" s="35"/>
      <c r="BC478" s="35"/>
      <c r="BD478" s="35"/>
      <c r="BE478" s="35"/>
      <c r="BF478" s="35"/>
      <c r="BG478" s="35"/>
      <c r="BH478" s="35"/>
      <c r="BI478" s="35"/>
      <c r="BJ478" s="35"/>
      <c r="BK478" s="35"/>
      <c r="BL478" s="35"/>
      <c r="BM478" s="35"/>
      <c r="BN478" s="35"/>
      <c r="BO478" s="35"/>
      <c r="BP478" s="35"/>
      <c r="BQ478" s="35"/>
      <c r="BR478" s="35"/>
      <c r="BS478" s="35"/>
      <c r="BT478" s="35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35"/>
      <c r="CO478" s="35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35"/>
      <c r="DJ478" s="35"/>
      <c r="DK478" s="35"/>
      <c r="DL478" s="35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35"/>
      <c r="EE478" s="35"/>
      <c r="EF478" s="35"/>
      <c r="EG478" s="35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35"/>
      <c r="EZ478" s="35"/>
      <c r="FA478" s="35"/>
      <c r="FB478" s="35"/>
      <c r="FC478" s="35"/>
      <c r="FD478" s="35"/>
      <c r="FE478" s="35"/>
      <c r="FF478" s="35"/>
      <c r="FG478" s="35"/>
      <c r="FH478" s="35"/>
      <c r="FI478" s="35"/>
      <c r="FJ478" s="35"/>
      <c r="FK478" s="35"/>
      <c r="FL478" s="35"/>
      <c r="FM478" s="35"/>
      <c r="FN478" s="35"/>
      <c r="FO478" s="35"/>
      <c r="FP478" s="35"/>
      <c r="FQ478" s="35"/>
      <c r="FR478" s="35"/>
      <c r="FS478" s="35"/>
      <c r="FT478" s="35"/>
      <c r="FU478" s="35"/>
      <c r="FV478" s="35"/>
      <c r="FW478" s="35"/>
      <c r="FX478" s="35"/>
      <c r="FY478" s="35"/>
      <c r="FZ478" s="35"/>
      <c r="GA478" s="35"/>
      <c r="GB478" s="35"/>
      <c r="GC478" s="35"/>
      <c r="GD478" s="35"/>
      <c r="GE478" s="35"/>
      <c r="GF478" s="35"/>
      <c r="GG478" s="35"/>
      <c r="GH478" s="35"/>
      <c r="GI478" s="35"/>
      <c r="GJ478" s="35"/>
      <c r="GK478" s="35"/>
      <c r="GL478" s="35"/>
      <c r="GM478" s="35"/>
      <c r="GN478" s="35"/>
      <c r="GO478" s="35"/>
      <c r="GP478" s="35"/>
      <c r="GQ478" s="35"/>
      <c r="GR478" s="35"/>
      <c r="GS478" s="35"/>
      <c r="GT478" s="35"/>
      <c r="GU478" s="35"/>
      <c r="GV478" s="35"/>
      <c r="GW478" s="35"/>
      <c r="GX478" s="35"/>
      <c r="GY478" s="35"/>
      <c r="GZ478" s="35"/>
      <c r="HA478" s="35"/>
      <c r="HB478" s="35"/>
      <c r="HC478" s="35"/>
      <c r="HD478" s="35"/>
      <c r="HE478" s="35"/>
      <c r="HF478" s="35"/>
      <c r="HG478" s="35"/>
      <c r="HH478" s="35"/>
      <c r="HI478" s="35"/>
      <c r="HJ478" s="35"/>
      <c r="HK478" s="35"/>
      <c r="HL478" s="35"/>
      <c r="HM478" s="35"/>
      <c r="HN478" s="35"/>
      <c r="HO478" s="35"/>
      <c r="HP478" s="35"/>
      <c r="HQ478" s="35"/>
      <c r="HR478" s="35"/>
      <c r="HS478" s="35"/>
      <c r="HT478" s="35"/>
      <c r="HU478" s="35"/>
      <c r="HV478" s="35"/>
      <c r="HW478" s="35"/>
      <c r="HX478" s="35"/>
      <c r="HY478" s="35"/>
      <c r="HZ478" s="35"/>
      <c r="IA478" s="35"/>
      <c r="IB478" s="35"/>
      <c r="IC478" s="35"/>
      <c r="ID478" s="35"/>
      <c r="IE478" s="35"/>
      <c r="IF478" s="35"/>
      <c r="IG478" s="35"/>
      <c r="IH478" s="35"/>
      <c r="II478" s="35"/>
      <c r="IJ478" s="35"/>
      <c r="IK478" s="35"/>
      <c r="IL478" s="35"/>
      <c r="IM478" s="35"/>
      <c r="IN478" s="35"/>
      <c r="IO478" s="35"/>
      <c r="IP478" s="35"/>
      <c r="IQ478" s="35"/>
      <c r="IR478" s="35"/>
      <c r="IS478" s="35"/>
      <c r="IT478" s="35"/>
      <c r="IU478" s="35"/>
      <c r="IV478" s="35"/>
      <c r="IW478" s="35"/>
      <c r="IX478" s="35"/>
      <c r="IY478" s="35"/>
      <c r="IZ478" s="35"/>
      <c r="JA478" s="35"/>
      <c r="JB478" s="35"/>
      <c r="JC478" s="35"/>
      <c r="JD478" s="35"/>
      <c r="JE478" s="35"/>
    </row>
    <row r="479">
      <c r="A479" s="42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  <c r="AZ479" s="35"/>
      <c r="BA479" s="35"/>
      <c r="BB479" s="35"/>
      <c r="BC479" s="35"/>
      <c r="BD479" s="35"/>
      <c r="BE479" s="35"/>
      <c r="BF479" s="35"/>
      <c r="BG479" s="35"/>
      <c r="BH479" s="35"/>
      <c r="BI479" s="35"/>
      <c r="BJ479" s="35"/>
      <c r="BK479" s="35"/>
      <c r="BL479" s="35"/>
      <c r="BM479" s="35"/>
      <c r="BN479" s="35"/>
      <c r="BO479" s="35"/>
      <c r="BP479" s="35"/>
      <c r="BQ479" s="35"/>
      <c r="BR479" s="35"/>
      <c r="BS479" s="35"/>
      <c r="BT479" s="35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35"/>
      <c r="CO479" s="35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35"/>
      <c r="DJ479" s="35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35"/>
      <c r="EE479" s="35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35"/>
      <c r="EZ479" s="35"/>
      <c r="FA479" s="35"/>
      <c r="FB479" s="35"/>
      <c r="FC479" s="35"/>
      <c r="FD479" s="35"/>
      <c r="FE479" s="35"/>
      <c r="FF479" s="35"/>
      <c r="FG479" s="35"/>
      <c r="FH479" s="35"/>
      <c r="FI479" s="35"/>
      <c r="FJ479" s="35"/>
      <c r="FK479" s="35"/>
      <c r="FL479" s="35"/>
      <c r="FM479" s="35"/>
      <c r="FN479" s="35"/>
      <c r="FO479" s="35"/>
      <c r="FP479" s="35"/>
      <c r="FQ479" s="35"/>
      <c r="FR479" s="35"/>
      <c r="FS479" s="35"/>
      <c r="FT479" s="35"/>
      <c r="FU479" s="35"/>
      <c r="FV479" s="35"/>
      <c r="FW479" s="35"/>
      <c r="FX479" s="35"/>
      <c r="FY479" s="35"/>
      <c r="FZ479" s="35"/>
      <c r="GA479" s="35"/>
      <c r="GB479" s="35"/>
      <c r="GC479" s="35"/>
      <c r="GD479" s="35"/>
      <c r="GE479" s="35"/>
      <c r="GF479" s="35"/>
      <c r="GG479" s="35"/>
      <c r="GH479" s="35"/>
      <c r="GI479" s="35"/>
      <c r="GJ479" s="35"/>
      <c r="GK479" s="35"/>
      <c r="GL479" s="35"/>
      <c r="GM479" s="35"/>
      <c r="GN479" s="35"/>
      <c r="GO479" s="35"/>
      <c r="GP479" s="35"/>
      <c r="GQ479" s="35"/>
      <c r="GR479" s="35"/>
      <c r="GS479" s="35"/>
      <c r="GT479" s="35"/>
      <c r="GU479" s="35"/>
      <c r="GV479" s="35"/>
      <c r="GW479" s="35"/>
      <c r="GX479" s="35"/>
      <c r="GY479" s="35"/>
      <c r="GZ479" s="35"/>
      <c r="HA479" s="35"/>
      <c r="HB479" s="35"/>
      <c r="HC479" s="35"/>
      <c r="HD479" s="35"/>
      <c r="HE479" s="35"/>
      <c r="HF479" s="35"/>
      <c r="HG479" s="35"/>
      <c r="HH479" s="35"/>
      <c r="HI479" s="35"/>
      <c r="HJ479" s="35"/>
      <c r="HK479" s="35"/>
      <c r="HL479" s="35"/>
      <c r="HM479" s="35"/>
      <c r="HN479" s="35"/>
      <c r="HO479" s="35"/>
      <c r="HP479" s="35"/>
      <c r="HQ479" s="35"/>
      <c r="HR479" s="35"/>
      <c r="HS479" s="35"/>
      <c r="HT479" s="35"/>
      <c r="HU479" s="35"/>
      <c r="HV479" s="35"/>
      <c r="HW479" s="35"/>
      <c r="HX479" s="35"/>
      <c r="HY479" s="35"/>
      <c r="HZ479" s="35"/>
      <c r="IA479" s="35"/>
      <c r="IB479" s="35"/>
      <c r="IC479" s="35"/>
      <c r="ID479" s="35"/>
      <c r="IE479" s="35"/>
      <c r="IF479" s="35"/>
      <c r="IG479" s="35"/>
      <c r="IH479" s="35"/>
      <c r="II479" s="35"/>
      <c r="IJ479" s="35"/>
      <c r="IK479" s="35"/>
      <c r="IL479" s="35"/>
      <c r="IM479" s="35"/>
      <c r="IN479" s="35"/>
      <c r="IO479" s="35"/>
      <c r="IP479" s="35"/>
      <c r="IQ479" s="35"/>
      <c r="IR479" s="35"/>
      <c r="IS479" s="35"/>
      <c r="IT479" s="35"/>
      <c r="IU479" s="35"/>
      <c r="IV479" s="35"/>
      <c r="IW479" s="35"/>
      <c r="IX479" s="35"/>
      <c r="IY479" s="35"/>
      <c r="IZ479" s="35"/>
      <c r="JA479" s="35"/>
      <c r="JB479" s="35"/>
      <c r="JC479" s="35"/>
      <c r="JD479" s="35"/>
      <c r="JE479" s="35"/>
    </row>
    <row r="480">
      <c r="A480" s="42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35"/>
      <c r="BA480" s="35"/>
      <c r="BB480" s="35"/>
      <c r="BC480" s="35"/>
      <c r="BD480" s="35"/>
      <c r="BE480" s="35"/>
      <c r="BF480" s="35"/>
      <c r="BG480" s="35"/>
      <c r="BH480" s="35"/>
      <c r="BI480" s="35"/>
      <c r="BJ480" s="35"/>
      <c r="BK480" s="35"/>
      <c r="BL480" s="35"/>
      <c r="BM480" s="35"/>
      <c r="BN480" s="35"/>
      <c r="BO480" s="35"/>
      <c r="BP480" s="35"/>
      <c r="BQ480" s="35"/>
      <c r="BR480" s="35"/>
      <c r="BS480" s="35"/>
      <c r="BT480" s="35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35"/>
      <c r="CO480" s="35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35"/>
      <c r="DJ480" s="35"/>
      <c r="DK480" s="35"/>
      <c r="DL480" s="35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35"/>
      <c r="EE480" s="35"/>
      <c r="EF480" s="35"/>
      <c r="EG480" s="35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35"/>
      <c r="EZ480" s="35"/>
      <c r="FA480" s="35"/>
      <c r="FB480" s="35"/>
      <c r="FC480" s="35"/>
      <c r="FD480" s="35"/>
      <c r="FE480" s="35"/>
      <c r="FF480" s="35"/>
      <c r="FG480" s="35"/>
      <c r="FH480" s="35"/>
      <c r="FI480" s="35"/>
      <c r="FJ480" s="35"/>
      <c r="FK480" s="35"/>
      <c r="FL480" s="35"/>
      <c r="FM480" s="35"/>
      <c r="FN480" s="35"/>
      <c r="FO480" s="35"/>
      <c r="FP480" s="35"/>
      <c r="FQ480" s="35"/>
      <c r="FR480" s="35"/>
      <c r="FS480" s="35"/>
      <c r="FT480" s="35"/>
      <c r="FU480" s="35"/>
      <c r="FV480" s="35"/>
      <c r="FW480" s="35"/>
      <c r="FX480" s="35"/>
      <c r="FY480" s="35"/>
      <c r="FZ480" s="35"/>
      <c r="GA480" s="35"/>
      <c r="GB480" s="35"/>
      <c r="GC480" s="35"/>
      <c r="GD480" s="35"/>
      <c r="GE480" s="35"/>
      <c r="GF480" s="35"/>
      <c r="GG480" s="35"/>
      <c r="GH480" s="35"/>
      <c r="GI480" s="35"/>
      <c r="GJ480" s="35"/>
      <c r="GK480" s="35"/>
      <c r="GL480" s="35"/>
      <c r="GM480" s="35"/>
      <c r="GN480" s="35"/>
      <c r="GO480" s="35"/>
      <c r="GP480" s="35"/>
      <c r="GQ480" s="35"/>
      <c r="GR480" s="35"/>
      <c r="GS480" s="35"/>
      <c r="GT480" s="35"/>
      <c r="GU480" s="35"/>
      <c r="GV480" s="35"/>
      <c r="GW480" s="35"/>
      <c r="GX480" s="35"/>
      <c r="GY480" s="35"/>
      <c r="GZ480" s="35"/>
      <c r="HA480" s="35"/>
      <c r="HB480" s="35"/>
      <c r="HC480" s="35"/>
      <c r="HD480" s="35"/>
      <c r="HE480" s="35"/>
      <c r="HF480" s="35"/>
      <c r="HG480" s="35"/>
      <c r="HH480" s="35"/>
      <c r="HI480" s="35"/>
      <c r="HJ480" s="35"/>
      <c r="HK480" s="35"/>
      <c r="HL480" s="35"/>
      <c r="HM480" s="35"/>
      <c r="HN480" s="35"/>
      <c r="HO480" s="35"/>
      <c r="HP480" s="35"/>
      <c r="HQ480" s="35"/>
      <c r="HR480" s="35"/>
      <c r="HS480" s="35"/>
      <c r="HT480" s="35"/>
      <c r="HU480" s="35"/>
      <c r="HV480" s="35"/>
      <c r="HW480" s="35"/>
      <c r="HX480" s="35"/>
      <c r="HY480" s="35"/>
      <c r="HZ480" s="35"/>
      <c r="IA480" s="35"/>
      <c r="IB480" s="35"/>
      <c r="IC480" s="35"/>
      <c r="ID480" s="35"/>
      <c r="IE480" s="35"/>
      <c r="IF480" s="35"/>
      <c r="IG480" s="35"/>
      <c r="IH480" s="35"/>
      <c r="II480" s="35"/>
      <c r="IJ480" s="35"/>
      <c r="IK480" s="35"/>
      <c r="IL480" s="35"/>
      <c r="IM480" s="35"/>
      <c r="IN480" s="35"/>
      <c r="IO480" s="35"/>
      <c r="IP480" s="35"/>
      <c r="IQ480" s="35"/>
      <c r="IR480" s="35"/>
      <c r="IS480" s="35"/>
      <c r="IT480" s="35"/>
      <c r="IU480" s="35"/>
      <c r="IV480" s="35"/>
      <c r="IW480" s="35"/>
      <c r="IX480" s="35"/>
      <c r="IY480" s="35"/>
      <c r="IZ480" s="35"/>
      <c r="JA480" s="35"/>
      <c r="JB480" s="35"/>
      <c r="JC480" s="35"/>
      <c r="JD480" s="35"/>
      <c r="JE480" s="35"/>
    </row>
    <row r="481">
      <c r="A481" s="42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  <c r="AZ481" s="35"/>
      <c r="BA481" s="35"/>
      <c r="BB481" s="35"/>
      <c r="BC481" s="35"/>
      <c r="BD481" s="35"/>
      <c r="BE481" s="35"/>
      <c r="BF481" s="35"/>
      <c r="BG481" s="35"/>
      <c r="BH481" s="35"/>
      <c r="BI481" s="35"/>
      <c r="BJ481" s="35"/>
      <c r="BK481" s="35"/>
      <c r="BL481" s="35"/>
      <c r="BM481" s="35"/>
      <c r="BN481" s="35"/>
      <c r="BO481" s="35"/>
      <c r="BP481" s="35"/>
      <c r="BQ481" s="35"/>
      <c r="BR481" s="35"/>
      <c r="BS481" s="35"/>
      <c r="BT481" s="35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35"/>
      <c r="CO481" s="35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35"/>
      <c r="DJ481" s="35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35"/>
      <c r="EE481" s="35"/>
      <c r="EF481" s="35"/>
      <c r="EG481" s="35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35"/>
      <c r="EZ481" s="35"/>
      <c r="FA481" s="35"/>
      <c r="FB481" s="35"/>
      <c r="FC481" s="35"/>
      <c r="FD481" s="35"/>
      <c r="FE481" s="35"/>
      <c r="FF481" s="35"/>
      <c r="FG481" s="35"/>
      <c r="FH481" s="35"/>
      <c r="FI481" s="35"/>
      <c r="FJ481" s="35"/>
      <c r="FK481" s="35"/>
      <c r="FL481" s="35"/>
      <c r="FM481" s="35"/>
      <c r="FN481" s="35"/>
      <c r="FO481" s="35"/>
      <c r="FP481" s="35"/>
      <c r="FQ481" s="35"/>
      <c r="FR481" s="35"/>
      <c r="FS481" s="35"/>
      <c r="FT481" s="35"/>
      <c r="FU481" s="35"/>
      <c r="FV481" s="35"/>
      <c r="FW481" s="35"/>
      <c r="FX481" s="35"/>
      <c r="FY481" s="35"/>
      <c r="FZ481" s="35"/>
      <c r="GA481" s="35"/>
      <c r="GB481" s="35"/>
      <c r="GC481" s="35"/>
      <c r="GD481" s="35"/>
      <c r="GE481" s="35"/>
      <c r="GF481" s="35"/>
      <c r="GG481" s="35"/>
      <c r="GH481" s="35"/>
      <c r="GI481" s="35"/>
      <c r="GJ481" s="35"/>
      <c r="GK481" s="35"/>
      <c r="GL481" s="35"/>
      <c r="GM481" s="35"/>
      <c r="GN481" s="35"/>
      <c r="GO481" s="35"/>
      <c r="GP481" s="35"/>
      <c r="GQ481" s="35"/>
      <c r="GR481" s="35"/>
      <c r="GS481" s="35"/>
      <c r="GT481" s="35"/>
      <c r="GU481" s="35"/>
      <c r="GV481" s="35"/>
      <c r="GW481" s="35"/>
      <c r="GX481" s="35"/>
      <c r="GY481" s="35"/>
      <c r="GZ481" s="35"/>
      <c r="HA481" s="35"/>
      <c r="HB481" s="35"/>
      <c r="HC481" s="35"/>
      <c r="HD481" s="35"/>
      <c r="HE481" s="35"/>
      <c r="HF481" s="35"/>
      <c r="HG481" s="35"/>
      <c r="HH481" s="35"/>
      <c r="HI481" s="35"/>
      <c r="HJ481" s="35"/>
      <c r="HK481" s="35"/>
      <c r="HL481" s="35"/>
      <c r="HM481" s="35"/>
      <c r="HN481" s="35"/>
      <c r="HO481" s="35"/>
      <c r="HP481" s="35"/>
      <c r="HQ481" s="35"/>
      <c r="HR481" s="35"/>
      <c r="HS481" s="35"/>
      <c r="HT481" s="35"/>
      <c r="HU481" s="35"/>
      <c r="HV481" s="35"/>
      <c r="HW481" s="35"/>
      <c r="HX481" s="35"/>
      <c r="HY481" s="35"/>
      <c r="HZ481" s="35"/>
      <c r="IA481" s="35"/>
      <c r="IB481" s="35"/>
      <c r="IC481" s="35"/>
      <c r="ID481" s="35"/>
      <c r="IE481" s="35"/>
      <c r="IF481" s="35"/>
      <c r="IG481" s="35"/>
      <c r="IH481" s="35"/>
      <c r="II481" s="35"/>
      <c r="IJ481" s="35"/>
      <c r="IK481" s="35"/>
      <c r="IL481" s="35"/>
      <c r="IM481" s="35"/>
      <c r="IN481" s="35"/>
      <c r="IO481" s="35"/>
      <c r="IP481" s="35"/>
      <c r="IQ481" s="35"/>
      <c r="IR481" s="35"/>
      <c r="IS481" s="35"/>
      <c r="IT481" s="35"/>
      <c r="IU481" s="35"/>
      <c r="IV481" s="35"/>
      <c r="IW481" s="35"/>
      <c r="IX481" s="35"/>
      <c r="IY481" s="35"/>
      <c r="IZ481" s="35"/>
      <c r="JA481" s="35"/>
      <c r="JB481" s="35"/>
      <c r="JC481" s="35"/>
      <c r="JD481" s="35"/>
      <c r="JE481" s="35"/>
    </row>
    <row r="482">
      <c r="A482" s="42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35"/>
      <c r="BA482" s="35"/>
      <c r="BB482" s="35"/>
      <c r="BC482" s="35"/>
      <c r="BD482" s="35"/>
      <c r="BE482" s="35"/>
      <c r="BF482" s="35"/>
      <c r="BG482" s="35"/>
      <c r="BH482" s="35"/>
      <c r="BI482" s="35"/>
      <c r="BJ482" s="35"/>
      <c r="BK482" s="35"/>
      <c r="BL482" s="35"/>
      <c r="BM482" s="35"/>
      <c r="BN482" s="35"/>
      <c r="BO482" s="35"/>
      <c r="BP482" s="35"/>
      <c r="BQ482" s="35"/>
      <c r="BR482" s="35"/>
      <c r="BS482" s="35"/>
      <c r="BT482" s="35"/>
      <c r="BU482" s="35"/>
      <c r="BV482" s="35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35"/>
      <c r="CO482" s="35"/>
      <c r="CP482" s="35"/>
      <c r="CQ482" s="35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35"/>
      <c r="DJ482" s="35"/>
      <c r="DK482" s="35"/>
      <c r="DL482" s="35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35"/>
      <c r="EE482" s="35"/>
      <c r="EF482" s="35"/>
      <c r="EG482" s="35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35"/>
      <c r="EZ482" s="35"/>
      <c r="FA482" s="35"/>
      <c r="FB482" s="35"/>
      <c r="FC482" s="35"/>
      <c r="FD482" s="35"/>
      <c r="FE482" s="35"/>
      <c r="FF482" s="35"/>
      <c r="FG482" s="35"/>
      <c r="FH482" s="35"/>
      <c r="FI482" s="35"/>
      <c r="FJ482" s="35"/>
      <c r="FK482" s="35"/>
      <c r="FL482" s="35"/>
      <c r="FM482" s="35"/>
      <c r="FN482" s="35"/>
      <c r="FO482" s="35"/>
      <c r="FP482" s="35"/>
      <c r="FQ482" s="35"/>
      <c r="FR482" s="35"/>
      <c r="FS482" s="35"/>
      <c r="FT482" s="35"/>
      <c r="FU482" s="35"/>
      <c r="FV482" s="35"/>
      <c r="FW482" s="35"/>
      <c r="FX482" s="35"/>
      <c r="FY482" s="35"/>
      <c r="FZ482" s="35"/>
      <c r="GA482" s="35"/>
      <c r="GB482" s="35"/>
      <c r="GC482" s="35"/>
      <c r="GD482" s="35"/>
      <c r="GE482" s="35"/>
      <c r="GF482" s="35"/>
      <c r="GG482" s="35"/>
      <c r="GH482" s="35"/>
      <c r="GI482" s="35"/>
      <c r="GJ482" s="35"/>
      <c r="GK482" s="35"/>
      <c r="GL482" s="35"/>
      <c r="GM482" s="35"/>
      <c r="GN482" s="35"/>
      <c r="GO482" s="35"/>
      <c r="GP482" s="35"/>
      <c r="GQ482" s="35"/>
      <c r="GR482" s="35"/>
      <c r="GS482" s="35"/>
      <c r="GT482" s="35"/>
      <c r="GU482" s="35"/>
      <c r="GV482" s="35"/>
      <c r="GW482" s="35"/>
      <c r="GX482" s="35"/>
      <c r="GY482" s="35"/>
      <c r="GZ482" s="35"/>
      <c r="HA482" s="35"/>
      <c r="HB482" s="35"/>
      <c r="HC482" s="35"/>
      <c r="HD482" s="35"/>
      <c r="HE482" s="35"/>
      <c r="HF482" s="35"/>
      <c r="HG482" s="35"/>
      <c r="HH482" s="35"/>
      <c r="HI482" s="35"/>
      <c r="HJ482" s="35"/>
      <c r="HK482" s="35"/>
      <c r="HL482" s="35"/>
      <c r="HM482" s="35"/>
      <c r="HN482" s="35"/>
      <c r="HO482" s="35"/>
      <c r="HP482" s="35"/>
      <c r="HQ482" s="35"/>
      <c r="HR482" s="35"/>
      <c r="HS482" s="35"/>
      <c r="HT482" s="35"/>
      <c r="HU482" s="35"/>
      <c r="HV482" s="35"/>
      <c r="HW482" s="35"/>
      <c r="HX482" s="35"/>
      <c r="HY482" s="35"/>
      <c r="HZ482" s="35"/>
      <c r="IA482" s="35"/>
      <c r="IB482" s="35"/>
      <c r="IC482" s="35"/>
      <c r="ID482" s="35"/>
      <c r="IE482" s="35"/>
      <c r="IF482" s="35"/>
      <c r="IG482" s="35"/>
      <c r="IH482" s="35"/>
      <c r="II482" s="35"/>
      <c r="IJ482" s="35"/>
      <c r="IK482" s="35"/>
      <c r="IL482" s="35"/>
      <c r="IM482" s="35"/>
      <c r="IN482" s="35"/>
      <c r="IO482" s="35"/>
      <c r="IP482" s="35"/>
      <c r="IQ482" s="35"/>
      <c r="IR482" s="35"/>
      <c r="IS482" s="35"/>
      <c r="IT482" s="35"/>
      <c r="IU482" s="35"/>
      <c r="IV482" s="35"/>
      <c r="IW482" s="35"/>
      <c r="IX482" s="35"/>
      <c r="IY482" s="35"/>
      <c r="IZ482" s="35"/>
      <c r="JA482" s="35"/>
      <c r="JB482" s="35"/>
      <c r="JC482" s="35"/>
      <c r="JD482" s="35"/>
      <c r="JE482" s="35"/>
    </row>
    <row r="483">
      <c r="A483" s="42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  <c r="AZ483" s="35"/>
      <c r="BA483" s="35"/>
      <c r="BB483" s="35"/>
      <c r="BC483" s="35"/>
      <c r="BD483" s="35"/>
      <c r="BE483" s="35"/>
      <c r="BF483" s="35"/>
      <c r="BG483" s="35"/>
      <c r="BH483" s="35"/>
      <c r="BI483" s="35"/>
      <c r="BJ483" s="35"/>
      <c r="BK483" s="35"/>
      <c r="BL483" s="35"/>
      <c r="BM483" s="35"/>
      <c r="BN483" s="35"/>
      <c r="BO483" s="35"/>
      <c r="BP483" s="35"/>
      <c r="BQ483" s="35"/>
      <c r="BR483" s="35"/>
      <c r="BS483" s="35"/>
      <c r="BT483" s="35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35"/>
      <c r="CO483" s="35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35"/>
      <c r="DJ483" s="35"/>
      <c r="DK483" s="35"/>
      <c r="DL483" s="35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35"/>
      <c r="EE483" s="35"/>
      <c r="EF483" s="35"/>
      <c r="EG483" s="35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35"/>
      <c r="EZ483" s="35"/>
      <c r="FA483" s="35"/>
      <c r="FB483" s="35"/>
      <c r="FC483" s="35"/>
      <c r="FD483" s="35"/>
      <c r="FE483" s="35"/>
      <c r="FF483" s="35"/>
      <c r="FG483" s="35"/>
      <c r="FH483" s="35"/>
      <c r="FI483" s="35"/>
      <c r="FJ483" s="35"/>
      <c r="FK483" s="35"/>
      <c r="FL483" s="35"/>
      <c r="FM483" s="35"/>
      <c r="FN483" s="35"/>
      <c r="FO483" s="35"/>
      <c r="FP483" s="35"/>
      <c r="FQ483" s="35"/>
      <c r="FR483" s="35"/>
      <c r="FS483" s="35"/>
      <c r="FT483" s="35"/>
      <c r="FU483" s="35"/>
      <c r="FV483" s="35"/>
      <c r="FW483" s="35"/>
      <c r="FX483" s="35"/>
      <c r="FY483" s="35"/>
      <c r="FZ483" s="35"/>
      <c r="GA483" s="35"/>
      <c r="GB483" s="35"/>
      <c r="GC483" s="35"/>
      <c r="GD483" s="35"/>
      <c r="GE483" s="35"/>
      <c r="GF483" s="35"/>
      <c r="GG483" s="35"/>
      <c r="GH483" s="35"/>
      <c r="GI483" s="35"/>
      <c r="GJ483" s="35"/>
      <c r="GK483" s="35"/>
      <c r="GL483" s="35"/>
      <c r="GM483" s="35"/>
      <c r="GN483" s="35"/>
      <c r="GO483" s="35"/>
      <c r="GP483" s="35"/>
      <c r="GQ483" s="35"/>
      <c r="GR483" s="35"/>
      <c r="GS483" s="35"/>
      <c r="GT483" s="35"/>
      <c r="GU483" s="35"/>
      <c r="GV483" s="35"/>
      <c r="GW483" s="35"/>
      <c r="GX483" s="35"/>
      <c r="GY483" s="35"/>
      <c r="GZ483" s="35"/>
      <c r="HA483" s="35"/>
      <c r="HB483" s="35"/>
      <c r="HC483" s="35"/>
      <c r="HD483" s="35"/>
      <c r="HE483" s="35"/>
      <c r="HF483" s="35"/>
      <c r="HG483" s="35"/>
      <c r="HH483" s="35"/>
      <c r="HI483" s="35"/>
      <c r="HJ483" s="35"/>
      <c r="HK483" s="35"/>
      <c r="HL483" s="35"/>
      <c r="HM483" s="35"/>
      <c r="HN483" s="35"/>
      <c r="HO483" s="35"/>
      <c r="HP483" s="35"/>
      <c r="HQ483" s="35"/>
      <c r="HR483" s="35"/>
      <c r="HS483" s="35"/>
      <c r="HT483" s="35"/>
      <c r="HU483" s="35"/>
      <c r="HV483" s="35"/>
      <c r="HW483" s="35"/>
      <c r="HX483" s="35"/>
      <c r="HY483" s="35"/>
      <c r="HZ483" s="35"/>
      <c r="IA483" s="35"/>
      <c r="IB483" s="35"/>
      <c r="IC483" s="35"/>
      <c r="ID483" s="35"/>
      <c r="IE483" s="35"/>
      <c r="IF483" s="35"/>
      <c r="IG483" s="35"/>
      <c r="IH483" s="35"/>
      <c r="II483" s="35"/>
      <c r="IJ483" s="35"/>
      <c r="IK483" s="35"/>
      <c r="IL483" s="35"/>
      <c r="IM483" s="35"/>
      <c r="IN483" s="35"/>
      <c r="IO483" s="35"/>
      <c r="IP483" s="35"/>
      <c r="IQ483" s="35"/>
      <c r="IR483" s="35"/>
      <c r="IS483" s="35"/>
      <c r="IT483" s="35"/>
      <c r="IU483" s="35"/>
      <c r="IV483" s="35"/>
      <c r="IW483" s="35"/>
      <c r="IX483" s="35"/>
      <c r="IY483" s="35"/>
      <c r="IZ483" s="35"/>
      <c r="JA483" s="35"/>
      <c r="JB483" s="35"/>
      <c r="JC483" s="35"/>
      <c r="JD483" s="35"/>
      <c r="JE483" s="35"/>
    </row>
    <row r="484">
      <c r="A484" s="42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35"/>
      <c r="BA484" s="35"/>
      <c r="BB484" s="35"/>
      <c r="BC484" s="35"/>
      <c r="BD484" s="35"/>
      <c r="BE484" s="35"/>
      <c r="BF484" s="35"/>
      <c r="BG484" s="35"/>
      <c r="BH484" s="35"/>
      <c r="BI484" s="35"/>
      <c r="BJ484" s="35"/>
      <c r="BK484" s="35"/>
      <c r="BL484" s="35"/>
      <c r="BM484" s="35"/>
      <c r="BN484" s="35"/>
      <c r="BO484" s="35"/>
      <c r="BP484" s="35"/>
      <c r="BQ484" s="35"/>
      <c r="BR484" s="35"/>
      <c r="BS484" s="35"/>
      <c r="BT484" s="35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35"/>
      <c r="CO484" s="35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35"/>
      <c r="DJ484" s="35"/>
      <c r="DK484" s="35"/>
      <c r="DL484" s="35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35"/>
      <c r="EE484" s="35"/>
      <c r="EF484" s="35"/>
      <c r="EG484" s="35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35"/>
      <c r="EZ484" s="35"/>
      <c r="FA484" s="35"/>
      <c r="FB484" s="35"/>
      <c r="FC484" s="35"/>
      <c r="FD484" s="35"/>
      <c r="FE484" s="35"/>
      <c r="FF484" s="35"/>
      <c r="FG484" s="35"/>
      <c r="FH484" s="35"/>
      <c r="FI484" s="35"/>
      <c r="FJ484" s="35"/>
      <c r="FK484" s="35"/>
      <c r="FL484" s="35"/>
      <c r="FM484" s="35"/>
      <c r="FN484" s="35"/>
      <c r="FO484" s="35"/>
      <c r="FP484" s="35"/>
      <c r="FQ484" s="35"/>
      <c r="FR484" s="35"/>
      <c r="FS484" s="35"/>
      <c r="FT484" s="35"/>
      <c r="FU484" s="35"/>
      <c r="FV484" s="35"/>
      <c r="FW484" s="35"/>
      <c r="FX484" s="35"/>
      <c r="FY484" s="35"/>
      <c r="FZ484" s="35"/>
      <c r="GA484" s="35"/>
      <c r="GB484" s="35"/>
      <c r="GC484" s="35"/>
      <c r="GD484" s="35"/>
      <c r="GE484" s="35"/>
      <c r="GF484" s="35"/>
      <c r="GG484" s="35"/>
      <c r="GH484" s="35"/>
      <c r="GI484" s="35"/>
      <c r="GJ484" s="35"/>
      <c r="GK484" s="35"/>
      <c r="GL484" s="35"/>
      <c r="GM484" s="35"/>
      <c r="GN484" s="35"/>
      <c r="GO484" s="35"/>
      <c r="GP484" s="35"/>
      <c r="GQ484" s="35"/>
      <c r="GR484" s="35"/>
      <c r="GS484" s="35"/>
      <c r="GT484" s="35"/>
      <c r="GU484" s="35"/>
      <c r="GV484" s="35"/>
      <c r="GW484" s="35"/>
      <c r="GX484" s="35"/>
      <c r="GY484" s="35"/>
      <c r="GZ484" s="35"/>
      <c r="HA484" s="35"/>
      <c r="HB484" s="35"/>
      <c r="HC484" s="35"/>
      <c r="HD484" s="35"/>
      <c r="HE484" s="35"/>
      <c r="HF484" s="35"/>
      <c r="HG484" s="35"/>
      <c r="HH484" s="35"/>
      <c r="HI484" s="35"/>
      <c r="HJ484" s="35"/>
      <c r="HK484" s="35"/>
      <c r="HL484" s="35"/>
      <c r="HM484" s="35"/>
      <c r="HN484" s="35"/>
      <c r="HO484" s="35"/>
      <c r="HP484" s="35"/>
      <c r="HQ484" s="35"/>
      <c r="HR484" s="35"/>
      <c r="HS484" s="35"/>
      <c r="HT484" s="35"/>
      <c r="HU484" s="35"/>
      <c r="HV484" s="35"/>
      <c r="HW484" s="35"/>
      <c r="HX484" s="35"/>
      <c r="HY484" s="35"/>
      <c r="HZ484" s="35"/>
      <c r="IA484" s="35"/>
      <c r="IB484" s="35"/>
      <c r="IC484" s="35"/>
      <c r="ID484" s="35"/>
      <c r="IE484" s="35"/>
      <c r="IF484" s="35"/>
      <c r="IG484" s="35"/>
      <c r="IH484" s="35"/>
      <c r="II484" s="35"/>
      <c r="IJ484" s="35"/>
      <c r="IK484" s="35"/>
      <c r="IL484" s="35"/>
      <c r="IM484" s="35"/>
      <c r="IN484" s="35"/>
      <c r="IO484" s="35"/>
      <c r="IP484" s="35"/>
      <c r="IQ484" s="35"/>
      <c r="IR484" s="35"/>
      <c r="IS484" s="35"/>
      <c r="IT484" s="35"/>
      <c r="IU484" s="35"/>
      <c r="IV484" s="35"/>
      <c r="IW484" s="35"/>
      <c r="IX484" s="35"/>
      <c r="IY484" s="35"/>
      <c r="IZ484" s="35"/>
      <c r="JA484" s="35"/>
      <c r="JB484" s="35"/>
      <c r="JC484" s="35"/>
      <c r="JD484" s="35"/>
      <c r="JE484" s="35"/>
    </row>
    <row r="485">
      <c r="A485" s="42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  <c r="AZ485" s="35"/>
      <c r="BA485" s="35"/>
      <c r="BB485" s="35"/>
      <c r="BC485" s="35"/>
      <c r="BD485" s="35"/>
      <c r="BE485" s="35"/>
      <c r="BF485" s="35"/>
      <c r="BG485" s="35"/>
      <c r="BH485" s="35"/>
      <c r="BI485" s="35"/>
      <c r="BJ485" s="35"/>
      <c r="BK485" s="35"/>
      <c r="BL485" s="35"/>
      <c r="BM485" s="35"/>
      <c r="BN485" s="35"/>
      <c r="BO485" s="35"/>
      <c r="BP485" s="35"/>
      <c r="BQ485" s="35"/>
      <c r="BR485" s="35"/>
      <c r="BS485" s="35"/>
      <c r="BT485" s="35"/>
      <c r="BU485" s="35"/>
      <c r="BV485" s="35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35"/>
      <c r="CO485" s="35"/>
      <c r="CP485" s="35"/>
      <c r="CQ485" s="35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35"/>
      <c r="DJ485" s="35"/>
      <c r="DK485" s="35"/>
      <c r="DL485" s="35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35"/>
      <c r="EE485" s="35"/>
      <c r="EF485" s="35"/>
      <c r="EG485" s="35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35"/>
      <c r="EZ485" s="35"/>
      <c r="FA485" s="35"/>
      <c r="FB485" s="35"/>
      <c r="FC485" s="35"/>
      <c r="FD485" s="35"/>
      <c r="FE485" s="35"/>
      <c r="FF485" s="35"/>
      <c r="FG485" s="35"/>
      <c r="FH485" s="35"/>
      <c r="FI485" s="35"/>
      <c r="FJ485" s="35"/>
      <c r="FK485" s="35"/>
      <c r="FL485" s="35"/>
      <c r="FM485" s="35"/>
      <c r="FN485" s="35"/>
      <c r="FO485" s="35"/>
      <c r="FP485" s="35"/>
      <c r="FQ485" s="35"/>
      <c r="FR485" s="35"/>
      <c r="FS485" s="35"/>
      <c r="FT485" s="35"/>
      <c r="FU485" s="35"/>
      <c r="FV485" s="35"/>
      <c r="FW485" s="35"/>
      <c r="FX485" s="35"/>
      <c r="FY485" s="35"/>
      <c r="FZ485" s="35"/>
      <c r="GA485" s="35"/>
      <c r="GB485" s="35"/>
      <c r="GC485" s="35"/>
      <c r="GD485" s="35"/>
      <c r="GE485" s="35"/>
      <c r="GF485" s="35"/>
      <c r="GG485" s="35"/>
      <c r="GH485" s="35"/>
      <c r="GI485" s="35"/>
      <c r="GJ485" s="35"/>
      <c r="GK485" s="35"/>
      <c r="GL485" s="35"/>
      <c r="GM485" s="35"/>
      <c r="GN485" s="35"/>
      <c r="GO485" s="35"/>
      <c r="GP485" s="35"/>
      <c r="GQ485" s="35"/>
      <c r="GR485" s="35"/>
      <c r="GS485" s="35"/>
      <c r="GT485" s="35"/>
      <c r="GU485" s="35"/>
      <c r="GV485" s="35"/>
      <c r="GW485" s="35"/>
      <c r="GX485" s="35"/>
      <c r="GY485" s="35"/>
      <c r="GZ485" s="35"/>
      <c r="HA485" s="35"/>
      <c r="HB485" s="35"/>
      <c r="HC485" s="35"/>
      <c r="HD485" s="35"/>
      <c r="HE485" s="35"/>
      <c r="HF485" s="35"/>
      <c r="HG485" s="35"/>
      <c r="HH485" s="35"/>
      <c r="HI485" s="35"/>
      <c r="HJ485" s="35"/>
      <c r="HK485" s="35"/>
      <c r="HL485" s="35"/>
      <c r="HM485" s="35"/>
      <c r="HN485" s="35"/>
      <c r="HO485" s="35"/>
      <c r="HP485" s="35"/>
      <c r="HQ485" s="35"/>
      <c r="HR485" s="35"/>
      <c r="HS485" s="35"/>
      <c r="HT485" s="35"/>
      <c r="HU485" s="35"/>
      <c r="HV485" s="35"/>
      <c r="HW485" s="35"/>
      <c r="HX485" s="35"/>
      <c r="HY485" s="35"/>
      <c r="HZ485" s="35"/>
      <c r="IA485" s="35"/>
      <c r="IB485" s="35"/>
      <c r="IC485" s="35"/>
      <c r="ID485" s="35"/>
      <c r="IE485" s="35"/>
      <c r="IF485" s="35"/>
      <c r="IG485" s="35"/>
      <c r="IH485" s="35"/>
      <c r="II485" s="35"/>
      <c r="IJ485" s="35"/>
      <c r="IK485" s="35"/>
      <c r="IL485" s="35"/>
      <c r="IM485" s="35"/>
      <c r="IN485" s="35"/>
      <c r="IO485" s="35"/>
      <c r="IP485" s="35"/>
      <c r="IQ485" s="35"/>
      <c r="IR485" s="35"/>
      <c r="IS485" s="35"/>
      <c r="IT485" s="35"/>
      <c r="IU485" s="35"/>
      <c r="IV485" s="35"/>
      <c r="IW485" s="35"/>
      <c r="IX485" s="35"/>
      <c r="IY485" s="35"/>
      <c r="IZ485" s="35"/>
      <c r="JA485" s="35"/>
      <c r="JB485" s="35"/>
      <c r="JC485" s="35"/>
      <c r="JD485" s="35"/>
      <c r="JE485" s="35"/>
    </row>
    <row r="486">
      <c r="A486" s="42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35"/>
      <c r="BA486" s="35"/>
      <c r="BB486" s="35"/>
      <c r="BC486" s="35"/>
      <c r="BD486" s="35"/>
      <c r="BE486" s="35"/>
      <c r="BF486" s="35"/>
      <c r="BG486" s="35"/>
      <c r="BH486" s="35"/>
      <c r="BI486" s="35"/>
      <c r="BJ486" s="35"/>
      <c r="BK486" s="35"/>
      <c r="BL486" s="35"/>
      <c r="BM486" s="35"/>
      <c r="BN486" s="35"/>
      <c r="BO486" s="35"/>
      <c r="BP486" s="35"/>
      <c r="BQ486" s="35"/>
      <c r="BR486" s="35"/>
      <c r="BS486" s="35"/>
      <c r="BT486" s="35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35"/>
      <c r="CO486" s="35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35"/>
      <c r="DJ486" s="35"/>
      <c r="DK486" s="35"/>
      <c r="DL486" s="35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35"/>
      <c r="EE486" s="35"/>
      <c r="EF486" s="35"/>
      <c r="EG486" s="35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35"/>
      <c r="EZ486" s="35"/>
      <c r="FA486" s="35"/>
      <c r="FB486" s="35"/>
      <c r="FC486" s="35"/>
      <c r="FD486" s="35"/>
      <c r="FE486" s="35"/>
      <c r="FF486" s="35"/>
      <c r="FG486" s="35"/>
      <c r="FH486" s="35"/>
      <c r="FI486" s="35"/>
      <c r="FJ486" s="35"/>
      <c r="FK486" s="35"/>
      <c r="FL486" s="35"/>
      <c r="FM486" s="35"/>
      <c r="FN486" s="35"/>
      <c r="FO486" s="35"/>
      <c r="FP486" s="35"/>
      <c r="FQ486" s="35"/>
      <c r="FR486" s="35"/>
      <c r="FS486" s="35"/>
      <c r="FT486" s="35"/>
      <c r="FU486" s="35"/>
      <c r="FV486" s="35"/>
      <c r="FW486" s="35"/>
      <c r="FX486" s="35"/>
      <c r="FY486" s="35"/>
      <c r="FZ486" s="35"/>
      <c r="GA486" s="35"/>
      <c r="GB486" s="35"/>
      <c r="GC486" s="35"/>
      <c r="GD486" s="35"/>
      <c r="GE486" s="35"/>
      <c r="GF486" s="35"/>
      <c r="GG486" s="35"/>
      <c r="GH486" s="35"/>
      <c r="GI486" s="35"/>
      <c r="GJ486" s="35"/>
      <c r="GK486" s="35"/>
      <c r="GL486" s="35"/>
      <c r="GM486" s="35"/>
      <c r="GN486" s="35"/>
      <c r="GO486" s="35"/>
      <c r="GP486" s="35"/>
      <c r="GQ486" s="35"/>
      <c r="GR486" s="35"/>
      <c r="GS486" s="35"/>
      <c r="GT486" s="35"/>
      <c r="GU486" s="35"/>
      <c r="GV486" s="35"/>
      <c r="GW486" s="35"/>
      <c r="GX486" s="35"/>
      <c r="GY486" s="35"/>
      <c r="GZ486" s="35"/>
      <c r="HA486" s="35"/>
      <c r="HB486" s="35"/>
      <c r="HC486" s="35"/>
      <c r="HD486" s="35"/>
      <c r="HE486" s="35"/>
      <c r="HF486" s="35"/>
      <c r="HG486" s="35"/>
      <c r="HH486" s="35"/>
      <c r="HI486" s="35"/>
      <c r="HJ486" s="35"/>
      <c r="HK486" s="35"/>
      <c r="HL486" s="35"/>
      <c r="HM486" s="35"/>
      <c r="HN486" s="35"/>
      <c r="HO486" s="35"/>
      <c r="HP486" s="35"/>
      <c r="HQ486" s="35"/>
      <c r="HR486" s="35"/>
      <c r="HS486" s="35"/>
      <c r="HT486" s="35"/>
      <c r="HU486" s="35"/>
      <c r="HV486" s="35"/>
      <c r="HW486" s="35"/>
      <c r="HX486" s="35"/>
      <c r="HY486" s="35"/>
      <c r="HZ486" s="35"/>
      <c r="IA486" s="35"/>
      <c r="IB486" s="35"/>
      <c r="IC486" s="35"/>
      <c r="ID486" s="35"/>
      <c r="IE486" s="35"/>
      <c r="IF486" s="35"/>
      <c r="IG486" s="35"/>
      <c r="IH486" s="35"/>
      <c r="II486" s="35"/>
      <c r="IJ486" s="35"/>
      <c r="IK486" s="35"/>
      <c r="IL486" s="35"/>
      <c r="IM486" s="35"/>
      <c r="IN486" s="35"/>
      <c r="IO486" s="35"/>
      <c r="IP486" s="35"/>
      <c r="IQ486" s="35"/>
      <c r="IR486" s="35"/>
      <c r="IS486" s="35"/>
      <c r="IT486" s="35"/>
      <c r="IU486" s="35"/>
      <c r="IV486" s="35"/>
      <c r="IW486" s="35"/>
      <c r="IX486" s="35"/>
      <c r="IY486" s="35"/>
      <c r="IZ486" s="35"/>
      <c r="JA486" s="35"/>
      <c r="JB486" s="35"/>
      <c r="JC486" s="35"/>
      <c r="JD486" s="35"/>
      <c r="JE486" s="35"/>
    </row>
    <row r="487">
      <c r="A487" s="42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  <c r="AZ487" s="35"/>
      <c r="BA487" s="35"/>
      <c r="BB487" s="35"/>
      <c r="BC487" s="35"/>
      <c r="BD487" s="35"/>
      <c r="BE487" s="35"/>
      <c r="BF487" s="35"/>
      <c r="BG487" s="35"/>
      <c r="BH487" s="35"/>
      <c r="BI487" s="35"/>
      <c r="BJ487" s="35"/>
      <c r="BK487" s="35"/>
      <c r="BL487" s="35"/>
      <c r="BM487" s="35"/>
      <c r="BN487" s="35"/>
      <c r="BO487" s="35"/>
      <c r="BP487" s="35"/>
      <c r="BQ487" s="35"/>
      <c r="BR487" s="35"/>
      <c r="BS487" s="35"/>
      <c r="BT487" s="35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35"/>
      <c r="CO487" s="35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35"/>
      <c r="DJ487" s="35"/>
      <c r="DK487" s="35"/>
      <c r="DL487" s="35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35"/>
      <c r="EE487" s="35"/>
      <c r="EF487" s="35"/>
      <c r="EG487" s="35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35"/>
      <c r="EZ487" s="35"/>
      <c r="FA487" s="35"/>
      <c r="FB487" s="35"/>
      <c r="FC487" s="35"/>
      <c r="FD487" s="35"/>
      <c r="FE487" s="35"/>
      <c r="FF487" s="35"/>
      <c r="FG487" s="35"/>
      <c r="FH487" s="35"/>
      <c r="FI487" s="35"/>
      <c r="FJ487" s="35"/>
      <c r="FK487" s="35"/>
      <c r="FL487" s="35"/>
      <c r="FM487" s="35"/>
      <c r="FN487" s="35"/>
      <c r="FO487" s="35"/>
      <c r="FP487" s="35"/>
      <c r="FQ487" s="35"/>
      <c r="FR487" s="35"/>
      <c r="FS487" s="35"/>
      <c r="FT487" s="35"/>
      <c r="FU487" s="35"/>
      <c r="FV487" s="35"/>
      <c r="FW487" s="35"/>
      <c r="FX487" s="35"/>
      <c r="FY487" s="35"/>
      <c r="FZ487" s="35"/>
      <c r="GA487" s="35"/>
      <c r="GB487" s="35"/>
      <c r="GC487" s="35"/>
      <c r="GD487" s="35"/>
      <c r="GE487" s="35"/>
      <c r="GF487" s="35"/>
      <c r="GG487" s="35"/>
      <c r="GH487" s="35"/>
      <c r="GI487" s="35"/>
      <c r="GJ487" s="35"/>
      <c r="GK487" s="35"/>
      <c r="GL487" s="35"/>
      <c r="GM487" s="35"/>
      <c r="GN487" s="35"/>
      <c r="GO487" s="35"/>
      <c r="GP487" s="35"/>
      <c r="GQ487" s="35"/>
      <c r="GR487" s="35"/>
      <c r="GS487" s="35"/>
      <c r="GT487" s="35"/>
      <c r="GU487" s="35"/>
      <c r="GV487" s="35"/>
      <c r="GW487" s="35"/>
      <c r="GX487" s="35"/>
      <c r="GY487" s="35"/>
      <c r="GZ487" s="35"/>
      <c r="HA487" s="35"/>
      <c r="HB487" s="35"/>
      <c r="HC487" s="35"/>
      <c r="HD487" s="35"/>
      <c r="HE487" s="35"/>
      <c r="HF487" s="35"/>
      <c r="HG487" s="35"/>
      <c r="HH487" s="35"/>
      <c r="HI487" s="35"/>
      <c r="HJ487" s="35"/>
      <c r="HK487" s="35"/>
      <c r="HL487" s="35"/>
      <c r="HM487" s="35"/>
      <c r="HN487" s="35"/>
      <c r="HO487" s="35"/>
      <c r="HP487" s="35"/>
      <c r="HQ487" s="35"/>
      <c r="HR487" s="35"/>
      <c r="HS487" s="35"/>
      <c r="HT487" s="35"/>
      <c r="HU487" s="35"/>
      <c r="HV487" s="35"/>
      <c r="HW487" s="35"/>
      <c r="HX487" s="35"/>
      <c r="HY487" s="35"/>
      <c r="HZ487" s="35"/>
      <c r="IA487" s="35"/>
      <c r="IB487" s="35"/>
      <c r="IC487" s="35"/>
      <c r="ID487" s="35"/>
      <c r="IE487" s="35"/>
      <c r="IF487" s="35"/>
      <c r="IG487" s="35"/>
      <c r="IH487" s="35"/>
      <c r="II487" s="35"/>
      <c r="IJ487" s="35"/>
      <c r="IK487" s="35"/>
      <c r="IL487" s="35"/>
      <c r="IM487" s="35"/>
      <c r="IN487" s="35"/>
      <c r="IO487" s="35"/>
      <c r="IP487" s="35"/>
      <c r="IQ487" s="35"/>
      <c r="IR487" s="35"/>
      <c r="IS487" s="35"/>
      <c r="IT487" s="35"/>
      <c r="IU487" s="35"/>
      <c r="IV487" s="35"/>
      <c r="IW487" s="35"/>
      <c r="IX487" s="35"/>
      <c r="IY487" s="35"/>
      <c r="IZ487" s="35"/>
      <c r="JA487" s="35"/>
      <c r="JB487" s="35"/>
      <c r="JC487" s="35"/>
      <c r="JD487" s="35"/>
      <c r="JE487" s="35"/>
    </row>
    <row r="488">
      <c r="A488" s="42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  <c r="AZ488" s="35"/>
      <c r="BA488" s="35"/>
      <c r="BB488" s="35"/>
      <c r="BC488" s="35"/>
      <c r="BD488" s="35"/>
      <c r="BE488" s="35"/>
      <c r="BF488" s="35"/>
      <c r="BG488" s="35"/>
      <c r="BH488" s="35"/>
      <c r="BI488" s="35"/>
      <c r="BJ488" s="35"/>
      <c r="BK488" s="35"/>
      <c r="BL488" s="35"/>
      <c r="BM488" s="35"/>
      <c r="BN488" s="35"/>
      <c r="BO488" s="35"/>
      <c r="BP488" s="35"/>
      <c r="BQ488" s="35"/>
      <c r="BR488" s="35"/>
      <c r="BS488" s="35"/>
      <c r="BT488" s="35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35"/>
      <c r="CO488" s="35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35"/>
      <c r="DJ488" s="35"/>
      <c r="DK488" s="35"/>
      <c r="DL488" s="35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35"/>
      <c r="EE488" s="35"/>
      <c r="EF488" s="35"/>
      <c r="EG488" s="35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35"/>
      <c r="EZ488" s="35"/>
      <c r="FA488" s="35"/>
      <c r="FB488" s="35"/>
      <c r="FC488" s="35"/>
      <c r="FD488" s="35"/>
      <c r="FE488" s="35"/>
      <c r="FF488" s="35"/>
      <c r="FG488" s="35"/>
      <c r="FH488" s="35"/>
      <c r="FI488" s="35"/>
      <c r="FJ488" s="35"/>
      <c r="FK488" s="35"/>
      <c r="FL488" s="35"/>
      <c r="FM488" s="35"/>
      <c r="FN488" s="35"/>
      <c r="FO488" s="35"/>
      <c r="FP488" s="35"/>
      <c r="FQ488" s="35"/>
      <c r="FR488" s="35"/>
      <c r="FS488" s="35"/>
      <c r="FT488" s="35"/>
      <c r="FU488" s="35"/>
      <c r="FV488" s="35"/>
      <c r="FW488" s="35"/>
      <c r="FX488" s="35"/>
      <c r="FY488" s="35"/>
      <c r="FZ488" s="35"/>
      <c r="GA488" s="35"/>
      <c r="GB488" s="35"/>
      <c r="GC488" s="35"/>
      <c r="GD488" s="35"/>
      <c r="GE488" s="35"/>
      <c r="GF488" s="35"/>
      <c r="GG488" s="35"/>
      <c r="GH488" s="35"/>
      <c r="GI488" s="35"/>
      <c r="GJ488" s="35"/>
      <c r="GK488" s="35"/>
      <c r="GL488" s="35"/>
      <c r="GM488" s="35"/>
      <c r="GN488" s="35"/>
      <c r="GO488" s="35"/>
      <c r="GP488" s="35"/>
      <c r="GQ488" s="35"/>
      <c r="GR488" s="35"/>
      <c r="GS488" s="35"/>
      <c r="GT488" s="35"/>
      <c r="GU488" s="35"/>
      <c r="GV488" s="35"/>
      <c r="GW488" s="35"/>
      <c r="GX488" s="35"/>
      <c r="GY488" s="35"/>
      <c r="GZ488" s="35"/>
      <c r="HA488" s="35"/>
      <c r="HB488" s="35"/>
      <c r="HC488" s="35"/>
      <c r="HD488" s="35"/>
      <c r="HE488" s="35"/>
      <c r="HF488" s="35"/>
      <c r="HG488" s="35"/>
      <c r="HH488" s="35"/>
      <c r="HI488" s="35"/>
      <c r="HJ488" s="35"/>
      <c r="HK488" s="35"/>
      <c r="HL488" s="35"/>
      <c r="HM488" s="35"/>
      <c r="HN488" s="35"/>
      <c r="HO488" s="35"/>
      <c r="HP488" s="35"/>
      <c r="HQ488" s="35"/>
      <c r="HR488" s="35"/>
      <c r="HS488" s="35"/>
      <c r="HT488" s="35"/>
      <c r="HU488" s="35"/>
      <c r="HV488" s="35"/>
      <c r="HW488" s="35"/>
      <c r="HX488" s="35"/>
      <c r="HY488" s="35"/>
      <c r="HZ488" s="35"/>
      <c r="IA488" s="35"/>
      <c r="IB488" s="35"/>
      <c r="IC488" s="35"/>
      <c r="ID488" s="35"/>
      <c r="IE488" s="35"/>
      <c r="IF488" s="35"/>
      <c r="IG488" s="35"/>
      <c r="IH488" s="35"/>
      <c r="II488" s="35"/>
      <c r="IJ488" s="35"/>
      <c r="IK488" s="35"/>
      <c r="IL488" s="35"/>
      <c r="IM488" s="35"/>
      <c r="IN488" s="35"/>
      <c r="IO488" s="35"/>
      <c r="IP488" s="35"/>
      <c r="IQ488" s="35"/>
      <c r="IR488" s="35"/>
      <c r="IS488" s="35"/>
      <c r="IT488" s="35"/>
      <c r="IU488" s="35"/>
      <c r="IV488" s="35"/>
      <c r="IW488" s="35"/>
      <c r="IX488" s="35"/>
      <c r="IY488" s="35"/>
      <c r="IZ488" s="35"/>
      <c r="JA488" s="35"/>
      <c r="JB488" s="35"/>
      <c r="JC488" s="35"/>
      <c r="JD488" s="35"/>
      <c r="JE488" s="35"/>
    </row>
    <row r="489">
      <c r="A489" s="42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  <c r="AZ489" s="35"/>
      <c r="BA489" s="35"/>
      <c r="BB489" s="35"/>
      <c r="BC489" s="35"/>
      <c r="BD489" s="35"/>
      <c r="BE489" s="35"/>
      <c r="BF489" s="35"/>
      <c r="BG489" s="35"/>
      <c r="BH489" s="35"/>
      <c r="BI489" s="35"/>
      <c r="BJ489" s="35"/>
      <c r="BK489" s="35"/>
      <c r="BL489" s="35"/>
      <c r="BM489" s="35"/>
      <c r="BN489" s="35"/>
      <c r="BO489" s="35"/>
      <c r="BP489" s="35"/>
      <c r="BQ489" s="35"/>
      <c r="BR489" s="35"/>
      <c r="BS489" s="35"/>
      <c r="BT489" s="35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35"/>
      <c r="CO489" s="35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35"/>
      <c r="DJ489" s="35"/>
      <c r="DK489" s="35"/>
      <c r="DL489" s="35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35"/>
      <c r="EE489" s="35"/>
      <c r="EF489" s="35"/>
      <c r="EG489" s="35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35"/>
      <c r="EZ489" s="35"/>
      <c r="FA489" s="35"/>
      <c r="FB489" s="35"/>
      <c r="FC489" s="35"/>
      <c r="FD489" s="35"/>
      <c r="FE489" s="35"/>
      <c r="FF489" s="35"/>
      <c r="FG489" s="35"/>
      <c r="FH489" s="35"/>
      <c r="FI489" s="35"/>
      <c r="FJ489" s="35"/>
      <c r="FK489" s="35"/>
      <c r="FL489" s="35"/>
      <c r="FM489" s="35"/>
      <c r="FN489" s="35"/>
      <c r="FO489" s="35"/>
      <c r="FP489" s="35"/>
      <c r="FQ489" s="35"/>
      <c r="FR489" s="35"/>
      <c r="FS489" s="35"/>
      <c r="FT489" s="35"/>
      <c r="FU489" s="35"/>
      <c r="FV489" s="35"/>
      <c r="FW489" s="35"/>
      <c r="FX489" s="35"/>
      <c r="FY489" s="35"/>
      <c r="FZ489" s="35"/>
      <c r="GA489" s="35"/>
      <c r="GB489" s="35"/>
      <c r="GC489" s="35"/>
      <c r="GD489" s="35"/>
      <c r="GE489" s="35"/>
      <c r="GF489" s="35"/>
      <c r="GG489" s="35"/>
      <c r="GH489" s="35"/>
      <c r="GI489" s="35"/>
      <c r="GJ489" s="35"/>
      <c r="GK489" s="35"/>
      <c r="GL489" s="35"/>
      <c r="GM489" s="35"/>
      <c r="GN489" s="35"/>
      <c r="GO489" s="35"/>
      <c r="GP489" s="35"/>
      <c r="GQ489" s="35"/>
      <c r="GR489" s="35"/>
      <c r="GS489" s="35"/>
      <c r="GT489" s="35"/>
      <c r="GU489" s="35"/>
      <c r="GV489" s="35"/>
      <c r="GW489" s="35"/>
      <c r="GX489" s="35"/>
      <c r="GY489" s="35"/>
      <c r="GZ489" s="35"/>
      <c r="HA489" s="35"/>
      <c r="HB489" s="35"/>
      <c r="HC489" s="35"/>
      <c r="HD489" s="35"/>
      <c r="HE489" s="35"/>
      <c r="HF489" s="35"/>
      <c r="HG489" s="35"/>
      <c r="HH489" s="35"/>
      <c r="HI489" s="35"/>
      <c r="HJ489" s="35"/>
      <c r="HK489" s="35"/>
      <c r="HL489" s="35"/>
      <c r="HM489" s="35"/>
      <c r="HN489" s="35"/>
      <c r="HO489" s="35"/>
      <c r="HP489" s="35"/>
      <c r="HQ489" s="35"/>
      <c r="HR489" s="35"/>
      <c r="HS489" s="35"/>
      <c r="HT489" s="35"/>
      <c r="HU489" s="35"/>
      <c r="HV489" s="35"/>
      <c r="HW489" s="35"/>
      <c r="HX489" s="35"/>
      <c r="HY489" s="35"/>
      <c r="HZ489" s="35"/>
      <c r="IA489" s="35"/>
      <c r="IB489" s="35"/>
      <c r="IC489" s="35"/>
      <c r="ID489" s="35"/>
      <c r="IE489" s="35"/>
      <c r="IF489" s="35"/>
      <c r="IG489" s="35"/>
      <c r="IH489" s="35"/>
      <c r="II489" s="35"/>
      <c r="IJ489" s="35"/>
      <c r="IK489" s="35"/>
      <c r="IL489" s="35"/>
      <c r="IM489" s="35"/>
      <c r="IN489" s="35"/>
      <c r="IO489" s="35"/>
      <c r="IP489" s="35"/>
      <c r="IQ489" s="35"/>
      <c r="IR489" s="35"/>
      <c r="IS489" s="35"/>
      <c r="IT489" s="35"/>
      <c r="IU489" s="35"/>
      <c r="IV489" s="35"/>
      <c r="IW489" s="35"/>
      <c r="IX489" s="35"/>
      <c r="IY489" s="35"/>
      <c r="IZ489" s="35"/>
      <c r="JA489" s="35"/>
      <c r="JB489" s="35"/>
      <c r="JC489" s="35"/>
      <c r="JD489" s="35"/>
      <c r="JE489" s="35"/>
    </row>
    <row r="490">
      <c r="A490" s="42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35"/>
      <c r="BA490" s="35"/>
      <c r="BB490" s="35"/>
      <c r="BC490" s="35"/>
      <c r="BD490" s="35"/>
      <c r="BE490" s="35"/>
      <c r="BF490" s="35"/>
      <c r="BG490" s="35"/>
      <c r="BH490" s="35"/>
      <c r="BI490" s="35"/>
      <c r="BJ490" s="35"/>
      <c r="BK490" s="35"/>
      <c r="BL490" s="35"/>
      <c r="BM490" s="35"/>
      <c r="BN490" s="35"/>
      <c r="BO490" s="35"/>
      <c r="BP490" s="35"/>
      <c r="BQ490" s="35"/>
      <c r="BR490" s="35"/>
      <c r="BS490" s="35"/>
      <c r="BT490" s="35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35"/>
      <c r="CO490" s="35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35"/>
      <c r="DJ490" s="35"/>
      <c r="DK490" s="35"/>
      <c r="DL490" s="35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35"/>
      <c r="EE490" s="35"/>
      <c r="EF490" s="35"/>
      <c r="EG490" s="35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35"/>
      <c r="EZ490" s="35"/>
      <c r="FA490" s="35"/>
      <c r="FB490" s="35"/>
      <c r="FC490" s="35"/>
      <c r="FD490" s="35"/>
      <c r="FE490" s="35"/>
      <c r="FF490" s="35"/>
      <c r="FG490" s="35"/>
      <c r="FH490" s="35"/>
      <c r="FI490" s="35"/>
      <c r="FJ490" s="35"/>
      <c r="FK490" s="35"/>
      <c r="FL490" s="35"/>
      <c r="FM490" s="35"/>
      <c r="FN490" s="35"/>
      <c r="FO490" s="35"/>
      <c r="FP490" s="35"/>
      <c r="FQ490" s="35"/>
      <c r="FR490" s="35"/>
      <c r="FS490" s="35"/>
      <c r="FT490" s="35"/>
      <c r="FU490" s="35"/>
      <c r="FV490" s="35"/>
      <c r="FW490" s="35"/>
      <c r="FX490" s="35"/>
      <c r="FY490" s="35"/>
      <c r="FZ490" s="35"/>
      <c r="GA490" s="35"/>
      <c r="GB490" s="35"/>
      <c r="GC490" s="35"/>
      <c r="GD490" s="35"/>
      <c r="GE490" s="35"/>
      <c r="GF490" s="35"/>
      <c r="GG490" s="35"/>
      <c r="GH490" s="35"/>
      <c r="GI490" s="35"/>
      <c r="GJ490" s="35"/>
      <c r="GK490" s="35"/>
      <c r="GL490" s="35"/>
      <c r="GM490" s="35"/>
      <c r="GN490" s="35"/>
      <c r="GO490" s="35"/>
      <c r="GP490" s="35"/>
      <c r="GQ490" s="35"/>
      <c r="GR490" s="35"/>
      <c r="GS490" s="35"/>
      <c r="GT490" s="35"/>
      <c r="GU490" s="35"/>
      <c r="GV490" s="35"/>
      <c r="GW490" s="35"/>
      <c r="GX490" s="35"/>
      <c r="GY490" s="35"/>
      <c r="GZ490" s="35"/>
      <c r="HA490" s="35"/>
      <c r="HB490" s="35"/>
      <c r="HC490" s="35"/>
      <c r="HD490" s="35"/>
      <c r="HE490" s="35"/>
      <c r="HF490" s="35"/>
      <c r="HG490" s="35"/>
      <c r="HH490" s="35"/>
      <c r="HI490" s="35"/>
      <c r="HJ490" s="35"/>
      <c r="HK490" s="35"/>
      <c r="HL490" s="35"/>
      <c r="HM490" s="35"/>
      <c r="HN490" s="35"/>
      <c r="HO490" s="35"/>
      <c r="HP490" s="35"/>
      <c r="HQ490" s="35"/>
      <c r="HR490" s="35"/>
      <c r="HS490" s="35"/>
      <c r="HT490" s="35"/>
      <c r="HU490" s="35"/>
      <c r="HV490" s="35"/>
      <c r="HW490" s="35"/>
      <c r="HX490" s="35"/>
      <c r="HY490" s="35"/>
      <c r="HZ490" s="35"/>
      <c r="IA490" s="35"/>
      <c r="IB490" s="35"/>
      <c r="IC490" s="35"/>
      <c r="ID490" s="35"/>
      <c r="IE490" s="35"/>
      <c r="IF490" s="35"/>
      <c r="IG490" s="35"/>
      <c r="IH490" s="35"/>
      <c r="II490" s="35"/>
      <c r="IJ490" s="35"/>
      <c r="IK490" s="35"/>
      <c r="IL490" s="35"/>
      <c r="IM490" s="35"/>
      <c r="IN490" s="35"/>
      <c r="IO490" s="35"/>
      <c r="IP490" s="35"/>
      <c r="IQ490" s="35"/>
      <c r="IR490" s="35"/>
      <c r="IS490" s="35"/>
      <c r="IT490" s="35"/>
      <c r="IU490" s="35"/>
      <c r="IV490" s="35"/>
      <c r="IW490" s="35"/>
      <c r="IX490" s="35"/>
      <c r="IY490" s="35"/>
      <c r="IZ490" s="35"/>
      <c r="JA490" s="35"/>
      <c r="JB490" s="35"/>
      <c r="JC490" s="35"/>
      <c r="JD490" s="35"/>
      <c r="JE490" s="35"/>
    </row>
    <row r="491">
      <c r="A491" s="42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  <c r="AZ491" s="35"/>
      <c r="BA491" s="35"/>
      <c r="BB491" s="35"/>
      <c r="BC491" s="35"/>
      <c r="BD491" s="35"/>
      <c r="BE491" s="35"/>
      <c r="BF491" s="35"/>
      <c r="BG491" s="35"/>
      <c r="BH491" s="35"/>
      <c r="BI491" s="35"/>
      <c r="BJ491" s="35"/>
      <c r="BK491" s="35"/>
      <c r="BL491" s="35"/>
      <c r="BM491" s="35"/>
      <c r="BN491" s="35"/>
      <c r="BO491" s="35"/>
      <c r="BP491" s="35"/>
      <c r="BQ491" s="35"/>
      <c r="BR491" s="35"/>
      <c r="BS491" s="35"/>
      <c r="BT491" s="35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35"/>
      <c r="CO491" s="35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35"/>
      <c r="DJ491" s="35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35"/>
      <c r="EE491" s="35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35"/>
      <c r="EZ491" s="35"/>
      <c r="FA491" s="35"/>
      <c r="FB491" s="35"/>
      <c r="FC491" s="35"/>
      <c r="FD491" s="35"/>
      <c r="FE491" s="35"/>
      <c r="FF491" s="35"/>
      <c r="FG491" s="35"/>
      <c r="FH491" s="35"/>
      <c r="FI491" s="35"/>
      <c r="FJ491" s="35"/>
      <c r="FK491" s="35"/>
      <c r="FL491" s="35"/>
      <c r="FM491" s="35"/>
      <c r="FN491" s="35"/>
      <c r="FO491" s="35"/>
      <c r="FP491" s="35"/>
      <c r="FQ491" s="35"/>
      <c r="FR491" s="35"/>
      <c r="FS491" s="35"/>
      <c r="FT491" s="35"/>
      <c r="FU491" s="35"/>
      <c r="FV491" s="35"/>
      <c r="FW491" s="35"/>
      <c r="FX491" s="35"/>
      <c r="FY491" s="35"/>
      <c r="FZ491" s="35"/>
      <c r="GA491" s="35"/>
      <c r="GB491" s="35"/>
      <c r="GC491" s="35"/>
      <c r="GD491" s="35"/>
      <c r="GE491" s="35"/>
      <c r="GF491" s="35"/>
      <c r="GG491" s="35"/>
      <c r="GH491" s="35"/>
      <c r="GI491" s="35"/>
      <c r="GJ491" s="35"/>
      <c r="GK491" s="35"/>
      <c r="GL491" s="35"/>
      <c r="GM491" s="35"/>
      <c r="GN491" s="35"/>
      <c r="GO491" s="35"/>
      <c r="GP491" s="35"/>
      <c r="GQ491" s="35"/>
      <c r="GR491" s="35"/>
      <c r="GS491" s="35"/>
      <c r="GT491" s="35"/>
      <c r="GU491" s="35"/>
      <c r="GV491" s="35"/>
      <c r="GW491" s="35"/>
      <c r="GX491" s="35"/>
      <c r="GY491" s="35"/>
      <c r="GZ491" s="35"/>
      <c r="HA491" s="35"/>
      <c r="HB491" s="35"/>
      <c r="HC491" s="35"/>
      <c r="HD491" s="35"/>
      <c r="HE491" s="35"/>
      <c r="HF491" s="35"/>
      <c r="HG491" s="35"/>
      <c r="HH491" s="35"/>
      <c r="HI491" s="35"/>
      <c r="HJ491" s="35"/>
      <c r="HK491" s="35"/>
      <c r="HL491" s="35"/>
      <c r="HM491" s="35"/>
      <c r="HN491" s="35"/>
      <c r="HO491" s="35"/>
      <c r="HP491" s="35"/>
      <c r="HQ491" s="35"/>
      <c r="HR491" s="35"/>
      <c r="HS491" s="35"/>
      <c r="HT491" s="35"/>
      <c r="HU491" s="35"/>
      <c r="HV491" s="35"/>
      <c r="HW491" s="35"/>
      <c r="HX491" s="35"/>
      <c r="HY491" s="35"/>
      <c r="HZ491" s="35"/>
      <c r="IA491" s="35"/>
      <c r="IB491" s="35"/>
      <c r="IC491" s="35"/>
      <c r="ID491" s="35"/>
      <c r="IE491" s="35"/>
      <c r="IF491" s="35"/>
      <c r="IG491" s="35"/>
      <c r="IH491" s="35"/>
      <c r="II491" s="35"/>
      <c r="IJ491" s="35"/>
      <c r="IK491" s="35"/>
      <c r="IL491" s="35"/>
      <c r="IM491" s="35"/>
      <c r="IN491" s="35"/>
      <c r="IO491" s="35"/>
      <c r="IP491" s="35"/>
      <c r="IQ491" s="35"/>
      <c r="IR491" s="35"/>
      <c r="IS491" s="35"/>
      <c r="IT491" s="35"/>
      <c r="IU491" s="35"/>
      <c r="IV491" s="35"/>
      <c r="IW491" s="35"/>
      <c r="IX491" s="35"/>
      <c r="IY491" s="35"/>
      <c r="IZ491" s="35"/>
      <c r="JA491" s="35"/>
      <c r="JB491" s="35"/>
      <c r="JC491" s="35"/>
      <c r="JD491" s="35"/>
      <c r="JE491" s="35"/>
    </row>
    <row r="492">
      <c r="A492" s="42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  <c r="AZ492" s="35"/>
      <c r="BA492" s="35"/>
      <c r="BB492" s="35"/>
      <c r="BC492" s="35"/>
      <c r="BD492" s="35"/>
      <c r="BE492" s="35"/>
      <c r="BF492" s="35"/>
      <c r="BG492" s="35"/>
      <c r="BH492" s="35"/>
      <c r="BI492" s="35"/>
      <c r="BJ492" s="35"/>
      <c r="BK492" s="35"/>
      <c r="BL492" s="35"/>
      <c r="BM492" s="35"/>
      <c r="BN492" s="35"/>
      <c r="BO492" s="35"/>
      <c r="BP492" s="35"/>
      <c r="BQ492" s="35"/>
      <c r="BR492" s="35"/>
      <c r="BS492" s="35"/>
      <c r="BT492" s="35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35"/>
      <c r="CO492" s="35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35"/>
      <c r="DJ492" s="35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35"/>
      <c r="EE492" s="35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35"/>
      <c r="EZ492" s="35"/>
      <c r="FA492" s="35"/>
      <c r="FB492" s="35"/>
      <c r="FC492" s="35"/>
      <c r="FD492" s="35"/>
      <c r="FE492" s="35"/>
      <c r="FF492" s="35"/>
      <c r="FG492" s="35"/>
      <c r="FH492" s="35"/>
      <c r="FI492" s="35"/>
      <c r="FJ492" s="35"/>
      <c r="FK492" s="35"/>
      <c r="FL492" s="35"/>
      <c r="FM492" s="35"/>
      <c r="FN492" s="35"/>
      <c r="FO492" s="35"/>
      <c r="FP492" s="35"/>
      <c r="FQ492" s="35"/>
      <c r="FR492" s="35"/>
      <c r="FS492" s="35"/>
      <c r="FT492" s="35"/>
      <c r="FU492" s="35"/>
      <c r="FV492" s="35"/>
      <c r="FW492" s="35"/>
      <c r="FX492" s="35"/>
      <c r="FY492" s="35"/>
      <c r="FZ492" s="35"/>
      <c r="GA492" s="35"/>
      <c r="GB492" s="35"/>
      <c r="GC492" s="35"/>
      <c r="GD492" s="35"/>
      <c r="GE492" s="35"/>
      <c r="GF492" s="35"/>
      <c r="GG492" s="35"/>
      <c r="GH492" s="35"/>
      <c r="GI492" s="35"/>
      <c r="GJ492" s="35"/>
      <c r="GK492" s="35"/>
      <c r="GL492" s="35"/>
      <c r="GM492" s="35"/>
      <c r="GN492" s="35"/>
      <c r="GO492" s="35"/>
      <c r="GP492" s="35"/>
      <c r="GQ492" s="35"/>
      <c r="GR492" s="35"/>
      <c r="GS492" s="35"/>
      <c r="GT492" s="35"/>
      <c r="GU492" s="35"/>
      <c r="GV492" s="35"/>
      <c r="GW492" s="35"/>
      <c r="GX492" s="35"/>
      <c r="GY492" s="35"/>
      <c r="GZ492" s="35"/>
      <c r="HA492" s="35"/>
      <c r="HB492" s="35"/>
      <c r="HC492" s="35"/>
      <c r="HD492" s="35"/>
      <c r="HE492" s="35"/>
      <c r="HF492" s="35"/>
      <c r="HG492" s="35"/>
      <c r="HH492" s="35"/>
      <c r="HI492" s="35"/>
      <c r="HJ492" s="35"/>
      <c r="HK492" s="35"/>
      <c r="HL492" s="35"/>
      <c r="HM492" s="35"/>
      <c r="HN492" s="35"/>
      <c r="HO492" s="35"/>
      <c r="HP492" s="35"/>
      <c r="HQ492" s="35"/>
      <c r="HR492" s="35"/>
      <c r="HS492" s="35"/>
      <c r="HT492" s="35"/>
      <c r="HU492" s="35"/>
      <c r="HV492" s="35"/>
      <c r="HW492" s="35"/>
      <c r="HX492" s="35"/>
      <c r="HY492" s="35"/>
      <c r="HZ492" s="35"/>
      <c r="IA492" s="35"/>
      <c r="IB492" s="35"/>
      <c r="IC492" s="35"/>
      <c r="ID492" s="35"/>
      <c r="IE492" s="35"/>
      <c r="IF492" s="35"/>
      <c r="IG492" s="35"/>
      <c r="IH492" s="35"/>
      <c r="II492" s="35"/>
      <c r="IJ492" s="35"/>
      <c r="IK492" s="35"/>
      <c r="IL492" s="35"/>
      <c r="IM492" s="35"/>
      <c r="IN492" s="35"/>
      <c r="IO492" s="35"/>
      <c r="IP492" s="35"/>
      <c r="IQ492" s="35"/>
      <c r="IR492" s="35"/>
      <c r="IS492" s="35"/>
      <c r="IT492" s="35"/>
      <c r="IU492" s="35"/>
      <c r="IV492" s="35"/>
      <c r="IW492" s="35"/>
      <c r="IX492" s="35"/>
      <c r="IY492" s="35"/>
      <c r="IZ492" s="35"/>
      <c r="JA492" s="35"/>
      <c r="JB492" s="35"/>
      <c r="JC492" s="35"/>
      <c r="JD492" s="35"/>
      <c r="JE492" s="35"/>
    </row>
    <row r="493">
      <c r="A493" s="42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  <c r="BA493" s="35"/>
      <c r="BB493" s="35"/>
      <c r="BC493" s="35"/>
      <c r="BD493" s="35"/>
      <c r="BE493" s="35"/>
      <c r="BF493" s="35"/>
      <c r="BG493" s="35"/>
      <c r="BH493" s="35"/>
      <c r="BI493" s="35"/>
      <c r="BJ493" s="35"/>
      <c r="BK493" s="35"/>
      <c r="BL493" s="35"/>
      <c r="BM493" s="35"/>
      <c r="BN493" s="35"/>
      <c r="BO493" s="35"/>
      <c r="BP493" s="35"/>
      <c r="BQ493" s="35"/>
      <c r="BR493" s="35"/>
      <c r="BS493" s="35"/>
      <c r="BT493" s="35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35"/>
      <c r="CO493" s="35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35"/>
      <c r="DJ493" s="35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35"/>
      <c r="EE493" s="35"/>
      <c r="EF493" s="35"/>
      <c r="EG493" s="35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35"/>
      <c r="EZ493" s="35"/>
      <c r="FA493" s="35"/>
      <c r="FB493" s="35"/>
      <c r="FC493" s="35"/>
      <c r="FD493" s="35"/>
      <c r="FE493" s="35"/>
      <c r="FF493" s="35"/>
      <c r="FG493" s="35"/>
      <c r="FH493" s="35"/>
      <c r="FI493" s="35"/>
      <c r="FJ493" s="35"/>
      <c r="FK493" s="35"/>
      <c r="FL493" s="35"/>
      <c r="FM493" s="35"/>
      <c r="FN493" s="35"/>
      <c r="FO493" s="35"/>
      <c r="FP493" s="35"/>
      <c r="FQ493" s="35"/>
      <c r="FR493" s="35"/>
      <c r="FS493" s="35"/>
      <c r="FT493" s="35"/>
      <c r="FU493" s="35"/>
      <c r="FV493" s="35"/>
      <c r="FW493" s="35"/>
      <c r="FX493" s="35"/>
      <c r="FY493" s="35"/>
      <c r="FZ493" s="35"/>
      <c r="GA493" s="35"/>
      <c r="GB493" s="35"/>
      <c r="GC493" s="35"/>
      <c r="GD493" s="35"/>
      <c r="GE493" s="35"/>
      <c r="GF493" s="35"/>
      <c r="GG493" s="35"/>
      <c r="GH493" s="35"/>
      <c r="GI493" s="35"/>
      <c r="GJ493" s="35"/>
      <c r="GK493" s="35"/>
      <c r="GL493" s="35"/>
      <c r="GM493" s="35"/>
      <c r="GN493" s="35"/>
      <c r="GO493" s="35"/>
      <c r="GP493" s="35"/>
      <c r="GQ493" s="35"/>
      <c r="GR493" s="35"/>
      <c r="GS493" s="35"/>
      <c r="GT493" s="35"/>
      <c r="GU493" s="35"/>
      <c r="GV493" s="35"/>
      <c r="GW493" s="35"/>
      <c r="GX493" s="35"/>
      <c r="GY493" s="35"/>
      <c r="GZ493" s="35"/>
      <c r="HA493" s="35"/>
      <c r="HB493" s="35"/>
      <c r="HC493" s="35"/>
      <c r="HD493" s="35"/>
      <c r="HE493" s="35"/>
      <c r="HF493" s="35"/>
      <c r="HG493" s="35"/>
      <c r="HH493" s="35"/>
      <c r="HI493" s="35"/>
      <c r="HJ493" s="35"/>
      <c r="HK493" s="35"/>
      <c r="HL493" s="35"/>
      <c r="HM493" s="35"/>
      <c r="HN493" s="35"/>
      <c r="HO493" s="35"/>
      <c r="HP493" s="35"/>
      <c r="HQ493" s="35"/>
      <c r="HR493" s="35"/>
      <c r="HS493" s="35"/>
      <c r="HT493" s="35"/>
      <c r="HU493" s="35"/>
      <c r="HV493" s="35"/>
      <c r="HW493" s="35"/>
      <c r="HX493" s="35"/>
      <c r="HY493" s="35"/>
      <c r="HZ493" s="35"/>
      <c r="IA493" s="35"/>
      <c r="IB493" s="35"/>
      <c r="IC493" s="35"/>
      <c r="ID493" s="35"/>
      <c r="IE493" s="35"/>
      <c r="IF493" s="35"/>
      <c r="IG493" s="35"/>
      <c r="IH493" s="35"/>
      <c r="II493" s="35"/>
      <c r="IJ493" s="35"/>
      <c r="IK493" s="35"/>
      <c r="IL493" s="35"/>
      <c r="IM493" s="35"/>
      <c r="IN493" s="35"/>
      <c r="IO493" s="35"/>
      <c r="IP493" s="35"/>
      <c r="IQ493" s="35"/>
      <c r="IR493" s="35"/>
      <c r="IS493" s="35"/>
      <c r="IT493" s="35"/>
      <c r="IU493" s="35"/>
      <c r="IV493" s="35"/>
      <c r="IW493" s="35"/>
      <c r="IX493" s="35"/>
      <c r="IY493" s="35"/>
      <c r="IZ493" s="35"/>
      <c r="JA493" s="35"/>
      <c r="JB493" s="35"/>
      <c r="JC493" s="35"/>
      <c r="JD493" s="35"/>
      <c r="JE493" s="35"/>
    </row>
    <row r="494">
      <c r="A494" s="42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  <c r="BA494" s="35"/>
      <c r="BB494" s="35"/>
      <c r="BC494" s="35"/>
      <c r="BD494" s="35"/>
      <c r="BE494" s="35"/>
      <c r="BF494" s="35"/>
      <c r="BG494" s="35"/>
      <c r="BH494" s="35"/>
      <c r="BI494" s="35"/>
      <c r="BJ494" s="35"/>
      <c r="BK494" s="35"/>
      <c r="BL494" s="35"/>
      <c r="BM494" s="35"/>
      <c r="BN494" s="35"/>
      <c r="BO494" s="35"/>
      <c r="BP494" s="35"/>
      <c r="BQ494" s="35"/>
      <c r="BR494" s="35"/>
      <c r="BS494" s="35"/>
      <c r="BT494" s="35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35"/>
      <c r="CO494" s="35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35"/>
      <c r="DJ494" s="35"/>
      <c r="DK494" s="35"/>
      <c r="DL494" s="35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35"/>
      <c r="EE494" s="35"/>
      <c r="EF494" s="35"/>
      <c r="EG494" s="35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35"/>
      <c r="EZ494" s="35"/>
      <c r="FA494" s="35"/>
      <c r="FB494" s="35"/>
      <c r="FC494" s="35"/>
      <c r="FD494" s="35"/>
      <c r="FE494" s="35"/>
      <c r="FF494" s="35"/>
      <c r="FG494" s="35"/>
      <c r="FH494" s="35"/>
      <c r="FI494" s="35"/>
      <c r="FJ494" s="35"/>
      <c r="FK494" s="35"/>
      <c r="FL494" s="35"/>
      <c r="FM494" s="35"/>
      <c r="FN494" s="35"/>
      <c r="FO494" s="35"/>
      <c r="FP494" s="35"/>
      <c r="FQ494" s="35"/>
      <c r="FR494" s="35"/>
      <c r="FS494" s="35"/>
      <c r="FT494" s="35"/>
      <c r="FU494" s="35"/>
      <c r="FV494" s="35"/>
      <c r="FW494" s="35"/>
      <c r="FX494" s="35"/>
      <c r="FY494" s="35"/>
      <c r="FZ494" s="35"/>
      <c r="GA494" s="35"/>
      <c r="GB494" s="35"/>
      <c r="GC494" s="35"/>
      <c r="GD494" s="35"/>
      <c r="GE494" s="35"/>
      <c r="GF494" s="35"/>
      <c r="GG494" s="35"/>
      <c r="GH494" s="35"/>
      <c r="GI494" s="35"/>
      <c r="GJ494" s="35"/>
      <c r="GK494" s="35"/>
      <c r="GL494" s="35"/>
      <c r="GM494" s="35"/>
      <c r="GN494" s="35"/>
      <c r="GO494" s="35"/>
      <c r="GP494" s="35"/>
      <c r="GQ494" s="35"/>
      <c r="GR494" s="35"/>
      <c r="GS494" s="35"/>
      <c r="GT494" s="35"/>
      <c r="GU494" s="35"/>
      <c r="GV494" s="35"/>
      <c r="GW494" s="35"/>
      <c r="GX494" s="35"/>
      <c r="GY494" s="35"/>
      <c r="GZ494" s="35"/>
      <c r="HA494" s="35"/>
      <c r="HB494" s="35"/>
      <c r="HC494" s="35"/>
      <c r="HD494" s="35"/>
      <c r="HE494" s="35"/>
      <c r="HF494" s="35"/>
      <c r="HG494" s="35"/>
      <c r="HH494" s="35"/>
      <c r="HI494" s="35"/>
      <c r="HJ494" s="35"/>
      <c r="HK494" s="35"/>
      <c r="HL494" s="35"/>
      <c r="HM494" s="35"/>
      <c r="HN494" s="35"/>
      <c r="HO494" s="35"/>
      <c r="HP494" s="35"/>
      <c r="HQ494" s="35"/>
      <c r="HR494" s="35"/>
      <c r="HS494" s="35"/>
      <c r="HT494" s="35"/>
      <c r="HU494" s="35"/>
      <c r="HV494" s="35"/>
      <c r="HW494" s="35"/>
      <c r="HX494" s="35"/>
      <c r="HY494" s="35"/>
      <c r="HZ494" s="35"/>
      <c r="IA494" s="35"/>
      <c r="IB494" s="35"/>
      <c r="IC494" s="35"/>
      <c r="ID494" s="35"/>
      <c r="IE494" s="35"/>
      <c r="IF494" s="35"/>
      <c r="IG494" s="35"/>
      <c r="IH494" s="35"/>
      <c r="II494" s="35"/>
      <c r="IJ494" s="35"/>
      <c r="IK494" s="35"/>
      <c r="IL494" s="35"/>
      <c r="IM494" s="35"/>
      <c r="IN494" s="35"/>
      <c r="IO494" s="35"/>
      <c r="IP494" s="35"/>
      <c r="IQ494" s="35"/>
      <c r="IR494" s="35"/>
      <c r="IS494" s="35"/>
      <c r="IT494" s="35"/>
      <c r="IU494" s="35"/>
      <c r="IV494" s="35"/>
      <c r="IW494" s="35"/>
      <c r="IX494" s="35"/>
      <c r="IY494" s="35"/>
      <c r="IZ494" s="35"/>
      <c r="JA494" s="35"/>
      <c r="JB494" s="35"/>
      <c r="JC494" s="35"/>
      <c r="JD494" s="35"/>
      <c r="JE494" s="35"/>
    </row>
    <row r="495">
      <c r="A495" s="42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  <c r="AZ495" s="35"/>
      <c r="BA495" s="35"/>
      <c r="BB495" s="35"/>
      <c r="BC495" s="35"/>
      <c r="BD495" s="35"/>
      <c r="BE495" s="35"/>
      <c r="BF495" s="35"/>
      <c r="BG495" s="35"/>
      <c r="BH495" s="35"/>
      <c r="BI495" s="35"/>
      <c r="BJ495" s="35"/>
      <c r="BK495" s="35"/>
      <c r="BL495" s="35"/>
      <c r="BM495" s="35"/>
      <c r="BN495" s="35"/>
      <c r="BO495" s="35"/>
      <c r="BP495" s="35"/>
      <c r="BQ495" s="35"/>
      <c r="BR495" s="35"/>
      <c r="BS495" s="35"/>
      <c r="BT495" s="35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35"/>
      <c r="CO495" s="35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35"/>
      <c r="DJ495" s="35"/>
      <c r="DK495" s="35"/>
      <c r="DL495" s="35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35"/>
      <c r="EE495" s="35"/>
      <c r="EF495" s="35"/>
      <c r="EG495" s="35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35"/>
      <c r="EZ495" s="35"/>
      <c r="FA495" s="35"/>
      <c r="FB495" s="35"/>
      <c r="FC495" s="35"/>
      <c r="FD495" s="35"/>
      <c r="FE495" s="35"/>
      <c r="FF495" s="35"/>
      <c r="FG495" s="35"/>
      <c r="FH495" s="35"/>
      <c r="FI495" s="35"/>
      <c r="FJ495" s="35"/>
      <c r="FK495" s="35"/>
      <c r="FL495" s="35"/>
      <c r="FM495" s="35"/>
      <c r="FN495" s="35"/>
      <c r="FO495" s="35"/>
      <c r="FP495" s="35"/>
      <c r="FQ495" s="35"/>
      <c r="FR495" s="35"/>
      <c r="FS495" s="35"/>
      <c r="FT495" s="35"/>
      <c r="FU495" s="35"/>
      <c r="FV495" s="35"/>
      <c r="FW495" s="35"/>
      <c r="FX495" s="35"/>
      <c r="FY495" s="35"/>
      <c r="FZ495" s="35"/>
      <c r="GA495" s="35"/>
      <c r="GB495" s="35"/>
      <c r="GC495" s="35"/>
      <c r="GD495" s="35"/>
      <c r="GE495" s="35"/>
      <c r="GF495" s="35"/>
      <c r="GG495" s="35"/>
      <c r="GH495" s="35"/>
      <c r="GI495" s="35"/>
      <c r="GJ495" s="35"/>
      <c r="GK495" s="35"/>
      <c r="GL495" s="35"/>
      <c r="GM495" s="35"/>
      <c r="GN495" s="35"/>
      <c r="GO495" s="35"/>
      <c r="GP495" s="35"/>
      <c r="GQ495" s="35"/>
      <c r="GR495" s="35"/>
      <c r="GS495" s="35"/>
      <c r="GT495" s="35"/>
      <c r="GU495" s="35"/>
      <c r="GV495" s="35"/>
      <c r="GW495" s="35"/>
      <c r="GX495" s="35"/>
      <c r="GY495" s="35"/>
      <c r="GZ495" s="35"/>
      <c r="HA495" s="35"/>
      <c r="HB495" s="35"/>
      <c r="HC495" s="35"/>
      <c r="HD495" s="35"/>
      <c r="HE495" s="35"/>
      <c r="HF495" s="35"/>
      <c r="HG495" s="35"/>
      <c r="HH495" s="35"/>
      <c r="HI495" s="35"/>
      <c r="HJ495" s="35"/>
      <c r="HK495" s="35"/>
      <c r="HL495" s="35"/>
      <c r="HM495" s="35"/>
      <c r="HN495" s="35"/>
      <c r="HO495" s="35"/>
      <c r="HP495" s="35"/>
      <c r="HQ495" s="35"/>
      <c r="HR495" s="35"/>
      <c r="HS495" s="35"/>
      <c r="HT495" s="35"/>
      <c r="HU495" s="35"/>
      <c r="HV495" s="35"/>
      <c r="HW495" s="35"/>
      <c r="HX495" s="35"/>
      <c r="HY495" s="35"/>
      <c r="HZ495" s="35"/>
      <c r="IA495" s="35"/>
      <c r="IB495" s="35"/>
      <c r="IC495" s="35"/>
      <c r="ID495" s="35"/>
      <c r="IE495" s="35"/>
      <c r="IF495" s="35"/>
      <c r="IG495" s="35"/>
      <c r="IH495" s="35"/>
      <c r="II495" s="35"/>
      <c r="IJ495" s="35"/>
      <c r="IK495" s="35"/>
      <c r="IL495" s="35"/>
      <c r="IM495" s="35"/>
      <c r="IN495" s="35"/>
      <c r="IO495" s="35"/>
      <c r="IP495" s="35"/>
      <c r="IQ495" s="35"/>
      <c r="IR495" s="35"/>
      <c r="IS495" s="35"/>
      <c r="IT495" s="35"/>
      <c r="IU495" s="35"/>
      <c r="IV495" s="35"/>
      <c r="IW495" s="35"/>
      <c r="IX495" s="35"/>
      <c r="IY495" s="35"/>
      <c r="IZ495" s="35"/>
      <c r="JA495" s="35"/>
      <c r="JB495" s="35"/>
      <c r="JC495" s="35"/>
      <c r="JD495" s="35"/>
      <c r="JE495" s="35"/>
    </row>
    <row r="496">
      <c r="A496" s="42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  <c r="AZ496" s="35"/>
      <c r="BA496" s="35"/>
      <c r="BB496" s="35"/>
      <c r="BC496" s="35"/>
      <c r="BD496" s="35"/>
      <c r="BE496" s="35"/>
      <c r="BF496" s="35"/>
      <c r="BG496" s="35"/>
      <c r="BH496" s="35"/>
      <c r="BI496" s="35"/>
      <c r="BJ496" s="35"/>
      <c r="BK496" s="35"/>
      <c r="BL496" s="35"/>
      <c r="BM496" s="35"/>
      <c r="BN496" s="35"/>
      <c r="BO496" s="35"/>
      <c r="BP496" s="35"/>
      <c r="BQ496" s="35"/>
      <c r="BR496" s="35"/>
      <c r="BS496" s="35"/>
      <c r="BT496" s="35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35"/>
      <c r="CO496" s="35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35"/>
      <c r="DJ496" s="35"/>
      <c r="DK496" s="35"/>
      <c r="DL496" s="35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35"/>
      <c r="EE496" s="35"/>
      <c r="EF496" s="35"/>
      <c r="EG496" s="35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35"/>
      <c r="EZ496" s="35"/>
      <c r="FA496" s="35"/>
      <c r="FB496" s="35"/>
      <c r="FC496" s="35"/>
      <c r="FD496" s="35"/>
      <c r="FE496" s="35"/>
      <c r="FF496" s="35"/>
      <c r="FG496" s="35"/>
      <c r="FH496" s="35"/>
      <c r="FI496" s="35"/>
      <c r="FJ496" s="35"/>
      <c r="FK496" s="35"/>
      <c r="FL496" s="35"/>
      <c r="FM496" s="35"/>
      <c r="FN496" s="35"/>
      <c r="FO496" s="35"/>
      <c r="FP496" s="35"/>
      <c r="FQ496" s="35"/>
      <c r="FR496" s="35"/>
      <c r="FS496" s="35"/>
      <c r="FT496" s="35"/>
      <c r="FU496" s="35"/>
      <c r="FV496" s="35"/>
      <c r="FW496" s="35"/>
      <c r="FX496" s="35"/>
      <c r="FY496" s="35"/>
      <c r="FZ496" s="35"/>
      <c r="GA496" s="35"/>
      <c r="GB496" s="35"/>
      <c r="GC496" s="35"/>
      <c r="GD496" s="35"/>
      <c r="GE496" s="35"/>
      <c r="GF496" s="35"/>
      <c r="GG496" s="35"/>
      <c r="GH496" s="35"/>
      <c r="GI496" s="35"/>
      <c r="GJ496" s="35"/>
      <c r="GK496" s="35"/>
      <c r="GL496" s="35"/>
      <c r="GM496" s="35"/>
      <c r="GN496" s="35"/>
      <c r="GO496" s="35"/>
      <c r="GP496" s="35"/>
      <c r="GQ496" s="35"/>
      <c r="GR496" s="35"/>
      <c r="GS496" s="35"/>
      <c r="GT496" s="35"/>
      <c r="GU496" s="35"/>
      <c r="GV496" s="35"/>
      <c r="GW496" s="35"/>
      <c r="GX496" s="35"/>
      <c r="GY496" s="35"/>
      <c r="GZ496" s="35"/>
      <c r="HA496" s="35"/>
      <c r="HB496" s="35"/>
      <c r="HC496" s="35"/>
      <c r="HD496" s="35"/>
      <c r="HE496" s="35"/>
      <c r="HF496" s="35"/>
      <c r="HG496" s="35"/>
      <c r="HH496" s="35"/>
      <c r="HI496" s="35"/>
      <c r="HJ496" s="35"/>
      <c r="HK496" s="35"/>
      <c r="HL496" s="35"/>
      <c r="HM496" s="35"/>
      <c r="HN496" s="35"/>
      <c r="HO496" s="35"/>
      <c r="HP496" s="35"/>
      <c r="HQ496" s="35"/>
      <c r="HR496" s="35"/>
      <c r="HS496" s="35"/>
      <c r="HT496" s="35"/>
      <c r="HU496" s="35"/>
      <c r="HV496" s="35"/>
      <c r="HW496" s="35"/>
      <c r="HX496" s="35"/>
      <c r="HY496" s="35"/>
      <c r="HZ496" s="35"/>
      <c r="IA496" s="35"/>
      <c r="IB496" s="35"/>
      <c r="IC496" s="35"/>
      <c r="ID496" s="35"/>
      <c r="IE496" s="35"/>
      <c r="IF496" s="35"/>
      <c r="IG496" s="35"/>
      <c r="IH496" s="35"/>
      <c r="II496" s="35"/>
      <c r="IJ496" s="35"/>
      <c r="IK496" s="35"/>
      <c r="IL496" s="35"/>
      <c r="IM496" s="35"/>
      <c r="IN496" s="35"/>
      <c r="IO496" s="35"/>
      <c r="IP496" s="35"/>
      <c r="IQ496" s="35"/>
      <c r="IR496" s="35"/>
      <c r="IS496" s="35"/>
      <c r="IT496" s="35"/>
      <c r="IU496" s="35"/>
      <c r="IV496" s="35"/>
      <c r="IW496" s="35"/>
      <c r="IX496" s="35"/>
      <c r="IY496" s="35"/>
      <c r="IZ496" s="35"/>
      <c r="JA496" s="35"/>
      <c r="JB496" s="35"/>
      <c r="JC496" s="35"/>
      <c r="JD496" s="35"/>
      <c r="JE496" s="35"/>
    </row>
    <row r="497">
      <c r="A497" s="42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35"/>
      <c r="BA497" s="35"/>
      <c r="BB497" s="35"/>
      <c r="BC497" s="35"/>
      <c r="BD497" s="35"/>
      <c r="BE497" s="35"/>
      <c r="BF497" s="35"/>
      <c r="BG497" s="35"/>
      <c r="BH497" s="35"/>
      <c r="BI497" s="35"/>
      <c r="BJ497" s="35"/>
      <c r="BK497" s="35"/>
      <c r="BL497" s="35"/>
      <c r="BM497" s="35"/>
      <c r="BN497" s="35"/>
      <c r="BO497" s="35"/>
      <c r="BP497" s="35"/>
      <c r="BQ497" s="35"/>
      <c r="BR497" s="35"/>
      <c r="BS497" s="35"/>
      <c r="BT497" s="35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35"/>
      <c r="CO497" s="35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35"/>
      <c r="DJ497" s="35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35"/>
      <c r="EE497" s="35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35"/>
      <c r="EZ497" s="35"/>
      <c r="FA497" s="35"/>
      <c r="FB497" s="35"/>
      <c r="FC497" s="35"/>
      <c r="FD497" s="35"/>
      <c r="FE497" s="35"/>
      <c r="FF497" s="35"/>
      <c r="FG497" s="35"/>
      <c r="FH497" s="35"/>
      <c r="FI497" s="35"/>
      <c r="FJ497" s="35"/>
      <c r="FK497" s="35"/>
      <c r="FL497" s="35"/>
      <c r="FM497" s="35"/>
      <c r="FN497" s="35"/>
      <c r="FO497" s="35"/>
      <c r="FP497" s="35"/>
      <c r="FQ497" s="35"/>
      <c r="FR497" s="35"/>
      <c r="FS497" s="35"/>
      <c r="FT497" s="35"/>
      <c r="FU497" s="35"/>
      <c r="FV497" s="35"/>
      <c r="FW497" s="35"/>
      <c r="FX497" s="35"/>
      <c r="FY497" s="35"/>
      <c r="FZ497" s="35"/>
      <c r="GA497" s="35"/>
      <c r="GB497" s="35"/>
      <c r="GC497" s="35"/>
      <c r="GD497" s="35"/>
      <c r="GE497" s="35"/>
      <c r="GF497" s="35"/>
      <c r="GG497" s="35"/>
      <c r="GH497" s="35"/>
      <c r="GI497" s="35"/>
      <c r="GJ497" s="35"/>
      <c r="GK497" s="35"/>
      <c r="GL497" s="35"/>
      <c r="GM497" s="35"/>
      <c r="GN497" s="35"/>
      <c r="GO497" s="35"/>
      <c r="GP497" s="35"/>
      <c r="GQ497" s="35"/>
      <c r="GR497" s="35"/>
      <c r="GS497" s="35"/>
      <c r="GT497" s="35"/>
      <c r="GU497" s="35"/>
      <c r="GV497" s="35"/>
      <c r="GW497" s="35"/>
      <c r="GX497" s="35"/>
      <c r="GY497" s="35"/>
      <c r="GZ497" s="35"/>
      <c r="HA497" s="35"/>
      <c r="HB497" s="35"/>
      <c r="HC497" s="35"/>
      <c r="HD497" s="35"/>
      <c r="HE497" s="35"/>
      <c r="HF497" s="35"/>
      <c r="HG497" s="35"/>
      <c r="HH497" s="35"/>
      <c r="HI497" s="35"/>
      <c r="HJ497" s="35"/>
      <c r="HK497" s="35"/>
      <c r="HL497" s="35"/>
      <c r="HM497" s="35"/>
      <c r="HN497" s="35"/>
      <c r="HO497" s="35"/>
      <c r="HP497" s="35"/>
      <c r="HQ497" s="35"/>
      <c r="HR497" s="35"/>
      <c r="HS497" s="35"/>
      <c r="HT497" s="35"/>
      <c r="HU497" s="35"/>
      <c r="HV497" s="35"/>
      <c r="HW497" s="35"/>
      <c r="HX497" s="35"/>
      <c r="HY497" s="35"/>
      <c r="HZ497" s="35"/>
      <c r="IA497" s="35"/>
      <c r="IB497" s="35"/>
      <c r="IC497" s="35"/>
      <c r="ID497" s="35"/>
      <c r="IE497" s="35"/>
      <c r="IF497" s="35"/>
      <c r="IG497" s="35"/>
      <c r="IH497" s="35"/>
      <c r="II497" s="35"/>
      <c r="IJ497" s="35"/>
      <c r="IK497" s="35"/>
      <c r="IL497" s="35"/>
      <c r="IM497" s="35"/>
      <c r="IN497" s="35"/>
      <c r="IO497" s="35"/>
      <c r="IP497" s="35"/>
      <c r="IQ497" s="35"/>
      <c r="IR497" s="35"/>
      <c r="IS497" s="35"/>
      <c r="IT497" s="35"/>
      <c r="IU497" s="35"/>
      <c r="IV497" s="35"/>
      <c r="IW497" s="35"/>
      <c r="IX497" s="35"/>
      <c r="IY497" s="35"/>
      <c r="IZ497" s="35"/>
      <c r="JA497" s="35"/>
      <c r="JB497" s="35"/>
      <c r="JC497" s="35"/>
      <c r="JD497" s="35"/>
      <c r="JE497" s="35"/>
    </row>
    <row r="498">
      <c r="A498" s="42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  <c r="AZ498" s="35"/>
      <c r="BA498" s="35"/>
      <c r="BB498" s="35"/>
      <c r="BC498" s="35"/>
      <c r="BD498" s="35"/>
      <c r="BE498" s="35"/>
      <c r="BF498" s="35"/>
      <c r="BG498" s="35"/>
      <c r="BH498" s="35"/>
      <c r="BI498" s="35"/>
      <c r="BJ498" s="35"/>
      <c r="BK498" s="35"/>
      <c r="BL498" s="35"/>
      <c r="BM498" s="35"/>
      <c r="BN498" s="35"/>
      <c r="BO498" s="35"/>
      <c r="BP498" s="35"/>
      <c r="BQ498" s="35"/>
      <c r="BR498" s="35"/>
      <c r="BS498" s="35"/>
      <c r="BT498" s="35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35"/>
      <c r="CO498" s="35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35"/>
      <c r="DJ498" s="35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35"/>
      <c r="EE498" s="35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35"/>
      <c r="EZ498" s="35"/>
      <c r="FA498" s="35"/>
      <c r="FB498" s="35"/>
      <c r="FC498" s="35"/>
      <c r="FD498" s="35"/>
      <c r="FE498" s="35"/>
      <c r="FF498" s="35"/>
      <c r="FG498" s="35"/>
      <c r="FH498" s="35"/>
      <c r="FI498" s="35"/>
      <c r="FJ498" s="35"/>
      <c r="FK498" s="35"/>
      <c r="FL498" s="35"/>
      <c r="FM498" s="35"/>
      <c r="FN498" s="35"/>
      <c r="FO498" s="35"/>
      <c r="FP498" s="35"/>
      <c r="FQ498" s="35"/>
      <c r="FR498" s="35"/>
      <c r="FS498" s="35"/>
      <c r="FT498" s="35"/>
      <c r="FU498" s="35"/>
      <c r="FV498" s="35"/>
      <c r="FW498" s="35"/>
      <c r="FX498" s="35"/>
      <c r="FY498" s="35"/>
      <c r="FZ498" s="35"/>
      <c r="GA498" s="35"/>
      <c r="GB498" s="35"/>
      <c r="GC498" s="35"/>
      <c r="GD498" s="35"/>
      <c r="GE498" s="35"/>
      <c r="GF498" s="35"/>
      <c r="GG498" s="35"/>
      <c r="GH498" s="35"/>
      <c r="GI498" s="35"/>
      <c r="GJ498" s="35"/>
      <c r="GK498" s="35"/>
      <c r="GL498" s="35"/>
      <c r="GM498" s="35"/>
      <c r="GN498" s="35"/>
      <c r="GO498" s="35"/>
      <c r="GP498" s="35"/>
      <c r="GQ498" s="35"/>
      <c r="GR498" s="35"/>
      <c r="GS498" s="35"/>
      <c r="GT498" s="35"/>
      <c r="GU498" s="35"/>
      <c r="GV498" s="35"/>
      <c r="GW498" s="35"/>
      <c r="GX498" s="35"/>
      <c r="GY498" s="35"/>
      <c r="GZ498" s="35"/>
      <c r="HA498" s="35"/>
      <c r="HB498" s="35"/>
      <c r="HC498" s="35"/>
      <c r="HD498" s="35"/>
      <c r="HE498" s="35"/>
      <c r="HF498" s="35"/>
      <c r="HG498" s="35"/>
      <c r="HH498" s="35"/>
      <c r="HI498" s="35"/>
      <c r="HJ498" s="35"/>
      <c r="HK498" s="35"/>
      <c r="HL498" s="35"/>
      <c r="HM498" s="35"/>
      <c r="HN498" s="35"/>
      <c r="HO498" s="35"/>
      <c r="HP498" s="35"/>
      <c r="HQ498" s="35"/>
      <c r="HR498" s="35"/>
      <c r="HS498" s="35"/>
      <c r="HT498" s="35"/>
      <c r="HU498" s="35"/>
      <c r="HV498" s="35"/>
      <c r="HW498" s="35"/>
      <c r="HX498" s="35"/>
      <c r="HY498" s="35"/>
      <c r="HZ498" s="35"/>
      <c r="IA498" s="35"/>
      <c r="IB498" s="35"/>
      <c r="IC498" s="35"/>
      <c r="ID498" s="35"/>
      <c r="IE498" s="35"/>
      <c r="IF498" s="35"/>
      <c r="IG498" s="35"/>
      <c r="IH498" s="35"/>
      <c r="II498" s="35"/>
      <c r="IJ498" s="35"/>
      <c r="IK498" s="35"/>
      <c r="IL498" s="35"/>
      <c r="IM498" s="35"/>
      <c r="IN498" s="35"/>
      <c r="IO498" s="35"/>
      <c r="IP498" s="35"/>
      <c r="IQ498" s="35"/>
      <c r="IR498" s="35"/>
      <c r="IS498" s="35"/>
      <c r="IT498" s="35"/>
      <c r="IU498" s="35"/>
      <c r="IV498" s="35"/>
      <c r="IW498" s="35"/>
      <c r="IX498" s="35"/>
      <c r="IY498" s="35"/>
      <c r="IZ498" s="35"/>
      <c r="JA498" s="35"/>
      <c r="JB498" s="35"/>
      <c r="JC498" s="35"/>
      <c r="JD498" s="35"/>
      <c r="JE498" s="35"/>
    </row>
    <row r="499">
      <c r="A499" s="42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  <c r="AZ499" s="35"/>
      <c r="BA499" s="35"/>
      <c r="BB499" s="35"/>
      <c r="BC499" s="35"/>
      <c r="BD499" s="35"/>
      <c r="BE499" s="35"/>
      <c r="BF499" s="35"/>
      <c r="BG499" s="35"/>
      <c r="BH499" s="35"/>
      <c r="BI499" s="35"/>
      <c r="BJ499" s="35"/>
      <c r="BK499" s="35"/>
      <c r="BL499" s="35"/>
      <c r="BM499" s="35"/>
      <c r="BN499" s="35"/>
      <c r="BO499" s="35"/>
      <c r="BP499" s="35"/>
      <c r="BQ499" s="35"/>
      <c r="BR499" s="35"/>
      <c r="BS499" s="35"/>
      <c r="BT499" s="35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35"/>
      <c r="CO499" s="35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35"/>
      <c r="DJ499" s="35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35"/>
      <c r="EE499" s="35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35"/>
      <c r="EZ499" s="35"/>
      <c r="FA499" s="35"/>
      <c r="FB499" s="35"/>
      <c r="FC499" s="35"/>
      <c r="FD499" s="35"/>
      <c r="FE499" s="35"/>
      <c r="FF499" s="35"/>
      <c r="FG499" s="35"/>
      <c r="FH499" s="35"/>
      <c r="FI499" s="35"/>
      <c r="FJ499" s="35"/>
      <c r="FK499" s="35"/>
      <c r="FL499" s="35"/>
      <c r="FM499" s="35"/>
      <c r="FN499" s="35"/>
      <c r="FO499" s="35"/>
      <c r="FP499" s="35"/>
      <c r="FQ499" s="35"/>
      <c r="FR499" s="35"/>
      <c r="FS499" s="35"/>
      <c r="FT499" s="35"/>
      <c r="FU499" s="35"/>
      <c r="FV499" s="35"/>
      <c r="FW499" s="35"/>
      <c r="FX499" s="35"/>
      <c r="FY499" s="35"/>
      <c r="FZ499" s="35"/>
      <c r="GA499" s="35"/>
      <c r="GB499" s="35"/>
      <c r="GC499" s="35"/>
      <c r="GD499" s="35"/>
      <c r="GE499" s="35"/>
      <c r="GF499" s="35"/>
      <c r="GG499" s="35"/>
      <c r="GH499" s="35"/>
      <c r="GI499" s="35"/>
      <c r="GJ499" s="35"/>
      <c r="GK499" s="35"/>
      <c r="GL499" s="35"/>
      <c r="GM499" s="35"/>
      <c r="GN499" s="35"/>
      <c r="GO499" s="35"/>
      <c r="GP499" s="35"/>
      <c r="GQ499" s="35"/>
      <c r="GR499" s="35"/>
      <c r="GS499" s="35"/>
      <c r="GT499" s="35"/>
      <c r="GU499" s="35"/>
      <c r="GV499" s="35"/>
      <c r="GW499" s="35"/>
      <c r="GX499" s="35"/>
      <c r="GY499" s="35"/>
      <c r="GZ499" s="35"/>
      <c r="HA499" s="35"/>
      <c r="HB499" s="35"/>
      <c r="HC499" s="35"/>
      <c r="HD499" s="35"/>
      <c r="HE499" s="35"/>
      <c r="HF499" s="35"/>
      <c r="HG499" s="35"/>
      <c r="HH499" s="35"/>
      <c r="HI499" s="35"/>
      <c r="HJ499" s="35"/>
      <c r="HK499" s="35"/>
      <c r="HL499" s="35"/>
      <c r="HM499" s="35"/>
      <c r="HN499" s="35"/>
      <c r="HO499" s="35"/>
      <c r="HP499" s="35"/>
      <c r="HQ499" s="35"/>
      <c r="HR499" s="35"/>
      <c r="HS499" s="35"/>
      <c r="HT499" s="35"/>
      <c r="HU499" s="35"/>
      <c r="HV499" s="35"/>
      <c r="HW499" s="35"/>
      <c r="HX499" s="35"/>
      <c r="HY499" s="35"/>
      <c r="HZ499" s="35"/>
      <c r="IA499" s="35"/>
      <c r="IB499" s="35"/>
      <c r="IC499" s="35"/>
      <c r="ID499" s="35"/>
      <c r="IE499" s="35"/>
      <c r="IF499" s="35"/>
      <c r="IG499" s="35"/>
      <c r="IH499" s="35"/>
      <c r="II499" s="35"/>
      <c r="IJ499" s="35"/>
      <c r="IK499" s="35"/>
      <c r="IL499" s="35"/>
      <c r="IM499" s="35"/>
      <c r="IN499" s="35"/>
      <c r="IO499" s="35"/>
      <c r="IP499" s="35"/>
      <c r="IQ499" s="35"/>
      <c r="IR499" s="35"/>
      <c r="IS499" s="35"/>
      <c r="IT499" s="35"/>
      <c r="IU499" s="35"/>
      <c r="IV499" s="35"/>
      <c r="IW499" s="35"/>
      <c r="IX499" s="35"/>
      <c r="IY499" s="35"/>
      <c r="IZ499" s="35"/>
      <c r="JA499" s="35"/>
      <c r="JB499" s="35"/>
      <c r="JC499" s="35"/>
      <c r="JD499" s="35"/>
      <c r="JE499" s="35"/>
    </row>
    <row r="500">
      <c r="A500" s="42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  <c r="AZ500" s="35"/>
      <c r="BA500" s="35"/>
      <c r="BB500" s="35"/>
      <c r="BC500" s="35"/>
      <c r="BD500" s="35"/>
      <c r="BE500" s="35"/>
      <c r="BF500" s="35"/>
      <c r="BG500" s="35"/>
      <c r="BH500" s="35"/>
      <c r="BI500" s="35"/>
      <c r="BJ500" s="35"/>
      <c r="BK500" s="35"/>
      <c r="BL500" s="35"/>
      <c r="BM500" s="35"/>
      <c r="BN500" s="35"/>
      <c r="BO500" s="35"/>
      <c r="BP500" s="35"/>
      <c r="BQ500" s="35"/>
      <c r="BR500" s="35"/>
      <c r="BS500" s="35"/>
      <c r="BT500" s="35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35"/>
      <c r="CO500" s="35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35"/>
      <c r="DJ500" s="35"/>
      <c r="DK500" s="35"/>
      <c r="DL500" s="35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35"/>
      <c r="EE500" s="35"/>
      <c r="EF500" s="35"/>
      <c r="EG500" s="35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35"/>
      <c r="EZ500" s="35"/>
      <c r="FA500" s="35"/>
      <c r="FB500" s="35"/>
      <c r="FC500" s="35"/>
      <c r="FD500" s="35"/>
      <c r="FE500" s="35"/>
      <c r="FF500" s="35"/>
      <c r="FG500" s="35"/>
      <c r="FH500" s="35"/>
      <c r="FI500" s="35"/>
      <c r="FJ500" s="35"/>
      <c r="FK500" s="35"/>
      <c r="FL500" s="35"/>
      <c r="FM500" s="35"/>
      <c r="FN500" s="35"/>
      <c r="FO500" s="35"/>
      <c r="FP500" s="35"/>
      <c r="FQ500" s="35"/>
      <c r="FR500" s="35"/>
      <c r="FS500" s="35"/>
      <c r="FT500" s="35"/>
      <c r="FU500" s="35"/>
      <c r="FV500" s="35"/>
      <c r="FW500" s="35"/>
      <c r="FX500" s="35"/>
      <c r="FY500" s="35"/>
      <c r="FZ500" s="35"/>
      <c r="GA500" s="35"/>
      <c r="GB500" s="35"/>
      <c r="GC500" s="35"/>
      <c r="GD500" s="35"/>
      <c r="GE500" s="35"/>
      <c r="GF500" s="35"/>
      <c r="GG500" s="35"/>
      <c r="GH500" s="35"/>
      <c r="GI500" s="35"/>
      <c r="GJ500" s="35"/>
      <c r="GK500" s="35"/>
      <c r="GL500" s="35"/>
      <c r="GM500" s="35"/>
      <c r="GN500" s="35"/>
      <c r="GO500" s="35"/>
      <c r="GP500" s="35"/>
      <c r="GQ500" s="35"/>
      <c r="GR500" s="35"/>
      <c r="GS500" s="35"/>
      <c r="GT500" s="35"/>
      <c r="GU500" s="35"/>
      <c r="GV500" s="35"/>
      <c r="GW500" s="35"/>
      <c r="GX500" s="35"/>
      <c r="GY500" s="35"/>
      <c r="GZ500" s="35"/>
      <c r="HA500" s="35"/>
      <c r="HB500" s="35"/>
      <c r="HC500" s="35"/>
      <c r="HD500" s="35"/>
      <c r="HE500" s="35"/>
      <c r="HF500" s="35"/>
      <c r="HG500" s="35"/>
      <c r="HH500" s="35"/>
      <c r="HI500" s="35"/>
      <c r="HJ500" s="35"/>
      <c r="HK500" s="35"/>
      <c r="HL500" s="35"/>
      <c r="HM500" s="35"/>
      <c r="HN500" s="35"/>
      <c r="HO500" s="35"/>
      <c r="HP500" s="35"/>
      <c r="HQ500" s="35"/>
      <c r="HR500" s="35"/>
      <c r="HS500" s="35"/>
      <c r="HT500" s="35"/>
      <c r="HU500" s="35"/>
      <c r="HV500" s="35"/>
      <c r="HW500" s="35"/>
      <c r="HX500" s="35"/>
      <c r="HY500" s="35"/>
      <c r="HZ500" s="35"/>
      <c r="IA500" s="35"/>
      <c r="IB500" s="35"/>
      <c r="IC500" s="35"/>
      <c r="ID500" s="35"/>
      <c r="IE500" s="35"/>
      <c r="IF500" s="35"/>
      <c r="IG500" s="35"/>
      <c r="IH500" s="35"/>
      <c r="II500" s="35"/>
      <c r="IJ500" s="35"/>
      <c r="IK500" s="35"/>
      <c r="IL500" s="35"/>
      <c r="IM500" s="35"/>
      <c r="IN500" s="35"/>
      <c r="IO500" s="35"/>
      <c r="IP500" s="35"/>
      <c r="IQ500" s="35"/>
      <c r="IR500" s="35"/>
      <c r="IS500" s="35"/>
      <c r="IT500" s="35"/>
      <c r="IU500" s="35"/>
      <c r="IV500" s="35"/>
      <c r="IW500" s="35"/>
      <c r="IX500" s="35"/>
      <c r="IY500" s="35"/>
      <c r="IZ500" s="35"/>
      <c r="JA500" s="35"/>
      <c r="JB500" s="35"/>
      <c r="JC500" s="35"/>
      <c r="JD500" s="35"/>
      <c r="JE500" s="35"/>
    </row>
    <row r="501">
      <c r="A501" s="42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  <c r="AZ501" s="35"/>
      <c r="BA501" s="35"/>
      <c r="BB501" s="35"/>
      <c r="BC501" s="35"/>
      <c r="BD501" s="35"/>
      <c r="BE501" s="35"/>
      <c r="BF501" s="35"/>
      <c r="BG501" s="35"/>
      <c r="BH501" s="35"/>
      <c r="BI501" s="35"/>
      <c r="BJ501" s="35"/>
      <c r="BK501" s="35"/>
      <c r="BL501" s="35"/>
      <c r="BM501" s="35"/>
      <c r="BN501" s="35"/>
      <c r="BO501" s="35"/>
      <c r="BP501" s="35"/>
      <c r="BQ501" s="35"/>
      <c r="BR501" s="35"/>
      <c r="BS501" s="35"/>
      <c r="BT501" s="35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35"/>
      <c r="CO501" s="35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35"/>
      <c r="DJ501" s="35"/>
      <c r="DK501" s="35"/>
      <c r="DL501" s="35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35"/>
      <c r="EE501" s="35"/>
      <c r="EF501" s="35"/>
      <c r="EG501" s="35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35"/>
      <c r="EZ501" s="35"/>
      <c r="FA501" s="35"/>
      <c r="FB501" s="35"/>
      <c r="FC501" s="35"/>
      <c r="FD501" s="35"/>
      <c r="FE501" s="35"/>
      <c r="FF501" s="35"/>
      <c r="FG501" s="35"/>
      <c r="FH501" s="35"/>
      <c r="FI501" s="35"/>
      <c r="FJ501" s="35"/>
      <c r="FK501" s="35"/>
      <c r="FL501" s="35"/>
      <c r="FM501" s="35"/>
      <c r="FN501" s="35"/>
      <c r="FO501" s="35"/>
      <c r="FP501" s="35"/>
      <c r="FQ501" s="35"/>
      <c r="FR501" s="35"/>
      <c r="FS501" s="35"/>
      <c r="FT501" s="35"/>
      <c r="FU501" s="35"/>
      <c r="FV501" s="35"/>
      <c r="FW501" s="35"/>
      <c r="FX501" s="35"/>
      <c r="FY501" s="35"/>
      <c r="FZ501" s="35"/>
      <c r="GA501" s="35"/>
      <c r="GB501" s="35"/>
      <c r="GC501" s="35"/>
      <c r="GD501" s="35"/>
      <c r="GE501" s="35"/>
      <c r="GF501" s="35"/>
      <c r="GG501" s="35"/>
      <c r="GH501" s="35"/>
      <c r="GI501" s="35"/>
      <c r="GJ501" s="35"/>
      <c r="GK501" s="35"/>
      <c r="GL501" s="35"/>
      <c r="GM501" s="35"/>
      <c r="GN501" s="35"/>
      <c r="GO501" s="35"/>
      <c r="GP501" s="35"/>
      <c r="GQ501" s="35"/>
      <c r="GR501" s="35"/>
      <c r="GS501" s="35"/>
      <c r="GT501" s="35"/>
      <c r="GU501" s="35"/>
      <c r="GV501" s="35"/>
      <c r="GW501" s="35"/>
      <c r="GX501" s="35"/>
      <c r="GY501" s="35"/>
      <c r="GZ501" s="35"/>
      <c r="HA501" s="35"/>
      <c r="HB501" s="35"/>
      <c r="HC501" s="35"/>
      <c r="HD501" s="35"/>
      <c r="HE501" s="35"/>
      <c r="HF501" s="35"/>
      <c r="HG501" s="35"/>
      <c r="HH501" s="35"/>
      <c r="HI501" s="35"/>
      <c r="HJ501" s="35"/>
      <c r="HK501" s="35"/>
      <c r="HL501" s="35"/>
      <c r="HM501" s="35"/>
      <c r="HN501" s="35"/>
      <c r="HO501" s="35"/>
      <c r="HP501" s="35"/>
      <c r="HQ501" s="35"/>
      <c r="HR501" s="35"/>
      <c r="HS501" s="35"/>
      <c r="HT501" s="35"/>
      <c r="HU501" s="35"/>
      <c r="HV501" s="35"/>
      <c r="HW501" s="35"/>
      <c r="HX501" s="35"/>
      <c r="HY501" s="35"/>
      <c r="HZ501" s="35"/>
      <c r="IA501" s="35"/>
      <c r="IB501" s="35"/>
      <c r="IC501" s="35"/>
      <c r="ID501" s="35"/>
      <c r="IE501" s="35"/>
      <c r="IF501" s="35"/>
      <c r="IG501" s="35"/>
      <c r="IH501" s="35"/>
      <c r="II501" s="35"/>
      <c r="IJ501" s="35"/>
      <c r="IK501" s="35"/>
      <c r="IL501" s="35"/>
      <c r="IM501" s="35"/>
      <c r="IN501" s="35"/>
      <c r="IO501" s="35"/>
      <c r="IP501" s="35"/>
      <c r="IQ501" s="35"/>
      <c r="IR501" s="35"/>
      <c r="IS501" s="35"/>
      <c r="IT501" s="35"/>
      <c r="IU501" s="35"/>
      <c r="IV501" s="35"/>
      <c r="IW501" s="35"/>
      <c r="IX501" s="35"/>
      <c r="IY501" s="35"/>
      <c r="IZ501" s="35"/>
      <c r="JA501" s="35"/>
      <c r="JB501" s="35"/>
      <c r="JC501" s="35"/>
      <c r="JD501" s="35"/>
      <c r="JE501" s="35"/>
    </row>
    <row r="502">
      <c r="A502" s="42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  <c r="AZ502" s="35"/>
      <c r="BA502" s="35"/>
      <c r="BB502" s="35"/>
      <c r="BC502" s="35"/>
      <c r="BD502" s="35"/>
      <c r="BE502" s="35"/>
      <c r="BF502" s="35"/>
      <c r="BG502" s="35"/>
      <c r="BH502" s="35"/>
      <c r="BI502" s="35"/>
      <c r="BJ502" s="35"/>
      <c r="BK502" s="35"/>
      <c r="BL502" s="35"/>
      <c r="BM502" s="35"/>
      <c r="BN502" s="35"/>
      <c r="BO502" s="35"/>
      <c r="BP502" s="35"/>
      <c r="BQ502" s="35"/>
      <c r="BR502" s="35"/>
      <c r="BS502" s="35"/>
      <c r="BT502" s="35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35"/>
      <c r="CO502" s="35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35"/>
      <c r="DJ502" s="35"/>
      <c r="DK502" s="35"/>
      <c r="DL502" s="35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35"/>
      <c r="EE502" s="35"/>
      <c r="EF502" s="35"/>
      <c r="EG502" s="35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35"/>
      <c r="EZ502" s="35"/>
      <c r="FA502" s="35"/>
      <c r="FB502" s="35"/>
      <c r="FC502" s="35"/>
      <c r="FD502" s="35"/>
      <c r="FE502" s="35"/>
      <c r="FF502" s="35"/>
      <c r="FG502" s="35"/>
      <c r="FH502" s="35"/>
      <c r="FI502" s="35"/>
      <c r="FJ502" s="35"/>
      <c r="FK502" s="35"/>
      <c r="FL502" s="35"/>
      <c r="FM502" s="35"/>
      <c r="FN502" s="35"/>
      <c r="FO502" s="35"/>
      <c r="FP502" s="35"/>
      <c r="FQ502" s="35"/>
      <c r="FR502" s="35"/>
      <c r="FS502" s="35"/>
      <c r="FT502" s="35"/>
      <c r="FU502" s="35"/>
      <c r="FV502" s="35"/>
      <c r="FW502" s="35"/>
      <c r="FX502" s="35"/>
      <c r="FY502" s="35"/>
      <c r="FZ502" s="35"/>
      <c r="GA502" s="35"/>
      <c r="GB502" s="35"/>
      <c r="GC502" s="35"/>
      <c r="GD502" s="35"/>
      <c r="GE502" s="35"/>
      <c r="GF502" s="35"/>
      <c r="GG502" s="35"/>
      <c r="GH502" s="35"/>
      <c r="GI502" s="35"/>
      <c r="GJ502" s="35"/>
      <c r="GK502" s="35"/>
      <c r="GL502" s="35"/>
      <c r="GM502" s="35"/>
      <c r="GN502" s="35"/>
      <c r="GO502" s="35"/>
      <c r="GP502" s="35"/>
      <c r="GQ502" s="35"/>
      <c r="GR502" s="35"/>
      <c r="GS502" s="35"/>
      <c r="GT502" s="35"/>
      <c r="GU502" s="35"/>
      <c r="GV502" s="35"/>
      <c r="GW502" s="35"/>
      <c r="GX502" s="35"/>
      <c r="GY502" s="35"/>
      <c r="GZ502" s="35"/>
      <c r="HA502" s="35"/>
      <c r="HB502" s="35"/>
      <c r="HC502" s="35"/>
      <c r="HD502" s="35"/>
      <c r="HE502" s="35"/>
      <c r="HF502" s="35"/>
      <c r="HG502" s="35"/>
      <c r="HH502" s="35"/>
      <c r="HI502" s="35"/>
      <c r="HJ502" s="35"/>
      <c r="HK502" s="35"/>
      <c r="HL502" s="35"/>
      <c r="HM502" s="35"/>
      <c r="HN502" s="35"/>
      <c r="HO502" s="35"/>
      <c r="HP502" s="35"/>
      <c r="HQ502" s="35"/>
      <c r="HR502" s="35"/>
      <c r="HS502" s="35"/>
      <c r="HT502" s="35"/>
      <c r="HU502" s="35"/>
      <c r="HV502" s="35"/>
      <c r="HW502" s="35"/>
      <c r="HX502" s="35"/>
      <c r="HY502" s="35"/>
      <c r="HZ502" s="35"/>
      <c r="IA502" s="35"/>
      <c r="IB502" s="35"/>
      <c r="IC502" s="35"/>
      <c r="ID502" s="35"/>
      <c r="IE502" s="35"/>
      <c r="IF502" s="35"/>
      <c r="IG502" s="35"/>
      <c r="IH502" s="35"/>
      <c r="II502" s="35"/>
      <c r="IJ502" s="35"/>
      <c r="IK502" s="35"/>
      <c r="IL502" s="35"/>
      <c r="IM502" s="35"/>
      <c r="IN502" s="35"/>
      <c r="IO502" s="35"/>
      <c r="IP502" s="35"/>
      <c r="IQ502" s="35"/>
      <c r="IR502" s="35"/>
      <c r="IS502" s="35"/>
      <c r="IT502" s="35"/>
      <c r="IU502" s="35"/>
      <c r="IV502" s="35"/>
      <c r="IW502" s="35"/>
      <c r="IX502" s="35"/>
      <c r="IY502" s="35"/>
      <c r="IZ502" s="35"/>
      <c r="JA502" s="35"/>
      <c r="JB502" s="35"/>
      <c r="JC502" s="35"/>
      <c r="JD502" s="35"/>
      <c r="JE502" s="35"/>
    </row>
    <row r="503">
      <c r="A503" s="42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  <c r="AZ503" s="35"/>
      <c r="BA503" s="35"/>
      <c r="BB503" s="35"/>
      <c r="BC503" s="35"/>
      <c r="BD503" s="35"/>
      <c r="BE503" s="35"/>
      <c r="BF503" s="35"/>
      <c r="BG503" s="35"/>
      <c r="BH503" s="35"/>
      <c r="BI503" s="35"/>
      <c r="BJ503" s="35"/>
      <c r="BK503" s="35"/>
      <c r="BL503" s="35"/>
      <c r="BM503" s="35"/>
      <c r="BN503" s="35"/>
      <c r="BO503" s="35"/>
      <c r="BP503" s="35"/>
      <c r="BQ503" s="35"/>
      <c r="BR503" s="35"/>
      <c r="BS503" s="35"/>
      <c r="BT503" s="35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35"/>
      <c r="CO503" s="35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35"/>
      <c r="DJ503" s="35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35"/>
      <c r="EE503" s="35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35"/>
      <c r="EZ503" s="35"/>
      <c r="FA503" s="35"/>
      <c r="FB503" s="35"/>
      <c r="FC503" s="35"/>
      <c r="FD503" s="35"/>
      <c r="FE503" s="35"/>
      <c r="FF503" s="35"/>
      <c r="FG503" s="35"/>
      <c r="FH503" s="35"/>
      <c r="FI503" s="35"/>
      <c r="FJ503" s="35"/>
      <c r="FK503" s="35"/>
      <c r="FL503" s="35"/>
      <c r="FM503" s="35"/>
      <c r="FN503" s="35"/>
      <c r="FO503" s="35"/>
      <c r="FP503" s="35"/>
      <c r="FQ503" s="35"/>
      <c r="FR503" s="35"/>
      <c r="FS503" s="35"/>
      <c r="FT503" s="35"/>
      <c r="FU503" s="35"/>
      <c r="FV503" s="35"/>
      <c r="FW503" s="35"/>
      <c r="FX503" s="35"/>
      <c r="FY503" s="35"/>
      <c r="FZ503" s="35"/>
      <c r="GA503" s="35"/>
      <c r="GB503" s="35"/>
      <c r="GC503" s="35"/>
      <c r="GD503" s="35"/>
      <c r="GE503" s="35"/>
      <c r="GF503" s="35"/>
      <c r="GG503" s="35"/>
      <c r="GH503" s="35"/>
      <c r="GI503" s="35"/>
      <c r="GJ503" s="35"/>
      <c r="GK503" s="35"/>
      <c r="GL503" s="35"/>
      <c r="GM503" s="35"/>
      <c r="GN503" s="35"/>
      <c r="GO503" s="35"/>
      <c r="GP503" s="35"/>
      <c r="GQ503" s="35"/>
      <c r="GR503" s="35"/>
      <c r="GS503" s="35"/>
      <c r="GT503" s="35"/>
      <c r="GU503" s="35"/>
      <c r="GV503" s="35"/>
      <c r="GW503" s="35"/>
      <c r="GX503" s="35"/>
      <c r="GY503" s="35"/>
      <c r="GZ503" s="35"/>
      <c r="HA503" s="35"/>
      <c r="HB503" s="35"/>
      <c r="HC503" s="35"/>
      <c r="HD503" s="35"/>
      <c r="HE503" s="35"/>
      <c r="HF503" s="35"/>
      <c r="HG503" s="35"/>
      <c r="HH503" s="35"/>
      <c r="HI503" s="35"/>
      <c r="HJ503" s="35"/>
      <c r="HK503" s="35"/>
      <c r="HL503" s="35"/>
      <c r="HM503" s="35"/>
      <c r="HN503" s="35"/>
      <c r="HO503" s="35"/>
      <c r="HP503" s="35"/>
      <c r="HQ503" s="35"/>
      <c r="HR503" s="35"/>
      <c r="HS503" s="35"/>
      <c r="HT503" s="35"/>
      <c r="HU503" s="35"/>
      <c r="HV503" s="35"/>
      <c r="HW503" s="35"/>
      <c r="HX503" s="35"/>
      <c r="HY503" s="35"/>
      <c r="HZ503" s="35"/>
      <c r="IA503" s="35"/>
      <c r="IB503" s="35"/>
      <c r="IC503" s="35"/>
      <c r="ID503" s="35"/>
      <c r="IE503" s="35"/>
      <c r="IF503" s="35"/>
      <c r="IG503" s="35"/>
      <c r="IH503" s="35"/>
      <c r="II503" s="35"/>
      <c r="IJ503" s="35"/>
      <c r="IK503" s="35"/>
      <c r="IL503" s="35"/>
      <c r="IM503" s="35"/>
      <c r="IN503" s="35"/>
      <c r="IO503" s="35"/>
      <c r="IP503" s="35"/>
      <c r="IQ503" s="35"/>
      <c r="IR503" s="35"/>
      <c r="IS503" s="35"/>
      <c r="IT503" s="35"/>
      <c r="IU503" s="35"/>
      <c r="IV503" s="35"/>
      <c r="IW503" s="35"/>
      <c r="IX503" s="35"/>
      <c r="IY503" s="35"/>
      <c r="IZ503" s="35"/>
      <c r="JA503" s="35"/>
      <c r="JB503" s="35"/>
      <c r="JC503" s="35"/>
      <c r="JD503" s="35"/>
      <c r="JE503" s="35"/>
    </row>
    <row r="504">
      <c r="A504" s="42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35"/>
      <c r="BA504" s="35"/>
      <c r="BB504" s="35"/>
      <c r="BC504" s="35"/>
      <c r="BD504" s="35"/>
      <c r="BE504" s="35"/>
      <c r="BF504" s="35"/>
      <c r="BG504" s="35"/>
      <c r="BH504" s="35"/>
      <c r="BI504" s="35"/>
      <c r="BJ504" s="35"/>
      <c r="BK504" s="35"/>
      <c r="BL504" s="35"/>
      <c r="BM504" s="35"/>
      <c r="BN504" s="35"/>
      <c r="BO504" s="35"/>
      <c r="BP504" s="35"/>
      <c r="BQ504" s="35"/>
      <c r="BR504" s="35"/>
      <c r="BS504" s="35"/>
      <c r="BT504" s="35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35"/>
      <c r="CO504" s="35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35"/>
      <c r="DJ504" s="35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35"/>
      <c r="EE504" s="35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35"/>
      <c r="EZ504" s="35"/>
      <c r="FA504" s="35"/>
      <c r="FB504" s="35"/>
      <c r="FC504" s="35"/>
      <c r="FD504" s="35"/>
      <c r="FE504" s="35"/>
      <c r="FF504" s="35"/>
      <c r="FG504" s="35"/>
      <c r="FH504" s="35"/>
      <c r="FI504" s="35"/>
      <c r="FJ504" s="35"/>
      <c r="FK504" s="35"/>
      <c r="FL504" s="35"/>
      <c r="FM504" s="35"/>
      <c r="FN504" s="35"/>
      <c r="FO504" s="35"/>
      <c r="FP504" s="35"/>
      <c r="FQ504" s="35"/>
      <c r="FR504" s="35"/>
      <c r="FS504" s="35"/>
      <c r="FT504" s="35"/>
      <c r="FU504" s="35"/>
      <c r="FV504" s="35"/>
      <c r="FW504" s="35"/>
      <c r="FX504" s="35"/>
      <c r="FY504" s="35"/>
      <c r="FZ504" s="35"/>
      <c r="GA504" s="35"/>
      <c r="GB504" s="35"/>
      <c r="GC504" s="35"/>
      <c r="GD504" s="35"/>
      <c r="GE504" s="35"/>
      <c r="GF504" s="35"/>
      <c r="GG504" s="35"/>
      <c r="GH504" s="35"/>
      <c r="GI504" s="35"/>
      <c r="GJ504" s="35"/>
      <c r="GK504" s="35"/>
      <c r="GL504" s="35"/>
      <c r="GM504" s="35"/>
      <c r="GN504" s="35"/>
      <c r="GO504" s="35"/>
      <c r="GP504" s="35"/>
      <c r="GQ504" s="35"/>
      <c r="GR504" s="35"/>
      <c r="GS504" s="35"/>
      <c r="GT504" s="35"/>
      <c r="GU504" s="35"/>
      <c r="GV504" s="35"/>
      <c r="GW504" s="35"/>
      <c r="GX504" s="35"/>
      <c r="GY504" s="35"/>
      <c r="GZ504" s="35"/>
      <c r="HA504" s="35"/>
      <c r="HB504" s="35"/>
      <c r="HC504" s="35"/>
      <c r="HD504" s="35"/>
      <c r="HE504" s="35"/>
      <c r="HF504" s="35"/>
      <c r="HG504" s="35"/>
      <c r="HH504" s="35"/>
      <c r="HI504" s="35"/>
      <c r="HJ504" s="35"/>
      <c r="HK504" s="35"/>
      <c r="HL504" s="35"/>
      <c r="HM504" s="35"/>
      <c r="HN504" s="35"/>
      <c r="HO504" s="35"/>
      <c r="HP504" s="35"/>
      <c r="HQ504" s="35"/>
      <c r="HR504" s="35"/>
      <c r="HS504" s="35"/>
      <c r="HT504" s="35"/>
      <c r="HU504" s="35"/>
      <c r="HV504" s="35"/>
      <c r="HW504" s="35"/>
      <c r="HX504" s="35"/>
      <c r="HY504" s="35"/>
      <c r="HZ504" s="35"/>
      <c r="IA504" s="35"/>
      <c r="IB504" s="35"/>
      <c r="IC504" s="35"/>
      <c r="ID504" s="35"/>
      <c r="IE504" s="35"/>
      <c r="IF504" s="35"/>
      <c r="IG504" s="35"/>
      <c r="IH504" s="35"/>
      <c r="II504" s="35"/>
      <c r="IJ504" s="35"/>
      <c r="IK504" s="35"/>
      <c r="IL504" s="35"/>
      <c r="IM504" s="35"/>
      <c r="IN504" s="35"/>
      <c r="IO504" s="35"/>
      <c r="IP504" s="35"/>
      <c r="IQ504" s="35"/>
      <c r="IR504" s="35"/>
      <c r="IS504" s="35"/>
      <c r="IT504" s="35"/>
      <c r="IU504" s="35"/>
      <c r="IV504" s="35"/>
      <c r="IW504" s="35"/>
      <c r="IX504" s="35"/>
      <c r="IY504" s="35"/>
      <c r="IZ504" s="35"/>
      <c r="JA504" s="35"/>
      <c r="JB504" s="35"/>
      <c r="JC504" s="35"/>
      <c r="JD504" s="35"/>
      <c r="JE504" s="35"/>
    </row>
    <row r="505">
      <c r="A505" s="42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  <c r="BC505" s="35"/>
      <c r="BD505" s="35"/>
      <c r="BE505" s="35"/>
      <c r="BF505" s="35"/>
      <c r="BG505" s="35"/>
      <c r="BH505" s="35"/>
      <c r="BI505" s="35"/>
      <c r="BJ505" s="35"/>
      <c r="BK505" s="35"/>
      <c r="BL505" s="35"/>
      <c r="BM505" s="35"/>
      <c r="BN505" s="35"/>
      <c r="BO505" s="35"/>
      <c r="BP505" s="35"/>
      <c r="BQ505" s="35"/>
      <c r="BR505" s="35"/>
      <c r="BS505" s="35"/>
      <c r="BT505" s="35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35"/>
      <c r="CO505" s="35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35"/>
      <c r="DJ505" s="35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35"/>
      <c r="EE505" s="35"/>
      <c r="EF505" s="35"/>
      <c r="EG505" s="35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35"/>
      <c r="EZ505" s="35"/>
      <c r="FA505" s="35"/>
      <c r="FB505" s="35"/>
      <c r="FC505" s="35"/>
      <c r="FD505" s="35"/>
      <c r="FE505" s="35"/>
      <c r="FF505" s="35"/>
      <c r="FG505" s="35"/>
      <c r="FH505" s="35"/>
      <c r="FI505" s="35"/>
      <c r="FJ505" s="35"/>
      <c r="FK505" s="35"/>
      <c r="FL505" s="35"/>
      <c r="FM505" s="35"/>
      <c r="FN505" s="35"/>
      <c r="FO505" s="35"/>
      <c r="FP505" s="35"/>
      <c r="FQ505" s="35"/>
      <c r="FR505" s="35"/>
      <c r="FS505" s="35"/>
      <c r="FT505" s="35"/>
      <c r="FU505" s="35"/>
      <c r="FV505" s="35"/>
      <c r="FW505" s="35"/>
      <c r="FX505" s="35"/>
      <c r="FY505" s="35"/>
      <c r="FZ505" s="35"/>
      <c r="GA505" s="35"/>
      <c r="GB505" s="35"/>
      <c r="GC505" s="35"/>
      <c r="GD505" s="35"/>
      <c r="GE505" s="35"/>
      <c r="GF505" s="35"/>
      <c r="GG505" s="35"/>
      <c r="GH505" s="35"/>
      <c r="GI505" s="35"/>
      <c r="GJ505" s="35"/>
      <c r="GK505" s="35"/>
      <c r="GL505" s="35"/>
      <c r="GM505" s="35"/>
      <c r="GN505" s="35"/>
      <c r="GO505" s="35"/>
      <c r="GP505" s="35"/>
      <c r="GQ505" s="35"/>
      <c r="GR505" s="35"/>
      <c r="GS505" s="35"/>
      <c r="GT505" s="35"/>
      <c r="GU505" s="35"/>
      <c r="GV505" s="35"/>
      <c r="GW505" s="35"/>
      <c r="GX505" s="35"/>
      <c r="GY505" s="35"/>
      <c r="GZ505" s="35"/>
      <c r="HA505" s="35"/>
      <c r="HB505" s="35"/>
      <c r="HC505" s="35"/>
      <c r="HD505" s="35"/>
      <c r="HE505" s="35"/>
      <c r="HF505" s="35"/>
      <c r="HG505" s="35"/>
      <c r="HH505" s="35"/>
      <c r="HI505" s="35"/>
      <c r="HJ505" s="35"/>
      <c r="HK505" s="35"/>
      <c r="HL505" s="35"/>
      <c r="HM505" s="35"/>
      <c r="HN505" s="35"/>
      <c r="HO505" s="35"/>
      <c r="HP505" s="35"/>
      <c r="HQ505" s="35"/>
      <c r="HR505" s="35"/>
      <c r="HS505" s="35"/>
      <c r="HT505" s="35"/>
      <c r="HU505" s="35"/>
      <c r="HV505" s="35"/>
      <c r="HW505" s="35"/>
      <c r="HX505" s="35"/>
      <c r="HY505" s="35"/>
      <c r="HZ505" s="35"/>
      <c r="IA505" s="35"/>
      <c r="IB505" s="35"/>
      <c r="IC505" s="35"/>
      <c r="ID505" s="35"/>
      <c r="IE505" s="35"/>
      <c r="IF505" s="35"/>
      <c r="IG505" s="35"/>
      <c r="IH505" s="35"/>
      <c r="II505" s="35"/>
      <c r="IJ505" s="35"/>
      <c r="IK505" s="35"/>
      <c r="IL505" s="35"/>
      <c r="IM505" s="35"/>
      <c r="IN505" s="35"/>
      <c r="IO505" s="35"/>
      <c r="IP505" s="35"/>
      <c r="IQ505" s="35"/>
      <c r="IR505" s="35"/>
      <c r="IS505" s="35"/>
      <c r="IT505" s="35"/>
      <c r="IU505" s="35"/>
      <c r="IV505" s="35"/>
      <c r="IW505" s="35"/>
      <c r="IX505" s="35"/>
      <c r="IY505" s="35"/>
      <c r="IZ505" s="35"/>
      <c r="JA505" s="35"/>
      <c r="JB505" s="35"/>
      <c r="JC505" s="35"/>
      <c r="JD505" s="35"/>
      <c r="JE505" s="35"/>
    </row>
    <row r="506">
      <c r="A506" s="42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  <c r="AZ506" s="35"/>
      <c r="BA506" s="35"/>
      <c r="BB506" s="35"/>
      <c r="BC506" s="35"/>
      <c r="BD506" s="35"/>
      <c r="BE506" s="35"/>
      <c r="BF506" s="35"/>
      <c r="BG506" s="35"/>
      <c r="BH506" s="35"/>
      <c r="BI506" s="35"/>
      <c r="BJ506" s="35"/>
      <c r="BK506" s="35"/>
      <c r="BL506" s="35"/>
      <c r="BM506" s="35"/>
      <c r="BN506" s="35"/>
      <c r="BO506" s="35"/>
      <c r="BP506" s="35"/>
      <c r="BQ506" s="35"/>
      <c r="BR506" s="35"/>
      <c r="BS506" s="35"/>
      <c r="BT506" s="35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35"/>
      <c r="CO506" s="35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35"/>
      <c r="DJ506" s="35"/>
      <c r="DK506" s="35"/>
      <c r="DL506" s="35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35"/>
      <c r="EE506" s="35"/>
      <c r="EF506" s="35"/>
      <c r="EG506" s="35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35"/>
      <c r="EZ506" s="35"/>
      <c r="FA506" s="35"/>
      <c r="FB506" s="35"/>
      <c r="FC506" s="35"/>
      <c r="FD506" s="35"/>
      <c r="FE506" s="35"/>
      <c r="FF506" s="35"/>
      <c r="FG506" s="35"/>
      <c r="FH506" s="35"/>
      <c r="FI506" s="35"/>
      <c r="FJ506" s="35"/>
      <c r="FK506" s="35"/>
      <c r="FL506" s="35"/>
      <c r="FM506" s="35"/>
      <c r="FN506" s="35"/>
      <c r="FO506" s="35"/>
      <c r="FP506" s="35"/>
      <c r="FQ506" s="35"/>
      <c r="FR506" s="35"/>
      <c r="FS506" s="35"/>
      <c r="FT506" s="35"/>
      <c r="FU506" s="35"/>
      <c r="FV506" s="35"/>
      <c r="FW506" s="35"/>
      <c r="FX506" s="35"/>
      <c r="FY506" s="35"/>
      <c r="FZ506" s="35"/>
      <c r="GA506" s="35"/>
      <c r="GB506" s="35"/>
      <c r="GC506" s="35"/>
      <c r="GD506" s="35"/>
      <c r="GE506" s="35"/>
      <c r="GF506" s="35"/>
      <c r="GG506" s="35"/>
      <c r="GH506" s="35"/>
      <c r="GI506" s="35"/>
      <c r="GJ506" s="35"/>
      <c r="GK506" s="35"/>
      <c r="GL506" s="35"/>
      <c r="GM506" s="35"/>
      <c r="GN506" s="35"/>
      <c r="GO506" s="35"/>
      <c r="GP506" s="35"/>
      <c r="GQ506" s="35"/>
      <c r="GR506" s="35"/>
      <c r="GS506" s="35"/>
      <c r="GT506" s="35"/>
      <c r="GU506" s="35"/>
      <c r="GV506" s="35"/>
      <c r="GW506" s="35"/>
      <c r="GX506" s="35"/>
      <c r="GY506" s="35"/>
      <c r="GZ506" s="35"/>
      <c r="HA506" s="35"/>
      <c r="HB506" s="35"/>
      <c r="HC506" s="35"/>
      <c r="HD506" s="35"/>
      <c r="HE506" s="35"/>
      <c r="HF506" s="35"/>
      <c r="HG506" s="35"/>
      <c r="HH506" s="35"/>
      <c r="HI506" s="35"/>
      <c r="HJ506" s="35"/>
      <c r="HK506" s="35"/>
      <c r="HL506" s="35"/>
      <c r="HM506" s="35"/>
      <c r="HN506" s="35"/>
      <c r="HO506" s="35"/>
      <c r="HP506" s="35"/>
      <c r="HQ506" s="35"/>
      <c r="HR506" s="35"/>
      <c r="HS506" s="35"/>
      <c r="HT506" s="35"/>
      <c r="HU506" s="35"/>
      <c r="HV506" s="35"/>
      <c r="HW506" s="35"/>
      <c r="HX506" s="35"/>
      <c r="HY506" s="35"/>
      <c r="HZ506" s="35"/>
      <c r="IA506" s="35"/>
      <c r="IB506" s="35"/>
      <c r="IC506" s="35"/>
      <c r="ID506" s="35"/>
      <c r="IE506" s="35"/>
      <c r="IF506" s="35"/>
      <c r="IG506" s="35"/>
      <c r="IH506" s="35"/>
      <c r="II506" s="35"/>
      <c r="IJ506" s="35"/>
      <c r="IK506" s="35"/>
      <c r="IL506" s="35"/>
      <c r="IM506" s="35"/>
      <c r="IN506" s="35"/>
      <c r="IO506" s="35"/>
      <c r="IP506" s="35"/>
      <c r="IQ506" s="35"/>
      <c r="IR506" s="35"/>
      <c r="IS506" s="35"/>
      <c r="IT506" s="35"/>
      <c r="IU506" s="35"/>
      <c r="IV506" s="35"/>
      <c r="IW506" s="35"/>
      <c r="IX506" s="35"/>
      <c r="IY506" s="35"/>
      <c r="IZ506" s="35"/>
      <c r="JA506" s="35"/>
      <c r="JB506" s="35"/>
      <c r="JC506" s="35"/>
      <c r="JD506" s="35"/>
      <c r="JE506" s="35"/>
    </row>
    <row r="507">
      <c r="A507" s="42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35"/>
      <c r="BA507" s="35"/>
      <c r="BB507" s="35"/>
      <c r="BC507" s="35"/>
      <c r="BD507" s="35"/>
      <c r="BE507" s="35"/>
      <c r="BF507" s="35"/>
      <c r="BG507" s="35"/>
      <c r="BH507" s="35"/>
      <c r="BI507" s="35"/>
      <c r="BJ507" s="35"/>
      <c r="BK507" s="35"/>
      <c r="BL507" s="35"/>
      <c r="BM507" s="35"/>
      <c r="BN507" s="35"/>
      <c r="BO507" s="35"/>
      <c r="BP507" s="35"/>
      <c r="BQ507" s="35"/>
      <c r="BR507" s="35"/>
      <c r="BS507" s="35"/>
      <c r="BT507" s="35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35"/>
      <c r="CO507" s="35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35"/>
      <c r="DJ507" s="35"/>
      <c r="DK507" s="35"/>
      <c r="DL507" s="35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35"/>
      <c r="EE507" s="35"/>
      <c r="EF507" s="35"/>
      <c r="EG507" s="35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35"/>
      <c r="EZ507" s="35"/>
      <c r="FA507" s="35"/>
      <c r="FB507" s="35"/>
      <c r="FC507" s="35"/>
      <c r="FD507" s="35"/>
      <c r="FE507" s="35"/>
      <c r="FF507" s="35"/>
      <c r="FG507" s="35"/>
      <c r="FH507" s="35"/>
      <c r="FI507" s="35"/>
      <c r="FJ507" s="35"/>
      <c r="FK507" s="35"/>
      <c r="FL507" s="35"/>
      <c r="FM507" s="35"/>
      <c r="FN507" s="35"/>
      <c r="FO507" s="35"/>
      <c r="FP507" s="35"/>
      <c r="FQ507" s="35"/>
      <c r="FR507" s="35"/>
      <c r="FS507" s="35"/>
      <c r="FT507" s="35"/>
      <c r="FU507" s="35"/>
      <c r="FV507" s="35"/>
      <c r="FW507" s="35"/>
      <c r="FX507" s="35"/>
      <c r="FY507" s="35"/>
      <c r="FZ507" s="35"/>
      <c r="GA507" s="35"/>
      <c r="GB507" s="35"/>
      <c r="GC507" s="35"/>
      <c r="GD507" s="35"/>
      <c r="GE507" s="35"/>
      <c r="GF507" s="35"/>
      <c r="GG507" s="35"/>
      <c r="GH507" s="35"/>
      <c r="GI507" s="35"/>
      <c r="GJ507" s="35"/>
      <c r="GK507" s="35"/>
      <c r="GL507" s="35"/>
      <c r="GM507" s="35"/>
      <c r="GN507" s="35"/>
      <c r="GO507" s="35"/>
      <c r="GP507" s="35"/>
      <c r="GQ507" s="35"/>
      <c r="GR507" s="35"/>
      <c r="GS507" s="35"/>
      <c r="GT507" s="35"/>
      <c r="GU507" s="35"/>
      <c r="GV507" s="35"/>
      <c r="GW507" s="35"/>
      <c r="GX507" s="35"/>
      <c r="GY507" s="35"/>
      <c r="GZ507" s="35"/>
      <c r="HA507" s="35"/>
      <c r="HB507" s="35"/>
      <c r="HC507" s="35"/>
      <c r="HD507" s="35"/>
      <c r="HE507" s="35"/>
      <c r="HF507" s="35"/>
      <c r="HG507" s="35"/>
      <c r="HH507" s="35"/>
      <c r="HI507" s="35"/>
      <c r="HJ507" s="35"/>
      <c r="HK507" s="35"/>
      <c r="HL507" s="35"/>
      <c r="HM507" s="35"/>
      <c r="HN507" s="35"/>
      <c r="HO507" s="35"/>
      <c r="HP507" s="35"/>
      <c r="HQ507" s="35"/>
      <c r="HR507" s="35"/>
      <c r="HS507" s="35"/>
      <c r="HT507" s="35"/>
      <c r="HU507" s="35"/>
      <c r="HV507" s="35"/>
      <c r="HW507" s="35"/>
      <c r="HX507" s="35"/>
      <c r="HY507" s="35"/>
      <c r="HZ507" s="35"/>
      <c r="IA507" s="35"/>
      <c r="IB507" s="35"/>
      <c r="IC507" s="35"/>
      <c r="ID507" s="35"/>
      <c r="IE507" s="35"/>
      <c r="IF507" s="35"/>
      <c r="IG507" s="35"/>
      <c r="IH507" s="35"/>
      <c r="II507" s="35"/>
      <c r="IJ507" s="35"/>
      <c r="IK507" s="35"/>
      <c r="IL507" s="35"/>
      <c r="IM507" s="35"/>
      <c r="IN507" s="35"/>
      <c r="IO507" s="35"/>
      <c r="IP507" s="35"/>
      <c r="IQ507" s="35"/>
      <c r="IR507" s="35"/>
      <c r="IS507" s="35"/>
      <c r="IT507" s="35"/>
      <c r="IU507" s="35"/>
      <c r="IV507" s="35"/>
      <c r="IW507" s="35"/>
      <c r="IX507" s="35"/>
      <c r="IY507" s="35"/>
      <c r="IZ507" s="35"/>
      <c r="JA507" s="35"/>
      <c r="JB507" s="35"/>
      <c r="JC507" s="35"/>
      <c r="JD507" s="35"/>
      <c r="JE507" s="35"/>
    </row>
    <row r="508">
      <c r="A508" s="42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  <c r="AZ508" s="35"/>
      <c r="BA508" s="35"/>
      <c r="BB508" s="35"/>
      <c r="BC508" s="35"/>
      <c r="BD508" s="35"/>
      <c r="BE508" s="35"/>
      <c r="BF508" s="35"/>
      <c r="BG508" s="35"/>
      <c r="BH508" s="35"/>
      <c r="BI508" s="35"/>
      <c r="BJ508" s="35"/>
      <c r="BK508" s="35"/>
      <c r="BL508" s="35"/>
      <c r="BM508" s="35"/>
      <c r="BN508" s="35"/>
      <c r="BO508" s="35"/>
      <c r="BP508" s="35"/>
      <c r="BQ508" s="35"/>
      <c r="BR508" s="35"/>
      <c r="BS508" s="35"/>
      <c r="BT508" s="35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35"/>
      <c r="CO508" s="35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35"/>
      <c r="DJ508" s="35"/>
      <c r="DK508" s="35"/>
      <c r="DL508" s="35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35"/>
      <c r="EE508" s="35"/>
      <c r="EF508" s="35"/>
      <c r="EG508" s="35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35"/>
      <c r="EZ508" s="35"/>
      <c r="FA508" s="35"/>
      <c r="FB508" s="35"/>
      <c r="FC508" s="35"/>
      <c r="FD508" s="35"/>
      <c r="FE508" s="35"/>
      <c r="FF508" s="35"/>
      <c r="FG508" s="35"/>
      <c r="FH508" s="35"/>
      <c r="FI508" s="35"/>
      <c r="FJ508" s="35"/>
      <c r="FK508" s="35"/>
      <c r="FL508" s="35"/>
      <c r="FM508" s="35"/>
      <c r="FN508" s="35"/>
      <c r="FO508" s="35"/>
      <c r="FP508" s="35"/>
      <c r="FQ508" s="35"/>
      <c r="FR508" s="35"/>
      <c r="FS508" s="35"/>
      <c r="FT508" s="35"/>
      <c r="FU508" s="35"/>
      <c r="FV508" s="35"/>
      <c r="FW508" s="35"/>
      <c r="FX508" s="35"/>
      <c r="FY508" s="35"/>
      <c r="FZ508" s="35"/>
      <c r="GA508" s="35"/>
      <c r="GB508" s="35"/>
      <c r="GC508" s="35"/>
      <c r="GD508" s="35"/>
      <c r="GE508" s="35"/>
      <c r="GF508" s="35"/>
      <c r="GG508" s="35"/>
      <c r="GH508" s="35"/>
      <c r="GI508" s="35"/>
      <c r="GJ508" s="35"/>
      <c r="GK508" s="35"/>
      <c r="GL508" s="35"/>
      <c r="GM508" s="35"/>
      <c r="GN508" s="35"/>
      <c r="GO508" s="35"/>
      <c r="GP508" s="35"/>
      <c r="GQ508" s="35"/>
      <c r="GR508" s="35"/>
      <c r="GS508" s="35"/>
      <c r="GT508" s="35"/>
      <c r="GU508" s="35"/>
      <c r="GV508" s="35"/>
      <c r="GW508" s="35"/>
      <c r="GX508" s="35"/>
      <c r="GY508" s="35"/>
      <c r="GZ508" s="35"/>
      <c r="HA508" s="35"/>
      <c r="HB508" s="35"/>
      <c r="HC508" s="35"/>
      <c r="HD508" s="35"/>
      <c r="HE508" s="35"/>
      <c r="HF508" s="35"/>
      <c r="HG508" s="35"/>
      <c r="HH508" s="35"/>
      <c r="HI508" s="35"/>
      <c r="HJ508" s="35"/>
      <c r="HK508" s="35"/>
      <c r="HL508" s="35"/>
      <c r="HM508" s="35"/>
      <c r="HN508" s="35"/>
      <c r="HO508" s="35"/>
      <c r="HP508" s="35"/>
      <c r="HQ508" s="35"/>
      <c r="HR508" s="35"/>
      <c r="HS508" s="35"/>
      <c r="HT508" s="35"/>
      <c r="HU508" s="35"/>
      <c r="HV508" s="35"/>
      <c r="HW508" s="35"/>
      <c r="HX508" s="35"/>
      <c r="HY508" s="35"/>
      <c r="HZ508" s="35"/>
      <c r="IA508" s="35"/>
      <c r="IB508" s="35"/>
      <c r="IC508" s="35"/>
      <c r="ID508" s="35"/>
      <c r="IE508" s="35"/>
      <c r="IF508" s="35"/>
      <c r="IG508" s="35"/>
      <c r="IH508" s="35"/>
      <c r="II508" s="35"/>
      <c r="IJ508" s="35"/>
      <c r="IK508" s="35"/>
      <c r="IL508" s="35"/>
      <c r="IM508" s="35"/>
      <c r="IN508" s="35"/>
      <c r="IO508" s="35"/>
      <c r="IP508" s="35"/>
      <c r="IQ508" s="35"/>
      <c r="IR508" s="35"/>
      <c r="IS508" s="35"/>
      <c r="IT508" s="35"/>
      <c r="IU508" s="35"/>
      <c r="IV508" s="35"/>
      <c r="IW508" s="35"/>
      <c r="IX508" s="35"/>
      <c r="IY508" s="35"/>
      <c r="IZ508" s="35"/>
      <c r="JA508" s="35"/>
      <c r="JB508" s="35"/>
      <c r="JC508" s="35"/>
      <c r="JD508" s="35"/>
      <c r="JE508" s="35"/>
    </row>
    <row r="509">
      <c r="A509" s="42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35"/>
      <c r="BA509" s="35"/>
      <c r="BB509" s="35"/>
      <c r="BC509" s="35"/>
      <c r="BD509" s="35"/>
      <c r="BE509" s="35"/>
      <c r="BF509" s="35"/>
      <c r="BG509" s="35"/>
      <c r="BH509" s="35"/>
      <c r="BI509" s="35"/>
      <c r="BJ509" s="35"/>
      <c r="BK509" s="35"/>
      <c r="BL509" s="35"/>
      <c r="BM509" s="35"/>
      <c r="BN509" s="35"/>
      <c r="BO509" s="35"/>
      <c r="BP509" s="35"/>
      <c r="BQ509" s="35"/>
      <c r="BR509" s="35"/>
      <c r="BS509" s="35"/>
      <c r="BT509" s="35"/>
      <c r="BU509" s="35"/>
      <c r="BV509" s="35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35"/>
      <c r="CO509" s="35"/>
      <c r="CP509" s="35"/>
      <c r="CQ509" s="35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35"/>
      <c r="DJ509" s="35"/>
      <c r="DK509" s="35"/>
      <c r="DL509" s="35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35"/>
      <c r="EE509" s="35"/>
      <c r="EF509" s="35"/>
      <c r="EG509" s="35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35"/>
      <c r="EZ509" s="35"/>
      <c r="FA509" s="35"/>
      <c r="FB509" s="35"/>
      <c r="FC509" s="35"/>
      <c r="FD509" s="35"/>
      <c r="FE509" s="35"/>
      <c r="FF509" s="35"/>
      <c r="FG509" s="35"/>
      <c r="FH509" s="35"/>
      <c r="FI509" s="35"/>
      <c r="FJ509" s="35"/>
      <c r="FK509" s="35"/>
      <c r="FL509" s="35"/>
      <c r="FM509" s="35"/>
      <c r="FN509" s="35"/>
      <c r="FO509" s="35"/>
      <c r="FP509" s="35"/>
      <c r="FQ509" s="35"/>
      <c r="FR509" s="35"/>
      <c r="FS509" s="35"/>
      <c r="FT509" s="35"/>
      <c r="FU509" s="35"/>
      <c r="FV509" s="35"/>
      <c r="FW509" s="35"/>
      <c r="FX509" s="35"/>
      <c r="FY509" s="35"/>
      <c r="FZ509" s="35"/>
      <c r="GA509" s="35"/>
      <c r="GB509" s="35"/>
      <c r="GC509" s="35"/>
      <c r="GD509" s="35"/>
      <c r="GE509" s="35"/>
      <c r="GF509" s="35"/>
      <c r="GG509" s="35"/>
      <c r="GH509" s="35"/>
      <c r="GI509" s="35"/>
      <c r="GJ509" s="35"/>
      <c r="GK509" s="35"/>
      <c r="GL509" s="35"/>
      <c r="GM509" s="35"/>
      <c r="GN509" s="35"/>
      <c r="GO509" s="35"/>
      <c r="GP509" s="35"/>
      <c r="GQ509" s="35"/>
      <c r="GR509" s="35"/>
      <c r="GS509" s="35"/>
      <c r="GT509" s="35"/>
      <c r="GU509" s="35"/>
      <c r="GV509" s="35"/>
      <c r="GW509" s="35"/>
      <c r="GX509" s="35"/>
      <c r="GY509" s="35"/>
      <c r="GZ509" s="35"/>
      <c r="HA509" s="35"/>
      <c r="HB509" s="35"/>
      <c r="HC509" s="35"/>
      <c r="HD509" s="35"/>
      <c r="HE509" s="35"/>
      <c r="HF509" s="35"/>
      <c r="HG509" s="35"/>
      <c r="HH509" s="35"/>
      <c r="HI509" s="35"/>
      <c r="HJ509" s="35"/>
      <c r="HK509" s="35"/>
      <c r="HL509" s="35"/>
      <c r="HM509" s="35"/>
      <c r="HN509" s="35"/>
      <c r="HO509" s="35"/>
      <c r="HP509" s="35"/>
      <c r="HQ509" s="35"/>
      <c r="HR509" s="35"/>
      <c r="HS509" s="35"/>
      <c r="HT509" s="35"/>
      <c r="HU509" s="35"/>
      <c r="HV509" s="35"/>
      <c r="HW509" s="35"/>
      <c r="HX509" s="35"/>
      <c r="HY509" s="35"/>
      <c r="HZ509" s="35"/>
      <c r="IA509" s="35"/>
      <c r="IB509" s="35"/>
      <c r="IC509" s="35"/>
      <c r="ID509" s="35"/>
      <c r="IE509" s="35"/>
      <c r="IF509" s="35"/>
      <c r="IG509" s="35"/>
      <c r="IH509" s="35"/>
      <c r="II509" s="35"/>
      <c r="IJ509" s="35"/>
      <c r="IK509" s="35"/>
      <c r="IL509" s="35"/>
      <c r="IM509" s="35"/>
      <c r="IN509" s="35"/>
      <c r="IO509" s="35"/>
      <c r="IP509" s="35"/>
      <c r="IQ509" s="35"/>
      <c r="IR509" s="35"/>
      <c r="IS509" s="35"/>
      <c r="IT509" s="35"/>
      <c r="IU509" s="35"/>
      <c r="IV509" s="35"/>
      <c r="IW509" s="35"/>
      <c r="IX509" s="35"/>
      <c r="IY509" s="35"/>
      <c r="IZ509" s="35"/>
      <c r="JA509" s="35"/>
      <c r="JB509" s="35"/>
      <c r="JC509" s="35"/>
      <c r="JD509" s="35"/>
      <c r="JE509" s="35"/>
    </row>
    <row r="510">
      <c r="A510" s="42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  <c r="AZ510" s="35"/>
      <c r="BA510" s="35"/>
      <c r="BB510" s="35"/>
      <c r="BC510" s="35"/>
      <c r="BD510" s="35"/>
      <c r="BE510" s="35"/>
      <c r="BF510" s="35"/>
      <c r="BG510" s="35"/>
      <c r="BH510" s="35"/>
      <c r="BI510" s="35"/>
      <c r="BJ510" s="35"/>
      <c r="BK510" s="35"/>
      <c r="BL510" s="35"/>
      <c r="BM510" s="35"/>
      <c r="BN510" s="35"/>
      <c r="BO510" s="35"/>
      <c r="BP510" s="35"/>
      <c r="BQ510" s="35"/>
      <c r="BR510" s="35"/>
      <c r="BS510" s="35"/>
      <c r="BT510" s="35"/>
      <c r="BU510" s="35"/>
      <c r="BV510" s="35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35"/>
      <c r="CO510" s="35"/>
      <c r="CP510" s="35"/>
      <c r="CQ510" s="35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35"/>
      <c r="DJ510" s="35"/>
      <c r="DK510" s="35"/>
      <c r="DL510" s="35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35"/>
      <c r="EE510" s="35"/>
      <c r="EF510" s="35"/>
      <c r="EG510" s="35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35"/>
      <c r="EZ510" s="35"/>
      <c r="FA510" s="35"/>
      <c r="FB510" s="35"/>
      <c r="FC510" s="35"/>
      <c r="FD510" s="35"/>
      <c r="FE510" s="35"/>
      <c r="FF510" s="35"/>
      <c r="FG510" s="35"/>
      <c r="FH510" s="35"/>
      <c r="FI510" s="35"/>
      <c r="FJ510" s="35"/>
      <c r="FK510" s="35"/>
      <c r="FL510" s="35"/>
      <c r="FM510" s="35"/>
      <c r="FN510" s="35"/>
      <c r="FO510" s="35"/>
      <c r="FP510" s="35"/>
      <c r="FQ510" s="35"/>
      <c r="FR510" s="35"/>
      <c r="FS510" s="35"/>
      <c r="FT510" s="35"/>
      <c r="FU510" s="35"/>
      <c r="FV510" s="35"/>
      <c r="FW510" s="35"/>
      <c r="FX510" s="35"/>
      <c r="FY510" s="35"/>
      <c r="FZ510" s="35"/>
      <c r="GA510" s="35"/>
      <c r="GB510" s="35"/>
      <c r="GC510" s="35"/>
      <c r="GD510" s="35"/>
      <c r="GE510" s="35"/>
      <c r="GF510" s="35"/>
      <c r="GG510" s="35"/>
      <c r="GH510" s="35"/>
      <c r="GI510" s="35"/>
      <c r="GJ510" s="35"/>
      <c r="GK510" s="35"/>
      <c r="GL510" s="35"/>
      <c r="GM510" s="35"/>
      <c r="GN510" s="35"/>
      <c r="GO510" s="35"/>
      <c r="GP510" s="35"/>
      <c r="GQ510" s="35"/>
      <c r="GR510" s="35"/>
      <c r="GS510" s="35"/>
      <c r="GT510" s="35"/>
      <c r="GU510" s="35"/>
      <c r="GV510" s="35"/>
      <c r="GW510" s="35"/>
      <c r="GX510" s="35"/>
      <c r="GY510" s="35"/>
      <c r="GZ510" s="35"/>
      <c r="HA510" s="35"/>
      <c r="HB510" s="35"/>
      <c r="HC510" s="35"/>
      <c r="HD510" s="35"/>
      <c r="HE510" s="35"/>
      <c r="HF510" s="35"/>
      <c r="HG510" s="35"/>
      <c r="HH510" s="35"/>
      <c r="HI510" s="35"/>
      <c r="HJ510" s="35"/>
      <c r="HK510" s="35"/>
      <c r="HL510" s="35"/>
      <c r="HM510" s="35"/>
      <c r="HN510" s="35"/>
      <c r="HO510" s="35"/>
      <c r="HP510" s="35"/>
      <c r="HQ510" s="35"/>
      <c r="HR510" s="35"/>
      <c r="HS510" s="35"/>
      <c r="HT510" s="35"/>
      <c r="HU510" s="35"/>
      <c r="HV510" s="35"/>
      <c r="HW510" s="35"/>
      <c r="HX510" s="35"/>
      <c r="HY510" s="35"/>
      <c r="HZ510" s="35"/>
      <c r="IA510" s="35"/>
      <c r="IB510" s="35"/>
      <c r="IC510" s="35"/>
      <c r="ID510" s="35"/>
      <c r="IE510" s="35"/>
      <c r="IF510" s="35"/>
      <c r="IG510" s="35"/>
      <c r="IH510" s="35"/>
      <c r="II510" s="35"/>
      <c r="IJ510" s="35"/>
      <c r="IK510" s="35"/>
      <c r="IL510" s="35"/>
      <c r="IM510" s="35"/>
      <c r="IN510" s="35"/>
      <c r="IO510" s="35"/>
      <c r="IP510" s="35"/>
      <c r="IQ510" s="35"/>
      <c r="IR510" s="35"/>
      <c r="IS510" s="35"/>
      <c r="IT510" s="35"/>
      <c r="IU510" s="35"/>
      <c r="IV510" s="35"/>
      <c r="IW510" s="35"/>
      <c r="IX510" s="35"/>
      <c r="IY510" s="35"/>
      <c r="IZ510" s="35"/>
      <c r="JA510" s="35"/>
      <c r="JB510" s="35"/>
      <c r="JC510" s="35"/>
      <c r="JD510" s="35"/>
      <c r="JE510" s="35"/>
    </row>
    <row r="511">
      <c r="A511" s="42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  <c r="AZ511" s="35"/>
      <c r="BA511" s="35"/>
      <c r="BB511" s="35"/>
      <c r="BC511" s="35"/>
      <c r="BD511" s="35"/>
      <c r="BE511" s="35"/>
      <c r="BF511" s="35"/>
      <c r="BG511" s="35"/>
      <c r="BH511" s="35"/>
      <c r="BI511" s="35"/>
      <c r="BJ511" s="35"/>
      <c r="BK511" s="35"/>
      <c r="BL511" s="35"/>
      <c r="BM511" s="35"/>
      <c r="BN511" s="35"/>
      <c r="BO511" s="35"/>
      <c r="BP511" s="35"/>
      <c r="BQ511" s="35"/>
      <c r="BR511" s="35"/>
      <c r="BS511" s="35"/>
      <c r="BT511" s="35"/>
      <c r="BU511" s="35"/>
      <c r="BV511" s="35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35"/>
      <c r="CO511" s="35"/>
      <c r="CP511" s="35"/>
      <c r="CQ511" s="35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35"/>
      <c r="DJ511" s="35"/>
      <c r="DK511" s="35"/>
      <c r="DL511" s="35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35"/>
      <c r="EE511" s="35"/>
      <c r="EF511" s="35"/>
      <c r="EG511" s="35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35"/>
      <c r="EZ511" s="35"/>
      <c r="FA511" s="35"/>
      <c r="FB511" s="35"/>
      <c r="FC511" s="35"/>
      <c r="FD511" s="35"/>
      <c r="FE511" s="35"/>
      <c r="FF511" s="35"/>
      <c r="FG511" s="35"/>
      <c r="FH511" s="35"/>
      <c r="FI511" s="35"/>
      <c r="FJ511" s="35"/>
      <c r="FK511" s="35"/>
      <c r="FL511" s="35"/>
      <c r="FM511" s="35"/>
      <c r="FN511" s="35"/>
      <c r="FO511" s="35"/>
      <c r="FP511" s="35"/>
      <c r="FQ511" s="35"/>
      <c r="FR511" s="35"/>
      <c r="FS511" s="35"/>
      <c r="FT511" s="35"/>
      <c r="FU511" s="35"/>
      <c r="FV511" s="35"/>
      <c r="FW511" s="35"/>
      <c r="FX511" s="35"/>
      <c r="FY511" s="35"/>
      <c r="FZ511" s="35"/>
      <c r="GA511" s="35"/>
      <c r="GB511" s="35"/>
      <c r="GC511" s="35"/>
      <c r="GD511" s="35"/>
      <c r="GE511" s="35"/>
      <c r="GF511" s="35"/>
      <c r="GG511" s="35"/>
      <c r="GH511" s="35"/>
      <c r="GI511" s="35"/>
      <c r="GJ511" s="35"/>
      <c r="GK511" s="35"/>
      <c r="GL511" s="35"/>
      <c r="GM511" s="35"/>
      <c r="GN511" s="35"/>
      <c r="GO511" s="35"/>
      <c r="GP511" s="35"/>
      <c r="GQ511" s="35"/>
      <c r="GR511" s="35"/>
      <c r="GS511" s="35"/>
      <c r="GT511" s="35"/>
      <c r="GU511" s="35"/>
      <c r="GV511" s="35"/>
      <c r="GW511" s="35"/>
      <c r="GX511" s="35"/>
      <c r="GY511" s="35"/>
      <c r="GZ511" s="35"/>
      <c r="HA511" s="35"/>
      <c r="HB511" s="35"/>
      <c r="HC511" s="35"/>
      <c r="HD511" s="35"/>
      <c r="HE511" s="35"/>
      <c r="HF511" s="35"/>
      <c r="HG511" s="35"/>
      <c r="HH511" s="35"/>
      <c r="HI511" s="35"/>
      <c r="HJ511" s="35"/>
      <c r="HK511" s="35"/>
      <c r="HL511" s="35"/>
      <c r="HM511" s="35"/>
      <c r="HN511" s="35"/>
      <c r="HO511" s="35"/>
      <c r="HP511" s="35"/>
      <c r="HQ511" s="35"/>
      <c r="HR511" s="35"/>
      <c r="HS511" s="35"/>
      <c r="HT511" s="35"/>
      <c r="HU511" s="35"/>
      <c r="HV511" s="35"/>
      <c r="HW511" s="35"/>
      <c r="HX511" s="35"/>
      <c r="HY511" s="35"/>
      <c r="HZ511" s="35"/>
      <c r="IA511" s="35"/>
      <c r="IB511" s="35"/>
      <c r="IC511" s="35"/>
      <c r="ID511" s="35"/>
      <c r="IE511" s="35"/>
      <c r="IF511" s="35"/>
      <c r="IG511" s="35"/>
      <c r="IH511" s="35"/>
      <c r="II511" s="35"/>
      <c r="IJ511" s="35"/>
      <c r="IK511" s="35"/>
      <c r="IL511" s="35"/>
      <c r="IM511" s="35"/>
      <c r="IN511" s="35"/>
      <c r="IO511" s="35"/>
      <c r="IP511" s="35"/>
      <c r="IQ511" s="35"/>
      <c r="IR511" s="35"/>
      <c r="IS511" s="35"/>
      <c r="IT511" s="35"/>
      <c r="IU511" s="35"/>
      <c r="IV511" s="35"/>
      <c r="IW511" s="35"/>
      <c r="IX511" s="35"/>
      <c r="IY511" s="35"/>
      <c r="IZ511" s="35"/>
      <c r="JA511" s="35"/>
      <c r="JB511" s="35"/>
      <c r="JC511" s="35"/>
      <c r="JD511" s="35"/>
      <c r="JE511" s="35"/>
    </row>
    <row r="512">
      <c r="A512" s="42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  <c r="AZ512" s="35"/>
      <c r="BA512" s="35"/>
      <c r="BB512" s="35"/>
      <c r="BC512" s="35"/>
      <c r="BD512" s="35"/>
      <c r="BE512" s="35"/>
      <c r="BF512" s="35"/>
      <c r="BG512" s="35"/>
      <c r="BH512" s="35"/>
      <c r="BI512" s="35"/>
      <c r="BJ512" s="35"/>
      <c r="BK512" s="35"/>
      <c r="BL512" s="35"/>
      <c r="BM512" s="35"/>
      <c r="BN512" s="35"/>
      <c r="BO512" s="35"/>
      <c r="BP512" s="35"/>
      <c r="BQ512" s="35"/>
      <c r="BR512" s="35"/>
      <c r="BS512" s="35"/>
      <c r="BT512" s="35"/>
      <c r="BU512" s="35"/>
      <c r="BV512" s="35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35"/>
      <c r="CO512" s="35"/>
      <c r="CP512" s="35"/>
      <c r="CQ512" s="35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35"/>
      <c r="DJ512" s="35"/>
      <c r="DK512" s="35"/>
      <c r="DL512" s="35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35"/>
      <c r="EE512" s="35"/>
      <c r="EF512" s="35"/>
      <c r="EG512" s="35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35"/>
      <c r="EZ512" s="35"/>
      <c r="FA512" s="35"/>
      <c r="FB512" s="35"/>
      <c r="FC512" s="35"/>
      <c r="FD512" s="35"/>
      <c r="FE512" s="35"/>
      <c r="FF512" s="35"/>
      <c r="FG512" s="35"/>
      <c r="FH512" s="35"/>
      <c r="FI512" s="35"/>
      <c r="FJ512" s="35"/>
      <c r="FK512" s="35"/>
      <c r="FL512" s="35"/>
      <c r="FM512" s="35"/>
      <c r="FN512" s="35"/>
      <c r="FO512" s="35"/>
      <c r="FP512" s="35"/>
      <c r="FQ512" s="35"/>
      <c r="FR512" s="35"/>
      <c r="FS512" s="35"/>
      <c r="FT512" s="35"/>
      <c r="FU512" s="35"/>
      <c r="FV512" s="35"/>
      <c r="FW512" s="35"/>
      <c r="FX512" s="35"/>
      <c r="FY512" s="35"/>
      <c r="FZ512" s="35"/>
      <c r="GA512" s="35"/>
      <c r="GB512" s="35"/>
      <c r="GC512" s="35"/>
      <c r="GD512" s="35"/>
      <c r="GE512" s="35"/>
      <c r="GF512" s="35"/>
      <c r="GG512" s="35"/>
      <c r="GH512" s="35"/>
      <c r="GI512" s="35"/>
      <c r="GJ512" s="35"/>
      <c r="GK512" s="35"/>
      <c r="GL512" s="35"/>
      <c r="GM512" s="35"/>
      <c r="GN512" s="35"/>
      <c r="GO512" s="35"/>
      <c r="GP512" s="35"/>
      <c r="GQ512" s="35"/>
      <c r="GR512" s="35"/>
      <c r="GS512" s="35"/>
      <c r="GT512" s="35"/>
      <c r="GU512" s="35"/>
      <c r="GV512" s="35"/>
      <c r="GW512" s="35"/>
      <c r="GX512" s="35"/>
      <c r="GY512" s="35"/>
      <c r="GZ512" s="35"/>
      <c r="HA512" s="35"/>
      <c r="HB512" s="35"/>
      <c r="HC512" s="35"/>
      <c r="HD512" s="35"/>
      <c r="HE512" s="35"/>
      <c r="HF512" s="35"/>
      <c r="HG512" s="35"/>
      <c r="HH512" s="35"/>
      <c r="HI512" s="35"/>
      <c r="HJ512" s="35"/>
      <c r="HK512" s="35"/>
      <c r="HL512" s="35"/>
      <c r="HM512" s="35"/>
      <c r="HN512" s="35"/>
      <c r="HO512" s="35"/>
      <c r="HP512" s="35"/>
      <c r="HQ512" s="35"/>
      <c r="HR512" s="35"/>
      <c r="HS512" s="35"/>
      <c r="HT512" s="35"/>
      <c r="HU512" s="35"/>
      <c r="HV512" s="35"/>
      <c r="HW512" s="35"/>
      <c r="HX512" s="35"/>
      <c r="HY512" s="35"/>
      <c r="HZ512" s="35"/>
      <c r="IA512" s="35"/>
      <c r="IB512" s="35"/>
      <c r="IC512" s="35"/>
      <c r="ID512" s="35"/>
      <c r="IE512" s="35"/>
      <c r="IF512" s="35"/>
      <c r="IG512" s="35"/>
      <c r="IH512" s="35"/>
      <c r="II512" s="35"/>
      <c r="IJ512" s="35"/>
      <c r="IK512" s="35"/>
      <c r="IL512" s="35"/>
      <c r="IM512" s="35"/>
      <c r="IN512" s="35"/>
      <c r="IO512" s="35"/>
      <c r="IP512" s="35"/>
      <c r="IQ512" s="35"/>
      <c r="IR512" s="35"/>
      <c r="IS512" s="35"/>
      <c r="IT512" s="35"/>
      <c r="IU512" s="35"/>
      <c r="IV512" s="35"/>
      <c r="IW512" s="35"/>
      <c r="IX512" s="35"/>
      <c r="IY512" s="35"/>
      <c r="IZ512" s="35"/>
      <c r="JA512" s="35"/>
      <c r="JB512" s="35"/>
      <c r="JC512" s="35"/>
      <c r="JD512" s="35"/>
      <c r="JE512" s="35"/>
    </row>
    <row r="513">
      <c r="A513" s="42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  <c r="AZ513" s="35"/>
      <c r="BA513" s="35"/>
      <c r="BB513" s="35"/>
      <c r="BC513" s="35"/>
      <c r="BD513" s="35"/>
      <c r="BE513" s="35"/>
      <c r="BF513" s="35"/>
      <c r="BG513" s="35"/>
      <c r="BH513" s="35"/>
      <c r="BI513" s="35"/>
      <c r="BJ513" s="35"/>
      <c r="BK513" s="35"/>
      <c r="BL513" s="35"/>
      <c r="BM513" s="35"/>
      <c r="BN513" s="35"/>
      <c r="BO513" s="35"/>
      <c r="BP513" s="35"/>
      <c r="BQ513" s="35"/>
      <c r="BR513" s="35"/>
      <c r="BS513" s="35"/>
      <c r="BT513" s="35"/>
      <c r="BU513" s="35"/>
      <c r="BV513" s="35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35"/>
      <c r="CO513" s="35"/>
      <c r="CP513" s="35"/>
      <c r="CQ513" s="35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35"/>
      <c r="DJ513" s="35"/>
      <c r="DK513" s="35"/>
      <c r="DL513" s="35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35"/>
      <c r="EE513" s="35"/>
      <c r="EF513" s="35"/>
      <c r="EG513" s="35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35"/>
      <c r="EZ513" s="35"/>
      <c r="FA513" s="35"/>
      <c r="FB513" s="35"/>
      <c r="FC513" s="35"/>
      <c r="FD513" s="35"/>
      <c r="FE513" s="35"/>
      <c r="FF513" s="35"/>
      <c r="FG513" s="35"/>
      <c r="FH513" s="35"/>
      <c r="FI513" s="35"/>
      <c r="FJ513" s="35"/>
      <c r="FK513" s="35"/>
      <c r="FL513" s="35"/>
      <c r="FM513" s="35"/>
      <c r="FN513" s="35"/>
      <c r="FO513" s="35"/>
      <c r="FP513" s="35"/>
      <c r="FQ513" s="35"/>
      <c r="FR513" s="35"/>
      <c r="FS513" s="35"/>
      <c r="FT513" s="35"/>
      <c r="FU513" s="35"/>
      <c r="FV513" s="35"/>
      <c r="FW513" s="35"/>
      <c r="FX513" s="35"/>
      <c r="FY513" s="35"/>
      <c r="FZ513" s="35"/>
      <c r="GA513" s="35"/>
      <c r="GB513" s="35"/>
      <c r="GC513" s="35"/>
      <c r="GD513" s="35"/>
      <c r="GE513" s="35"/>
      <c r="GF513" s="35"/>
      <c r="GG513" s="35"/>
      <c r="GH513" s="35"/>
      <c r="GI513" s="35"/>
      <c r="GJ513" s="35"/>
      <c r="GK513" s="35"/>
      <c r="GL513" s="35"/>
      <c r="GM513" s="35"/>
      <c r="GN513" s="35"/>
      <c r="GO513" s="35"/>
      <c r="GP513" s="35"/>
      <c r="GQ513" s="35"/>
      <c r="GR513" s="35"/>
      <c r="GS513" s="35"/>
      <c r="GT513" s="35"/>
      <c r="GU513" s="35"/>
      <c r="GV513" s="35"/>
      <c r="GW513" s="35"/>
      <c r="GX513" s="35"/>
      <c r="GY513" s="35"/>
      <c r="GZ513" s="35"/>
      <c r="HA513" s="35"/>
      <c r="HB513" s="35"/>
      <c r="HC513" s="35"/>
      <c r="HD513" s="35"/>
      <c r="HE513" s="35"/>
      <c r="HF513" s="35"/>
      <c r="HG513" s="35"/>
      <c r="HH513" s="35"/>
      <c r="HI513" s="35"/>
      <c r="HJ513" s="35"/>
      <c r="HK513" s="35"/>
      <c r="HL513" s="35"/>
      <c r="HM513" s="35"/>
      <c r="HN513" s="35"/>
      <c r="HO513" s="35"/>
      <c r="HP513" s="35"/>
      <c r="HQ513" s="35"/>
      <c r="HR513" s="35"/>
      <c r="HS513" s="35"/>
      <c r="HT513" s="35"/>
      <c r="HU513" s="35"/>
      <c r="HV513" s="35"/>
      <c r="HW513" s="35"/>
      <c r="HX513" s="35"/>
      <c r="HY513" s="35"/>
      <c r="HZ513" s="35"/>
      <c r="IA513" s="35"/>
      <c r="IB513" s="35"/>
      <c r="IC513" s="35"/>
      <c r="ID513" s="35"/>
      <c r="IE513" s="35"/>
      <c r="IF513" s="35"/>
      <c r="IG513" s="35"/>
      <c r="IH513" s="35"/>
      <c r="II513" s="35"/>
      <c r="IJ513" s="35"/>
      <c r="IK513" s="35"/>
      <c r="IL513" s="35"/>
      <c r="IM513" s="35"/>
      <c r="IN513" s="35"/>
      <c r="IO513" s="35"/>
      <c r="IP513" s="35"/>
      <c r="IQ513" s="35"/>
      <c r="IR513" s="35"/>
      <c r="IS513" s="35"/>
      <c r="IT513" s="35"/>
      <c r="IU513" s="35"/>
      <c r="IV513" s="35"/>
      <c r="IW513" s="35"/>
      <c r="IX513" s="35"/>
      <c r="IY513" s="35"/>
      <c r="IZ513" s="35"/>
      <c r="JA513" s="35"/>
      <c r="JB513" s="35"/>
      <c r="JC513" s="35"/>
      <c r="JD513" s="35"/>
      <c r="JE513" s="35"/>
    </row>
    <row r="514">
      <c r="A514" s="42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  <c r="AZ514" s="35"/>
      <c r="BA514" s="35"/>
      <c r="BB514" s="35"/>
      <c r="BC514" s="35"/>
      <c r="BD514" s="35"/>
      <c r="BE514" s="35"/>
      <c r="BF514" s="35"/>
      <c r="BG514" s="35"/>
      <c r="BH514" s="35"/>
      <c r="BI514" s="35"/>
      <c r="BJ514" s="35"/>
      <c r="BK514" s="35"/>
      <c r="BL514" s="35"/>
      <c r="BM514" s="35"/>
      <c r="BN514" s="35"/>
      <c r="BO514" s="35"/>
      <c r="BP514" s="35"/>
      <c r="BQ514" s="35"/>
      <c r="BR514" s="35"/>
      <c r="BS514" s="35"/>
      <c r="BT514" s="35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35"/>
      <c r="CO514" s="35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35"/>
      <c r="DJ514" s="35"/>
      <c r="DK514" s="35"/>
      <c r="DL514" s="35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35"/>
      <c r="EE514" s="35"/>
      <c r="EF514" s="35"/>
      <c r="EG514" s="35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35"/>
      <c r="EZ514" s="35"/>
      <c r="FA514" s="35"/>
      <c r="FB514" s="35"/>
      <c r="FC514" s="35"/>
      <c r="FD514" s="35"/>
      <c r="FE514" s="35"/>
      <c r="FF514" s="35"/>
      <c r="FG514" s="35"/>
      <c r="FH514" s="35"/>
      <c r="FI514" s="35"/>
      <c r="FJ514" s="35"/>
      <c r="FK514" s="35"/>
      <c r="FL514" s="35"/>
      <c r="FM514" s="35"/>
      <c r="FN514" s="35"/>
      <c r="FO514" s="35"/>
      <c r="FP514" s="35"/>
      <c r="FQ514" s="35"/>
      <c r="FR514" s="35"/>
      <c r="FS514" s="35"/>
      <c r="FT514" s="35"/>
      <c r="FU514" s="35"/>
      <c r="FV514" s="35"/>
      <c r="FW514" s="35"/>
      <c r="FX514" s="35"/>
      <c r="FY514" s="35"/>
      <c r="FZ514" s="35"/>
      <c r="GA514" s="35"/>
      <c r="GB514" s="35"/>
      <c r="GC514" s="35"/>
      <c r="GD514" s="35"/>
      <c r="GE514" s="35"/>
      <c r="GF514" s="35"/>
      <c r="GG514" s="35"/>
      <c r="GH514" s="35"/>
      <c r="GI514" s="35"/>
      <c r="GJ514" s="35"/>
      <c r="GK514" s="35"/>
      <c r="GL514" s="35"/>
      <c r="GM514" s="35"/>
      <c r="GN514" s="35"/>
      <c r="GO514" s="35"/>
      <c r="GP514" s="35"/>
      <c r="GQ514" s="35"/>
      <c r="GR514" s="35"/>
      <c r="GS514" s="35"/>
      <c r="GT514" s="35"/>
      <c r="GU514" s="35"/>
      <c r="GV514" s="35"/>
      <c r="GW514" s="35"/>
      <c r="GX514" s="35"/>
      <c r="GY514" s="35"/>
      <c r="GZ514" s="35"/>
      <c r="HA514" s="35"/>
      <c r="HB514" s="35"/>
      <c r="HC514" s="35"/>
      <c r="HD514" s="35"/>
      <c r="HE514" s="35"/>
      <c r="HF514" s="35"/>
      <c r="HG514" s="35"/>
      <c r="HH514" s="35"/>
      <c r="HI514" s="35"/>
      <c r="HJ514" s="35"/>
      <c r="HK514" s="35"/>
      <c r="HL514" s="35"/>
      <c r="HM514" s="35"/>
      <c r="HN514" s="35"/>
      <c r="HO514" s="35"/>
      <c r="HP514" s="35"/>
      <c r="HQ514" s="35"/>
      <c r="HR514" s="35"/>
      <c r="HS514" s="35"/>
      <c r="HT514" s="35"/>
      <c r="HU514" s="35"/>
      <c r="HV514" s="35"/>
      <c r="HW514" s="35"/>
      <c r="HX514" s="35"/>
      <c r="HY514" s="35"/>
      <c r="HZ514" s="35"/>
      <c r="IA514" s="35"/>
      <c r="IB514" s="35"/>
      <c r="IC514" s="35"/>
      <c r="ID514" s="35"/>
      <c r="IE514" s="35"/>
      <c r="IF514" s="35"/>
      <c r="IG514" s="35"/>
      <c r="IH514" s="35"/>
      <c r="II514" s="35"/>
      <c r="IJ514" s="35"/>
      <c r="IK514" s="35"/>
      <c r="IL514" s="35"/>
      <c r="IM514" s="35"/>
      <c r="IN514" s="35"/>
      <c r="IO514" s="35"/>
      <c r="IP514" s="35"/>
      <c r="IQ514" s="35"/>
      <c r="IR514" s="35"/>
      <c r="IS514" s="35"/>
      <c r="IT514" s="35"/>
      <c r="IU514" s="35"/>
      <c r="IV514" s="35"/>
      <c r="IW514" s="35"/>
      <c r="IX514" s="35"/>
      <c r="IY514" s="35"/>
      <c r="IZ514" s="35"/>
      <c r="JA514" s="35"/>
      <c r="JB514" s="35"/>
      <c r="JC514" s="35"/>
      <c r="JD514" s="35"/>
      <c r="JE514" s="35"/>
    </row>
    <row r="515">
      <c r="A515" s="42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  <c r="AZ515" s="35"/>
      <c r="BA515" s="35"/>
      <c r="BB515" s="35"/>
      <c r="BC515" s="35"/>
      <c r="BD515" s="35"/>
      <c r="BE515" s="35"/>
      <c r="BF515" s="35"/>
      <c r="BG515" s="35"/>
      <c r="BH515" s="35"/>
      <c r="BI515" s="35"/>
      <c r="BJ515" s="35"/>
      <c r="BK515" s="35"/>
      <c r="BL515" s="35"/>
      <c r="BM515" s="35"/>
      <c r="BN515" s="35"/>
      <c r="BO515" s="35"/>
      <c r="BP515" s="35"/>
      <c r="BQ515" s="35"/>
      <c r="BR515" s="35"/>
      <c r="BS515" s="35"/>
      <c r="BT515" s="35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35"/>
      <c r="CO515" s="35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35"/>
      <c r="DJ515" s="35"/>
      <c r="DK515" s="35"/>
      <c r="DL515" s="35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35"/>
      <c r="EE515" s="35"/>
      <c r="EF515" s="35"/>
      <c r="EG515" s="35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35"/>
      <c r="EZ515" s="35"/>
      <c r="FA515" s="35"/>
      <c r="FB515" s="35"/>
      <c r="FC515" s="35"/>
      <c r="FD515" s="35"/>
      <c r="FE515" s="35"/>
      <c r="FF515" s="35"/>
      <c r="FG515" s="35"/>
      <c r="FH515" s="35"/>
      <c r="FI515" s="35"/>
      <c r="FJ515" s="35"/>
      <c r="FK515" s="35"/>
      <c r="FL515" s="35"/>
      <c r="FM515" s="35"/>
      <c r="FN515" s="35"/>
      <c r="FO515" s="35"/>
      <c r="FP515" s="35"/>
      <c r="FQ515" s="35"/>
      <c r="FR515" s="35"/>
      <c r="FS515" s="35"/>
      <c r="FT515" s="35"/>
      <c r="FU515" s="35"/>
      <c r="FV515" s="35"/>
      <c r="FW515" s="35"/>
      <c r="FX515" s="35"/>
      <c r="FY515" s="35"/>
      <c r="FZ515" s="35"/>
      <c r="GA515" s="35"/>
      <c r="GB515" s="35"/>
      <c r="GC515" s="35"/>
      <c r="GD515" s="35"/>
      <c r="GE515" s="35"/>
      <c r="GF515" s="35"/>
      <c r="GG515" s="35"/>
      <c r="GH515" s="35"/>
      <c r="GI515" s="35"/>
      <c r="GJ515" s="35"/>
      <c r="GK515" s="35"/>
      <c r="GL515" s="35"/>
      <c r="GM515" s="35"/>
      <c r="GN515" s="35"/>
      <c r="GO515" s="35"/>
      <c r="GP515" s="35"/>
      <c r="GQ515" s="35"/>
      <c r="GR515" s="35"/>
      <c r="GS515" s="35"/>
      <c r="GT515" s="35"/>
      <c r="GU515" s="35"/>
      <c r="GV515" s="35"/>
      <c r="GW515" s="35"/>
      <c r="GX515" s="35"/>
      <c r="GY515" s="35"/>
      <c r="GZ515" s="35"/>
      <c r="HA515" s="35"/>
      <c r="HB515" s="35"/>
      <c r="HC515" s="35"/>
      <c r="HD515" s="35"/>
      <c r="HE515" s="35"/>
      <c r="HF515" s="35"/>
      <c r="HG515" s="35"/>
      <c r="HH515" s="35"/>
      <c r="HI515" s="35"/>
      <c r="HJ515" s="35"/>
      <c r="HK515" s="35"/>
      <c r="HL515" s="35"/>
      <c r="HM515" s="35"/>
      <c r="HN515" s="35"/>
      <c r="HO515" s="35"/>
      <c r="HP515" s="35"/>
      <c r="HQ515" s="35"/>
      <c r="HR515" s="35"/>
      <c r="HS515" s="35"/>
      <c r="HT515" s="35"/>
      <c r="HU515" s="35"/>
      <c r="HV515" s="35"/>
      <c r="HW515" s="35"/>
      <c r="HX515" s="35"/>
      <c r="HY515" s="35"/>
      <c r="HZ515" s="35"/>
      <c r="IA515" s="35"/>
      <c r="IB515" s="35"/>
      <c r="IC515" s="35"/>
      <c r="ID515" s="35"/>
      <c r="IE515" s="35"/>
      <c r="IF515" s="35"/>
      <c r="IG515" s="35"/>
      <c r="IH515" s="35"/>
      <c r="II515" s="35"/>
      <c r="IJ515" s="35"/>
      <c r="IK515" s="35"/>
      <c r="IL515" s="35"/>
      <c r="IM515" s="35"/>
      <c r="IN515" s="35"/>
      <c r="IO515" s="35"/>
      <c r="IP515" s="35"/>
      <c r="IQ515" s="35"/>
      <c r="IR515" s="35"/>
      <c r="IS515" s="35"/>
      <c r="IT515" s="35"/>
      <c r="IU515" s="35"/>
      <c r="IV515" s="35"/>
      <c r="IW515" s="35"/>
      <c r="IX515" s="35"/>
      <c r="IY515" s="35"/>
      <c r="IZ515" s="35"/>
      <c r="JA515" s="35"/>
      <c r="JB515" s="35"/>
      <c r="JC515" s="35"/>
      <c r="JD515" s="35"/>
      <c r="JE515" s="35"/>
    </row>
    <row r="516">
      <c r="A516" s="42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  <c r="AZ516" s="35"/>
      <c r="BA516" s="35"/>
      <c r="BB516" s="35"/>
      <c r="BC516" s="35"/>
      <c r="BD516" s="35"/>
      <c r="BE516" s="35"/>
      <c r="BF516" s="35"/>
      <c r="BG516" s="35"/>
      <c r="BH516" s="35"/>
      <c r="BI516" s="35"/>
      <c r="BJ516" s="35"/>
      <c r="BK516" s="35"/>
      <c r="BL516" s="35"/>
      <c r="BM516" s="35"/>
      <c r="BN516" s="35"/>
      <c r="BO516" s="35"/>
      <c r="BP516" s="35"/>
      <c r="BQ516" s="35"/>
      <c r="BR516" s="35"/>
      <c r="BS516" s="35"/>
      <c r="BT516" s="35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35"/>
      <c r="CO516" s="35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35"/>
      <c r="DJ516" s="35"/>
      <c r="DK516" s="35"/>
      <c r="DL516" s="35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35"/>
      <c r="EE516" s="35"/>
      <c r="EF516" s="35"/>
      <c r="EG516" s="35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35"/>
      <c r="EZ516" s="35"/>
      <c r="FA516" s="35"/>
      <c r="FB516" s="35"/>
      <c r="FC516" s="35"/>
      <c r="FD516" s="35"/>
      <c r="FE516" s="35"/>
      <c r="FF516" s="35"/>
      <c r="FG516" s="35"/>
      <c r="FH516" s="35"/>
      <c r="FI516" s="35"/>
      <c r="FJ516" s="35"/>
      <c r="FK516" s="35"/>
      <c r="FL516" s="35"/>
      <c r="FM516" s="35"/>
      <c r="FN516" s="35"/>
      <c r="FO516" s="35"/>
      <c r="FP516" s="35"/>
      <c r="FQ516" s="35"/>
      <c r="FR516" s="35"/>
      <c r="FS516" s="35"/>
      <c r="FT516" s="35"/>
      <c r="FU516" s="35"/>
      <c r="FV516" s="35"/>
      <c r="FW516" s="35"/>
      <c r="FX516" s="35"/>
      <c r="FY516" s="35"/>
      <c r="FZ516" s="35"/>
      <c r="GA516" s="35"/>
      <c r="GB516" s="35"/>
      <c r="GC516" s="35"/>
      <c r="GD516" s="35"/>
      <c r="GE516" s="35"/>
      <c r="GF516" s="35"/>
      <c r="GG516" s="35"/>
      <c r="GH516" s="35"/>
      <c r="GI516" s="35"/>
      <c r="GJ516" s="35"/>
      <c r="GK516" s="35"/>
      <c r="GL516" s="35"/>
      <c r="GM516" s="35"/>
      <c r="GN516" s="35"/>
      <c r="GO516" s="35"/>
      <c r="GP516" s="35"/>
      <c r="GQ516" s="35"/>
      <c r="GR516" s="35"/>
      <c r="GS516" s="35"/>
      <c r="GT516" s="35"/>
      <c r="GU516" s="35"/>
      <c r="GV516" s="35"/>
      <c r="GW516" s="35"/>
      <c r="GX516" s="35"/>
      <c r="GY516" s="35"/>
      <c r="GZ516" s="35"/>
      <c r="HA516" s="35"/>
      <c r="HB516" s="35"/>
      <c r="HC516" s="35"/>
      <c r="HD516" s="35"/>
      <c r="HE516" s="35"/>
      <c r="HF516" s="35"/>
      <c r="HG516" s="35"/>
      <c r="HH516" s="35"/>
      <c r="HI516" s="35"/>
      <c r="HJ516" s="35"/>
      <c r="HK516" s="35"/>
      <c r="HL516" s="35"/>
      <c r="HM516" s="35"/>
      <c r="HN516" s="35"/>
      <c r="HO516" s="35"/>
      <c r="HP516" s="35"/>
      <c r="HQ516" s="35"/>
      <c r="HR516" s="35"/>
      <c r="HS516" s="35"/>
      <c r="HT516" s="35"/>
      <c r="HU516" s="35"/>
      <c r="HV516" s="35"/>
      <c r="HW516" s="35"/>
      <c r="HX516" s="35"/>
      <c r="HY516" s="35"/>
      <c r="HZ516" s="35"/>
      <c r="IA516" s="35"/>
      <c r="IB516" s="35"/>
      <c r="IC516" s="35"/>
      <c r="ID516" s="35"/>
      <c r="IE516" s="35"/>
      <c r="IF516" s="35"/>
      <c r="IG516" s="35"/>
      <c r="IH516" s="35"/>
      <c r="II516" s="35"/>
      <c r="IJ516" s="35"/>
      <c r="IK516" s="35"/>
      <c r="IL516" s="35"/>
      <c r="IM516" s="35"/>
      <c r="IN516" s="35"/>
      <c r="IO516" s="35"/>
      <c r="IP516" s="35"/>
      <c r="IQ516" s="35"/>
      <c r="IR516" s="35"/>
      <c r="IS516" s="35"/>
      <c r="IT516" s="35"/>
      <c r="IU516" s="35"/>
      <c r="IV516" s="35"/>
      <c r="IW516" s="35"/>
      <c r="IX516" s="35"/>
      <c r="IY516" s="35"/>
      <c r="IZ516" s="35"/>
      <c r="JA516" s="35"/>
      <c r="JB516" s="35"/>
      <c r="JC516" s="35"/>
      <c r="JD516" s="35"/>
      <c r="JE516" s="35"/>
    </row>
    <row r="517">
      <c r="A517" s="42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35"/>
      <c r="BA517" s="35"/>
      <c r="BB517" s="35"/>
      <c r="BC517" s="35"/>
      <c r="BD517" s="35"/>
      <c r="BE517" s="35"/>
      <c r="BF517" s="35"/>
      <c r="BG517" s="35"/>
      <c r="BH517" s="35"/>
      <c r="BI517" s="35"/>
      <c r="BJ517" s="35"/>
      <c r="BK517" s="35"/>
      <c r="BL517" s="35"/>
      <c r="BM517" s="35"/>
      <c r="BN517" s="35"/>
      <c r="BO517" s="35"/>
      <c r="BP517" s="35"/>
      <c r="BQ517" s="35"/>
      <c r="BR517" s="35"/>
      <c r="BS517" s="35"/>
      <c r="BT517" s="35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35"/>
      <c r="CO517" s="35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35"/>
      <c r="DJ517" s="35"/>
      <c r="DK517" s="35"/>
      <c r="DL517" s="35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35"/>
      <c r="EE517" s="35"/>
      <c r="EF517" s="35"/>
      <c r="EG517" s="35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35"/>
      <c r="EZ517" s="35"/>
      <c r="FA517" s="35"/>
      <c r="FB517" s="35"/>
      <c r="FC517" s="35"/>
      <c r="FD517" s="35"/>
      <c r="FE517" s="35"/>
      <c r="FF517" s="35"/>
      <c r="FG517" s="35"/>
      <c r="FH517" s="35"/>
      <c r="FI517" s="35"/>
      <c r="FJ517" s="35"/>
      <c r="FK517" s="35"/>
      <c r="FL517" s="35"/>
      <c r="FM517" s="35"/>
      <c r="FN517" s="35"/>
      <c r="FO517" s="35"/>
      <c r="FP517" s="35"/>
      <c r="FQ517" s="35"/>
      <c r="FR517" s="35"/>
      <c r="FS517" s="35"/>
      <c r="FT517" s="35"/>
      <c r="FU517" s="35"/>
      <c r="FV517" s="35"/>
      <c r="FW517" s="35"/>
      <c r="FX517" s="35"/>
      <c r="FY517" s="35"/>
      <c r="FZ517" s="35"/>
      <c r="GA517" s="35"/>
      <c r="GB517" s="35"/>
      <c r="GC517" s="35"/>
      <c r="GD517" s="35"/>
      <c r="GE517" s="35"/>
      <c r="GF517" s="35"/>
      <c r="GG517" s="35"/>
      <c r="GH517" s="35"/>
      <c r="GI517" s="35"/>
      <c r="GJ517" s="35"/>
      <c r="GK517" s="35"/>
      <c r="GL517" s="35"/>
      <c r="GM517" s="35"/>
      <c r="GN517" s="35"/>
      <c r="GO517" s="35"/>
      <c r="GP517" s="35"/>
      <c r="GQ517" s="35"/>
      <c r="GR517" s="35"/>
      <c r="GS517" s="35"/>
      <c r="GT517" s="35"/>
      <c r="GU517" s="35"/>
      <c r="GV517" s="35"/>
      <c r="GW517" s="35"/>
      <c r="GX517" s="35"/>
      <c r="GY517" s="35"/>
      <c r="GZ517" s="35"/>
      <c r="HA517" s="35"/>
      <c r="HB517" s="35"/>
      <c r="HC517" s="35"/>
      <c r="HD517" s="35"/>
      <c r="HE517" s="35"/>
      <c r="HF517" s="35"/>
      <c r="HG517" s="35"/>
      <c r="HH517" s="35"/>
      <c r="HI517" s="35"/>
      <c r="HJ517" s="35"/>
      <c r="HK517" s="35"/>
      <c r="HL517" s="35"/>
      <c r="HM517" s="35"/>
      <c r="HN517" s="35"/>
      <c r="HO517" s="35"/>
      <c r="HP517" s="35"/>
      <c r="HQ517" s="35"/>
      <c r="HR517" s="35"/>
      <c r="HS517" s="35"/>
      <c r="HT517" s="35"/>
      <c r="HU517" s="35"/>
      <c r="HV517" s="35"/>
      <c r="HW517" s="35"/>
      <c r="HX517" s="35"/>
      <c r="HY517" s="35"/>
      <c r="HZ517" s="35"/>
      <c r="IA517" s="35"/>
      <c r="IB517" s="35"/>
      <c r="IC517" s="35"/>
      <c r="ID517" s="35"/>
      <c r="IE517" s="35"/>
      <c r="IF517" s="35"/>
      <c r="IG517" s="35"/>
      <c r="IH517" s="35"/>
      <c r="II517" s="35"/>
      <c r="IJ517" s="35"/>
      <c r="IK517" s="35"/>
      <c r="IL517" s="35"/>
      <c r="IM517" s="35"/>
      <c r="IN517" s="35"/>
      <c r="IO517" s="35"/>
      <c r="IP517" s="35"/>
      <c r="IQ517" s="35"/>
      <c r="IR517" s="35"/>
      <c r="IS517" s="35"/>
      <c r="IT517" s="35"/>
      <c r="IU517" s="35"/>
      <c r="IV517" s="35"/>
      <c r="IW517" s="35"/>
      <c r="IX517" s="35"/>
      <c r="IY517" s="35"/>
      <c r="IZ517" s="35"/>
      <c r="JA517" s="35"/>
      <c r="JB517" s="35"/>
      <c r="JC517" s="35"/>
      <c r="JD517" s="35"/>
      <c r="JE517" s="35"/>
    </row>
    <row r="518">
      <c r="A518" s="42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  <c r="AZ518" s="35"/>
      <c r="BA518" s="35"/>
      <c r="BB518" s="35"/>
      <c r="BC518" s="35"/>
      <c r="BD518" s="35"/>
      <c r="BE518" s="35"/>
      <c r="BF518" s="35"/>
      <c r="BG518" s="35"/>
      <c r="BH518" s="35"/>
      <c r="BI518" s="35"/>
      <c r="BJ518" s="35"/>
      <c r="BK518" s="35"/>
      <c r="BL518" s="35"/>
      <c r="BM518" s="35"/>
      <c r="BN518" s="35"/>
      <c r="BO518" s="35"/>
      <c r="BP518" s="35"/>
      <c r="BQ518" s="35"/>
      <c r="BR518" s="35"/>
      <c r="BS518" s="35"/>
      <c r="BT518" s="35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35"/>
      <c r="CO518" s="35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35"/>
      <c r="DJ518" s="35"/>
      <c r="DK518" s="35"/>
      <c r="DL518" s="35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35"/>
      <c r="EE518" s="35"/>
      <c r="EF518" s="35"/>
      <c r="EG518" s="35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35"/>
      <c r="EZ518" s="35"/>
      <c r="FA518" s="35"/>
      <c r="FB518" s="35"/>
      <c r="FC518" s="35"/>
      <c r="FD518" s="35"/>
      <c r="FE518" s="35"/>
      <c r="FF518" s="35"/>
      <c r="FG518" s="35"/>
      <c r="FH518" s="35"/>
      <c r="FI518" s="35"/>
      <c r="FJ518" s="35"/>
      <c r="FK518" s="35"/>
      <c r="FL518" s="35"/>
      <c r="FM518" s="35"/>
      <c r="FN518" s="35"/>
      <c r="FO518" s="35"/>
      <c r="FP518" s="35"/>
      <c r="FQ518" s="35"/>
      <c r="FR518" s="35"/>
      <c r="FS518" s="35"/>
      <c r="FT518" s="35"/>
      <c r="FU518" s="35"/>
      <c r="FV518" s="35"/>
      <c r="FW518" s="35"/>
      <c r="FX518" s="35"/>
      <c r="FY518" s="35"/>
      <c r="FZ518" s="35"/>
      <c r="GA518" s="35"/>
      <c r="GB518" s="35"/>
      <c r="GC518" s="35"/>
      <c r="GD518" s="35"/>
      <c r="GE518" s="35"/>
      <c r="GF518" s="35"/>
      <c r="GG518" s="35"/>
      <c r="GH518" s="35"/>
      <c r="GI518" s="35"/>
      <c r="GJ518" s="35"/>
      <c r="GK518" s="35"/>
      <c r="GL518" s="35"/>
      <c r="GM518" s="35"/>
      <c r="GN518" s="35"/>
      <c r="GO518" s="35"/>
      <c r="GP518" s="35"/>
      <c r="GQ518" s="35"/>
      <c r="GR518" s="35"/>
      <c r="GS518" s="35"/>
      <c r="GT518" s="35"/>
      <c r="GU518" s="35"/>
      <c r="GV518" s="35"/>
      <c r="GW518" s="35"/>
      <c r="GX518" s="35"/>
      <c r="GY518" s="35"/>
      <c r="GZ518" s="35"/>
      <c r="HA518" s="35"/>
      <c r="HB518" s="35"/>
      <c r="HC518" s="35"/>
      <c r="HD518" s="35"/>
      <c r="HE518" s="35"/>
      <c r="HF518" s="35"/>
      <c r="HG518" s="35"/>
      <c r="HH518" s="35"/>
      <c r="HI518" s="35"/>
      <c r="HJ518" s="35"/>
      <c r="HK518" s="35"/>
      <c r="HL518" s="35"/>
      <c r="HM518" s="35"/>
      <c r="HN518" s="35"/>
      <c r="HO518" s="35"/>
      <c r="HP518" s="35"/>
      <c r="HQ518" s="35"/>
      <c r="HR518" s="35"/>
      <c r="HS518" s="35"/>
      <c r="HT518" s="35"/>
      <c r="HU518" s="35"/>
      <c r="HV518" s="35"/>
      <c r="HW518" s="35"/>
      <c r="HX518" s="35"/>
      <c r="HY518" s="35"/>
      <c r="HZ518" s="35"/>
      <c r="IA518" s="35"/>
      <c r="IB518" s="35"/>
      <c r="IC518" s="35"/>
      <c r="ID518" s="35"/>
      <c r="IE518" s="35"/>
      <c r="IF518" s="35"/>
      <c r="IG518" s="35"/>
      <c r="IH518" s="35"/>
      <c r="II518" s="35"/>
      <c r="IJ518" s="35"/>
      <c r="IK518" s="35"/>
      <c r="IL518" s="35"/>
      <c r="IM518" s="35"/>
      <c r="IN518" s="35"/>
      <c r="IO518" s="35"/>
      <c r="IP518" s="35"/>
      <c r="IQ518" s="35"/>
      <c r="IR518" s="35"/>
      <c r="IS518" s="35"/>
      <c r="IT518" s="35"/>
      <c r="IU518" s="35"/>
      <c r="IV518" s="35"/>
      <c r="IW518" s="35"/>
      <c r="IX518" s="35"/>
      <c r="IY518" s="35"/>
      <c r="IZ518" s="35"/>
      <c r="JA518" s="35"/>
      <c r="JB518" s="35"/>
      <c r="JC518" s="35"/>
      <c r="JD518" s="35"/>
      <c r="JE518" s="35"/>
    </row>
    <row r="519">
      <c r="A519" s="42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35"/>
      <c r="BA519" s="35"/>
      <c r="BB519" s="35"/>
      <c r="BC519" s="35"/>
      <c r="BD519" s="35"/>
      <c r="BE519" s="35"/>
      <c r="BF519" s="35"/>
      <c r="BG519" s="35"/>
      <c r="BH519" s="35"/>
      <c r="BI519" s="35"/>
      <c r="BJ519" s="35"/>
      <c r="BK519" s="35"/>
      <c r="BL519" s="35"/>
      <c r="BM519" s="35"/>
      <c r="BN519" s="35"/>
      <c r="BO519" s="35"/>
      <c r="BP519" s="35"/>
      <c r="BQ519" s="35"/>
      <c r="BR519" s="35"/>
      <c r="BS519" s="35"/>
      <c r="BT519" s="35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35"/>
      <c r="CO519" s="35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35"/>
      <c r="DJ519" s="35"/>
      <c r="DK519" s="35"/>
      <c r="DL519" s="35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35"/>
      <c r="EE519" s="35"/>
      <c r="EF519" s="35"/>
      <c r="EG519" s="35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35"/>
      <c r="EZ519" s="35"/>
      <c r="FA519" s="35"/>
      <c r="FB519" s="35"/>
      <c r="FC519" s="35"/>
      <c r="FD519" s="35"/>
      <c r="FE519" s="35"/>
      <c r="FF519" s="35"/>
      <c r="FG519" s="35"/>
      <c r="FH519" s="35"/>
      <c r="FI519" s="35"/>
      <c r="FJ519" s="35"/>
      <c r="FK519" s="35"/>
      <c r="FL519" s="35"/>
      <c r="FM519" s="35"/>
      <c r="FN519" s="35"/>
      <c r="FO519" s="35"/>
      <c r="FP519" s="35"/>
      <c r="FQ519" s="35"/>
      <c r="FR519" s="35"/>
      <c r="FS519" s="35"/>
      <c r="FT519" s="35"/>
      <c r="FU519" s="35"/>
      <c r="FV519" s="35"/>
      <c r="FW519" s="35"/>
      <c r="FX519" s="35"/>
      <c r="FY519" s="35"/>
      <c r="FZ519" s="35"/>
      <c r="GA519" s="35"/>
      <c r="GB519" s="35"/>
      <c r="GC519" s="35"/>
      <c r="GD519" s="35"/>
      <c r="GE519" s="35"/>
      <c r="GF519" s="35"/>
      <c r="GG519" s="35"/>
      <c r="GH519" s="35"/>
      <c r="GI519" s="35"/>
      <c r="GJ519" s="35"/>
      <c r="GK519" s="35"/>
      <c r="GL519" s="35"/>
      <c r="GM519" s="35"/>
      <c r="GN519" s="35"/>
      <c r="GO519" s="35"/>
      <c r="GP519" s="35"/>
      <c r="GQ519" s="35"/>
      <c r="GR519" s="35"/>
      <c r="GS519" s="35"/>
      <c r="GT519" s="35"/>
      <c r="GU519" s="35"/>
      <c r="GV519" s="35"/>
      <c r="GW519" s="35"/>
      <c r="GX519" s="35"/>
      <c r="GY519" s="35"/>
      <c r="GZ519" s="35"/>
      <c r="HA519" s="35"/>
      <c r="HB519" s="35"/>
      <c r="HC519" s="35"/>
      <c r="HD519" s="35"/>
      <c r="HE519" s="35"/>
      <c r="HF519" s="35"/>
      <c r="HG519" s="35"/>
      <c r="HH519" s="35"/>
      <c r="HI519" s="35"/>
      <c r="HJ519" s="35"/>
      <c r="HK519" s="35"/>
      <c r="HL519" s="35"/>
      <c r="HM519" s="35"/>
      <c r="HN519" s="35"/>
      <c r="HO519" s="35"/>
      <c r="HP519" s="35"/>
      <c r="HQ519" s="35"/>
      <c r="HR519" s="35"/>
      <c r="HS519" s="35"/>
      <c r="HT519" s="35"/>
      <c r="HU519" s="35"/>
      <c r="HV519" s="35"/>
      <c r="HW519" s="35"/>
      <c r="HX519" s="35"/>
      <c r="HY519" s="35"/>
      <c r="HZ519" s="35"/>
      <c r="IA519" s="35"/>
      <c r="IB519" s="35"/>
      <c r="IC519" s="35"/>
      <c r="ID519" s="35"/>
      <c r="IE519" s="35"/>
      <c r="IF519" s="35"/>
      <c r="IG519" s="35"/>
      <c r="IH519" s="35"/>
      <c r="II519" s="35"/>
      <c r="IJ519" s="35"/>
      <c r="IK519" s="35"/>
      <c r="IL519" s="35"/>
      <c r="IM519" s="35"/>
      <c r="IN519" s="35"/>
      <c r="IO519" s="35"/>
      <c r="IP519" s="35"/>
      <c r="IQ519" s="35"/>
      <c r="IR519" s="35"/>
      <c r="IS519" s="35"/>
      <c r="IT519" s="35"/>
      <c r="IU519" s="35"/>
      <c r="IV519" s="35"/>
      <c r="IW519" s="35"/>
      <c r="IX519" s="35"/>
      <c r="IY519" s="35"/>
      <c r="IZ519" s="35"/>
      <c r="JA519" s="35"/>
      <c r="JB519" s="35"/>
      <c r="JC519" s="35"/>
      <c r="JD519" s="35"/>
      <c r="JE519" s="35"/>
    </row>
    <row r="520">
      <c r="A520" s="42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  <c r="AZ520" s="35"/>
      <c r="BA520" s="35"/>
      <c r="BB520" s="35"/>
      <c r="BC520" s="35"/>
      <c r="BD520" s="35"/>
      <c r="BE520" s="35"/>
      <c r="BF520" s="35"/>
      <c r="BG520" s="35"/>
      <c r="BH520" s="35"/>
      <c r="BI520" s="35"/>
      <c r="BJ520" s="35"/>
      <c r="BK520" s="35"/>
      <c r="BL520" s="35"/>
      <c r="BM520" s="35"/>
      <c r="BN520" s="35"/>
      <c r="BO520" s="35"/>
      <c r="BP520" s="35"/>
      <c r="BQ520" s="35"/>
      <c r="BR520" s="35"/>
      <c r="BS520" s="35"/>
      <c r="BT520" s="35"/>
      <c r="BU520" s="35"/>
      <c r="BV520" s="35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35"/>
      <c r="CO520" s="35"/>
      <c r="CP520" s="35"/>
      <c r="CQ520" s="35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35"/>
      <c r="DJ520" s="35"/>
      <c r="DK520" s="35"/>
      <c r="DL520" s="35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35"/>
      <c r="EE520" s="35"/>
      <c r="EF520" s="35"/>
      <c r="EG520" s="35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35"/>
      <c r="EZ520" s="35"/>
      <c r="FA520" s="35"/>
      <c r="FB520" s="35"/>
      <c r="FC520" s="35"/>
      <c r="FD520" s="35"/>
      <c r="FE520" s="35"/>
      <c r="FF520" s="35"/>
      <c r="FG520" s="35"/>
      <c r="FH520" s="35"/>
      <c r="FI520" s="35"/>
      <c r="FJ520" s="35"/>
      <c r="FK520" s="35"/>
      <c r="FL520" s="35"/>
      <c r="FM520" s="35"/>
      <c r="FN520" s="35"/>
      <c r="FO520" s="35"/>
      <c r="FP520" s="35"/>
      <c r="FQ520" s="35"/>
      <c r="FR520" s="35"/>
      <c r="FS520" s="35"/>
      <c r="FT520" s="35"/>
      <c r="FU520" s="35"/>
      <c r="FV520" s="35"/>
      <c r="FW520" s="35"/>
      <c r="FX520" s="35"/>
      <c r="FY520" s="35"/>
      <c r="FZ520" s="35"/>
      <c r="GA520" s="35"/>
      <c r="GB520" s="35"/>
      <c r="GC520" s="35"/>
      <c r="GD520" s="35"/>
      <c r="GE520" s="35"/>
      <c r="GF520" s="35"/>
      <c r="GG520" s="35"/>
      <c r="GH520" s="35"/>
      <c r="GI520" s="35"/>
      <c r="GJ520" s="35"/>
      <c r="GK520" s="35"/>
      <c r="GL520" s="35"/>
      <c r="GM520" s="35"/>
      <c r="GN520" s="35"/>
      <c r="GO520" s="35"/>
      <c r="GP520" s="35"/>
      <c r="GQ520" s="35"/>
      <c r="GR520" s="35"/>
      <c r="GS520" s="35"/>
      <c r="GT520" s="35"/>
      <c r="GU520" s="35"/>
      <c r="GV520" s="35"/>
      <c r="GW520" s="35"/>
      <c r="GX520" s="35"/>
      <c r="GY520" s="35"/>
      <c r="GZ520" s="35"/>
      <c r="HA520" s="35"/>
      <c r="HB520" s="35"/>
      <c r="HC520" s="35"/>
      <c r="HD520" s="35"/>
      <c r="HE520" s="35"/>
      <c r="HF520" s="35"/>
      <c r="HG520" s="35"/>
      <c r="HH520" s="35"/>
      <c r="HI520" s="35"/>
      <c r="HJ520" s="35"/>
      <c r="HK520" s="35"/>
      <c r="HL520" s="35"/>
      <c r="HM520" s="35"/>
      <c r="HN520" s="35"/>
      <c r="HO520" s="35"/>
      <c r="HP520" s="35"/>
      <c r="HQ520" s="35"/>
      <c r="HR520" s="35"/>
      <c r="HS520" s="35"/>
      <c r="HT520" s="35"/>
      <c r="HU520" s="35"/>
      <c r="HV520" s="35"/>
      <c r="HW520" s="35"/>
      <c r="HX520" s="35"/>
      <c r="HY520" s="35"/>
      <c r="HZ520" s="35"/>
      <c r="IA520" s="35"/>
      <c r="IB520" s="35"/>
      <c r="IC520" s="35"/>
      <c r="ID520" s="35"/>
      <c r="IE520" s="35"/>
      <c r="IF520" s="35"/>
      <c r="IG520" s="35"/>
      <c r="IH520" s="35"/>
      <c r="II520" s="35"/>
      <c r="IJ520" s="35"/>
      <c r="IK520" s="35"/>
      <c r="IL520" s="35"/>
      <c r="IM520" s="35"/>
      <c r="IN520" s="35"/>
      <c r="IO520" s="35"/>
      <c r="IP520" s="35"/>
      <c r="IQ520" s="35"/>
      <c r="IR520" s="35"/>
      <c r="IS520" s="35"/>
      <c r="IT520" s="35"/>
      <c r="IU520" s="35"/>
      <c r="IV520" s="35"/>
      <c r="IW520" s="35"/>
      <c r="IX520" s="35"/>
      <c r="IY520" s="35"/>
      <c r="IZ520" s="35"/>
      <c r="JA520" s="35"/>
      <c r="JB520" s="35"/>
      <c r="JC520" s="35"/>
      <c r="JD520" s="35"/>
      <c r="JE520" s="35"/>
    </row>
    <row r="521">
      <c r="A521" s="42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35"/>
      <c r="BA521" s="35"/>
      <c r="BB521" s="35"/>
      <c r="BC521" s="35"/>
      <c r="BD521" s="35"/>
      <c r="BE521" s="35"/>
      <c r="BF521" s="35"/>
      <c r="BG521" s="35"/>
      <c r="BH521" s="35"/>
      <c r="BI521" s="35"/>
      <c r="BJ521" s="35"/>
      <c r="BK521" s="35"/>
      <c r="BL521" s="35"/>
      <c r="BM521" s="35"/>
      <c r="BN521" s="35"/>
      <c r="BO521" s="35"/>
      <c r="BP521" s="35"/>
      <c r="BQ521" s="35"/>
      <c r="BR521" s="35"/>
      <c r="BS521" s="35"/>
      <c r="BT521" s="35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35"/>
      <c r="CO521" s="35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35"/>
      <c r="DJ521" s="35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35"/>
      <c r="EE521" s="35"/>
      <c r="EF521" s="35"/>
      <c r="EG521" s="35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35"/>
      <c r="EZ521" s="35"/>
      <c r="FA521" s="35"/>
      <c r="FB521" s="35"/>
      <c r="FC521" s="35"/>
      <c r="FD521" s="35"/>
      <c r="FE521" s="35"/>
      <c r="FF521" s="35"/>
      <c r="FG521" s="35"/>
      <c r="FH521" s="35"/>
      <c r="FI521" s="35"/>
      <c r="FJ521" s="35"/>
      <c r="FK521" s="35"/>
      <c r="FL521" s="35"/>
      <c r="FM521" s="35"/>
      <c r="FN521" s="35"/>
      <c r="FO521" s="35"/>
      <c r="FP521" s="35"/>
      <c r="FQ521" s="35"/>
      <c r="FR521" s="35"/>
      <c r="FS521" s="35"/>
      <c r="FT521" s="35"/>
      <c r="FU521" s="35"/>
      <c r="FV521" s="35"/>
      <c r="FW521" s="35"/>
      <c r="FX521" s="35"/>
      <c r="FY521" s="35"/>
      <c r="FZ521" s="35"/>
      <c r="GA521" s="35"/>
      <c r="GB521" s="35"/>
      <c r="GC521" s="35"/>
      <c r="GD521" s="35"/>
      <c r="GE521" s="35"/>
      <c r="GF521" s="35"/>
      <c r="GG521" s="35"/>
      <c r="GH521" s="35"/>
      <c r="GI521" s="35"/>
      <c r="GJ521" s="35"/>
      <c r="GK521" s="35"/>
      <c r="GL521" s="35"/>
      <c r="GM521" s="35"/>
      <c r="GN521" s="35"/>
      <c r="GO521" s="35"/>
      <c r="GP521" s="35"/>
      <c r="GQ521" s="35"/>
      <c r="GR521" s="35"/>
      <c r="GS521" s="35"/>
      <c r="GT521" s="35"/>
      <c r="GU521" s="35"/>
      <c r="GV521" s="35"/>
      <c r="GW521" s="35"/>
      <c r="GX521" s="35"/>
      <c r="GY521" s="35"/>
      <c r="GZ521" s="35"/>
      <c r="HA521" s="35"/>
      <c r="HB521" s="35"/>
      <c r="HC521" s="35"/>
      <c r="HD521" s="35"/>
      <c r="HE521" s="35"/>
      <c r="HF521" s="35"/>
      <c r="HG521" s="35"/>
      <c r="HH521" s="35"/>
      <c r="HI521" s="35"/>
      <c r="HJ521" s="35"/>
      <c r="HK521" s="35"/>
      <c r="HL521" s="35"/>
      <c r="HM521" s="35"/>
      <c r="HN521" s="35"/>
      <c r="HO521" s="35"/>
      <c r="HP521" s="35"/>
      <c r="HQ521" s="35"/>
      <c r="HR521" s="35"/>
      <c r="HS521" s="35"/>
      <c r="HT521" s="35"/>
      <c r="HU521" s="35"/>
      <c r="HV521" s="35"/>
      <c r="HW521" s="35"/>
      <c r="HX521" s="35"/>
      <c r="HY521" s="35"/>
      <c r="HZ521" s="35"/>
      <c r="IA521" s="35"/>
      <c r="IB521" s="35"/>
      <c r="IC521" s="35"/>
      <c r="ID521" s="35"/>
      <c r="IE521" s="35"/>
      <c r="IF521" s="35"/>
      <c r="IG521" s="35"/>
      <c r="IH521" s="35"/>
      <c r="II521" s="35"/>
      <c r="IJ521" s="35"/>
      <c r="IK521" s="35"/>
      <c r="IL521" s="35"/>
      <c r="IM521" s="35"/>
      <c r="IN521" s="35"/>
      <c r="IO521" s="35"/>
      <c r="IP521" s="35"/>
      <c r="IQ521" s="35"/>
      <c r="IR521" s="35"/>
      <c r="IS521" s="35"/>
      <c r="IT521" s="35"/>
      <c r="IU521" s="35"/>
      <c r="IV521" s="35"/>
      <c r="IW521" s="35"/>
      <c r="IX521" s="35"/>
      <c r="IY521" s="35"/>
      <c r="IZ521" s="35"/>
      <c r="JA521" s="35"/>
      <c r="JB521" s="35"/>
      <c r="JC521" s="35"/>
      <c r="JD521" s="35"/>
      <c r="JE521" s="35"/>
    </row>
    <row r="522">
      <c r="A522" s="42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  <c r="AZ522" s="35"/>
      <c r="BA522" s="35"/>
      <c r="BB522" s="35"/>
      <c r="BC522" s="35"/>
      <c r="BD522" s="35"/>
      <c r="BE522" s="35"/>
      <c r="BF522" s="35"/>
      <c r="BG522" s="35"/>
      <c r="BH522" s="35"/>
      <c r="BI522" s="35"/>
      <c r="BJ522" s="35"/>
      <c r="BK522" s="35"/>
      <c r="BL522" s="35"/>
      <c r="BM522" s="35"/>
      <c r="BN522" s="35"/>
      <c r="BO522" s="35"/>
      <c r="BP522" s="35"/>
      <c r="BQ522" s="35"/>
      <c r="BR522" s="35"/>
      <c r="BS522" s="35"/>
      <c r="BT522" s="35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35"/>
      <c r="CO522" s="35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35"/>
      <c r="DJ522" s="35"/>
      <c r="DK522" s="35"/>
      <c r="DL522" s="35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35"/>
      <c r="EE522" s="35"/>
      <c r="EF522" s="35"/>
      <c r="EG522" s="35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35"/>
      <c r="EZ522" s="35"/>
      <c r="FA522" s="35"/>
      <c r="FB522" s="35"/>
      <c r="FC522" s="35"/>
      <c r="FD522" s="35"/>
      <c r="FE522" s="35"/>
      <c r="FF522" s="35"/>
      <c r="FG522" s="35"/>
      <c r="FH522" s="35"/>
      <c r="FI522" s="35"/>
      <c r="FJ522" s="35"/>
      <c r="FK522" s="35"/>
      <c r="FL522" s="35"/>
      <c r="FM522" s="35"/>
      <c r="FN522" s="35"/>
      <c r="FO522" s="35"/>
      <c r="FP522" s="35"/>
      <c r="FQ522" s="35"/>
      <c r="FR522" s="35"/>
      <c r="FS522" s="35"/>
      <c r="FT522" s="35"/>
      <c r="FU522" s="35"/>
      <c r="FV522" s="35"/>
      <c r="FW522" s="35"/>
      <c r="FX522" s="35"/>
      <c r="FY522" s="35"/>
      <c r="FZ522" s="35"/>
      <c r="GA522" s="35"/>
      <c r="GB522" s="35"/>
      <c r="GC522" s="35"/>
      <c r="GD522" s="35"/>
      <c r="GE522" s="35"/>
      <c r="GF522" s="35"/>
      <c r="GG522" s="35"/>
      <c r="GH522" s="35"/>
      <c r="GI522" s="35"/>
      <c r="GJ522" s="35"/>
      <c r="GK522" s="35"/>
      <c r="GL522" s="35"/>
      <c r="GM522" s="35"/>
      <c r="GN522" s="35"/>
      <c r="GO522" s="35"/>
      <c r="GP522" s="35"/>
      <c r="GQ522" s="35"/>
      <c r="GR522" s="35"/>
      <c r="GS522" s="35"/>
      <c r="GT522" s="35"/>
      <c r="GU522" s="35"/>
      <c r="GV522" s="35"/>
      <c r="GW522" s="35"/>
      <c r="GX522" s="35"/>
      <c r="GY522" s="35"/>
      <c r="GZ522" s="35"/>
      <c r="HA522" s="35"/>
      <c r="HB522" s="35"/>
      <c r="HC522" s="35"/>
      <c r="HD522" s="35"/>
      <c r="HE522" s="35"/>
      <c r="HF522" s="35"/>
      <c r="HG522" s="35"/>
      <c r="HH522" s="35"/>
      <c r="HI522" s="35"/>
      <c r="HJ522" s="35"/>
      <c r="HK522" s="35"/>
      <c r="HL522" s="35"/>
      <c r="HM522" s="35"/>
      <c r="HN522" s="35"/>
      <c r="HO522" s="35"/>
      <c r="HP522" s="35"/>
      <c r="HQ522" s="35"/>
      <c r="HR522" s="35"/>
      <c r="HS522" s="35"/>
      <c r="HT522" s="35"/>
      <c r="HU522" s="35"/>
      <c r="HV522" s="35"/>
      <c r="HW522" s="35"/>
      <c r="HX522" s="35"/>
      <c r="HY522" s="35"/>
      <c r="HZ522" s="35"/>
      <c r="IA522" s="35"/>
      <c r="IB522" s="35"/>
      <c r="IC522" s="35"/>
      <c r="ID522" s="35"/>
      <c r="IE522" s="35"/>
      <c r="IF522" s="35"/>
      <c r="IG522" s="35"/>
      <c r="IH522" s="35"/>
      <c r="II522" s="35"/>
      <c r="IJ522" s="35"/>
      <c r="IK522" s="35"/>
      <c r="IL522" s="35"/>
      <c r="IM522" s="35"/>
      <c r="IN522" s="35"/>
      <c r="IO522" s="35"/>
      <c r="IP522" s="35"/>
      <c r="IQ522" s="35"/>
      <c r="IR522" s="35"/>
      <c r="IS522" s="35"/>
      <c r="IT522" s="35"/>
      <c r="IU522" s="35"/>
      <c r="IV522" s="35"/>
      <c r="IW522" s="35"/>
      <c r="IX522" s="35"/>
      <c r="IY522" s="35"/>
      <c r="IZ522" s="35"/>
      <c r="JA522" s="35"/>
      <c r="JB522" s="35"/>
      <c r="JC522" s="35"/>
      <c r="JD522" s="35"/>
      <c r="JE522" s="35"/>
    </row>
    <row r="523">
      <c r="A523" s="42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35"/>
      <c r="BA523" s="35"/>
      <c r="BB523" s="35"/>
      <c r="BC523" s="35"/>
      <c r="BD523" s="35"/>
      <c r="BE523" s="35"/>
      <c r="BF523" s="35"/>
      <c r="BG523" s="35"/>
      <c r="BH523" s="35"/>
      <c r="BI523" s="35"/>
      <c r="BJ523" s="35"/>
      <c r="BK523" s="35"/>
      <c r="BL523" s="35"/>
      <c r="BM523" s="35"/>
      <c r="BN523" s="35"/>
      <c r="BO523" s="35"/>
      <c r="BP523" s="35"/>
      <c r="BQ523" s="35"/>
      <c r="BR523" s="35"/>
      <c r="BS523" s="35"/>
      <c r="BT523" s="35"/>
      <c r="BU523" s="35"/>
      <c r="BV523" s="35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35"/>
      <c r="CO523" s="35"/>
      <c r="CP523" s="35"/>
      <c r="CQ523" s="35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35"/>
      <c r="DJ523" s="35"/>
      <c r="DK523" s="35"/>
      <c r="DL523" s="35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35"/>
      <c r="EE523" s="35"/>
      <c r="EF523" s="35"/>
      <c r="EG523" s="35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35"/>
      <c r="EZ523" s="35"/>
      <c r="FA523" s="35"/>
      <c r="FB523" s="35"/>
      <c r="FC523" s="35"/>
      <c r="FD523" s="35"/>
      <c r="FE523" s="35"/>
      <c r="FF523" s="35"/>
      <c r="FG523" s="35"/>
      <c r="FH523" s="35"/>
      <c r="FI523" s="35"/>
      <c r="FJ523" s="35"/>
      <c r="FK523" s="35"/>
      <c r="FL523" s="35"/>
      <c r="FM523" s="35"/>
      <c r="FN523" s="35"/>
      <c r="FO523" s="35"/>
      <c r="FP523" s="35"/>
      <c r="FQ523" s="35"/>
      <c r="FR523" s="35"/>
      <c r="FS523" s="35"/>
      <c r="FT523" s="35"/>
      <c r="FU523" s="35"/>
      <c r="FV523" s="35"/>
      <c r="FW523" s="35"/>
      <c r="FX523" s="35"/>
      <c r="FY523" s="35"/>
      <c r="FZ523" s="35"/>
      <c r="GA523" s="35"/>
      <c r="GB523" s="35"/>
      <c r="GC523" s="35"/>
      <c r="GD523" s="35"/>
      <c r="GE523" s="35"/>
      <c r="GF523" s="35"/>
      <c r="GG523" s="35"/>
      <c r="GH523" s="35"/>
      <c r="GI523" s="35"/>
      <c r="GJ523" s="35"/>
      <c r="GK523" s="35"/>
      <c r="GL523" s="35"/>
      <c r="GM523" s="35"/>
      <c r="GN523" s="35"/>
      <c r="GO523" s="35"/>
      <c r="GP523" s="35"/>
      <c r="GQ523" s="35"/>
      <c r="GR523" s="35"/>
      <c r="GS523" s="35"/>
      <c r="GT523" s="35"/>
      <c r="GU523" s="35"/>
      <c r="GV523" s="35"/>
      <c r="GW523" s="35"/>
      <c r="GX523" s="35"/>
      <c r="GY523" s="35"/>
      <c r="GZ523" s="35"/>
      <c r="HA523" s="35"/>
      <c r="HB523" s="35"/>
      <c r="HC523" s="35"/>
      <c r="HD523" s="35"/>
      <c r="HE523" s="35"/>
      <c r="HF523" s="35"/>
      <c r="HG523" s="35"/>
      <c r="HH523" s="35"/>
      <c r="HI523" s="35"/>
      <c r="HJ523" s="35"/>
      <c r="HK523" s="35"/>
      <c r="HL523" s="35"/>
      <c r="HM523" s="35"/>
      <c r="HN523" s="35"/>
      <c r="HO523" s="35"/>
      <c r="HP523" s="35"/>
      <c r="HQ523" s="35"/>
      <c r="HR523" s="35"/>
      <c r="HS523" s="35"/>
      <c r="HT523" s="35"/>
      <c r="HU523" s="35"/>
      <c r="HV523" s="35"/>
      <c r="HW523" s="35"/>
      <c r="HX523" s="35"/>
      <c r="HY523" s="35"/>
      <c r="HZ523" s="35"/>
      <c r="IA523" s="35"/>
      <c r="IB523" s="35"/>
      <c r="IC523" s="35"/>
      <c r="ID523" s="35"/>
      <c r="IE523" s="35"/>
      <c r="IF523" s="35"/>
      <c r="IG523" s="35"/>
      <c r="IH523" s="35"/>
      <c r="II523" s="35"/>
      <c r="IJ523" s="35"/>
      <c r="IK523" s="35"/>
      <c r="IL523" s="35"/>
      <c r="IM523" s="35"/>
      <c r="IN523" s="35"/>
      <c r="IO523" s="35"/>
      <c r="IP523" s="35"/>
      <c r="IQ523" s="35"/>
      <c r="IR523" s="35"/>
      <c r="IS523" s="35"/>
      <c r="IT523" s="35"/>
      <c r="IU523" s="35"/>
      <c r="IV523" s="35"/>
      <c r="IW523" s="35"/>
      <c r="IX523" s="35"/>
      <c r="IY523" s="35"/>
      <c r="IZ523" s="35"/>
      <c r="JA523" s="35"/>
      <c r="JB523" s="35"/>
      <c r="JC523" s="35"/>
      <c r="JD523" s="35"/>
      <c r="JE523" s="35"/>
    </row>
    <row r="524">
      <c r="A524" s="42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  <c r="AZ524" s="35"/>
      <c r="BA524" s="35"/>
      <c r="BB524" s="35"/>
      <c r="BC524" s="35"/>
      <c r="BD524" s="35"/>
      <c r="BE524" s="35"/>
      <c r="BF524" s="35"/>
      <c r="BG524" s="35"/>
      <c r="BH524" s="35"/>
      <c r="BI524" s="35"/>
      <c r="BJ524" s="35"/>
      <c r="BK524" s="35"/>
      <c r="BL524" s="35"/>
      <c r="BM524" s="35"/>
      <c r="BN524" s="35"/>
      <c r="BO524" s="35"/>
      <c r="BP524" s="35"/>
      <c r="BQ524" s="35"/>
      <c r="BR524" s="35"/>
      <c r="BS524" s="35"/>
      <c r="BT524" s="35"/>
      <c r="BU524" s="35"/>
      <c r="BV524" s="35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35"/>
      <c r="CO524" s="35"/>
      <c r="CP524" s="35"/>
      <c r="CQ524" s="35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35"/>
      <c r="DJ524" s="35"/>
      <c r="DK524" s="35"/>
      <c r="DL524" s="35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35"/>
      <c r="EE524" s="35"/>
      <c r="EF524" s="35"/>
      <c r="EG524" s="35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35"/>
      <c r="EZ524" s="35"/>
      <c r="FA524" s="35"/>
      <c r="FB524" s="35"/>
      <c r="FC524" s="35"/>
      <c r="FD524" s="35"/>
      <c r="FE524" s="35"/>
      <c r="FF524" s="35"/>
      <c r="FG524" s="35"/>
      <c r="FH524" s="35"/>
      <c r="FI524" s="35"/>
      <c r="FJ524" s="35"/>
      <c r="FK524" s="35"/>
      <c r="FL524" s="35"/>
      <c r="FM524" s="35"/>
      <c r="FN524" s="35"/>
      <c r="FO524" s="35"/>
      <c r="FP524" s="35"/>
      <c r="FQ524" s="35"/>
      <c r="FR524" s="35"/>
      <c r="FS524" s="35"/>
      <c r="FT524" s="35"/>
      <c r="FU524" s="35"/>
      <c r="FV524" s="35"/>
      <c r="FW524" s="35"/>
      <c r="FX524" s="35"/>
      <c r="FY524" s="35"/>
      <c r="FZ524" s="35"/>
      <c r="GA524" s="35"/>
      <c r="GB524" s="35"/>
      <c r="GC524" s="35"/>
      <c r="GD524" s="35"/>
      <c r="GE524" s="35"/>
      <c r="GF524" s="35"/>
      <c r="GG524" s="35"/>
      <c r="GH524" s="35"/>
      <c r="GI524" s="35"/>
      <c r="GJ524" s="35"/>
      <c r="GK524" s="35"/>
      <c r="GL524" s="35"/>
      <c r="GM524" s="35"/>
      <c r="GN524" s="35"/>
      <c r="GO524" s="35"/>
      <c r="GP524" s="35"/>
      <c r="GQ524" s="35"/>
      <c r="GR524" s="35"/>
      <c r="GS524" s="35"/>
      <c r="GT524" s="35"/>
      <c r="GU524" s="35"/>
      <c r="GV524" s="35"/>
      <c r="GW524" s="35"/>
      <c r="GX524" s="35"/>
      <c r="GY524" s="35"/>
      <c r="GZ524" s="35"/>
      <c r="HA524" s="35"/>
      <c r="HB524" s="35"/>
      <c r="HC524" s="35"/>
      <c r="HD524" s="35"/>
      <c r="HE524" s="35"/>
      <c r="HF524" s="35"/>
      <c r="HG524" s="35"/>
      <c r="HH524" s="35"/>
      <c r="HI524" s="35"/>
      <c r="HJ524" s="35"/>
      <c r="HK524" s="35"/>
      <c r="HL524" s="35"/>
      <c r="HM524" s="35"/>
      <c r="HN524" s="35"/>
      <c r="HO524" s="35"/>
      <c r="HP524" s="35"/>
      <c r="HQ524" s="35"/>
      <c r="HR524" s="35"/>
      <c r="HS524" s="35"/>
      <c r="HT524" s="35"/>
      <c r="HU524" s="35"/>
      <c r="HV524" s="35"/>
      <c r="HW524" s="35"/>
      <c r="HX524" s="35"/>
      <c r="HY524" s="35"/>
      <c r="HZ524" s="35"/>
      <c r="IA524" s="35"/>
      <c r="IB524" s="35"/>
      <c r="IC524" s="35"/>
      <c r="ID524" s="35"/>
      <c r="IE524" s="35"/>
      <c r="IF524" s="35"/>
      <c r="IG524" s="35"/>
      <c r="IH524" s="35"/>
      <c r="II524" s="35"/>
      <c r="IJ524" s="35"/>
      <c r="IK524" s="35"/>
      <c r="IL524" s="35"/>
      <c r="IM524" s="35"/>
      <c r="IN524" s="35"/>
      <c r="IO524" s="35"/>
      <c r="IP524" s="35"/>
      <c r="IQ524" s="35"/>
      <c r="IR524" s="35"/>
      <c r="IS524" s="35"/>
      <c r="IT524" s="35"/>
      <c r="IU524" s="35"/>
      <c r="IV524" s="35"/>
      <c r="IW524" s="35"/>
      <c r="IX524" s="35"/>
      <c r="IY524" s="35"/>
      <c r="IZ524" s="35"/>
      <c r="JA524" s="35"/>
      <c r="JB524" s="35"/>
      <c r="JC524" s="35"/>
      <c r="JD524" s="35"/>
      <c r="JE524" s="35"/>
    </row>
    <row r="525">
      <c r="A525" s="42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  <c r="AZ525" s="35"/>
      <c r="BA525" s="35"/>
      <c r="BB525" s="35"/>
      <c r="BC525" s="35"/>
      <c r="BD525" s="35"/>
      <c r="BE525" s="35"/>
      <c r="BF525" s="35"/>
      <c r="BG525" s="35"/>
      <c r="BH525" s="35"/>
      <c r="BI525" s="35"/>
      <c r="BJ525" s="35"/>
      <c r="BK525" s="35"/>
      <c r="BL525" s="35"/>
      <c r="BM525" s="35"/>
      <c r="BN525" s="35"/>
      <c r="BO525" s="35"/>
      <c r="BP525" s="35"/>
      <c r="BQ525" s="35"/>
      <c r="BR525" s="35"/>
      <c r="BS525" s="35"/>
      <c r="BT525" s="35"/>
      <c r="BU525" s="35"/>
      <c r="BV525" s="35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35"/>
      <c r="CO525" s="35"/>
      <c r="CP525" s="35"/>
      <c r="CQ525" s="35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35"/>
      <c r="DJ525" s="35"/>
      <c r="DK525" s="35"/>
      <c r="DL525" s="35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35"/>
      <c r="EE525" s="35"/>
      <c r="EF525" s="35"/>
      <c r="EG525" s="35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35"/>
      <c r="EZ525" s="35"/>
      <c r="FA525" s="35"/>
      <c r="FB525" s="35"/>
      <c r="FC525" s="35"/>
      <c r="FD525" s="35"/>
      <c r="FE525" s="35"/>
      <c r="FF525" s="35"/>
      <c r="FG525" s="35"/>
      <c r="FH525" s="35"/>
      <c r="FI525" s="35"/>
      <c r="FJ525" s="35"/>
      <c r="FK525" s="35"/>
      <c r="FL525" s="35"/>
      <c r="FM525" s="35"/>
      <c r="FN525" s="35"/>
      <c r="FO525" s="35"/>
      <c r="FP525" s="35"/>
      <c r="FQ525" s="35"/>
      <c r="FR525" s="35"/>
      <c r="FS525" s="35"/>
      <c r="FT525" s="35"/>
      <c r="FU525" s="35"/>
      <c r="FV525" s="35"/>
      <c r="FW525" s="35"/>
      <c r="FX525" s="35"/>
      <c r="FY525" s="35"/>
      <c r="FZ525" s="35"/>
      <c r="GA525" s="35"/>
      <c r="GB525" s="35"/>
      <c r="GC525" s="35"/>
      <c r="GD525" s="35"/>
      <c r="GE525" s="35"/>
      <c r="GF525" s="35"/>
      <c r="GG525" s="35"/>
      <c r="GH525" s="35"/>
      <c r="GI525" s="35"/>
      <c r="GJ525" s="35"/>
      <c r="GK525" s="35"/>
      <c r="GL525" s="35"/>
      <c r="GM525" s="35"/>
      <c r="GN525" s="35"/>
      <c r="GO525" s="35"/>
      <c r="GP525" s="35"/>
      <c r="GQ525" s="35"/>
      <c r="GR525" s="35"/>
      <c r="GS525" s="35"/>
      <c r="GT525" s="35"/>
      <c r="GU525" s="35"/>
      <c r="GV525" s="35"/>
      <c r="GW525" s="35"/>
      <c r="GX525" s="35"/>
      <c r="GY525" s="35"/>
      <c r="GZ525" s="35"/>
      <c r="HA525" s="35"/>
      <c r="HB525" s="35"/>
      <c r="HC525" s="35"/>
      <c r="HD525" s="35"/>
      <c r="HE525" s="35"/>
      <c r="HF525" s="35"/>
      <c r="HG525" s="35"/>
      <c r="HH525" s="35"/>
      <c r="HI525" s="35"/>
      <c r="HJ525" s="35"/>
      <c r="HK525" s="35"/>
      <c r="HL525" s="35"/>
      <c r="HM525" s="35"/>
      <c r="HN525" s="35"/>
      <c r="HO525" s="35"/>
      <c r="HP525" s="35"/>
      <c r="HQ525" s="35"/>
      <c r="HR525" s="35"/>
      <c r="HS525" s="35"/>
      <c r="HT525" s="35"/>
      <c r="HU525" s="35"/>
      <c r="HV525" s="35"/>
      <c r="HW525" s="35"/>
      <c r="HX525" s="35"/>
      <c r="HY525" s="35"/>
      <c r="HZ525" s="35"/>
      <c r="IA525" s="35"/>
      <c r="IB525" s="35"/>
      <c r="IC525" s="35"/>
      <c r="ID525" s="35"/>
      <c r="IE525" s="35"/>
      <c r="IF525" s="35"/>
      <c r="IG525" s="35"/>
      <c r="IH525" s="35"/>
      <c r="II525" s="35"/>
      <c r="IJ525" s="35"/>
      <c r="IK525" s="35"/>
      <c r="IL525" s="35"/>
      <c r="IM525" s="35"/>
      <c r="IN525" s="35"/>
      <c r="IO525" s="35"/>
      <c r="IP525" s="35"/>
      <c r="IQ525" s="35"/>
      <c r="IR525" s="35"/>
      <c r="IS525" s="35"/>
      <c r="IT525" s="35"/>
      <c r="IU525" s="35"/>
      <c r="IV525" s="35"/>
      <c r="IW525" s="35"/>
      <c r="IX525" s="35"/>
      <c r="IY525" s="35"/>
      <c r="IZ525" s="35"/>
      <c r="JA525" s="35"/>
      <c r="JB525" s="35"/>
      <c r="JC525" s="35"/>
      <c r="JD525" s="35"/>
      <c r="JE525" s="35"/>
    </row>
    <row r="526">
      <c r="A526" s="42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35"/>
      <c r="BA526" s="35"/>
      <c r="BB526" s="35"/>
      <c r="BC526" s="35"/>
      <c r="BD526" s="35"/>
      <c r="BE526" s="35"/>
      <c r="BF526" s="35"/>
      <c r="BG526" s="35"/>
      <c r="BH526" s="35"/>
      <c r="BI526" s="35"/>
      <c r="BJ526" s="35"/>
      <c r="BK526" s="35"/>
      <c r="BL526" s="35"/>
      <c r="BM526" s="35"/>
      <c r="BN526" s="35"/>
      <c r="BO526" s="35"/>
      <c r="BP526" s="35"/>
      <c r="BQ526" s="35"/>
      <c r="BR526" s="35"/>
      <c r="BS526" s="35"/>
      <c r="BT526" s="35"/>
      <c r="BU526" s="35"/>
      <c r="BV526" s="35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35"/>
      <c r="CO526" s="35"/>
      <c r="CP526" s="35"/>
      <c r="CQ526" s="35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35"/>
      <c r="DJ526" s="35"/>
      <c r="DK526" s="35"/>
      <c r="DL526" s="35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35"/>
      <c r="EE526" s="35"/>
      <c r="EF526" s="35"/>
      <c r="EG526" s="35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35"/>
      <c r="EZ526" s="35"/>
      <c r="FA526" s="35"/>
      <c r="FB526" s="35"/>
      <c r="FC526" s="35"/>
      <c r="FD526" s="35"/>
      <c r="FE526" s="35"/>
      <c r="FF526" s="35"/>
      <c r="FG526" s="35"/>
      <c r="FH526" s="35"/>
      <c r="FI526" s="35"/>
      <c r="FJ526" s="35"/>
      <c r="FK526" s="35"/>
      <c r="FL526" s="35"/>
      <c r="FM526" s="35"/>
      <c r="FN526" s="35"/>
      <c r="FO526" s="35"/>
      <c r="FP526" s="35"/>
      <c r="FQ526" s="35"/>
      <c r="FR526" s="35"/>
      <c r="FS526" s="35"/>
      <c r="FT526" s="35"/>
      <c r="FU526" s="35"/>
      <c r="FV526" s="35"/>
      <c r="FW526" s="35"/>
      <c r="FX526" s="35"/>
      <c r="FY526" s="35"/>
      <c r="FZ526" s="35"/>
      <c r="GA526" s="35"/>
      <c r="GB526" s="35"/>
      <c r="GC526" s="35"/>
      <c r="GD526" s="35"/>
      <c r="GE526" s="35"/>
      <c r="GF526" s="35"/>
      <c r="GG526" s="35"/>
      <c r="GH526" s="35"/>
      <c r="GI526" s="35"/>
      <c r="GJ526" s="35"/>
      <c r="GK526" s="35"/>
      <c r="GL526" s="35"/>
      <c r="GM526" s="35"/>
      <c r="GN526" s="35"/>
      <c r="GO526" s="35"/>
      <c r="GP526" s="35"/>
      <c r="GQ526" s="35"/>
      <c r="GR526" s="35"/>
      <c r="GS526" s="35"/>
      <c r="GT526" s="35"/>
      <c r="GU526" s="35"/>
      <c r="GV526" s="35"/>
      <c r="GW526" s="35"/>
      <c r="GX526" s="35"/>
      <c r="GY526" s="35"/>
      <c r="GZ526" s="35"/>
      <c r="HA526" s="35"/>
      <c r="HB526" s="35"/>
      <c r="HC526" s="35"/>
      <c r="HD526" s="35"/>
      <c r="HE526" s="35"/>
      <c r="HF526" s="35"/>
      <c r="HG526" s="35"/>
      <c r="HH526" s="35"/>
      <c r="HI526" s="35"/>
      <c r="HJ526" s="35"/>
      <c r="HK526" s="35"/>
      <c r="HL526" s="35"/>
      <c r="HM526" s="35"/>
      <c r="HN526" s="35"/>
      <c r="HO526" s="35"/>
      <c r="HP526" s="35"/>
      <c r="HQ526" s="35"/>
      <c r="HR526" s="35"/>
      <c r="HS526" s="35"/>
      <c r="HT526" s="35"/>
      <c r="HU526" s="35"/>
      <c r="HV526" s="35"/>
      <c r="HW526" s="35"/>
      <c r="HX526" s="35"/>
      <c r="HY526" s="35"/>
      <c r="HZ526" s="35"/>
      <c r="IA526" s="35"/>
      <c r="IB526" s="35"/>
      <c r="IC526" s="35"/>
      <c r="ID526" s="35"/>
      <c r="IE526" s="35"/>
      <c r="IF526" s="35"/>
      <c r="IG526" s="35"/>
      <c r="IH526" s="35"/>
      <c r="II526" s="35"/>
      <c r="IJ526" s="35"/>
      <c r="IK526" s="35"/>
      <c r="IL526" s="35"/>
      <c r="IM526" s="35"/>
      <c r="IN526" s="35"/>
      <c r="IO526" s="35"/>
      <c r="IP526" s="35"/>
      <c r="IQ526" s="35"/>
      <c r="IR526" s="35"/>
      <c r="IS526" s="35"/>
      <c r="IT526" s="35"/>
      <c r="IU526" s="35"/>
      <c r="IV526" s="35"/>
      <c r="IW526" s="35"/>
      <c r="IX526" s="35"/>
      <c r="IY526" s="35"/>
      <c r="IZ526" s="35"/>
      <c r="JA526" s="35"/>
      <c r="JB526" s="35"/>
      <c r="JC526" s="35"/>
      <c r="JD526" s="35"/>
      <c r="JE526" s="35"/>
    </row>
    <row r="527">
      <c r="A527" s="42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  <c r="BA527" s="35"/>
      <c r="BB527" s="35"/>
      <c r="BC527" s="35"/>
      <c r="BD527" s="35"/>
      <c r="BE527" s="35"/>
      <c r="BF527" s="35"/>
      <c r="BG527" s="35"/>
      <c r="BH527" s="35"/>
      <c r="BI527" s="35"/>
      <c r="BJ527" s="35"/>
      <c r="BK527" s="35"/>
      <c r="BL527" s="35"/>
      <c r="BM527" s="35"/>
      <c r="BN527" s="35"/>
      <c r="BO527" s="35"/>
      <c r="BP527" s="35"/>
      <c r="BQ527" s="35"/>
      <c r="BR527" s="35"/>
      <c r="BS527" s="35"/>
      <c r="BT527" s="35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35"/>
      <c r="CO527" s="35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35"/>
      <c r="DJ527" s="35"/>
      <c r="DK527" s="35"/>
      <c r="DL527" s="35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35"/>
      <c r="EE527" s="35"/>
      <c r="EF527" s="35"/>
      <c r="EG527" s="35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35"/>
      <c r="EZ527" s="35"/>
      <c r="FA527" s="35"/>
      <c r="FB527" s="35"/>
      <c r="FC527" s="35"/>
      <c r="FD527" s="35"/>
      <c r="FE527" s="35"/>
      <c r="FF527" s="35"/>
      <c r="FG527" s="35"/>
      <c r="FH527" s="35"/>
      <c r="FI527" s="35"/>
      <c r="FJ527" s="35"/>
      <c r="FK527" s="35"/>
      <c r="FL527" s="35"/>
      <c r="FM527" s="35"/>
      <c r="FN527" s="35"/>
      <c r="FO527" s="35"/>
      <c r="FP527" s="35"/>
      <c r="FQ527" s="35"/>
      <c r="FR527" s="35"/>
      <c r="FS527" s="35"/>
      <c r="FT527" s="35"/>
      <c r="FU527" s="35"/>
      <c r="FV527" s="35"/>
      <c r="FW527" s="35"/>
      <c r="FX527" s="35"/>
      <c r="FY527" s="35"/>
      <c r="FZ527" s="35"/>
      <c r="GA527" s="35"/>
      <c r="GB527" s="35"/>
      <c r="GC527" s="35"/>
      <c r="GD527" s="35"/>
      <c r="GE527" s="35"/>
      <c r="GF527" s="35"/>
      <c r="GG527" s="35"/>
      <c r="GH527" s="35"/>
      <c r="GI527" s="35"/>
      <c r="GJ527" s="35"/>
      <c r="GK527" s="35"/>
      <c r="GL527" s="35"/>
      <c r="GM527" s="35"/>
      <c r="GN527" s="35"/>
      <c r="GO527" s="35"/>
      <c r="GP527" s="35"/>
      <c r="GQ527" s="35"/>
      <c r="GR527" s="35"/>
      <c r="GS527" s="35"/>
      <c r="GT527" s="35"/>
      <c r="GU527" s="35"/>
      <c r="GV527" s="35"/>
      <c r="GW527" s="35"/>
      <c r="GX527" s="35"/>
      <c r="GY527" s="35"/>
      <c r="GZ527" s="35"/>
      <c r="HA527" s="35"/>
      <c r="HB527" s="35"/>
      <c r="HC527" s="35"/>
      <c r="HD527" s="35"/>
      <c r="HE527" s="35"/>
      <c r="HF527" s="35"/>
      <c r="HG527" s="35"/>
      <c r="HH527" s="35"/>
      <c r="HI527" s="35"/>
      <c r="HJ527" s="35"/>
      <c r="HK527" s="35"/>
      <c r="HL527" s="35"/>
      <c r="HM527" s="35"/>
      <c r="HN527" s="35"/>
      <c r="HO527" s="35"/>
      <c r="HP527" s="35"/>
      <c r="HQ527" s="35"/>
      <c r="HR527" s="35"/>
      <c r="HS527" s="35"/>
      <c r="HT527" s="35"/>
      <c r="HU527" s="35"/>
      <c r="HV527" s="35"/>
      <c r="HW527" s="35"/>
      <c r="HX527" s="35"/>
      <c r="HY527" s="35"/>
      <c r="HZ527" s="35"/>
      <c r="IA527" s="35"/>
      <c r="IB527" s="35"/>
      <c r="IC527" s="35"/>
      <c r="ID527" s="35"/>
      <c r="IE527" s="35"/>
      <c r="IF527" s="35"/>
      <c r="IG527" s="35"/>
      <c r="IH527" s="35"/>
      <c r="II527" s="35"/>
      <c r="IJ527" s="35"/>
      <c r="IK527" s="35"/>
      <c r="IL527" s="35"/>
      <c r="IM527" s="35"/>
      <c r="IN527" s="35"/>
      <c r="IO527" s="35"/>
      <c r="IP527" s="35"/>
      <c r="IQ527" s="35"/>
      <c r="IR527" s="35"/>
      <c r="IS527" s="35"/>
      <c r="IT527" s="35"/>
      <c r="IU527" s="35"/>
      <c r="IV527" s="35"/>
      <c r="IW527" s="35"/>
      <c r="IX527" s="35"/>
      <c r="IY527" s="35"/>
      <c r="IZ527" s="35"/>
      <c r="JA527" s="35"/>
      <c r="JB527" s="35"/>
      <c r="JC527" s="35"/>
      <c r="JD527" s="35"/>
      <c r="JE527" s="35"/>
    </row>
    <row r="528">
      <c r="A528" s="42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  <c r="BA528" s="35"/>
      <c r="BB528" s="35"/>
      <c r="BC528" s="35"/>
      <c r="BD528" s="35"/>
      <c r="BE528" s="35"/>
      <c r="BF528" s="35"/>
      <c r="BG528" s="35"/>
      <c r="BH528" s="35"/>
      <c r="BI528" s="35"/>
      <c r="BJ528" s="35"/>
      <c r="BK528" s="35"/>
      <c r="BL528" s="35"/>
      <c r="BM528" s="35"/>
      <c r="BN528" s="35"/>
      <c r="BO528" s="35"/>
      <c r="BP528" s="35"/>
      <c r="BQ528" s="35"/>
      <c r="BR528" s="35"/>
      <c r="BS528" s="35"/>
      <c r="BT528" s="35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35"/>
      <c r="CO528" s="35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35"/>
      <c r="DJ528" s="35"/>
      <c r="DK528" s="35"/>
      <c r="DL528" s="35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35"/>
      <c r="EE528" s="35"/>
      <c r="EF528" s="35"/>
      <c r="EG528" s="35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35"/>
      <c r="EZ528" s="35"/>
      <c r="FA528" s="35"/>
      <c r="FB528" s="35"/>
      <c r="FC528" s="35"/>
      <c r="FD528" s="35"/>
      <c r="FE528" s="35"/>
      <c r="FF528" s="35"/>
      <c r="FG528" s="35"/>
      <c r="FH528" s="35"/>
      <c r="FI528" s="35"/>
      <c r="FJ528" s="35"/>
      <c r="FK528" s="35"/>
      <c r="FL528" s="35"/>
      <c r="FM528" s="35"/>
      <c r="FN528" s="35"/>
      <c r="FO528" s="35"/>
      <c r="FP528" s="35"/>
      <c r="FQ528" s="35"/>
      <c r="FR528" s="35"/>
      <c r="FS528" s="35"/>
      <c r="FT528" s="35"/>
      <c r="FU528" s="35"/>
      <c r="FV528" s="35"/>
      <c r="FW528" s="35"/>
      <c r="FX528" s="35"/>
      <c r="FY528" s="35"/>
      <c r="FZ528" s="35"/>
      <c r="GA528" s="35"/>
      <c r="GB528" s="35"/>
      <c r="GC528" s="35"/>
      <c r="GD528" s="35"/>
      <c r="GE528" s="35"/>
      <c r="GF528" s="35"/>
      <c r="GG528" s="35"/>
      <c r="GH528" s="35"/>
      <c r="GI528" s="35"/>
      <c r="GJ528" s="35"/>
      <c r="GK528" s="35"/>
      <c r="GL528" s="35"/>
      <c r="GM528" s="35"/>
      <c r="GN528" s="35"/>
      <c r="GO528" s="35"/>
      <c r="GP528" s="35"/>
      <c r="GQ528" s="35"/>
      <c r="GR528" s="35"/>
      <c r="GS528" s="35"/>
      <c r="GT528" s="35"/>
      <c r="GU528" s="35"/>
      <c r="GV528" s="35"/>
      <c r="GW528" s="35"/>
      <c r="GX528" s="35"/>
      <c r="GY528" s="35"/>
      <c r="GZ528" s="35"/>
      <c r="HA528" s="35"/>
      <c r="HB528" s="35"/>
      <c r="HC528" s="35"/>
      <c r="HD528" s="35"/>
      <c r="HE528" s="35"/>
      <c r="HF528" s="35"/>
      <c r="HG528" s="35"/>
      <c r="HH528" s="35"/>
      <c r="HI528" s="35"/>
      <c r="HJ528" s="35"/>
      <c r="HK528" s="35"/>
      <c r="HL528" s="35"/>
      <c r="HM528" s="35"/>
      <c r="HN528" s="35"/>
      <c r="HO528" s="35"/>
      <c r="HP528" s="35"/>
      <c r="HQ528" s="35"/>
      <c r="HR528" s="35"/>
      <c r="HS528" s="35"/>
      <c r="HT528" s="35"/>
      <c r="HU528" s="35"/>
      <c r="HV528" s="35"/>
      <c r="HW528" s="35"/>
      <c r="HX528" s="35"/>
      <c r="HY528" s="35"/>
      <c r="HZ528" s="35"/>
      <c r="IA528" s="35"/>
      <c r="IB528" s="35"/>
      <c r="IC528" s="35"/>
      <c r="ID528" s="35"/>
      <c r="IE528" s="35"/>
      <c r="IF528" s="35"/>
      <c r="IG528" s="35"/>
      <c r="IH528" s="35"/>
      <c r="II528" s="35"/>
      <c r="IJ528" s="35"/>
      <c r="IK528" s="35"/>
      <c r="IL528" s="35"/>
      <c r="IM528" s="35"/>
      <c r="IN528" s="35"/>
      <c r="IO528" s="35"/>
      <c r="IP528" s="35"/>
      <c r="IQ528" s="35"/>
      <c r="IR528" s="35"/>
      <c r="IS528" s="35"/>
      <c r="IT528" s="35"/>
      <c r="IU528" s="35"/>
      <c r="IV528" s="35"/>
      <c r="IW528" s="35"/>
      <c r="IX528" s="35"/>
      <c r="IY528" s="35"/>
      <c r="IZ528" s="35"/>
      <c r="JA528" s="35"/>
      <c r="JB528" s="35"/>
      <c r="JC528" s="35"/>
      <c r="JD528" s="35"/>
      <c r="JE528" s="35"/>
    </row>
    <row r="529">
      <c r="A529" s="42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35"/>
      <c r="BA529" s="35"/>
      <c r="BB529" s="35"/>
      <c r="BC529" s="35"/>
      <c r="BD529" s="35"/>
      <c r="BE529" s="35"/>
      <c r="BF529" s="35"/>
      <c r="BG529" s="35"/>
      <c r="BH529" s="35"/>
      <c r="BI529" s="35"/>
      <c r="BJ529" s="35"/>
      <c r="BK529" s="35"/>
      <c r="BL529" s="35"/>
      <c r="BM529" s="35"/>
      <c r="BN529" s="35"/>
      <c r="BO529" s="35"/>
      <c r="BP529" s="35"/>
      <c r="BQ529" s="35"/>
      <c r="BR529" s="35"/>
      <c r="BS529" s="35"/>
      <c r="BT529" s="35"/>
      <c r="BU529" s="35"/>
      <c r="BV529" s="35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35"/>
      <c r="CO529" s="35"/>
      <c r="CP529" s="35"/>
      <c r="CQ529" s="35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35"/>
      <c r="DJ529" s="35"/>
      <c r="DK529" s="35"/>
      <c r="DL529" s="35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35"/>
      <c r="EE529" s="35"/>
      <c r="EF529" s="35"/>
      <c r="EG529" s="35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35"/>
      <c r="EZ529" s="35"/>
      <c r="FA529" s="35"/>
      <c r="FB529" s="35"/>
      <c r="FC529" s="35"/>
      <c r="FD529" s="35"/>
      <c r="FE529" s="35"/>
      <c r="FF529" s="35"/>
      <c r="FG529" s="35"/>
      <c r="FH529" s="35"/>
      <c r="FI529" s="35"/>
      <c r="FJ529" s="35"/>
      <c r="FK529" s="35"/>
      <c r="FL529" s="35"/>
      <c r="FM529" s="35"/>
      <c r="FN529" s="35"/>
      <c r="FO529" s="35"/>
      <c r="FP529" s="35"/>
      <c r="FQ529" s="35"/>
      <c r="FR529" s="35"/>
      <c r="FS529" s="35"/>
      <c r="FT529" s="35"/>
      <c r="FU529" s="35"/>
      <c r="FV529" s="35"/>
      <c r="FW529" s="35"/>
      <c r="FX529" s="35"/>
      <c r="FY529" s="35"/>
      <c r="FZ529" s="35"/>
      <c r="GA529" s="35"/>
      <c r="GB529" s="35"/>
      <c r="GC529" s="35"/>
      <c r="GD529" s="35"/>
      <c r="GE529" s="35"/>
      <c r="GF529" s="35"/>
      <c r="GG529" s="35"/>
      <c r="GH529" s="35"/>
      <c r="GI529" s="35"/>
      <c r="GJ529" s="35"/>
      <c r="GK529" s="35"/>
      <c r="GL529" s="35"/>
      <c r="GM529" s="35"/>
      <c r="GN529" s="35"/>
      <c r="GO529" s="35"/>
      <c r="GP529" s="35"/>
      <c r="GQ529" s="35"/>
      <c r="GR529" s="35"/>
      <c r="GS529" s="35"/>
      <c r="GT529" s="35"/>
      <c r="GU529" s="35"/>
      <c r="GV529" s="35"/>
      <c r="GW529" s="35"/>
      <c r="GX529" s="35"/>
      <c r="GY529" s="35"/>
      <c r="GZ529" s="35"/>
      <c r="HA529" s="35"/>
      <c r="HB529" s="35"/>
      <c r="HC529" s="35"/>
      <c r="HD529" s="35"/>
      <c r="HE529" s="35"/>
      <c r="HF529" s="35"/>
      <c r="HG529" s="35"/>
      <c r="HH529" s="35"/>
      <c r="HI529" s="35"/>
      <c r="HJ529" s="35"/>
      <c r="HK529" s="35"/>
      <c r="HL529" s="35"/>
      <c r="HM529" s="35"/>
      <c r="HN529" s="35"/>
      <c r="HO529" s="35"/>
      <c r="HP529" s="35"/>
      <c r="HQ529" s="35"/>
      <c r="HR529" s="35"/>
      <c r="HS529" s="35"/>
      <c r="HT529" s="35"/>
      <c r="HU529" s="35"/>
      <c r="HV529" s="35"/>
      <c r="HW529" s="35"/>
      <c r="HX529" s="35"/>
      <c r="HY529" s="35"/>
      <c r="HZ529" s="35"/>
      <c r="IA529" s="35"/>
      <c r="IB529" s="35"/>
      <c r="IC529" s="35"/>
      <c r="ID529" s="35"/>
      <c r="IE529" s="35"/>
      <c r="IF529" s="35"/>
      <c r="IG529" s="35"/>
      <c r="IH529" s="35"/>
      <c r="II529" s="35"/>
      <c r="IJ529" s="35"/>
      <c r="IK529" s="35"/>
      <c r="IL529" s="35"/>
      <c r="IM529" s="35"/>
      <c r="IN529" s="35"/>
      <c r="IO529" s="35"/>
      <c r="IP529" s="35"/>
      <c r="IQ529" s="35"/>
      <c r="IR529" s="35"/>
      <c r="IS529" s="35"/>
      <c r="IT529" s="35"/>
      <c r="IU529" s="35"/>
      <c r="IV529" s="35"/>
      <c r="IW529" s="35"/>
      <c r="IX529" s="35"/>
      <c r="IY529" s="35"/>
      <c r="IZ529" s="35"/>
      <c r="JA529" s="35"/>
      <c r="JB529" s="35"/>
      <c r="JC529" s="35"/>
      <c r="JD529" s="35"/>
      <c r="JE529" s="35"/>
    </row>
    <row r="530">
      <c r="A530" s="42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  <c r="AZ530" s="35"/>
      <c r="BA530" s="35"/>
      <c r="BB530" s="35"/>
      <c r="BC530" s="35"/>
      <c r="BD530" s="35"/>
      <c r="BE530" s="35"/>
      <c r="BF530" s="35"/>
      <c r="BG530" s="35"/>
      <c r="BH530" s="35"/>
      <c r="BI530" s="35"/>
      <c r="BJ530" s="35"/>
      <c r="BK530" s="35"/>
      <c r="BL530" s="35"/>
      <c r="BM530" s="35"/>
      <c r="BN530" s="35"/>
      <c r="BO530" s="35"/>
      <c r="BP530" s="35"/>
      <c r="BQ530" s="35"/>
      <c r="BR530" s="35"/>
      <c r="BS530" s="35"/>
      <c r="BT530" s="35"/>
      <c r="BU530" s="35"/>
      <c r="BV530" s="35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35"/>
      <c r="CO530" s="35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35"/>
      <c r="DJ530" s="35"/>
      <c r="DK530" s="35"/>
      <c r="DL530" s="35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35"/>
      <c r="EE530" s="35"/>
      <c r="EF530" s="35"/>
      <c r="EG530" s="35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35"/>
      <c r="EZ530" s="35"/>
      <c r="FA530" s="35"/>
      <c r="FB530" s="35"/>
      <c r="FC530" s="35"/>
      <c r="FD530" s="35"/>
      <c r="FE530" s="35"/>
      <c r="FF530" s="35"/>
      <c r="FG530" s="35"/>
      <c r="FH530" s="35"/>
      <c r="FI530" s="35"/>
      <c r="FJ530" s="35"/>
      <c r="FK530" s="35"/>
      <c r="FL530" s="35"/>
      <c r="FM530" s="35"/>
      <c r="FN530" s="35"/>
      <c r="FO530" s="35"/>
      <c r="FP530" s="35"/>
      <c r="FQ530" s="35"/>
      <c r="FR530" s="35"/>
      <c r="FS530" s="35"/>
      <c r="FT530" s="35"/>
      <c r="FU530" s="35"/>
      <c r="FV530" s="35"/>
      <c r="FW530" s="35"/>
      <c r="FX530" s="35"/>
      <c r="FY530" s="35"/>
      <c r="FZ530" s="35"/>
      <c r="GA530" s="35"/>
      <c r="GB530" s="35"/>
      <c r="GC530" s="35"/>
      <c r="GD530" s="35"/>
      <c r="GE530" s="35"/>
      <c r="GF530" s="35"/>
      <c r="GG530" s="35"/>
      <c r="GH530" s="35"/>
      <c r="GI530" s="35"/>
      <c r="GJ530" s="35"/>
      <c r="GK530" s="35"/>
      <c r="GL530" s="35"/>
      <c r="GM530" s="35"/>
      <c r="GN530" s="35"/>
      <c r="GO530" s="35"/>
      <c r="GP530" s="35"/>
      <c r="GQ530" s="35"/>
      <c r="GR530" s="35"/>
      <c r="GS530" s="35"/>
      <c r="GT530" s="35"/>
      <c r="GU530" s="35"/>
      <c r="GV530" s="35"/>
      <c r="GW530" s="35"/>
      <c r="GX530" s="35"/>
      <c r="GY530" s="35"/>
      <c r="GZ530" s="35"/>
      <c r="HA530" s="35"/>
      <c r="HB530" s="35"/>
      <c r="HC530" s="35"/>
      <c r="HD530" s="35"/>
      <c r="HE530" s="35"/>
      <c r="HF530" s="35"/>
      <c r="HG530" s="35"/>
      <c r="HH530" s="35"/>
      <c r="HI530" s="35"/>
      <c r="HJ530" s="35"/>
      <c r="HK530" s="35"/>
      <c r="HL530" s="35"/>
      <c r="HM530" s="35"/>
      <c r="HN530" s="35"/>
      <c r="HO530" s="35"/>
      <c r="HP530" s="35"/>
      <c r="HQ530" s="35"/>
      <c r="HR530" s="35"/>
      <c r="HS530" s="35"/>
      <c r="HT530" s="35"/>
      <c r="HU530" s="35"/>
      <c r="HV530" s="35"/>
      <c r="HW530" s="35"/>
      <c r="HX530" s="35"/>
      <c r="HY530" s="35"/>
      <c r="HZ530" s="35"/>
      <c r="IA530" s="35"/>
      <c r="IB530" s="35"/>
      <c r="IC530" s="35"/>
      <c r="ID530" s="35"/>
      <c r="IE530" s="35"/>
      <c r="IF530" s="35"/>
      <c r="IG530" s="35"/>
      <c r="IH530" s="35"/>
      <c r="II530" s="35"/>
      <c r="IJ530" s="35"/>
      <c r="IK530" s="35"/>
      <c r="IL530" s="35"/>
      <c r="IM530" s="35"/>
      <c r="IN530" s="35"/>
      <c r="IO530" s="35"/>
      <c r="IP530" s="35"/>
      <c r="IQ530" s="35"/>
      <c r="IR530" s="35"/>
      <c r="IS530" s="35"/>
      <c r="IT530" s="35"/>
      <c r="IU530" s="35"/>
      <c r="IV530" s="35"/>
      <c r="IW530" s="35"/>
      <c r="IX530" s="35"/>
      <c r="IY530" s="35"/>
      <c r="IZ530" s="35"/>
      <c r="JA530" s="35"/>
      <c r="JB530" s="35"/>
      <c r="JC530" s="35"/>
      <c r="JD530" s="35"/>
      <c r="JE530" s="35"/>
    </row>
    <row r="531">
      <c r="A531" s="42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  <c r="AZ531" s="35"/>
      <c r="BA531" s="35"/>
      <c r="BB531" s="35"/>
      <c r="BC531" s="35"/>
      <c r="BD531" s="35"/>
      <c r="BE531" s="35"/>
      <c r="BF531" s="35"/>
      <c r="BG531" s="35"/>
      <c r="BH531" s="35"/>
      <c r="BI531" s="35"/>
      <c r="BJ531" s="35"/>
      <c r="BK531" s="35"/>
      <c r="BL531" s="35"/>
      <c r="BM531" s="35"/>
      <c r="BN531" s="35"/>
      <c r="BO531" s="35"/>
      <c r="BP531" s="35"/>
      <c r="BQ531" s="35"/>
      <c r="BR531" s="35"/>
      <c r="BS531" s="35"/>
      <c r="BT531" s="35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35"/>
      <c r="CO531" s="35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35"/>
      <c r="DJ531" s="35"/>
      <c r="DK531" s="35"/>
      <c r="DL531" s="35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35"/>
      <c r="EE531" s="35"/>
      <c r="EF531" s="35"/>
      <c r="EG531" s="35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35"/>
      <c r="EZ531" s="35"/>
      <c r="FA531" s="35"/>
      <c r="FB531" s="35"/>
      <c r="FC531" s="35"/>
      <c r="FD531" s="35"/>
      <c r="FE531" s="35"/>
      <c r="FF531" s="35"/>
      <c r="FG531" s="35"/>
      <c r="FH531" s="35"/>
      <c r="FI531" s="35"/>
      <c r="FJ531" s="35"/>
      <c r="FK531" s="35"/>
      <c r="FL531" s="35"/>
      <c r="FM531" s="35"/>
      <c r="FN531" s="35"/>
      <c r="FO531" s="35"/>
      <c r="FP531" s="35"/>
      <c r="FQ531" s="35"/>
      <c r="FR531" s="35"/>
      <c r="FS531" s="35"/>
      <c r="FT531" s="35"/>
      <c r="FU531" s="35"/>
      <c r="FV531" s="35"/>
      <c r="FW531" s="35"/>
      <c r="FX531" s="35"/>
      <c r="FY531" s="35"/>
      <c r="FZ531" s="35"/>
      <c r="GA531" s="35"/>
      <c r="GB531" s="35"/>
      <c r="GC531" s="35"/>
      <c r="GD531" s="35"/>
      <c r="GE531" s="35"/>
      <c r="GF531" s="35"/>
      <c r="GG531" s="35"/>
      <c r="GH531" s="35"/>
      <c r="GI531" s="35"/>
      <c r="GJ531" s="35"/>
      <c r="GK531" s="35"/>
      <c r="GL531" s="35"/>
      <c r="GM531" s="35"/>
      <c r="GN531" s="35"/>
      <c r="GO531" s="35"/>
      <c r="GP531" s="35"/>
      <c r="GQ531" s="35"/>
      <c r="GR531" s="35"/>
      <c r="GS531" s="35"/>
      <c r="GT531" s="35"/>
      <c r="GU531" s="35"/>
      <c r="GV531" s="35"/>
      <c r="GW531" s="35"/>
      <c r="GX531" s="35"/>
      <c r="GY531" s="35"/>
      <c r="GZ531" s="35"/>
      <c r="HA531" s="35"/>
      <c r="HB531" s="35"/>
      <c r="HC531" s="35"/>
      <c r="HD531" s="35"/>
      <c r="HE531" s="35"/>
      <c r="HF531" s="35"/>
      <c r="HG531" s="35"/>
      <c r="HH531" s="35"/>
      <c r="HI531" s="35"/>
      <c r="HJ531" s="35"/>
      <c r="HK531" s="35"/>
      <c r="HL531" s="35"/>
      <c r="HM531" s="35"/>
      <c r="HN531" s="35"/>
      <c r="HO531" s="35"/>
      <c r="HP531" s="35"/>
      <c r="HQ531" s="35"/>
      <c r="HR531" s="35"/>
      <c r="HS531" s="35"/>
      <c r="HT531" s="35"/>
      <c r="HU531" s="35"/>
      <c r="HV531" s="35"/>
      <c r="HW531" s="35"/>
      <c r="HX531" s="35"/>
      <c r="HY531" s="35"/>
      <c r="HZ531" s="35"/>
      <c r="IA531" s="35"/>
      <c r="IB531" s="35"/>
      <c r="IC531" s="35"/>
      <c r="ID531" s="35"/>
      <c r="IE531" s="35"/>
      <c r="IF531" s="35"/>
      <c r="IG531" s="35"/>
      <c r="IH531" s="35"/>
      <c r="II531" s="35"/>
      <c r="IJ531" s="35"/>
      <c r="IK531" s="35"/>
      <c r="IL531" s="35"/>
      <c r="IM531" s="35"/>
      <c r="IN531" s="35"/>
      <c r="IO531" s="35"/>
      <c r="IP531" s="35"/>
      <c r="IQ531" s="35"/>
      <c r="IR531" s="35"/>
      <c r="IS531" s="35"/>
      <c r="IT531" s="35"/>
      <c r="IU531" s="35"/>
      <c r="IV531" s="35"/>
      <c r="IW531" s="35"/>
      <c r="IX531" s="35"/>
      <c r="IY531" s="35"/>
      <c r="IZ531" s="35"/>
      <c r="JA531" s="35"/>
      <c r="JB531" s="35"/>
      <c r="JC531" s="35"/>
      <c r="JD531" s="35"/>
      <c r="JE531" s="35"/>
    </row>
    <row r="532">
      <c r="A532" s="42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35"/>
      <c r="BA532" s="35"/>
      <c r="BB532" s="35"/>
      <c r="BC532" s="35"/>
      <c r="BD532" s="35"/>
      <c r="BE532" s="35"/>
      <c r="BF532" s="35"/>
      <c r="BG532" s="35"/>
      <c r="BH532" s="35"/>
      <c r="BI532" s="35"/>
      <c r="BJ532" s="35"/>
      <c r="BK532" s="35"/>
      <c r="BL532" s="35"/>
      <c r="BM532" s="35"/>
      <c r="BN532" s="35"/>
      <c r="BO532" s="35"/>
      <c r="BP532" s="35"/>
      <c r="BQ532" s="35"/>
      <c r="BR532" s="35"/>
      <c r="BS532" s="35"/>
      <c r="BT532" s="35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35"/>
      <c r="CO532" s="35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35"/>
      <c r="DJ532" s="35"/>
      <c r="DK532" s="35"/>
      <c r="DL532" s="35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35"/>
      <c r="EE532" s="35"/>
      <c r="EF532" s="35"/>
      <c r="EG532" s="35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35"/>
      <c r="EZ532" s="35"/>
      <c r="FA532" s="35"/>
      <c r="FB532" s="35"/>
      <c r="FC532" s="35"/>
      <c r="FD532" s="35"/>
      <c r="FE532" s="35"/>
      <c r="FF532" s="35"/>
      <c r="FG532" s="35"/>
      <c r="FH532" s="35"/>
      <c r="FI532" s="35"/>
      <c r="FJ532" s="35"/>
      <c r="FK532" s="35"/>
      <c r="FL532" s="35"/>
      <c r="FM532" s="35"/>
      <c r="FN532" s="35"/>
      <c r="FO532" s="35"/>
      <c r="FP532" s="35"/>
      <c r="FQ532" s="35"/>
      <c r="FR532" s="35"/>
      <c r="FS532" s="35"/>
      <c r="FT532" s="35"/>
      <c r="FU532" s="35"/>
      <c r="FV532" s="35"/>
      <c r="FW532" s="35"/>
      <c r="FX532" s="35"/>
      <c r="FY532" s="35"/>
      <c r="FZ532" s="35"/>
      <c r="GA532" s="35"/>
      <c r="GB532" s="35"/>
      <c r="GC532" s="35"/>
      <c r="GD532" s="35"/>
      <c r="GE532" s="35"/>
      <c r="GF532" s="35"/>
      <c r="GG532" s="35"/>
      <c r="GH532" s="35"/>
      <c r="GI532" s="35"/>
      <c r="GJ532" s="35"/>
      <c r="GK532" s="35"/>
      <c r="GL532" s="35"/>
      <c r="GM532" s="35"/>
      <c r="GN532" s="35"/>
      <c r="GO532" s="35"/>
      <c r="GP532" s="35"/>
      <c r="GQ532" s="35"/>
      <c r="GR532" s="35"/>
      <c r="GS532" s="35"/>
      <c r="GT532" s="35"/>
      <c r="GU532" s="35"/>
      <c r="GV532" s="35"/>
      <c r="GW532" s="35"/>
      <c r="GX532" s="35"/>
      <c r="GY532" s="35"/>
      <c r="GZ532" s="35"/>
      <c r="HA532" s="35"/>
      <c r="HB532" s="35"/>
      <c r="HC532" s="35"/>
      <c r="HD532" s="35"/>
      <c r="HE532" s="35"/>
      <c r="HF532" s="35"/>
      <c r="HG532" s="35"/>
      <c r="HH532" s="35"/>
      <c r="HI532" s="35"/>
      <c r="HJ532" s="35"/>
      <c r="HK532" s="35"/>
      <c r="HL532" s="35"/>
      <c r="HM532" s="35"/>
      <c r="HN532" s="35"/>
      <c r="HO532" s="35"/>
      <c r="HP532" s="35"/>
      <c r="HQ532" s="35"/>
      <c r="HR532" s="35"/>
      <c r="HS532" s="35"/>
      <c r="HT532" s="35"/>
      <c r="HU532" s="35"/>
      <c r="HV532" s="35"/>
      <c r="HW532" s="35"/>
      <c r="HX532" s="35"/>
      <c r="HY532" s="35"/>
      <c r="HZ532" s="35"/>
      <c r="IA532" s="35"/>
      <c r="IB532" s="35"/>
      <c r="IC532" s="35"/>
      <c r="ID532" s="35"/>
      <c r="IE532" s="35"/>
      <c r="IF532" s="35"/>
      <c r="IG532" s="35"/>
      <c r="IH532" s="35"/>
      <c r="II532" s="35"/>
      <c r="IJ532" s="35"/>
      <c r="IK532" s="35"/>
      <c r="IL532" s="35"/>
      <c r="IM532" s="35"/>
      <c r="IN532" s="35"/>
      <c r="IO532" s="35"/>
      <c r="IP532" s="35"/>
      <c r="IQ532" s="35"/>
      <c r="IR532" s="35"/>
      <c r="IS532" s="35"/>
      <c r="IT532" s="35"/>
      <c r="IU532" s="35"/>
      <c r="IV532" s="35"/>
      <c r="IW532" s="35"/>
      <c r="IX532" s="35"/>
      <c r="IY532" s="35"/>
      <c r="IZ532" s="35"/>
      <c r="JA532" s="35"/>
      <c r="JB532" s="35"/>
      <c r="JC532" s="35"/>
      <c r="JD532" s="35"/>
      <c r="JE532" s="35"/>
    </row>
    <row r="533">
      <c r="A533" s="42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  <c r="AZ533" s="35"/>
      <c r="BA533" s="35"/>
      <c r="BB533" s="35"/>
      <c r="BC533" s="35"/>
      <c r="BD533" s="35"/>
      <c r="BE533" s="35"/>
      <c r="BF533" s="35"/>
      <c r="BG533" s="35"/>
      <c r="BH533" s="35"/>
      <c r="BI533" s="35"/>
      <c r="BJ533" s="35"/>
      <c r="BK533" s="35"/>
      <c r="BL533" s="35"/>
      <c r="BM533" s="35"/>
      <c r="BN533" s="35"/>
      <c r="BO533" s="35"/>
      <c r="BP533" s="35"/>
      <c r="BQ533" s="35"/>
      <c r="BR533" s="35"/>
      <c r="BS533" s="35"/>
      <c r="BT533" s="35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35"/>
      <c r="CO533" s="35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35"/>
      <c r="DJ533" s="35"/>
      <c r="DK533" s="35"/>
      <c r="DL533" s="35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35"/>
      <c r="EE533" s="35"/>
      <c r="EF533" s="35"/>
      <c r="EG533" s="35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35"/>
      <c r="EZ533" s="35"/>
      <c r="FA533" s="35"/>
      <c r="FB533" s="35"/>
      <c r="FC533" s="35"/>
      <c r="FD533" s="35"/>
      <c r="FE533" s="35"/>
      <c r="FF533" s="35"/>
      <c r="FG533" s="35"/>
      <c r="FH533" s="35"/>
      <c r="FI533" s="35"/>
      <c r="FJ533" s="35"/>
      <c r="FK533" s="35"/>
      <c r="FL533" s="35"/>
      <c r="FM533" s="35"/>
      <c r="FN533" s="35"/>
      <c r="FO533" s="35"/>
      <c r="FP533" s="35"/>
      <c r="FQ533" s="35"/>
      <c r="FR533" s="35"/>
      <c r="FS533" s="35"/>
      <c r="FT533" s="35"/>
      <c r="FU533" s="35"/>
      <c r="FV533" s="35"/>
      <c r="FW533" s="35"/>
      <c r="FX533" s="35"/>
      <c r="FY533" s="35"/>
      <c r="FZ533" s="35"/>
      <c r="GA533" s="35"/>
      <c r="GB533" s="35"/>
      <c r="GC533" s="35"/>
      <c r="GD533" s="35"/>
      <c r="GE533" s="35"/>
      <c r="GF533" s="35"/>
      <c r="GG533" s="35"/>
      <c r="GH533" s="35"/>
      <c r="GI533" s="35"/>
      <c r="GJ533" s="35"/>
      <c r="GK533" s="35"/>
      <c r="GL533" s="35"/>
      <c r="GM533" s="35"/>
      <c r="GN533" s="35"/>
      <c r="GO533" s="35"/>
      <c r="GP533" s="35"/>
      <c r="GQ533" s="35"/>
      <c r="GR533" s="35"/>
      <c r="GS533" s="35"/>
      <c r="GT533" s="35"/>
      <c r="GU533" s="35"/>
      <c r="GV533" s="35"/>
      <c r="GW533" s="35"/>
      <c r="GX533" s="35"/>
      <c r="GY533" s="35"/>
      <c r="GZ533" s="35"/>
      <c r="HA533" s="35"/>
      <c r="HB533" s="35"/>
      <c r="HC533" s="35"/>
      <c r="HD533" s="35"/>
      <c r="HE533" s="35"/>
      <c r="HF533" s="35"/>
      <c r="HG533" s="35"/>
      <c r="HH533" s="35"/>
      <c r="HI533" s="35"/>
      <c r="HJ533" s="35"/>
      <c r="HK533" s="35"/>
      <c r="HL533" s="35"/>
      <c r="HM533" s="35"/>
      <c r="HN533" s="35"/>
      <c r="HO533" s="35"/>
      <c r="HP533" s="35"/>
      <c r="HQ533" s="35"/>
      <c r="HR533" s="35"/>
      <c r="HS533" s="35"/>
      <c r="HT533" s="35"/>
      <c r="HU533" s="35"/>
      <c r="HV533" s="35"/>
      <c r="HW533" s="35"/>
      <c r="HX533" s="35"/>
      <c r="HY533" s="35"/>
      <c r="HZ533" s="35"/>
      <c r="IA533" s="35"/>
      <c r="IB533" s="35"/>
      <c r="IC533" s="35"/>
      <c r="ID533" s="35"/>
      <c r="IE533" s="35"/>
      <c r="IF533" s="35"/>
      <c r="IG533" s="35"/>
      <c r="IH533" s="35"/>
      <c r="II533" s="35"/>
      <c r="IJ533" s="35"/>
      <c r="IK533" s="35"/>
      <c r="IL533" s="35"/>
      <c r="IM533" s="35"/>
      <c r="IN533" s="35"/>
      <c r="IO533" s="35"/>
      <c r="IP533" s="35"/>
      <c r="IQ533" s="35"/>
      <c r="IR533" s="35"/>
      <c r="IS533" s="35"/>
      <c r="IT533" s="35"/>
      <c r="IU533" s="35"/>
      <c r="IV533" s="35"/>
      <c r="IW533" s="35"/>
      <c r="IX533" s="35"/>
      <c r="IY533" s="35"/>
      <c r="IZ533" s="35"/>
      <c r="JA533" s="35"/>
      <c r="JB533" s="35"/>
      <c r="JC533" s="35"/>
      <c r="JD533" s="35"/>
      <c r="JE533" s="35"/>
    </row>
    <row r="534">
      <c r="A534" s="42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35"/>
      <c r="BA534" s="35"/>
      <c r="BB534" s="35"/>
      <c r="BC534" s="35"/>
      <c r="BD534" s="35"/>
      <c r="BE534" s="35"/>
      <c r="BF534" s="35"/>
      <c r="BG534" s="35"/>
      <c r="BH534" s="35"/>
      <c r="BI534" s="35"/>
      <c r="BJ534" s="35"/>
      <c r="BK534" s="35"/>
      <c r="BL534" s="35"/>
      <c r="BM534" s="35"/>
      <c r="BN534" s="35"/>
      <c r="BO534" s="35"/>
      <c r="BP534" s="35"/>
      <c r="BQ534" s="35"/>
      <c r="BR534" s="35"/>
      <c r="BS534" s="35"/>
      <c r="BT534" s="35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35"/>
      <c r="CO534" s="35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35"/>
      <c r="DJ534" s="35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35"/>
      <c r="EE534" s="35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35"/>
      <c r="EZ534" s="35"/>
      <c r="FA534" s="35"/>
      <c r="FB534" s="35"/>
      <c r="FC534" s="35"/>
      <c r="FD534" s="35"/>
      <c r="FE534" s="35"/>
      <c r="FF534" s="35"/>
      <c r="FG534" s="35"/>
      <c r="FH534" s="35"/>
      <c r="FI534" s="35"/>
      <c r="FJ534" s="35"/>
      <c r="FK534" s="35"/>
      <c r="FL534" s="35"/>
      <c r="FM534" s="35"/>
      <c r="FN534" s="35"/>
      <c r="FO534" s="35"/>
      <c r="FP534" s="35"/>
      <c r="FQ534" s="35"/>
      <c r="FR534" s="35"/>
      <c r="FS534" s="35"/>
      <c r="FT534" s="35"/>
      <c r="FU534" s="35"/>
      <c r="FV534" s="35"/>
      <c r="FW534" s="35"/>
      <c r="FX534" s="35"/>
      <c r="FY534" s="35"/>
      <c r="FZ534" s="35"/>
      <c r="GA534" s="35"/>
      <c r="GB534" s="35"/>
      <c r="GC534" s="35"/>
      <c r="GD534" s="35"/>
      <c r="GE534" s="35"/>
      <c r="GF534" s="35"/>
      <c r="GG534" s="35"/>
      <c r="GH534" s="35"/>
      <c r="GI534" s="35"/>
      <c r="GJ534" s="35"/>
      <c r="GK534" s="35"/>
      <c r="GL534" s="35"/>
      <c r="GM534" s="35"/>
      <c r="GN534" s="35"/>
      <c r="GO534" s="35"/>
      <c r="GP534" s="35"/>
      <c r="GQ534" s="35"/>
      <c r="GR534" s="35"/>
      <c r="GS534" s="35"/>
      <c r="GT534" s="35"/>
      <c r="GU534" s="35"/>
      <c r="GV534" s="35"/>
      <c r="GW534" s="35"/>
      <c r="GX534" s="35"/>
      <c r="GY534" s="35"/>
      <c r="GZ534" s="35"/>
      <c r="HA534" s="35"/>
      <c r="HB534" s="35"/>
      <c r="HC534" s="35"/>
      <c r="HD534" s="35"/>
      <c r="HE534" s="35"/>
      <c r="HF534" s="35"/>
      <c r="HG534" s="35"/>
      <c r="HH534" s="35"/>
      <c r="HI534" s="35"/>
      <c r="HJ534" s="35"/>
      <c r="HK534" s="35"/>
      <c r="HL534" s="35"/>
      <c r="HM534" s="35"/>
      <c r="HN534" s="35"/>
      <c r="HO534" s="35"/>
      <c r="HP534" s="35"/>
      <c r="HQ534" s="35"/>
      <c r="HR534" s="35"/>
      <c r="HS534" s="35"/>
      <c r="HT534" s="35"/>
      <c r="HU534" s="35"/>
      <c r="HV534" s="35"/>
      <c r="HW534" s="35"/>
      <c r="HX534" s="35"/>
      <c r="HY534" s="35"/>
      <c r="HZ534" s="35"/>
      <c r="IA534" s="35"/>
      <c r="IB534" s="35"/>
      <c r="IC534" s="35"/>
      <c r="ID534" s="35"/>
      <c r="IE534" s="35"/>
      <c r="IF534" s="35"/>
      <c r="IG534" s="35"/>
      <c r="IH534" s="35"/>
      <c r="II534" s="35"/>
      <c r="IJ534" s="35"/>
      <c r="IK534" s="35"/>
      <c r="IL534" s="35"/>
      <c r="IM534" s="35"/>
      <c r="IN534" s="35"/>
      <c r="IO534" s="35"/>
      <c r="IP534" s="35"/>
      <c r="IQ534" s="35"/>
      <c r="IR534" s="35"/>
      <c r="IS534" s="35"/>
      <c r="IT534" s="35"/>
      <c r="IU534" s="35"/>
      <c r="IV534" s="35"/>
      <c r="IW534" s="35"/>
      <c r="IX534" s="35"/>
      <c r="IY534" s="35"/>
      <c r="IZ534" s="35"/>
      <c r="JA534" s="35"/>
      <c r="JB534" s="35"/>
      <c r="JC534" s="35"/>
      <c r="JD534" s="35"/>
      <c r="JE534" s="35"/>
    </row>
    <row r="535">
      <c r="A535" s="42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  <c r="AZ535" s="35"/>
      <c r="BA535" s="35"/>
      <c r="BB535" s="35"/>
      <c r="BC535" s="35"/>
      <c r="BD535" s="35"/>
      <c r="BE535" s="35"/>
      <c r="BF535" s="35"/>
      <c r="BG535" s="35"/>
      <c r="BH535" s="35"/>
      <c r="BI535" s="35"/>
      <c r="BJ535" s="35"/>
      <c r="BK535" s="35"/>
      <c r="BL535" s="35"/>
      <c r="BM535" s="35"/>
      <c r="BN535" s="35"/>
      <c r="BO535" s="35"/>
      <c r="BP535" s="35"/>
      <c r="BQ535" s="35"/>
      <c r="BR535" s="35"/>
      <c r="BS535" s="35"/>
      <c r="BT535" s="35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35"/>
      <c r="CO535" s="35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35"/>
      <c r="DJ535" s="35"/>
      <c r="DK535" s="35"/>
      <c r="DL535" s="35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35"/>
      <c r="EE535" s="35"/>
      <c r="EF535" s="35"/>
      <c r="EG535" s="35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35"/>
      <c r="EZ535" s="35"/>
      <c r="FA535" s="35"/>
      <c r="FB535" s="35"/>
      <c r="FC535" s="35"/>
      <c r="FD535" s="35"/>
      <c r="FE535" s="35"/>
      <c r="FF535" s="35"/>
      <c r="FG535" s="35"/>
      <c r="FH535" s="35"/>
      <c r="FI535" s="35"/>
      <c r="FJ535" s="35"/>
      <c r="FK535" s="35"/>
      <c r="FL535" s="35"/>
      <c r="FM535" s="35"/>
      <c r="FN535" s="35"/>
      <c r="FO535" s="35"/>
      <c r="FP535" s="35"/>
      <c r="FQ535" s="35"/>
      <c r="FR535" s="35"/>
      <c r="FS535" s="35"/>
      <c r="FT535" s="35"/>
      <c r="FU535" s="35"/>
      <c r="FV535" s="35"/>
      <c r="FW535" s="35"/>
      <c r="FX535" s="35"/>
      <c r="FY535" s="35"/>
      <c r="FZ535" s="35"/>
      <c r="GA535" s="35"/>
      <c r="GB535" s="35"/>
      <c r="GC535" s="35"/>
      <c r="GD535" s="35"/>
      <c r="GE535" s="35"/>
      <c r="GF535" s="35"/>
      <c r="GG535" s="35"/>
      <c r="GH535" s="35"/>
      <c r="GI535" s="35"/>
      <c r="GJ535" s="35"/>
      <c r="GK535" s="35"/>
      <c r="GL535" s="35"/>
      <c r="GM535" s="35"/>
      <c r="GN535" s="35"/>
      <c r="GO535" s="35"/>
      <c r="GP535" s="35"/>
      <c r="GQ535" s="35"/>
      <c r="GR535" s="35"/>
      <c r="GS535" s="35"/>
      <c r="GT535" s="35"/>
      <c r="GU535" s="35"/>
      <c r="GV535" s="35"/>
      <c r="GW535" s="35"/>
      <c r="GX535" s="35"/>
      <c r="GY535" s="35"/>
      <c r="GZ535" s="35"/>
      <c r="HA535" s="35"/>
      <c r="HB535" s="35"/>
      <c r="HC535" s="35"/>
      <c r="HD535" s="35"/>
      <c r="HE535" s="35"/>
      <c r="HF535" s="35"/>
      <c r="HG535" s="35"/>
      <c r="HH535" s="35"/>
      <c r="HI535" s="35"/>
      <c r="HJ535" s="35"/>
      <c r="HK535" s="35"/>
      <c r="HL535" s="35"/>
      <c r="HM535" s="35"/>
      <c r="HN535" s="35"/>
      <c r="HO535" s="35"/>
      <c r="HP535" s="35"/>
      <c r="HQ535" s="35"/>
      <c r="HR535" s="35"/>
      <c r="HS535" s="35"/>
      <c r="HT535" s="35"/>
      <c r="HU535" s="35"/>
      <c r="HV535" s="35"/>
      <c r="HW535" s="35"/>
      <c r="HX535" s="35"/>
      <c r="HY535" s="35"/>
      <c r="HZ535" s="35"/>
      <c r="IA535" s="35"/>
      <c r="IB535" s="35"/>
      <c r="IC535" s="35"/>
      <c r="ID535" s="35"/>
      <c r="IE535" s="35"/>
      <c r="IF535" s="35"/>
      <c r="IG535" s="35"/>
      <c r="IH535" s="35"/>
      <c r="II535" s="35"/>
      <c r="IJ535" s="35"/>
      <c r="IK535" s="35"/>
      <c r="IL535" s="35"/>
      <c r="IM535" s="35"/>
      <c r="IN535" s="35"/>
      <c r="IO535" s="35"/>
      <c r="IP535" s="35"/>
      <c r="IQ535" s="35"/>
      <c r="IR535" s="35"/>
      <c r="IS535" s="35"/>
      <c r="IT535" s="35"/>
      <c r="IU535" s="35"/>
      <c r="IV535" s="35"/>
      <c r="IW535" s="35"/>
      <c r="IX535" s="35"/>
      <c r="IY535" s="35"/>
      <c r="IZ535" s="35"/>
      <c r="JA535" s="35"/>
      <c r="JB535" s="35"/>
      <c r="JC535" s="35"/>
      <c r="JD535" s="35"/>
      <c r="JE535" s="35"/>
    </row>
    <row r="536">
      <c r="A536" s="42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  <c r="AZ536" s="35"/>
      <c r="BA536" s="35"/>
      <c r="BB536" s="35"/>
      <c r="BC536" s="35"/>
      <c r="BD536" s="35"/>
      <c r="BE536" s="35"/>
      <c r="BF536" s="35"/>
      <c r="BG536" s="35"/>
      <c r="BH536" s="35"/>
      <c r="BI536" s="35"/>
      <c r="BJ536" s="35"/>
      <c r="BK536" s="35"/>
      <c r="BL536" s="35"/>
      <c r="BM536" s="35"/>
      <c r="BN536" s="35"/>
      <c r="BO536" s="35"/>
      <c r="BP536" s="35"/>
      <c r="BQ536" s="35"/>
      <c r="BR536" s="35"/>
      <c r="BS536" s="35"/>
      <c r="BT536" s="35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35"/>
      <c r="CO536" s="35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35"/>
      <c r="DJ536" s="35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35"/>
      <c r="EE536" s="35"/>
      <c r="EF536" s="35"/>
      <c r="EG536" s="35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35"/>
      <c r="EZ536" s="35"/>
      <c r="FA536" s="35"/>
      <c r="FB536" s="35"/>
      <c r="FC536" s="35"/>
      <c r="FD536" s="35"/>
      <c r="FE536" s="35"/>
      <c r="FF536" s="35"/>
      <c r="FG536" s="35"/>
      <c r="FH536" s="35"/>
      <c r="FI536" s="35"/>
      <c r="FJ536" s="35"/>
      <c r="FK536" s="35"/>
      <c r="FL536" s="35"/>
      <c r="FM536" s="35"/>
      <c r="FN536" s="35"/>
      <c r="FO536" s="35"/>
      <c r="FP536" s="35"/>
      <c r="FQ536" s="35"/>
      <c r="FR536" s="35"/>
      <c r="FS536" s="35"/>
      <c r="FT536" s="35"/>
      <c r="FU536" s="35"/>
      <c r="FV536" s="35"/>
      <c r="FW536" s="35"/>
      <c r="FX536" s="35"/>
      <c r="FY536" s="35"/>
      <c r="FZ536" s="35"/>
      <c r="GA536" s="35"/>
      <c r="GB536" s="35"/>
      <c r="GC536" s="35"/>
      <c r="GD536" s="35"/>
      <c r="GE536" s="35"/>
      <c r="GF536" s="35"/>
      <c r="GG536" s="35"/>
      <c r="GH536" s="35"/>
      <c r="GI536" s="35"/>
      <c r="GJ536" s="35"/>
      <c r="GK536" s="35"/>
      <c r="GL536" s="35"/>
      <c r="GM536" s="35"/>
      <c r="GN536" s="35"/>
      <c r="GO536" s="35"/>
      <c r="GP536" s="35"/>
      <c r="GQ536" s="35"/>
      <c r="GR536" s="35"/>
      <c r="GS536" s="35"/>
      <c r="GT536" s="35"/>
      <c r="GU536" s="35"/>
      <c r="GV536" s="35"/>
      <c r="GW536" s="35"/>
      <c r="GX536" s="35"/>
      <c r="GY536" s="35"/>
      <c r="GZ536" s="35"/>
      <c r="HA536" s="35"/>
      <c r="HB536" s="35"/>
      <c r="HC536" s="35"/>
      <c r="HD536" s="35"/>
      <c r="HE536" s="35"/>
      <c r="HF536" s="35"/>
      <c r="HG536" s="35"/>
      <c r="HH536" s="35"/>
      <c r="HI536" s="35"/>
      <c r="HJ536" s="35"/>
      <c r="HK536" s="35"/>
      <c r="HL536" s="35"/>
      <c r="HM536" s="35"/>
      <c r="HN536" s="35"/>
      <c r="HO536" s="35"/>
      <c r="HP536" s="35"/>
      <c r="HQ536" s="35"/>
      <c r="HR536" s="35"/>
      <c r="HS536" s="35"/>
      <c r="HT536" s="35"/>
      <c r="HU536" s="35"/>
      <c r="HV536" s="35"/>
      <c r="HW536" s="35"/>
      <c r="HX536" s="35"/>
      <c r="HY536" s="35"/>
      <c r="HZ536" s="35"/>
      <c r="IA536" s="35"/>
      <c r="IB536" s="35"/>
      <c r="IC536" s="35"/>
      <c r="ID536" s="35"/>
      <c r="IE536" s="35"/>
      <c r="IF536" s="35"/>
      <c r="IG536" s="35"/>
      <c r="IH536" s="35"/>
      <c r="II536" s="35"/>
      <c r="IJ536" s="35"/>
      <c r="IK536" s="35"/>
      <c r="IL536" s="35"/>
      <c r="IM536" s="35"/>
      <c r="IN536" s="35"/>
      <c r="IO536" s="35"/>
      <c r="IP536" s="35"/>
      <c r="IQ536" s="35"/>
      <c r="IR536" s="35"/>
      <c r="IS536" s="35"/>
      <c r="IT536" s="35"/>
      <c r="IU536" s="35"/>
      <c r="IV536" s="35"/>
      <c r="IW536" s="35"/>
      <c r="IX536" s="35"/>
      <c r="IY536" s="35"/>
      <c r="IZ536" s="35"/>
      <c r="JA536" s="35"/>
      <c r="JB536" s="35"/>
      <c r="JC536" s="35"/>
      <c r="JD536" s="35"/>
      <c r="JE536" s="35"/>
    </row>
    <row r="537">
      <c r="A537" s="42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35"/>
      <c r="BA537" s="35"/>
      <c r="BB537" s="35"/>
      <c r="BC537" s="35"/>
      <c r="BD537" s="35"/>
      <c r="BE537" s="35"/>
      <c r="BF537" s="35"/>
      <c r="BG537" s="35"/>
      <c r="BH537" s="35"/>
      <c r="BI537" s="35"/>
      <c r="BJ537" s="35"/>
      <c r="BK537" s="35"/>
      <c r="BL537" s="35"/>
      <c r="BM537" s="35"/>
      <c r="BN537" s="35"/>
      <c r="BO537" s="35"/>
      <c r="BP537" s="35"/>
      <c r="BQ537" s="35"/>
      <c r="BR537" s="35"/>
      <c r="BS537" s="35"/>
      <c r="BT537" s="35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35"/>
      <c r="CO537" s="35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35"/>
      <c r="DJ537" s="35"/>
      <c r="DK537" s="35"/>
      <c r="DL537" s="35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35"/>
      <c r="EE537" s="35"/>
      <c r="EF537" s="35"/>
      <c r="EG537" s="35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35"/>
      <c r="EZ537" s="35"/>
      <c r="FA537" s="35"/>
      <c r="FB537" s="35"/>
      <c r="FC537" s="35"/>
      <c r="FD537" s="35"/>
      <c r="FE537" s="35"/>
      <c r="FF537" s="35"/>
      <c r="FG537" s="35"/>
      <c r="FH537" s="35"/>
      <c r="FI537" s="35"/>
      <c r="FJ537" s="35"/>
      <c r="FK537" s="35"/>
      <c r="FL537" s="35"/>
      <c r="FM537" s="35"/>
      <c r="FN537" s="35"/>
      <c r="FO537" s="35"/>
      <c r="FP537" s="35"/>
      <c r="FQ537" s="35"/>
      <c r="FR537" s="35"/>
      <c r="FS537" s="35"/>
      <c r="FT537" s="35"/>
      <c r="FU537" s="35"/>
      <c r="FV537" s="35"/>
      <c r="FW537" s="35"/>
      <c r="FX537" s="35"/>
      <c r="FY537" s="35"/>
      <c r="FZ537" s="35"/>
      <c r="GA537" s="35"/>
      <c r="GB537" s="35"/>
      <c r="GC537" s="35"/>
      <c r="GD537" s="35"/>
      <c r="GE537" s="35"/>
      <c r="GF537" s="35"/>
      <c r="GG537" s="35"/>
      <c r="GH537" s="35"/>
      <c r="GI537" s="35"/>
      <c r="GJ537" s="35"/>
      <c r="GK537" s="35"/>
      <c r="GL537" s="35"/>
      <c r="GM537" s="35"/>
      <c r="GN537" s="35"/>
      <c r="GO537" s="35"/>
      <c r="GP537" s="35"/>
      <c r="GQ537" s="35"/>
      <c r="GR537" s="35"/>
      <c r="GS537" s="35"/>
      <c r="GT537" s="35"/>
      <c r="GU537" s="35"/>
      <c r="GV537" s="35"/>
      <c r="GW537" s="35"/>
      <c r="GX537" s="35"/>
      <c r="GY537" s="35"/>
      <c r="GZ537" s="35"/>
      <c r="HA537" s="35"/>
      <c r="HB537" s="35"/>
      <c r="HC537" s="35"/>
      <c r="HD537" s="35"/>
      <c r="HE537" s="35"/>
      <c r="HF537" s="35"/>
      <c r="HG537" s="35"/>
      <c r="HH537" s="35"/>
      <c r="HI537" s="35"/>
      <c r="HJ537" s="35"/>
      <c r="HK537" s="35"/>
      <c r="HL537" s="35"/>
      <c r="HM537" s="35"/>
      <c r="HN537" s="35"/>
      <c r="HO537" s="35"/>
      <c r="HP537" s="35"/>
      <c r="HQ537" s="35"/>
      <c r="HR537" s="35"/>
      <c r="HS537" s="35"/>
      <c r="HT537" s="35"/>
      <c r="HU537" s="35"/>
      <c r="HV537" s="35"/>
      <c r="HW537" s="35"/>
      <c r="HX537" s="35"/>
      <c r="HY537" s="35"/>
      <c r="HZ537" s="35"/>
      <c r="IA537" s="35"/>
      <c r="IB537" s="35"/>
      <c r="IC537" s="35"/>
      <c r="ID537" s="35"/>
      <c r="IE537" s="35"/>
      <c r="IF537" s="35"/>
      <c r="IG537" s="35"/>
      <c r="IH537" s="35"/>
      <c r="II537" s="35"/>
      <c r="IJ537" s="35"/>
      <c r="IK537" s="35"/>
      <c r="IL537" s="35"/>
      <c r="IM537" s="35"/>
      <c r="IN537" s="35"/>
      <c r="IO537" s="35"/>
      <c r="IP537" s="35"/>
      <c r="IQ537" s="35"/>
      <c r="IR537" s="35"/>
      <c r="IS537" s="35"/>
      <c r="IT537" s="35"/>
      <c r="IU537" s="35"/>
      <c r="IV537" s="35"/>
      <c r="IW537" s="35"/>
      <c r="IX537" s="35"/>
      <c r="IY537" s="35"/>
      <c r="IZ537" s="35"/>
      <c r="JA537" s="35"/>
      <c r="JB537" s="35"/>
      <c r="JC537" s="35"/>
      <c r="JD537" s="35"/>
      <c r="JE537" s="35"/>
    </row>
    <row r="538">
      <c r="A538" s="42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  <c r="AZ538" s="35"/>
      <c r="BA538" s="35"/>
      <c r="BB538" s="35"/>
      <c r="BC538" s="35"/>
      <c r="BD538" s="35"/>
      <c r="BE538" s="35"/>
      <c r="BF538" s="35"/>
      <c r="BG538" s="35"/>
      <c r="BH538" s="35"/>
      <c r="BI538" s="35"/>
      <c r="BJ538" s="35"/>
      <c r="BK538" s="35"/>
      <c r="BL538" s="35"/>
      <c r="BM538" s="35"/>
      <c r="BN538" s="35"/>
      <c r="BO538" s="35"/>
      <c r="BP538" s="35"/>
      <c r="BQ538" s="35"/>
      <c r="BR538" s="35"/>
      <c r="BS538" s="35"/>
      <c r="BT538" s="35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35"/>
      <c r="CO538" s="35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35"/>
      <c r="DJ538" s="35"/>
      <c r="DK538" s="35"/>
      <c r="DL538" s="35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35"/>
      <c r="EE538" s="35"/>
      <c r="EF538" s="35"/>
      <c r="EG538" s="35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35"/>
      <c r="EZ538" s="35"/>
      <c r="FA538" s="35"/>
      <c r="FB538" s="35"/>
      <c r="FC538" s="35"/>
      <c r="FD538" s="35"/>
      <c r="FE538" s="35"/>
      <c r="FF538" s="35"/>
      <c r="FG538" s="35"/>
      <c r="FH538" s="35"/>
      <c r="FI538" s="35"/>
      <c r="FJ538" s="35"/>
      <c r="FK538" s="35"/>
      <c r="FL538" s="35"/>
      <c r="FM538" s="35"/>
      <c r="FN538" s="35"/>
      <c r="FO538" s="35"/>
      <c r="FP538" s="35"/>
      <c r="FQ538" s="35"/>
      <c r="FR538" s="35"/>
      <c r="FS538" s="35"/>
      <c r="FT538" s="35"/>
      <c r="FU538" s="35"/>
      <c r="FV538" s="35"/>
      <c r="FW538" s="35"/>
      <c r="FX538" s="35"/>
      <c r="FY538" s="35"/>
      <c r="FZ538" s="35"/>
      <c r="GA538" s="35"/>
      <c r="GB538" s="35"/>
      <c r="GC538" s="35"/>
      <c r="GD538" s="35"/>
      <c r="GE538" s="35"/>
      <c r="GF538" s="35"/>
      <c r="GG538" s="35"/>
      <c r="GH538" s="35"/>
      <c r="GI538" s="35"/>
      <c r="GJ538" s="35"/>
      <c r="GK538" s="35"/>
      <c r="GL538" s="35"/>
      <c r="GM538" s="35"/>
      <c r="GN538" s="35"/>
      <c r="GO538" s="35"/>
      <c r="GP538" s="35"/>
      <c r="GQ538" s="35"/>
      <c r="GR538" s="35"/>
      <c r="GS538" s="35"/>
      <c r="GT538" s="35"/>
      <c r="GU538" s="35"/>
      <c r="GV538" s="35"/>
      <c r="GW538" s="35"/>
      <c r="GX538" s="35"/>
      <c r="GY538" s="35"/>
      <c r="GZ538" s="35"/>
      <c r="HA538" s="35"/>
      <c r="HB538" s="35"/>
      <c r="HC538" s="35"/>
      <c r="HD538" s="35"/>
      <c r="HE538" s="35"/>
      <c r="HF538" s="35"/>
      <c r="HG538" s="35"/>
      <c r="HH538" s="35"/>
      <c r="HI538" s="35"/>
      <c r="HJ538" s="35"/>
      <c r="HK538" s="35"/>
      <c r="HL538" s="35"/>
      <c r="HM538" s="35"/>
      <c r="HN538" s="35"/>
      <c r="HO538" s="35"/>
      <c r="HP538" s="35"/>
      <c r="HQ538" s="35"/>
      <c r="HR538" s="35"/>
      <c r="HS538" s="35"/>
      <c r="HT538" s="35"/>
      <c r="HU538" s="35"/>
      <c r="HV538" s="35"/>
      <c r="HW538" s="35"/>
      <c r="HX538" s="35"/>
      <c r="HY538" s="35"/>
      <c r="HZ538" s="35"/>
      <c r="IA538" s="35"/>
      <c r="IB538" s="35"/>
      <c r="IC538" s="35"/>
      <c r="ID538" s="35"/>
      <c r="IE538" s="35"/>
      <c r="IF538" s="35"/>
      <c r="IG538" s="35"/>
      <c r="IH538" s="35"/>
      <c r="II538" s="35"/>
      <c r="IJ538" s="35"/>
      <c r="IK538" s="35"/>
      <c r="IL538" s="35"/>
      <c r="IM538" s="35"/>
      <c r="IN538" s="35"/>
      <c r="IO538" s="35"/>
      <c r="IP538" s="35"/>
      <c r="IQ538" s="35"/>
      <c r="IR538" s="35"/>
      <c r="IS538" s="35"/>
      <c r="IT538" s="35"/>
      <c r="IU538" s="35"/>
      <c r="IV538" s="35"/>
      <c r="IW538" s="35"/>
      <c r="IX538" s="35"/>
      <c r="IY538" s="35"/>
      <c r="IZ538" s="35"/>
      <c r="JA538" s="35"/>
      <c r="JB538" s="35"/>
      <c r="JC538" s="35"/>
      <c r="JD538" s="35"/>
      <c r="JE538" s="35"/>
    </row>
    <row r="539">
      <c r="A539" s="42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35"/>
      <c r="BA539" s="35"/>
      <c r="BB539" s="35"/>
      <c r="BC539" s="35"/>
      <c r="BD539" s="35"/>
      <c r="BE539" s="35"/>
      <c r="BF539" s="35"/>
      <c r="BG539" s="35"/>
      <c r="BH539" s="35"/>
      <c r="BI539" s="35"/>
      <c r="BJ539" s="35"/>
      <c r="BK539" s="35"/>
      <c r="BL539" s="35"/>
      <c r="BM539" s="35"/>
      <c r="BN539" s="35"/>
      <c r="BO539" s="35"/>
      <c r="BP539" s="35"/>
      <c r="BQ539" s="35"/>
      <c r="BR539" s="35"/>
      <c r="BS539" s="35"/>
      <c r="BT539" s="35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35"/>
      <c r="CO539" s="35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35"/>
      <c r="DJ539" s="35"/>
      <c r="DK539" s="35"/>
      <c r="DL539" s="35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35"/>
      <c r="EE539" s="35"/>
      <c r="EF539" s="35"/>
      <c r="EG539" s="35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35"/>
      <c r="EZ539" s="35"/>
      <c r="FA539" s="35"/>
      <c r="FB539" s="35"/>
      <c r="FC539" s="35"/>
      <c r="FD539" s="35"/>
      <c r="FE539" s="35"/>
      <c r="FF539" s="35"/>
      <c r="FG539" s="35"/>
      <c r="FH539" s="35"/>
      <c r="FI539" s="35"/>
      <c r="FJ539" s="35"/>
      <c r="FK539" s="35"/>
      <c r="FL539" s="35"/>
      <c r="FM539" s="35"/>
      <c r="FN539" s="35"/>
      <c r="FO539" s="35"/>
      <c r="FP539" s="35"/>
      <c r="FQ539" s="35"/>
      <c r="FR539" s="35"/>
      <c r="FS539" s="35"/>
      <c r="FT539" s="35"/>
      <c r="FU539" s="35"/>
      <c r="FV539" s="35"/>
      <c r="FW539" s="35"/>
      <c r="FX539" s="35"/>
      <c r="FY539" s="35"/>
      <c r="FZ539" s="35"/>
      <c r="GA539" s="35"/>
      <c r="GB539" s="35"/>
      <c r="GC539" s="35"/>
      <c r="GD539" s="35"/>
      <c r="GE539" s="35"/>
      <c r="GF539" s="35"/>
      <c r="GG539" s="35"/>
      <c r="GH539" s="35"/>
      <c r="GI539" s="35"/>
      <c r="GJ539" s="35"/>
      <c r="GK539" s="35"/>
      <c r="GL539" s="35"/>
      <c r="GM539" s="35"/>
      <c r="GN539" s="35"/>
      <c r="GO539" s="35"/>
      <c r="GP539" s="35"/>
      <c r="GQ539" s="35"/>
      <c r="GR539" s="35"/>
      <c r="GS539" s="35"/>
      <c r="GT539" s="35"/>
      <c r="GU539" s="35"/>
      <c r="GV539" s="35"/>
      <c r="GW539" s="35"/>
      <c r="GX539" s="35"/>
      <c r="GY539" s="35"/>
      <c r="GZ539" s="35"/>
      <c r="HA539" s="35"/>
      <c r="HB539" s="35"/>
      <c r="HC539" s="35"/>
      <c r="HD539" s="35"/>
      <c r="HE539" s="35"/>
      <c r="HF539" s="35"/>
      <c r="HG539" s="35"/>
      <c r="HH539" s="35"/>
      <c r="HI539" s="35"/>
      <c r="HJ539" s="35"/>
      <c r="HK539" s="35"/>
      <c r="HL539" s="35"/>
      <c r="HM539" s="35"/>
      <c r="HN539" s="35"/>
      <c r="HO539" s="35"/>
      <c r="HP539" s="35"/>
      <c r="HQ539" s="35"/>
      <c r="HR539" s="35"/>
      <c r="HS539" s="35"/>
      <c r="HT539" s="35"/>
      <c r="HU539" s="35"/>
      <c r="HV539" s="35"/>
      <c r="HW539" s="35"/>
      <c r="HX539" s="35"/>
      <c r="HY539" s="35"/>
      <c r="HZ539" s="35"/>
      <c r="IA539" s="35"/>
      <c r="IB539" s="35"/>
      <c r="IC539" s="35"/>
      <c r="ID539" s="35"/>
      <c r="IE539" s="35"/>
      <c r="IF539" s="35"/>
      <c r="IG539" s="35"/>
      <c r="IH539" s="35"/>
      <c r="II539" s="35"/>
      <c r="IJ539" s="35"/>
      <c r="IK539" s="35"/>
      <c r="IL539" s="35"/>
      <c r="IM539" s="35"/>
      <c r="IN539" s="35"/>
      <c r="IO539" s="35"/>
      <c r="IP539" s="35"/>
      <c r="IQ539" s="35"/>
      <c r="IR539" s="35"/>
      <c r="IS539" s="35"/>
      <c r="IT539" s="35"/>
      <c r="IU539" s="35"/>
      <c r="IV539" s="35"/>
      <c r="IW539" s="35"/>
      <c r="IX539" s="35"/>
      <c r="IY539" s="35"/>
      <c r="IZ539" s="35"/>
      <c r="JA539" s="35"/>
      <c r="JB539" s="35"/>
      <c r="JC539" s="35"/>
      <c r="JD539" s="35"/>
      <c r="JE539" s="35"/>
    </row>
    <row r="540">
      <c r="A540" s="42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  <c r="AZ540" s="35"/>
      <c r="BA540" s="35"/>
      <c r="BB540" s="35"/>
      <c r="BC540" s="35"/>
      <c r="BD540" s="35"/>
      <c r="BE540" s="35"/>
      <c r="BF540" s="35"/>
      <c r="BG540" s="35"/>
      <c r="BH540" s="35"/>
      <c r="BI540" s="35"/>
      <c r="BJ540" s="35"/>
      <c r="BK540" s="35"/>
      <c r="BL540" s="35"/>
      <c r="BM540" s="35"/>
      <c r="BN540" s="35"/>
      <c r="BO540" s="35"/>
      <c r="BP540" s="35"/>
      <c r="BQ540" s="35"/>
      <c r="BR540" s="35"/>
      <c r="BS540" s="35"/>
      <c r="BT540" s="35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35"/>
      <c r="CO540" s="35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35"/>
      <c r="DJ540" s="35"/>
      <c r="DK540" s="35"/>
      <c r="DL540" s="35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35"/>
      <c r="EE540" s="35"/>
      <c r="EF540" s="35"/>
      <c r="EG540" s="35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35"/>
      <c r="EZ540" s="35"/>
      <c r="FA540" s="35"/>
      <c r="FB540" s="35"/>
      <c r="FC540" s="35"/>
      <c r="FD540" s="35"/>
      <c r="FE540" s="35"/>
      <c r="FF540" s="35"/>
      <c r="FG540" s="35"/>
      <c r="FH540" s="35"/>
      <c r="FI540" s="35"/>
      <c r="FJ540" s="35"/>
      <c r="FK540" s="35"/>
      <c r="FL540" s="35"/>
      <c r="FM540" s="35"/>
      <c r="FN540" s="35"/>
      <c r="FO540" s="35"/>
      <c r="FP540" s="35"/>
      <c r="FQ540" s="35"/>
      <c r="FR540" s="35"/>
      <c r="FS540" s="35"/>
      <c r="FT540" s="35"/>
      <c r="FU540" s="35"/>
      <c r="FV540" s="35"/>
      <c r="FW540" s="35"/>
      <c r="FX540" s="35"/>
      <c r="FY540" s="35"/>
      <c r="FZ540" s="35"/>
      <c r="GA540" s="35"/>
      <c r="GB540" s="35"/>
      <c r="GC540" s="35"/>
      <c r="GD540" s="35"/>
      <c r="GE540" s="35"/>
      <c r="GF540" s="35"/>
      <c r="GG540" s="35"/>
      <c r="GH540" s="35"/>
      <c r="GI540" s="35"/>
      <c r="GJ540" s="35"/>
      <c r="GK540" s="35"/>
      <c r="GL540" s="35"/>
      <c r="GM540" s="35"/>
      <c r="GN540" s="35"/>
      <c r="GO540" s="35"/>
      <c r="GP540" s="35"/>
      <c r="GQ540" s="35"/>
      <c r="GR540" s="35"/>
      <c r="GS540" s="35"/>
      <c r="GT540" s="35"/>
      <c r="GU540" s="35"/>
      <c r="GV540" s="35"/>
      <c r="GW540" s="35"/>
      <c r="GX540" s="35"/>
      <c r="GY540" s="35"/>
      <c r="GZ540" s="35"/>
      <c r="HA540" s="35"/>
      <c r="HB540" s="35"/>
      <c r="HC540" s="35"/>
      <c r="HD540" s="35"/>
      <c r="HE540" s="35"/>
      <c r="HF540" s="35"/>
      <c r="HG540" s="35"/>
      <c r="HH540" s="35"/>
      <c r="HI540" s="35"/>
      <c r="HJ540" s="35"/>
      <c r="HK540" s="35"/>
      <c r="HL540" s="35"/>
      <c r="HM540" s="35"/>
      <c r="HN540" s="35"/>
      <c r="HO540" s="35"/>
      <c r="HP540" s="35"/>
      <c r="HQ540" s="35"/>
      <c r="HR540" s="35"/>
      <c r="HS540" s="35"/>
      <c r="HT540" s="35"/>
      <c r="HU540" s="35"/>
      <c r="HV540" s="35"/>
      <c r="HW540" s="35"/>
      <c r="HX540" s="35"/>
      <c r="HY540" s="35"/>
      <c r="HZ540" s="35"/>
      <c r="IA540" s="35"/>
      <c r="IB540" s="35"/>
      <c r="IC540" s="35"/>
      <c r="ID540" s="35"/>
      <c r="IE540" s="35"/>
      <c r="IF540" s="35"/>
      <c r="IG540" s="35"/>
      <c r="IH540" s="35"/>
      <c r="II540" s="35"/>
      <c r="IJ540" s="35"/>
      <c r="IK540" s="35"/>
      <c r="IL540" s="35"/>
      <c r="IM540" s="35"/>
      <c r="IN540" s="35"/>
      <c r="IO540" s="35"/>
      <c r="IP540" s="35"/>
      <c r="IQ540" s="35"/>
      <c r="IR540" s="35"/>
      <c r="IS540" s="35"/>
      <c r="IT540" s="35"/>
      <c r="IU540" s="35"/>
      <c r="IV540" s="35"/>
      <c r="IW540" s="35"/>
      <c r="IX540" s="35"/>
      <c r="IY540" s="35"/>
      <c r="IZ540" s="35"/>
      <c r="JA540" s="35"/>
      <c r="JB540" s="35"/>
      <c r="JC540" s="35"/>
      <c r="JD540" s="35"/>
      <c r="JE540" s="35"/>
    </row>
    <row r="541">
      <c r="A541" s="42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35"/>
      <c r="BA541" s="35"/>
      <c r="BB541" s="35"/>
      <c r="BC541" s="35"/>
      <c r="BD541" s="35"/>
      <c r="BE541" s="35"/>
      <c r="BF541" s="35"/>
      <c r="BG541" s="35"/>
      <c r="BH541" s="35"/>
      <c r="BI541" s="35"/>
      <c r="BJ541" s="35"/>
      <c r="BK541" s="35"/>
      <c r="BL541" s="35"/>
      <c r="BM541" s="35"/>
      <c r="BN541" s="35"/>
      <c r="BO541" s="35"/>
      <c r="BP541" s="35"/>
      <c r="BQ541" s="35"/>
      <c r="BR541" s="35"/>
      <c r="BS541" s="35"/>
      <c r="BT541" s="35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35"/>
      <c r="CO541" s="35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35"/>
      <c r="DJ541" s="35"/>
      <c r="DK541" s="35"/>
      <c r="DL541" s="35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35"/>
      <c r="EE541" s="35"/>
      <c r="EF541" s="35"/>
      <c r="EG541" s="35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35"/>
      <c r="EZ541" s="35"/>
      <c r="FA541" s="35"/>
      <c r="FB541" s="35"/>
      <c r="FC541" s="35"/>
      <c r="FD541" s="35"/>
      <c r="FE541" s="35"/>
      <c r="FF541" s="35"/>
      <c r="FG541" s="35"/>
      <c r="FH541" s="35"/>
      <c r="FI541" s="35"/>
      <c r="FJ541" s="35"/>
      <c r="FK541" s="35"/>
      <c r="FL541" s="35"/>
      <c r="FM541" s="35"/>
      <c r="FN541" s="35"/>
      <c r="FO541" s="35"/>
      <c r="FP541" s="35"/>
      <c r="FQ541" s="35"/>
      <c r="FR541" s="35"/>
      <c r="FS541" s="35"/>
      <c r="FT541" s="35"/>
      <c r="FU541" s="35"/>
      <c r="FV541" s="35"/>
      <c r="FW541" s="35"/>
      <c r="FX541" s="35"/>
      <c r="FY541" s="35"/>
      <c r="FZ541" s="35"/>
      <c r="GA541" s="35"/>
      <c r="GB541" s="35"/>
      <c r="GC541" s="35"/>
      <c r="GD541" s="35"/>
      <c r="GE541" s="35"/>
      <c r="GF541" s="35"/>
      <c r="GG541" s="35"/>
      <c r="GH541" s="35"/>
      <c r="GI541" s="35"/>
      <c r="GJ541" s="35"/>
      <c r="GK541" s="35"/>
      <c r="GL541" s="35"/>
      <c r="GM541" s="35"/>
      <c r="GN541" s="35"/>
      <c r="GO541" s="35"/>
      <c r="GP541" s="35"/>
      <c r="GQ541" s="35"/>
      <c r="GR541" s="35"/>
      <c r="GS541" s="35"/>
      <c r="GT541" s="35"/>
      <c r="GU541" s="35"/>
      <c r="GV541" s="35"/>
      <c r="GW541" s="35"/>
      <c r="GX541" s="35"/>
      <c r="GY541" s="35"/>
      <c r="GZ541" s="35"/>
      <c r="HA541" s="35"/>
      <c r="HB541" s="35"/>
      <c r="HC541" s="35"/>
      <c r="HD541" s="35"/>
      <c r="HE541" s="35"/>
      <c r="HF541" s="35"/>
      <c r="HG541" s="35"/>
      <c r="HH541" s="35"/>
      <c r="HI541" s="35"/>
      <c r="HJ541" s="35"/>
      <c r="HK541" s="35"/>
      <c r="HL541" s="35"/>
      <c r="HM541" s="35"/>
      <c r="HN541" s="35"/>
      <c r="HO541" s="35"/>
      <c r="HP541" s="35"/>
      <c r="HQ541" s="35"/>
      <c r="HR541" s="35"/>
      <c r="HS541" s="35"/>
      <c r="HT541" s="35"/>
      <c r="HU541" s="35"/>
      <c r="HV541" s="35"/>
      <c r="HW541" s="35"/>
      <c r="HX541" s="35"/>
      <c r="HY541" s="35"/>
      <c r="HZ541" s="35"/>
      <c r="IA541" s="35"/>
      <c r="IB541" s="35"/>
      <c r="IC541" s="35"/>
      <c r="ID541" s="35"/>
      <c r="IE541" s="35"/>
      <c r="IF541" s="35"/>
      <c r="IG541" s="35"/>
      <c r="IH541" s="35"/>
      <c r="II541" s="35"/>
      <c r="IJ541" s="35"/>
      <c r="IK541" s="35"/>
      <c r="IL541" s="35"/>
      <c r="IM541" s="35"/>
      <c r="IN541" s="35"/>
      <c r="IO541" s="35"/>
      <c r="IP541" s="35"/>
      <c r="IQ541" s="35"/>
      <c r="IR541" s="35"/>
      <c r="IS541" s="35"/>
      <c r="IT541" s="35"/>
      <c r="IU541" s="35"/>
      <c r="IV541" s="35"/>
      <c r="IW541" s="35"/>
      <c r="IX541" s="35"/>
      <c r="IY541" s="35"/>
      <c r="IZ541" s="35"/>
      <c r="JA541" s="35"/>
      <c r="JB541" s="35"/>
      <c r="JC541" s="35"/>
      <c r="JD541" s="35"/>
      <c r="JE541" s="35"/>
    </row>
    <row r="542">
      <c r="A542" s="42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  <c r="AZ542" s="35"/>
      <c r="BA542" s="35"/>
      <c r="BB542" s="35"/>
      <c r="BC542" s="35"/>
      <c r="BD542" s="35"/>
      <c r="BE542" s="35"/>
      <c r="BF542" s="35"/>
      <c r="BG542" s="35"/>
      <c r="BH542" s="35"/>
      <c r="BI542" s="35"/>
      <c r="BJ542" s="35"/>
      <c r="BK542" s="35"/>
      <c r="BL542" s="35"/>
      <c r="BM542" s="35"/>
      <c r="BN542" s="35"/>
      <c r="BO542" s="35"/>
      <c r="BP542" s="35"/>
      <c r="BQ542" s="35"/>
      <c r="BR542" s="35"/>
      <c r="BS542" s="35"/>
      <c r="BT542" s="35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35"/>
      <c r="CO542" s="35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35"/>
      <c r="DJ542" s="35"/>
      <c r="DK542" s="35"/>
      <c r="DL542" s="35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35"/>
      <c r="EE542" s="35"/>
      <c r="EF542" s="35"/>
      <c r="EG542" s="35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35"/>
      <c r="EZ542" s="35"/>
      <c r="FA542" s="35"/>
      <c r="FB542" s="35"/>
      <c r="FC542" s="35"/>
      <c r="FD542" s="35"/>
      <c r="FE542" s="35"/>
      <c r="FF542" s="35"/>
      <c r="FG542" s="35"/>
      <c r="FH542" s="35"/>
      <c r="FI542" s="35"/>
      <c r="FJ542" s="35"/>
      <c r="FK542" s="35"/>
      <c r="FL542" s="35"/>
      <c r="FM542" s="35"/>
      <c r="FN542" s="35"/>
      <c r="FO542" s="35"/>
      <c r="FP542" s="35"/>
      <c r="FQ542" s="35"/>
      <c r="FR542" s="35"/>
      <c r="FS542" s="35"/>
      <c r="FT542" s="35"/>
      <c r="FU542" s="35"/>
      <c r="FV542" s="35"/>
      <c r="FW542" s="35"/>
      <c r="FX542" s="35"/>
      <c r="FY542" s="35"/>
      <c r="FZ542" s="35"/>
      <c r="GA542" s="35"/>
      <c r="GB542" s="35"/>
      <c r="GC542" s="35"/>
      <c r="GD542" s="35"/>
      <c r="GE542" s="35"/>
      <c r="GF542" s="35"/>
      <c r="GG542" s="35"/>
      <c r="GH542" s="35"/>
      <c r="GI542" s="35"/>
      <c r="GJ542" s="35"/>
      <c r="GK542" s="35"/>
      <c r="GL542" s="35"/>
      <c r="GM542" s="35"/>
      <c r="GN542" s="35"/>
      <c r="GO542" s="35"/>
      <c r="GP542" s="35"/>
      <c r="GQ542" s="35"/>
      <c r="GR542" s="35"/>
      <c r="GS542" s="35"/>
      <c r="GT542" s="35"/>
      <c r="GU542" s="35"/>
      <c r="GV542" s="35"/>
      <c r="GW542" s="35"/>
      <c r="GX542" s="35"/>
      <c r="GY542" s="35"/>
      <c r="GZ542" s="35"/>
      <c r="HA542" s="35"/>
      <c r="HB542" s="35"/>
      <c r="HC542" s="35"/>
      <c r="HD542" s="35"/>
      <c r="HE542" s="35"/>
      <c r="HF542" s="35"/>
      <c r="HG542" s="35"/>
      <c r="HH542" s="35"/>
      <c r="HI542" s="35"/>
      <c r="HJ542" s="35"/>
      <c r="HK542" s="35"/>
      <c r="HL542" s="35"/>
      <c r="HM542" s="35"/>
      <c r="HN542" s="35"/>
      <c r="HO542" s="35"/>
      <c r="HP542" s="35"/>
      <c r="HQ542" s="35"/>
      <c r="HR542" s="35"/>
      <c r="HS542" s="35"/>
      <c r="HT542" s="35"/>
      <c r="HU542" s="35"/>
      <c r="HV542" s="35"/>
      <c r="HW542" s="35"/>
      <c r="HX542" s="35"/>
      <c r="HY542" s="35"/>
      <c r="HZ542" s="35"/>
      <c r="IA542" s="35"/>
      <c r="IB542" s="35"/>
      <c r="IC542" s="35"/>
      <c r="ID542" s="35"/>
      <c r="IE542" s="35"/>
      <c r="IF542" s="35"/>
      <c r="IG542" s="35"/>
      <c r="IH542" s="35"/>
      <c r="II542" s="35"/>
      <c r="IJ542" s="35"/>
      <c r="IK542" s="35"/>
      <c r="IL542" s="35"/>
      <c r="IM542" s="35"/>
      <c r="IN542" s="35"/>
      <c r="IO542" s="35"/>
      <c r="IP542" s="35"/>
      <c r="IQ542" s="35"/>
      <c r="IR542" s="35"/>
      <c r="IS542" s="35"/>
      <c r="IT542" s="35"/>
      <c r="IU542" s="35"/>
      <c r="IV542" s="35"/>
      <c r="IW542" s="35"/>
      <c r="IX542" s="35"/>
      <c r="IY542" s="35"/>
      <c r="IZ542" s="35"/>
      <c r="JA542" s="35"/>
      <c r="JB542" s="35"/>
      <c r="JC542" s="35"/>
      <c r="JD542" s="35"/>
      <c r="JE542" s="35"/>
    </row>
    <row r="543">
      <c r="A543" s="42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35"/>
      <c r="BA543" s="35"/>
      <c r="BB543" s="35"/>
      <c r="BC543" s="35"/>
      <c r="BD543" s="35"/>
      <c r="BE543" s="35"/>
      <c r="BF543" s="35"/>
      <c r="BG543" s="35"/>
      <c r="BH543" s="35"/>
      <c r="BI543" s="35"/>
      <c r="BJ543" s="35"/>
      <c r="BK543" s="35"/>
      <c r="BL543" s="35"/>
      <c r="BM543" s="35"/>
      <c r="BN543" s="35"/>
      <c r="BO543" s="35"/>
      <c r="BP543" s="35"/>
      <c r="BQ543" s="35"/>
      <c r="BR543" s="35"/>
      <c r="BS543" s="35"/>
      <c r="BT543" s="35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35"/>
      <c r="CO543" s="35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35"/>
      <c r="DJ543" s="35"/>
      <c r="DK543" s="35"/>
      <c r="DL543" s="35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35"/>
      <c r="EE543" s="35"/>
      <c r="EF543" s="35"/>
      <c r="EG543" s="35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35"/>
      <c r="EZ543" s="35"/>
      <c r="FA543" s="35"/>
      <c r="FB543" s="35"/>
      <c r="FC543" s="35"/>
      <c r="FD543" s="35"/>
      <c r="FE543" s="35"/>
      <c r="FF543" s="35"/>
      <c r="FG543" s="35"/>
      <c r="FH543" s="35"/>
      <c r="FI543" s="35"/>
      <c r="FJ543" s="35"/>
      <c r="FK543" s="35"/>
      <c r="FL543" s="35"/>
      <c r="FM543" s="35"/>
      <c r="FN543" s="35"/>
      <c r="FO543" s="35"/>
      <c r="FP543" s="35"/>
      <c r="FQ543" s="35"/>
      <c r="FR543" s="35"/>
      <c r="FS543" s="35"/>
      <c r="FT543" s="35"/>
      <c r="FU543" s="35"/>
      <c r="FV543" s="35"/>
      <c r="FW543" s="35"/>
      <c r="FX543" s="35"/>
      <c r="FY543" s="35"/>
      <c r="FZ543" s="35"/>
      <c r="GA543" s="35"/>
      <c r="GB543" s="35"/>
      <c r="GC543" s="35"/>
      <c r="GD543" s="35"/>
      <c r="GE543" s="35"/>
      <c r="GF543" s="35"/>
      <c r="GG543" s="35"/>
      <c r="GH543" s="35"/>
      <c r="GI543" s="35"/>
      <c r="GJ543" s="35"/>
      <c r="GK543" s="35"/>
      <c r="GL543" s="35"/>
      <c r="GM543" s="35"/>
      <c r="GN543" s="35"/>
      <c r="GO543" s="35"/>
      <c r="GP543" s="35"/>
      <c r="GQ543" s="35"/>
      <c r="GR543" s="35"/>
      <c r="GS543" s="35"/>
      <c r="GT543" s="35"/>
      <c r="GU543" s="35"/>
      <c r="GV543" s="35"/>
      <c r="GW543" s="35"/>
      <c r="GX543" s="35"/>
      <c r="GY543" s="35"/>
      <c r="GZ543" s="35"/>
      <c r="HA543" s="35"/>
      <c r="HB543" s="35"/>
      <c r="HC543" s="35"/>
      <c r="HD543" s="35"/>
      <c r="HE543" s="35"/>
      <c r="HF543" s="35"/>
      <c r="HG543" s="35"/>
      <c r="HH543" s="35"/>
      <c r="HI543" s="35"/>
      <c r="HJ543" s="35"/>
      <c r="HK543" s="35"/>
      <c r="HL543" s="35"/>
      <c r="HM543" s="35"/>
      <c r="HN543" s="35"/>
      <c r="HO543" s="35"/>
      <c r="HP543" s="35"/>
      <c r="HQ543" s="35"/>
      <c r="HR543" s="35"/>
      <c r="HS543" s="35"/>
      <c r="HT543" s="35"/>
      <c r="HU543" s="35"/>
      <c r="HV543" s="35"/>
      <c r="HW543" s="35"/>
      <c r="HX543" s="35"/>
      <c r="HY543" s="35"/>
      <c r="HZ543" s="35"/>
      <c r="IA543" s="35"/>
      <c r="IB543" s="35"/>
      <c r="IC543" s="35"/>
      <c r="ID543" s="35"/>
      <c r="IE543" s="35"/>
      <c r="IF543" s="35"/>
      <c r="IG543" s="35"/>
      <c r="IH543" s="35"/>
      <c r="II543" s="35"/>
      <c r="IJ543" s="35"/>
      <c r="IK543" s="35"/>
      <c r="IL543" s="35"/>
      <c r="IM543" s="35"/>
      <c r="IN543" s="35"/>
      <c r="IO543" s="35"/>
      <c r="IP543" s="35"/>
      <c r="IQ543" s="35"/>
      <c r="IR543" s="35"/>
      <c r="IS543" s="35"/>
      <c r="IT543" s="35"/>
      <c r="IU543" s="35"/>
      <c r="IV543" s="35"/>
      <c r="IW543" s="35"/>
      <c r="IX543" s="35"/>
      <c r="IY543" s="35"/>
      <c r="IZ543" s="35"/>
      <c r="JA543" s="35"/>
      <c r="JB543" s="35"/>
      <c r="JC543" s="35"/>
      <c r="JD543" s="35"/>
      <c r="JE543" s="35"/>
    </row>
    <row r="544">
      <c r="A544" s="42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  <c r="AZ544" s="35"/>
      <c r="BA544" s="35"/>
      <c r="BB544" s="35"/>
      <c r="BC544" s="35"/>
      <c r="BD544" s="35"/>
      <c r="BE544" s="35"/>
      <c r="BF544" s="35"/>
      <c r="BG544" s="35"/>
      <c r="BH544" s="35"/>
      <c r="BI544" s="35"/>
      <c r="BJ544" s="35"/>
      <c r="BK544" s="35"/>
      <c r="BL544" s="35"/>
      <c r="BM544" s="35"/>
      <c r="BN544" s="35"/>
      <c r="BO544" s="35"/>
      <c r="BP544" s="35"/>
      <c r="BQ544" s="35"/>
      <c r="BR544" s="35"/>
      <c r="BS544" s="35"/>
      <c r="BT544" s="35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35"/>
      <c r="CO544" s="35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35"/>
      <c r="DJ544" s="35"/>
      <c r="DK544" s="35"/>
      <c r="DL544" s="35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35"/>
      <c r="EE544" s="35"/>
      <c r="EF544" s="35"/>
      <c r="EG544" s="35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35"/>
      <c r="EZ544" s="35"/>
      <c r="FA544" s="35"/>
      <c r="FB544" s="35"/>
      <c r="FC544" s="35"/>
      <c r="FD544" s="35"/>
      <c r="FE544" s="35"/>
      <c r="FF544" s="35"/>
      <c r="FG544" s="35"/>
      <c r="FH544" s="35"/>
      <c r="FI544" s="35"/>
      <c r="FJ544" s="35"/>
      <c r="FK544" s="35"/>
      <c r="FL544" s="35"/>
      <c r="FM544" s="35"/>
      <c r="FN544" s="35"/>
      <c r="FO544" s="35"/>
      <c r="FP544" s="35"/>
      <c r="FQ544" s="35"/>
      <c r="FR544" s="35"/>
      <c r="FS544" s="35"/>
      <c r="FT544" s="35"/>
      <c r="FU544" s="35"/>
      <c r="FV544" s="35"/>
      <c r="FW544" s="35"/>
      <c r="FX544" s="35"/>
      <c r="FY544" s="35"/>
      <c r="FZ544" s="35"/>
      <c r="GA544" s="35"/>
      <c r="GB544" s="35"/>
      <c r="GC544" s="35"/>
      <c r="GD544" s="35"/>
      <c r="GE544" s="35"/>
      <c r="GF544" s="35"/>
      <c r="GG544" s="35"/>
      <c r="GH544" s="35"/>
      <c r="GI544" s="35"/>
      <c r="GJ544" s="35"/>
      <c r="GK544" s="35"/>
      <c r="GL544" s="35"/>
      <c r="GM544" s="35"/>
      <c r="GN544" s="35"/>
      <c r="GO544" s="35"/>
      <c r="GP544" s="35"/>
      <c r="GQ544" s="35"/>
      <c r="GR544" s="35"/>
      <c r="GS544" s="35"/>
      <c r="GT544" s="35"/>
      <c r="GU544" s="35"/>
      <c r="GV544" s="35"/>
      <c r="GW544" s="35"/>
      <c r="GX544" s="35"/>
      <c r="GY544" s="35"/>
      <c r="GZ544" s="35"/>
      <c r="HA544" s="35"/>
      <c r="HB544" s="35"/>
      <c r="HC544" s="35"/>
      <c r="HD544" s="35"/>
      <c r="HE544" s="35"/>
      <c r="HF544" s="35"/>
      <c r="HG544" s="35"/>
      <c r="HH544" s="35"/>
      <c r="HI544" s="35"/>
      <c r="HJ544" s="35"/>
      <c r="HK544" s="35"/>
      <c r="HL544" s="35"/>
      <c r="HM544" s="35"/>
      <c r="HN544" s="35"/>
      <c r="HO544" s="35"/>
      <c r="HP544" s="35"/>
      <c r="HQ544" s="35"/>
      <c r="HR544" s="35"/>
      <c r="HS544" s="35"/>
      <c r="HT544" s="35"/>
      <c r="HU544" s="35"/>
      <c r="HV544" s="35"/>
      <c r="HW544" s="35"/>
      <c r="HX544" s="35"/>
      <c r="HY544" s="35"/>
      <c r="HZ544" s="35"/>
      <c r="IA544" s="35"/>
      <c r="IB544" s="35"/>
      <c r="IC544" s="35"/>
      <c r="ID544" s="35"/>
      <c r="IE544" s="35"/>
      <c r="IF544" s="35"/>
      <c r="IG544" s="35"/>
      <c r="IH544" s="35"/>
      <c r="II544" s="35"/>
      <c r="IJ544" s="35"/>
      <c r="IK544" s="35"/>
      <c r="IL544" s="35"/>
      <c r="IM544" s="35"/>
      <c r="IN544" s="35"/>
      <c r="IO544" s="35"/>
      <c r="IP544" s="35"/>
      <c r="IQ544" s="35"/>
      <c r="IR544" s="35"/>
      <c r="IS544" s="35"/>
      <c r="IT544" s="35"/>
      <c r="IU544" s="35"/>
      <c r="IV544" s="35"/>
      <c r="IW544" s="35"/>
      <c r="IX544" s="35"/>
      <c r="IY544" s="35"/>
      <c r="IZ544" s="35"/>
      <c r="JA544" s="35"/>
      <c r="JB544" s="35"/>
      <c r="JC544" s="35"/>
      <c r="JD544" s="35"/>
      <c r="JE544" s="35"/>
    </row>
    <row r="545">
      <c r="A545" s="42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35"/>
      <c r="BA545" s="35"/>
      <c r="BB545" s="35"/>
      <c r="BC545" s="35"/>
      <c r="BD545" s="35"/>
      <c r="BE545" s="35"/>
      <c r="BF545" s="35"/>
      <c r="BG545" s="35"/>
      <c r="BH545" s="35"/>
      <c r="BI545" s="35"/>
      <c r="BJ545" s="35"/>
      <c r="BK545" s="35"/>
      <c r="BL545" s="35"/>
      <c r="BM545" s="35"/>
      <c r="BN545" s="35"/>
      <c r="BO545" s="35"/>
      <c r="BP545" s="35"/>
      <c r="BQ545" s="35"/>
      <c r="BR545" s="35"/>
      <c r="BS545" s="35"/>
      <c r="BT545" s="35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35"/>
      <c r="CO545" s="35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35"/>
      <c r="DJ545" s="35"/>
      <c r="DK545" s="35"/>
      <c r="DL545" s="35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35"/>
      <c r="EE545" s="35"/>
      <c r="EF545" s="35"/>
      <c r="EG545" s="35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35"/>
      <c r="EZ545" s="35"/>
      <c r="FA545" s="35"/>
      <c r="FB545" s="35"/>
      <c r="FC545" s="35"/>
      <c r="FD545" s="35"/>
      <c r="FE545" s="35"/>
      <c r="FF545" s="35"/>
      <c r="FG545" s="35"/>
      <c r="FH545" s="35"/>
      <c r="FI545" s="35"/>
      <c r="FJ545" s="35"/>
      <c r="FK545" s="35"/>
      <c r="FL545" s="35"/>
      <c r="FM545" s="35"/>
      <c r="FN545" s="35"/>
      <c r="FO545" s="35"/>
      <c r="FP545" s="35"/>
      <c r="FQ545" s="35"/>
      <c r="FR545" s="35"/>
      <c r="FS545" s="35"/>
      <c r="FT545" s="35"/>
      <c r="FU545" s="35"/>
      <c r="FV545" s="35"/>
      <c r="FW545" s="35"/>
      <c r="FX545" s="35"/>
      <c r="FY545" s="35"/>
      <c r="FZ545" s="35"/>
      <c r="GA545" s="35"/>
      <c r="GB545" s="35"/>
      <c r="GC545" s="35"/>
      <c r="GD545" s="35"/>
      <c r="GE545" s="35"/>
      <c r="GF545" s="35"/>
      <c r="GG545" s="35"/>
      <c r="GH545" s="35"/>
      <c r="GI545" s="35"/>
      <c r="GJ545" s="35"/>
      <c r="GK545" s="35"/>
      <c r="GL545" s="35"/>
      <c r="GM545" s="35"/>
      <c r="GN545" s="35"/>
      <c r="GO545" s="35"/>
      <c r="GP545" s="35"/>
      <c r="GQ545" s="35"/>
      <c r="GR545" s="35"/>
      <c r="GS545" s="35"/>
      <c r="GT545" s="35"/>
      <c r="GU545" s="35"/>
      <c r="GV545" s="35"/>
      <c r="GW545" s="35"/>
      <c r="GX545" s="35"/>
      <c r="GY545" s="35"/>
      <c r="GZ545" s="35"/>
      <c r="HA545" s="35"/>
      <c r="HB545" s="35"/>
      <c r="HC545" s="35"/>
      <c r="HD545" s="35"/>
      <c r="HE545" s="35"/>
      <c r="HF545" s="35"/>
      <c r="HG545" s="35"/>
      <c r="HH545" s="35"/>
      <c r="HI545" s="35"/>
      <c r="HJ545" s="35"/>
      <c r="HK545" s="35"/>
      <c r="HL545" s="35"/>
      <c r="HM545" s="35"/>
      <c r="HN545" s="35"/>
      <c r="HO545" s="35"/>
      <c r="HP545" s="35"/>
      <c r="HQ545" s="35"/>
      <c r="HR545" s="35"/>
      <c r="HS545" s="35"/>
      <c r="HT545" s="35"/>
      <c r="HU545" s="35"/>
      <c r="HV545" s="35"/>
      <c r="HW545" s="35"/>
      <c r="HX545" s="35"/>
      <c r="HY545" s="35"/>
      <c r="HZ545" s="35"/>
      <c r="IA545" s="35"/>
      <c r="IB545" s="35"/>
      <c r="IC545" s="35"/>
      <c r="ID545" s="35"/>
      <c r="IE545" s="35"/>
      <c r="IF545" s="35"/>
      <c r="IG545" s="35"/>
      <c r="IH545" s="35"/>
      <c r="II545" s="35"/>
      <c r="IJ545" s="35"/>
      <c r="IK545" s="35"/>
      <c r="IL545" s="35"/>
      <c r="IM545" s="35"/>
      <c r="IN545" s="35"/>
      <c r="IO545" s="35"/>
      <c r="IP545" s="35"/>
      <c r="IQ545" s="35"/>
      <c r="IR545" s="35"/>
      <c r="IS545" s="35"/>
      <c r="IT545" s="35"/>
      <c r="IU545" s="35"/>
      <c r="IV545" s="35"/>
      <c r="IW545" s="35"/>
      <c r="IX545" s="35"/>
      <c r="IY545" s="35"/>
      <c r="IZ545" s="35"/>
      <c r="JA545" s="35"/>
      <c r="JB545" s="35"/>
      <c r="JC545" s="35"/>
      <c r="JD545" s="35"/>
      <c r="JE545" s="35"/>
    </row>
    <row r="546">
      <c r="A546" s="42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  <c r="AZ546" s="35"/>
      <c r="BA546" s="35"/>
      <c r="BB546" s="35"/>
      <c r="BC546" s="35"/>
      <c r="BD546" s="35"/>
      <c r="BE546" s="35"/>
      <c r="BF546" s="35"/>
      <c r="BG546" s="35"/>
      <c r="BH546" s="35"/>
      <c r="BI546" s="35"/>
      <c r="BJ546" s="35"/>
      <c r="BK546" s="35"/>
      <c r="BL546" s="35"/>
      <c r="BM546" s="35"/>
      <c r="BN546" s="35"/>
      <c r="BO546" s="35"/>
      <c r="BP546" s="35"/>
      <c r="BQ546" s="35"/>
      <c r="BR546" s="35"/>
      <c r="BS546" s="35"/>
      <c r="BT546" s="35"/>
      <c r="BU546" s="35"/>
      <c r="BV546" s="35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35"/>
      <c r="CO546" s="35"/>
      <c r="CP546" s="35"/>
      <c r="CQ546" s="35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35"/>
      <c r="DJ546" s="35"/>
      <c r="DK546" s="35"/>
      <c r="DL546" s="35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35"/>
      <c r="EE546" s="35"/>
      <c r="EF546" s="35"/>
      <c r="EG546" s="35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35"/>
      <c r="EZ546" s="35"/>
      <c r="FA546" s="35"/>
      <c r="FB546" s="35"/>
      <c r="FC546" s="35"/>
      <c r="FD546" s="35"/>
      <c r="FE546" s="35"/>
      <c r="FF546" s="35"/>
      <c r="FG546" s="35"/>
      <c r="FH546" s="35"/>
      <c r="FI546" s="35"/>
      <c r="FJ546" s="35"/>
      <c r="FK546" s="35"/>
      <c r="FL546" s="35"/>
      <c r="FM546" s="35"/>
      <c r="FN546" s="35"/>
      <c r="FO546" s="35"/>
      <c r="FP546" s="35"/>
      <c r="FQ546" s="35"/>
      <c r="FR546" s="35"/>
      <c r="FS546" s="35"/>
      <c r="FT546" s="35"/>
      <c r="FU546" s="35"/>
      <c r="FV546" s="35"/>
      <c r="FW546" s="35"/>
      <c r="FX546" s="35"/>
      <c r="FY546" s="35"/>
      <c r="FZ546" s="35"/>
      <c r="GA546" s="35"/>
      <c r="GB546" s="35"/>
      <c r="GC546" s="35"/>
      <c r="GD546" s="35"/>
      <c r="GE546" s="35"/>
      <c r="GF546" s="35"/>
      <c r="GG546" s="35"/>
      <c r="GH546" s="35"/>
      <c r="GI546" s="35"/>
      <c r="GJ546" s="35"/>
      <c r="GK546" s="35"/>
      <c r="GL546" s="35"/>
      <c r="GM546" s="35"/>
      <c r="GN546" s="35"/>
      <c r="GO546" s="35"/>
      <c r="GP546" s="35"/>
      <c r="GQ546" s="35"/>
      <c r="GR546" s="35"/>
      <c r="GS546" s="35"/>
      <c r="GT546" s="35"/>
      <c r="GU546" s="35"/>
      <c r="GV546" s="35"/>
      <c r="GW546" s="35"/>
      <c r="GX546" s="35"/>
      <c r="GY546" s="35"/>
      <c r="GZ546" s="35"/>
      <c r="HA546" s="35"/>
      <c r="HB546" s="35"/>
      <c r="HC546" s="35"/>
      <c r="HD546" s="35"/>
      <c r="HE546" s="35"/>
      <c r="HF546" s="35"/>
      <c r="HG546" s="35"/>
      <c r="HH546" s="35"/>
      <c r="HI546" s="35"/>
      <c r="HJ546" s="35"/>
      <c r="HK546" s="35"/>
      <c r="HL546" s="35"/>
      <c r="HM546" s="35"/>
      <c r="HN546" s="35"/>
      <c r="HO546" s="35"/>
      <c r="HP546" s="35"/>
      <c r="HQ546" s="35"/>
      <c r="HR546" s="35"/>
      <c r="HS546" s="35"/>
      <c r="HT546" s="35"/>
      <c r="HU546" s="35"/>
      <c r="HV546" s="35"/>
      <c r="HW546" s="35"/>
      <c r="HX546" s="35"/>
      <c r="HY546" s="35"/>
      <c r="HZ546" s="35"/>
      <c r="IA546" s="35"/>
      <c r="IB546" s="35"/>
      <c r="IC546" s="35"/>
      <c r="ID546" s="35"/>
      <c r="IE546" s="35"/>
      <c r="IF546" s="35"/>
      <c r="IG546" s="35"/>
      <c r="IH546" s="35"/>
      <c r="II546" s="35"/>
      <c r="IJ546" s="35"/>
      <c r="IK546" s="35"/>
      <c r="IL546" s="35"/>
      <c r="IM546" s="35"/>
      <c r="IN546" s="35"/>
      <c r="IO546" s="35"/>
      <c r="IP546" s="35"/>
      <c r="IQ546" s="35"/>
      <c r="IR546" s="35"/>
      <c r="IS546" s="35"/>
      <c r="IT546" s="35"/>
      <c r="IU546" s="35"/>
      <c r="IV546" s="35"/>
      <c r="IW546" s="35"/>
      <c r="IX546" s="35"/>
      <c r="IY546" s="35"/>
      <c r="IZ546" s="35"/>
      <c r="JA546" s="35"/>
      <c r="JB546" s="35"/>
      <c r="JC546" s="35"/>
      <c r="JD546" s="35"/>
      <c r="JE546" s="35"/>
    </row>
    <row r="547">
      <c r="A547" s="42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  <c r="AZ547" s="35"/>
      <c r="BA547" s="35"/>
      <c r="BB547" s="35"/>
      <c r="BC547" s="35"/>
      <c r="BD547" s="35"/>
      <c r="BE547" s="35"/>
      <c r="BF547" s="35"/>
      <c r="BG547" s="35"/>
      <c r="BH547" s="35"/>
      <c r="BI547" s="35"/>
      <c r="BJ547" s="35"/>
      <c r="BK547" s="35"/>
      <c r="BL547" s="35"/>
      <c r="BM547" s="35"/>
      <c r="BN547" s="35"/>
      <c r="BO547" s="35"/>
      <c r="BP547" s="35"/>
      <c r="BQ547" s="35"/>
      <c r="BR547" s="35"/>
      <c r="BS547" s="35"/>
      <c r="BT547" s="35"/>
      <c r="BU547" s="35"/>
      <c r="BV547" s="35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35"/>
      <c r="CO547" s="35"/>
      <c r="CP547" s="35"/>
      <c r="CQ547" s="35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35"/>
      <c r="DJ547" s="35"/>
      <c r="DK547" s="35"/>
      <c r="DL547" s="35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35"/>
      <c r="EE547" s="35"/>
      <c r="EF547" s="35"/>
      <c r="EG547" s="35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35"/>
      <c r="EZ547" s="35"/>
      <c r="FA547" s="35"/>
      <c r="FB547" s="35"/>
      <c r="FC547" s="35"/>
      <c r="FD547" s="35"/>
      <c r="FE547" s="35"/>
      <c r="FF547" s="35"/>
      <c r="FG547" s="35"/>
      <c r="FH547" s="35"/>
      <c r="FI547" s="35"/>
      <c r="FJ547" s="35"/>
      <c r="FK547" s="35"/>
      <c r="FL547" s="35"/>
      <c r="FM547" s="35"/>
      <c r="FN547" s="35"/>
      <c r="FO547" s="35"/>
      <c r="FP547" s="35"/>
      <c r="FQ547" s="35"/>
      <c r="FR547" s="35"/>
      <c r="FS547" s="35"/>
      <c r="FT547" s="35"/>
      <c r="FU547" s="35"/>
      <c r="FV547" s="35"/>
      <c r="FW547" s="35"/>
      <c r="FX547" s="35"/>
      <c r="FY547" s="35"/>
      <c r="FZ547" s="35"/>
      <c r="GA547" s="35"/>
      <c r="GB547" s="35"/>
      <c r="GC547" s="35"/>
      <c r="GD547" s="35"/>
      <c r="GE547" s="35"/>
      <c r="GF547" s="35"/>
      <c r="GG547" s="35"/>
      <c r="GH547" s="35"/>
      <c r="GI547" s="35"/>
      <c r="GJ547" s="35"/>
      <c r="GK547" s="35"/>
      <c r="GL547" s="35"/>
      <c r="GM547" s="35"/>
      <c r="GN547" s="35"/>
      <c r="GO547" s="35"/>
      <c r="GP547" s="35"/>
      <c r="GQ547" s="35"/>
      <c r="GR547" s="35"/>
      <c r="GS547" s="35"/>
      <c r="GT547" s="35"/>
      <c r="GU547" s="35"/>
      <c r="GV547" s="35"/>
      <c r="GW547" s="35"/>
      <c r="GX547" s="35"/>
      <c r="GY547" s="35"/>
      <c r="GZ547" s="35"/>
      <c r="HA547" s="35"/>
      <c r="HB547" s="35"/>
      <c r="HC547" s="35"/>
      <c r="HD547" s="35"/>
      <c r="HE547" s="35"/>
      <c r="HF547" s="35"/>
      <c r="HG547" s="35"/>
      <c r="HH547" s="35"/>
      <c r="HI547" s="35"/>
      <c r="HJ547" s="35"/>
      <c r="HK547" s="35"/>
      <c r="HL547" s="35"/>
      <c r="HM547" s="35"/>
      <c r="HN547" s="35"/>
      <c r="HO547" s="35"/>
      <c r="HP547" s="35"/>
      <c r="HQ547" s="35"/>
      <c r="HR547" s="35"/>
      <c r="HS547" s="35"/>
      <c r="HT547" s="35"/>
      <c r="HU547" s="35"/>
      <c r="HV547" s="35"/>
      <c r="HW547" s="35"/>
      <c r="HX547" s="35"/>
      <c r="HY547" s="35"/>
      <c r="HZ547" s="35"/>
      <c r="IA547" s="35"/>
      <c r="IB547" s="35"/>
      <c r="IC547" s="35"/>
      <c r="ID547" s="35"/>
      <c r="IE547" s="35"/>
      <c r="IF547" s="35"/>
      <c r="IG547" s="35"/>
      <c r="IH547" s="35"/>
      <c r="II547" s="35"/>
      <c r="IJ547" s="35"/>
      <c r="IK547" s="35"/>
      <c r="IL547" s="35"/>
      <c r="IM547" s="35"/>
      <c r="IN547" s="35"/>
      <c r="IO547" s="35"/>
      <c r="IP547" s="35"/>
      <c r="IQ547" s="35"/>
      <c r="IR547" s="35"/>
      <c r="IS547" s="35"/>
      <c r="IT547" s="35"/>
      <c r="IU547" s="35"/>
      <c r="IV547" s="35"/>
      <c r="IW547" s="35"/>
      <c r="IX547" s="35"/>
      <c r="IY547" s="35"/>
      <c r="IZ547" s="35"/>
      <c r="JA547" s="35"/>
      <c r="JB547" s="35"/>
      <c r="JC547" s="35"/>
      <c r="JD547" s="35"/>
      <c r="JE547" s="35"/>
    </row>
    <row r="548">
      <c r="A548" s="42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  <c r="AZ548" s="35"/>
      <c r="BA548" s="35"/>
      <c r="BB548" s="35"/>
      <c r="BC548" s="35"/>
      <c r="BD548" s="35"/>
      <c r="BE548" s="35"/>
      <c r="BF548" s="35"/>
      <c r="BG548" s="35"/>
      <c r="BH548" s="35"/>
      <c r="BI548" s="35"/>
      <c r="BJ548" s="35"/>
      <c r="BK548" s="35"/>
      <c r="BL548" s="35"/>
      <c r="BM548" s="35"/>
      <c r="BN548" s="35"/>
      <c r="BO548" s="35"/>
      <c r="BP548" s="35"/>
      <c r="BQ548" s="35"/>
      <c r="BR548" s="35"/>
      <c r="BS548" s="35"/>
      <c r="BT548" s="35"/>
      <c r="BU548" s="35"/>
      <c r="BV548" s="35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35"/>
      <c r="CO548" s="35"/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35"/>
      <c r="DJ548" s="35"/>
      <c r="DK548" s="35"/>
      <c r="DL548" s="35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35"/>
      <c r="EE548" s="35"/>
      <c r="EF548" s="35"/>
      <c r="EG548" s="35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35"/>
      <c r="EZ548" s="35"/>
      <c r="FA548" s="35"/>
      <c r="FB548" s="35"/>
      <c r="FC548" s="35"/>
      <c r="FD548" s="35"/>
      <c r="FE548" s="35"/>
      <c r="FF548" s="35"/>
      <c r="FG548" s="35"/>
      <c r="FH548" s="35"/>
      <c r="FI548" s="35"/>
      <c r="FJ548" s="35"/>
      <c r="FK548" s="35"/>
      <c r="FL548" s="35"/>
      <c r="FM548" s="35"/>
      <c r="FN548" s="35"/>
      <c r="FO548" s="35"/>
      <c r="FP548" s="35"/>
      <c r="FQ548" s="35"/>
      <c r="FR548" s="35"/>
      <c r="FS548" s="35"/>
      <c r="FT548" s="35"/>
      <c r="FU548" s="35"/>
      <c r="FV548" s="35"/>
      <c r="FW548" s="35"/>
      <c r="FX548" s="35"/>
      <c r="FY548" s="35"/>
      <c r="FZ548" s="35"/>
      <c r="GA548" s="35"/>
      <c r="GB548" s="35"/>
      <c r="GC548" s="35"/>
      <c r="GD548" s="35"/>
      <c r="GE548" s="35"/>
      <c r="GF548" s="35"/>
      <c r="GG548" s="35"/>
      <c r="GH548" s="35"/>
      <c r="GI548" s="35"/>
      <c r="GJ548" s="35"/>
      <c r="GK548" s="35"/>
      <c r="GL548" s="35"/>
      <c r="GM548" s="35"/>
      <c r="GN548" s="35"/>
      <c r="GO548" s="35"/>
      <c r="GP548" s="35"/>
      <c r="GQ548" s="35"/>
      <c r="GR548" s="35"/>
      <c r="GS548" s="35"/>
      <c r="GT548" s="35"/>
      <c r="GU548" s="35"/>
      <c r="GV548" s="35"/>
      <c r="GW548" s="35"/>
      <c r="GX548" s="35"/>
      <c r="GY548" s="35"/>
      <c r="GZ548" s="35"/>
      <c r="HA548" s="35"/>
      <c r="HB548" s="35"/>
      <c r="HC548" s="35"/>
      <c r="HD548" s="35"/>
      <c r="HE548" s="35"/>
      <c r="HF548" s="35"/>
      <c r="HG548" s="35"/>
      <c r="HH548" s="35"/>
      <c r="HI548" s="35"/>
      <c r="HJ548" s="35"/>
      <c r="HK548" s="35"/>
      <c r="HL548" s="35"/>
      <c r="HM548" s="35"/>
      <c r="HN548" s="35"/>
      <c r="HO548" s="35"/>
      <c r="HP548" s="35"/>
      <c r="HQ548" s="35"/>
      <c r="HR548" s="35"/>
      <c r="HS548" s="35"/>
      <c r="HT548" s="35"/>
      <c r="HU548" s="35"/>
      <c r="HV548" s="35"/>
      <c r="HW548" s="35"/>
      <c r="HX548" s="35"/>
      <c r="HY548" s="35"/>
      <c r="HZ548" s="35"/>
      <c r="IA548" s="35"/>
      <c r="IB548" s="35"/>
      <c r="IC548" s="35"/>
      <c r="ID548" s="35"/>
      <c r="IE548" s="35"/>
      <c r="IF548" s="35"/>
      <c r="IG548" s="35"/>
      <c r="IH548" s="35"/>
      <c r="II548" s="35"/>
      <c r="IJ548" s="35"/>
      <c r="IK548" s="35"/>
      <c r="IL548" s="35"/>
      <c r="IM548" s="35"/>
      <c r="IN548" s="35"/>
      <c r="IO548" s="35"/>
      <c r="IP548" s="35"/>
      <c r="IQ548" s="35"/>
      <c r="IR548" s="35"/>
      <c r="IS548" s="35"/>
      <c r="IT548" s="35"/>
      <c r="IU548" s="35"/>
      <c r="IV548" s="35"/>
      <c r="IW548" s="35"/>
      <c r="IX548" s="35"/>
      <c r="IY548" s="35"/>
      <c r="IZ548" s="35"/>
      <c r="JA548" s="35"/>
      <c r="JB548" s="35"/>
      <c r="JC548" s="35"/>
      <c r="JD548" s="35"/>
      <c r="JE548" s="35"/>
    </row>
    <row r="549">
      <c r="A549" s="42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35"/>
      <c r="BA549" s="35"/>
      <c r="BB549" s="35"/>
      <c r="BC549" s="35"/>
      <c r="BD549" s="35"/>
      <c r="BE549" s="35"/>
      <c r="BF549" s="35"/>
      <c r="BG549" s="35"/>
      <c r="BH549" s="35"/>
      <c r="BI549" s="35"/>
      <c r="BJ549" s="35"/>
      <c r="BK549" s="35"/>
      <c r="BL549" s="35"/>
      <c r="BM549" s="35"/>
      <c r="BN549" s="35"/>
      <c r="BO549" s="35"/>
      <c r="BP549" s="35"/>
      <c r="BQ549" s="35"/>
      <c r="BR549" s="35"/>
      <c r="BS549" s="35"/>
      <c r="BT549" s="35"/>
      <c r="BU549" s="35"/>
      <c r="BV549" s="35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35"/>
      <c r="CO549" s="35"/>
      <c r="CP549" s="35"/>
      <c r="CQ549" s="35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35"/>
      <c r="DJ549" s="35"/>
      <c r="DK549" s="35"/>
      <c r="DL549" s="35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35"/>
      <c r="EE549" s="35"/>
      <c r="EF549" s="35"/>
      <c r="EG549" s="35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35"/>
      <c r="EZ549" s="35"/>
      <c r="FA549" s="35"/>
      <c r="FB549" s="35"/>
      <c r="FC549" s="35"/>
      <c r="FD549" s="35"/>
      <c r="FE549" s="35"/>
      <c r="FF549" s="35"/>
      <c r="FG549" s="35"/>
      <c r="FH549" s="35"/>
      <c r="FI549" s="35"/>
      <c r="FJ549" s="35"/>
      <c r="FK549" s="35"/>
      <c r="FL549" s="35"/>
      <c r="FM549" s="35"/>
      <c r="FN549" s="35"/>
      <c r="FO549" s="35"/>
      <c r="FP549" s="35"/>
      <c r="FQ549" s="35"/>
      <c r="FR549" s="35"/>
      <c r="FS549" s="35"/>
      <c r="FT549" s="35"/>
      <c r="FU549" s="35"/>
      <c r="FV549" s="35"/>
      <c r="FW549" s="35"/>
      <c r="FX549" s="35"/>
      <c r="FY549" s="35"/>
      <c r="FZ549" s="35"/>
      <c r="GA549" s="35"/>
      <c r="GB549" s="35"/>
      <c r="GC549" s="35"/>
      <c r="GD549" s="35"/>
      <c r="GE549" s="35"/>
      <c r="GF549" s="35"/>
      <c r="GG549" s="35"/>
      <c r="GH549" s="35"/>
      <c r="GI549" s="35"/>
      <c r="GJ549" s="35"/>
      <c r="GK549" s="35"/>
      <c r="GL549" s="35"/>
      <c r="GM549" s="35"/>
      <c r="GN549" s="35"/>
      <c r="GO549" s="35"/>
      <c r="GP549" s="35"/>
      <c r="GQ549" s="35"/>
      <c r="GR549" s="35"/>
      <c r="GS549" s="35"/>
      <c r="GT549" s="35"/>
      <c r="GU549" s="35"/>
      <c r="GV549" s="35"/>
      <c r="GW549" s="35"/>
      <c r="GX549" s="35"/>
      <c r="GY549" s="35"/>
      <c r="GZ549" s="35"/>
      <c r="HA549" s="35"/>
      <c r="HB549" s="35"/>
      <c r="HC549" s="35"/>
      <c r="HD549" s="35"/>
      <c r="HE549" s="35"/>
      <c r="HF549" s="35"/>
      <c r="HG549" s="35"/>
      <c r="HH549" s="35"/>
      <c r="HI549" s="35"/>
      <c r="HJ549" s="35"/>
      <c r="HK549" s="35"/>
      <c r="HL549" s="35"/>
      <c r="HM549" s="35"/>
      <c r="HN549" s="35"/>
      <c r="HO549" s="35"/>
      <c r="HP549" s="35"/>
      <c r="HQ549" s="35"/>
      <c r="HR549" s="35"/>
      <c r="HS549" s="35"/>
      <c r="HT549" s="35"/>
      <c r="HU549" s="35"/>
      <c r="HV549" s="35"/>
      <c r="HW549" s="35"/>
      <c r="HX549" s="35"/>
      <c r="HY549" s="35"/>
      <c r="HZ549" s="35"/>
      <c r="IA549" s="35"/>
      <c r="IB549" s="35"/>
      <c r="IC549" s="35"/>
      <c r="ID549" s="35"/>
      <c r="IE549" s="35"/>
      <c r="IF549" s="35"/>
      <c r="IG549" s="35"/>
      <c r="IH549" s="35"/>
      <c r="II549" s="35"/>
      <c r="IJ549" s="35"/>
      <c r="IK549" s="35"/>
      <c r="IL549" s="35"/>
      <c r="IM549" s="35"/>
      <c r="IN549" s="35"/>
      <c r="IO549" s="35"/>
      <c r="IP549" s="35"/>
      <c r="IQ549" s="35"/>
      <c r="IR549" s="35"/>
      <c r="IS549" s="35"/>
      <c r="IT549" s="35"/>
      <c r="IU549" s="35"/>
      <c r="IV549" s="35"/>
      <c r="IW549" s="35"/>
      <c r="IX549" s="35"/>
      <c r="IY549" s="35"/>
      <c r="IZ549" s="35"/>
      <c r="JA549" s="35"/>
      <c r="JB549" s="35"/>
      <c r="JC549" s="35"/>
      <c r="JD549" s="35"/>
      <c r="JE549" s="35"/>
    </row>
    <row r="550">
      <c r="A550" s="42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  <c r="AZ550" s="35"/>
      <c r="BA550" s="35"/>
      <c r="BB550" s="35"/>
      <c r="BC550" s="35"/>
      <c r="BD550" s="35"/>
      <c r="BE550" s="35"/>
      <c r="BF550" s="35"/>
      <c r="BG550" s="35"/>
      <c r="BH550" s="35"/>
      <c r="BI550" s="35"/>
      <c r="BJ550" s="35"/>
      <c r="BK550" s="35"/>
      <c r="BL550" s="35"/>
      <c r="BM550" s="35"/>
      <c r="BN550" s="35"/>
      <c r="BO550" s="35"/>
      <c r="BP550" s="35"/>
      <c r="BQ550" s="35"/>
      <c r="BR550" s="35"/>
      <c r="BS550" s="35"/>
      <c r="BT550" s="35"/>
      <c r="BU550" s="35"/>
      <c r="BV550" s="35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35"/>
      <c r="CO550" s="35"/>
      <c r="CP550" s="35"/>
      <c r="CQ550" s="35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35"/>
      <c r="DJ550" s="35"/>
      <c r="DK550" s="35"/>
      <c r="DL550" s="35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35"/>
      <c r="EE550" s="35"/>
      <c r="EF550" s="35"/>
      <c r="EG550" s="35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  <c r="ER550" s="35"/>
      <c r="ES550" s="35"/>
      <c r="ET550" s="35"/>
      <c r="EU550" s="35"/>
      <c r="EV550" s="35"/>
      <c r="EW550" s="35"/>
      <c r="EX550" s="35"/>
      <c r="EY550" s="35"/>
      <c r="EZ550" s="35"/>
      <c r="FA550" s="35"/>
      <c r="FB550" s="35"/>
      <c r="FC550" s="35"/>
      <c r="FD550" s="35"/>
      <c r="FE550" s="35"/>
      <c r="FF550" s="35"/>
      <c r="FG550" s="35"/>
      <c r="FH550" s="35"/>
      <c r="FI550" s="35"/>
      <c r="FJ550" s="35"/>
      <c r="FK550" s="35"/>
      <c r="FL550" s="35"/>
      <c r="FM550" s="35"/>
      <c r="FN550" s="35"/>
      <c r="FO550" s="35"/>
      <c r="FP550" s="35"/>
      <c r="FQ550" s="35"/>
      <c r="FR550" s="35"/>
      <c r="FS550" s="35"/>
      <c r="FT550" s="35"/>
      <c r="FU550" s="35"/>
      <c r="FV550" s="35"/>
      <c r="FW550" s="35"/>
      <c r="FX550" s="35"/>
      <c r="FY550" s="35"/>
      <c r="FZ550" s="35"/>
      <c r="GA550" s="35"/>
      <c r="GB550" s="35"/>
      <c r="GC550" s="35"/>
      <c r="GD550" s="35"/>
      <c r="GE550" s="35"/>
      <c r="GF550" s="35"/>
      <c r="GG550" s="35"/>
      <c r="GH550" s="35"/>
      <c r="GI550" s="35"/>
      <c r="GJ550" s="35"/>
      <c r="GK550" s="35"/>
      <c r="GL550" s="35"/>
      <c r="GM550" s="35"/>
      <c r="GN550" s="35"/>
      <c r="GO550" s="35"/>
      <c r="GP550" s="35"/>
      <c r="GQ550" s="35"/>
      <c r="GR550" s="35"/>
      <c r="GS550" s="35"/>
      <c r="GT550" s="35"/>
      <c r="GU550" s="35"/>
      <c r="GV550" s="35"/>
      <c r="GW550" s="35"/>
      <c r="GX550" s="35"/>
      <c r="GY550" s="35"/>
      <c r="GZ550" s="35"/>
      <c r="HA550" s="35"/>
      <c r="HB550" s="35"/>
      <c r="HC550" s="35"/>
      <c r="HD550" s="35"/>
      <c r="HE550" s="35"/>
      <c r="HF550" s="35"/>
      <c r="HG550" s="35"/>
      <c r="HH550" s="35"/>
      <c r="HI550" s="35"/>
      <c r="HJ550" s="35"/>
      <c r="HK550" s="35"/>
      <c r="HL550" s="35"/>
      <c r="HM550" s="35"/>
      <c r="HN550" s="35"/>
      <c r="HO550" s="35"/>
      <c r="HP550" s="35"/>
      <c r="HQ550" s="35"/>
      <c r="HR550" s="35"/>
      <c r="HS550" s="35"/>
      <c r="HT550" s="35"/>
      <c r="HU550" s="35"/>
      <c r="HV550" s="35"/>
      <c r="HW550" s="35"/>
      <c r="HX550" s="35"/>
      <c r="HY550" s="35"/>
      <c r="HZ550" s="35"/>
      <c r="IA550" s="35"/>
      <c r="IB550" s="35"/>
      <c r="IC550" s="35"/>
      <c r="ID550" s="35"/>
      <c r="IE550" s="35"/>
      <c r="IF550" s="35"/>
      <c r="IG550" s="35"/>
      <c r="IH550" s="35"/>
      <c r="II550" s="35"/>
      <c r="IJ550" s="35"/>
      <c r="IK550" s="35"/>
      <c r="IL550" s="35"/>
      <c r="IM550" s="35"/>
      <c r="IN550" s="35"/>
      <c r="IO550" s="35"/>
      <c r="IP550" s="35"/>
      <c r="IQ550" s="35"/>
      <c r="IR550" s="35"/>
      <c r="IS550" s="35"/>
      <c r="IT550" s="35"/>
      <c r="IU550" s="35"/>
      <c r="IV550" s="35"/>
      <c r="IW550" s="35"/>
      <c r="IX550" s="35"/>
      <c r="IY550" s="35"/>
      <c r="IZ550" s="35"/>
      <c r="JA550" s="35"/>
      <c r="JB550" s="35"/>
      <c r="JC550" s="35"/>
      <c r="JD550" s="35"/>
      <c r="JE550" s="35"/>
    </row>
    <row r="551">
      <c r="A551" s="42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35"/>
      <c r="BA551" s="35"/>
      <c r="BB551" s="35"/>
      <c r="BC551" s="35"/>
      <c r="BD551" s="35"/>
      <c r="BE551" s="35"/>
      <c r="BF551" s="35"/>
      <c r="BG551" s="35"/>
      <c r="BH551" s="35"/>
      <c r="BI551" s="35"/>
      <c r="BJ551" s="35"/>
      <c r="BK551" s="35"/>
      <c r="BL551" s="35"/>
      <c r="BM551" s="35"/>
      <c r="BN551" s="35"/>
      <c r="BO551" s="35"/>
      <c r="BP551" s="35"/>
      <c r="BQ551" s="35"/>
      <c r="BR551" s="35"/>
      <c r="BS551" s="35"/>
      <c r="BT551" s="35"/>
      <c r="BU551" s="35"/>
      <c r="BV551" s="35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35"/>
      <c r="CO551" s="35"/>
      <c r="CP551" s="35"/>
      <c r="CQ551" s="35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35"/>
      <c r="DJ551" s="35"/>
      <c r="DK551" s="35"/>
      <c r="DL551" s="35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35"/>
      <c r="EE551" s="35"/>
      <c r="EF551" s="35"/>
      <c r="EG551" s="35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  <c r="ER551" s="35"/>
      <c r="ES551" s="35"/>
      <c r="ET551" s="35"/>
      <c r="EU551" s="35"/>
      <c r="EV551" s="35"/>
      <c r="EW551" s="35"/>
      <c r="EX551" s="35"/>
      <c r="EY551" s="35"/>
      <c r="EZ551" s="35"/>
      <c r="FA551" s="35"/>
      <c r="FB551" s="35"/>
      <c r="FC551" s="35"/>
      <c r="FD551" s="35"/>
      <c r="FE551" s="35"/>
      <c r="FF551" s="35"/>
      <c r="FG551" s="35"/>
      <c r="FH551" s="35"/>
      <c r="FI551" s="35"/>
      <c r="FJ551" s="35"/>
      <c r="FK551" s="35"/>
      <c r="FL551" s="35"/>
      <c r="FM551" s="35"/>
      <c r="FN551" s="35"/>
      <c r="FO551" s="35"/>
      <c r="FP551" s="35"/>
      <c r="FQ551" s="35"/>
      <c r="FR551" s="35"/>
      <c r="FS551" s="35"/>
      <c r="FT551" s="35"/>
      <c r="FU551" s="35"/>
      <c r="FV551" s="35"/>
      <c r="FW551" s="35"/>
      <c r="FX551" s="35"/>
      <c r="FY551" s="35"/>
      <c r="FZ551" s="35"/>
      <c r="GA551" s="35"/>
      <c r="GB551" s="35"/>
      <c r="GC551" s="35"/>
      <c r="GD551" s="35"/>
      <c r="GE551" s="35"/>
      <c r="GF551" s="35"/>
      <c r="GG551" s="35"/>
      <c r="GH551" s="35"/>
      <c r="GI551" s="35"/>
      <c r="GJ551" s="35"/>
      <c r="GK551" s="35"/>
      <c r="GL551" s="35"/>
      <c r="GM551" s="35"/>
      <c r="GN551" s="35"/>
      <c r="GO551" s="35"/>
      <c r="GP551" s="35"/>
      <c r="GQ551" s="35"/>
      <c r="GR551" s="35"/>
      <c r="GS551" s="35"/>
      <c r="GT551" s="35"/>
      <c r="GU551" s="35"/>
      <c r="GV551" s="35"/>
      <c r="GW551" s="35"/>
      <c r="GX551" s="35"/>
      <c r="GY551" s="35"/>
      <c r="GZ551" s="35"/>
      <c r="HA551" s="35"/>
      <c r="HB551" s="35"/>
      <c r="HC551" s="35"/>
      <c r="HD551" s="35"/>
      <c r="HE551" s="35"/>
      <c r="HF551" s="35"/>
      <c r="HG551" s="35"/>
      <c r="HH551" s="35"/>
      <c r="HI551" s="35"/>
      <c r="HJ551" s="35"/>
      <c r="HK551" s="35"/>
      <c r="HL551" s="35"/>
      <c r="HM551" s="35"/>
      <c r="HN551" s="35"/>
      <c r="HO551" s="35"/>
      <c r="HP551" s="35"/>
      <c r="HQ551" s="35"/>
      <c r="HR551" s="35"/>
      <c r="HS551" s="35"/>
      <c r="HT551" s="35"/>
      <c r="HU551" s="35"/>
      <c r="HV551" s="35"/>
      <c r="HW551" s="35"/>
      <c r="HX551" s="35"/>
      <c r="HY551" s="35"/>
      <c r="HZ551" s="35"/>
      <c r="IA551" s="35"/>
      <c r="IB551" s="35"/>
      <c r="IC551" s="35"/>
      <c r="ID551" s="35"/>
      <c r="IE551" s="35"/>
      <c r="IF551" s="35"/>
      <c r="IG551" s="35"/>
      <c r="IH551" s="35"/>
      <c r="II551" s="35"/>
      <c r="IJ551" s="35"/>
      <c r="IK551" s="35"/>
      <c r="IL551" s="35"/>
      <c r="IM551" s="35"/>
      <c r="IN551" s="35"/>
      <c r="IO551" s="35"/>
      <c r="IP551" s="35"/>
      <c r="IQ551" s="35"/>
      <c r="IR551" s="35"/>
      <c r="IS551" s="35"/>
      <c r="IT551" s="35"/>
      <c r="IU551" s="35"/>
      <c r="IV551" s="35"/>
      <c r="IW551" s="35"/>
      <c r="IX551" s="35"/>
      <c r="IY551" s="35"/>
      <c r="IZ551" s="35"/>
      <c r="JA551" s="35"/>
      <c r="JB551" s="35"/>
      <c r="JC551" s="35"/>
      <c r="JD551" s="35"/>
      <c r="JE551" s="35"/>
    </row>
    <row r="552">
      <c r="A552" s="42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  <c r="AZ552" s="35"/>
      <c r="BA552" s="35"/>
      <c r="BB552" s="35"/>
      <c r="BC552" s="35"/>
      <c r="BD552" s="35"/>
      <c r="BE552" s="35"/>
      <c r="BF552" s="35"/>
      <c r="BG552" s="35"/>
      <c r="BH552" s="35"/>
      <c r="BI552" s="35"/>
      <c r="BJ552" s="35"/>
      <c r="BK552" s="35"/>
      <c r="BL552" s="35"/>
      <c r="BM552" s="35"/>
      <c r="BN552" s="35"/>
      <c r="BO552" s="35"/>
      <c r="BP552" s="35"/>
      <c r="BQ552" s="35"/>
      <c r="BR552" s="35"/>
      <c r="BS552" s="35"/>
      <c r="BT552" s="35"/>
      <c r="BU552" s="35"/>
      <c r="BV552" s="35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35"/>
      <c r="CO552" s="35"/>
      <c r="CP552" s="35"/>
      <c r="CQ552" s="35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35"/>
      <c r="DJ552" s="35"/>
      <c r="DK552" s="35"/>
      <c r="DL552" s="35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35"/>
      <c r="EE552" s="35"/>
      <c r="EF552" s="35"/>
      <c r="EG552" s="35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  <c r="ER552" s="35"/>
      <c r="ES552" s="35"/>
      <c r="ET552" s="35"/>
      <c r="EU552" s="35"/>
      <c r="EV552" s="35"/>
      <c r="EW552" s="35"/>
      <c r="EX552" s="35"/>
      <c r="EY552" s="35"/>
      <c r="EZ552" s="35"/>
      <c r="FA552" s="35"/>
      <c r="FB552" s="35"/>
      <c r="FC552" s="35"/>
      <c r="FD552" s="35"/>
      <c r="FE552" s="35"/>
      <c r="FF552" s="35"/>
      <c r="FG552" s="35"/>
      <c r="FH552" s="35"/>
      <c r="FI552" s="35"/>
      <c r="FJ552" s="35"/>
      <c r="FK552" s="35"/>
      <c r="FL552" s="35"/>
      <c r="FM552" s="35"/>
      <c r="FN552" s="35"/>
      <c r="FO552" s="35"/>
      <c r="FP552" s="35"/>
      <c r="FQ552" s="35"/>
      <c r="FR552" s="35"/>
      <c r="FS552" s="35"/>
      <c r="FT552" s="35"/>
      <c r="FU552" s="35"/>
      <c r="FV552" s="35"/>
      <c r="FW552" s="35"/>
      <c r="FX552" s="35"/>
      <c r="FY552" s="35"/>
      <c r="FZ552" s="35"/>
      <c r="GA552" s="35"/>
      <c r="GB552" s="35"/>
      <c r="GC552" s="35"/>
      <c r="GD552" s="35"/>
      <c r="GE552" s="35"/>
      <c r="GF552" s="35"/>
      <c r="GG552" s="35"/>
      <c r="GH552" s="35"/>
      <c r="GI552" s="35"/>
      <c r="GJ552" s="35"/>
      <c r="GK552" s="35"/>
      <c r="GL552" s="35"/>
      <c r="GM552" s="35"/>
      <c r="GN552" s="35"/>
      <c r="GO552" s="35"/>
      <c r="GP552" s="35"/>
      <c r="GQ552" s="35"/>
      <c r="GR552" s="35"/>
      <c r="GS552" s="35"/>
      <c r="GT552" s="35"/>
      <c r="GU552" s="35"/>
      <c r="GV552" s="35"/>
      <c r="GW552" s="35"/>
      <c r="GX552" s="35"/>
      <c r="GY552" s="35"/>
      <c r="GZ552" s="35"/>
      <c r="HA552" s="35"/>
      <c r="HB552" s="35"/>
      <c r="HC552" s="35"/>
      <c r="HD552" s="35"/>
      <c r="HE552" s="35"/>
      <c r="HF552" s="35"/>
      <c r="HG552" s="35"/>
      <c r="HH552" s="35"/>
      <c r="HI552" s="35"/>
      <c r="HJ552" s="35"/>
      <c r="HK552" s="35"/>
      <c r="HL552" s="35"/>
      <c r="HM552" s="35"/>
      <c r="HN552" s="35"/>
      <c r="HO552" s="35"/>
      <c r="HP552" s="35"/>
      <c r="HQ552" s="35"/>
      <c r="HR552" s="35"/>
      <c r="HS552" s="35"/>
      <c r="HT552" s="35"/>
      <c r="HU552" s="35"/>
      <c r="HV552" s="35"/>
      <c r="HW552" s="35"/>
      <c r="HX552" s="35"/>
      <c r="HY552" s="35"/>
      <c r="HZ552" s="35"/>
      <c r="IA552" s="35"/>
      <c r="IB552" s="35"/>
      <c r="IC552" s="35"/>
      <c r="ID552" s="35"/>
      <c r="IE552" s="35"/>
      <c r="IF552" s="35"/>
      <c r="IG552" s="35"/>
      <c r="IH552" s="35"/>
      <c r="II552" s="35"/>
      <c r="IJ552" s="35"/>
      <c r="IK552" s="35"/>
      <c r="IL552" s="35"/>
      <c r="IM552" s="35"/>
      <c r="IN552" s="35"/>
      <c r="IO552" s="35"/>
      <c r="IP552" s="35"/>
      <c r="IQ552" s="35"/>
      <c r="IR552" s="35"/>
      <c r="IS552" s="35"/>
      <c r="IT552" s="35"/>
      <c r="IU552" s="35"/>
      <c r="IV552" s="35"/>
      <c r="IW552" s="35"/>
      <c r="IX552" s="35"/>
      <c r="IY552" s="35"/>
      <c r="IZ552" s="35"/>
      <c r="JA552" s="35"/>
      <c r="JB552" s="35"/>
      <c r="JC552" s="35"/>
      <c r="JD552" s="35"/>
      <c r="JE552" s="35"/>
    </row>
    <row r="553">
      <c r="A553" s="42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  <c r="BC553" s="35"/>
      <c r="BD553" s="35"/>
      <c r="BE553" s="35"/>
      <c r="BF553" s="35"/>
      <c r="BG553" s="35"/>
      <c r="BH553" s="35"/>
      <c r="BI553" s="35"/>
      <c r="BJ553" s="35"/>
      <c r="BK553" s="35"/>
      <c r="BL553" s="35"/>
      <c r="BM553" s="35"/>
      <c r="BN553" s="35"/>
      <c r="BO553" s="35"/>
      <c r="BP553" s="35"/>
      <c r="BQ553" s="35"/>
      <c r="BR553" s="35"/>
      <c r="BS553" s="35"/>
      <c r="BT553" s="35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35"/>
      <c r="CO553" s="35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35"/>
      <c r="DJ553" s="35"/>
      <c r="DK553" s="35"/>
      <c r="DL553" s="35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35"/>
      <c r="EE553" s="35"/>
      <c r="EF553" s="35"/>
      <c r="EG553" s="35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35"/>
      <c r="EZ553" s="35"/>
      <c r="FA553" s="35"/>
      <c r="FB553" s="35"/>
      <c r="FC553" s="35"/>
      <c r="FD553" s="35"/>
      <c r="FE553" s="35"/>
      <c r="FF553" s="35"/>
      <c r="FG553" s="35"/>
      <c r="FH553" s="35"/>
      <c r="FI553" s="35"/>
      <c r="FJ553" s="35"/>
      <c r="FK553" s="35"/>
      <c r="FL553" s="35"/>
      <c r="FM553" s="35"/>
      <c r="FN553" s="35"/>
      <c r="FO553" s="35"/>
      <c r="FP553" s="35"/>
      <c r="FQ553" s="35"/>
      <c r="FR553" s="35"/>
      <c r="FS553" s="35"/>
      <c r="FT553" s="35"/>
      <c r="FU553" s="35"/>
      <c r="FV553" s="35"/>
      <c r="FW553" s="35"/>
      <c r="FX553" s="35"/>
      <c r="FY553" s="35"/>
      <c r="FZ553" s="35"/>
      <c r="GA553" s="35"/>
      <c r="GB553" s="35"/>
      <c r="GC553" s="35"/>
      <c r="GD553" s="35"/>
      <c r="GE553" s="35"/>
      <c r="GF553" s="35"/>
      <c r="GG553" s="35"/>
      <c r="GH553" s="35"/>
      <c r="GI553" s="35"/>
      <c r="GJ553" s="35"/>
      <c r="GK553" s="35"/>
      <c r="GL553" s="35"/>
      <c r="GM553" s="35"/>
      <c r="GN553" s="35"/>
      <c r="GO553" s="35"/>
      <c r="GP553" s="35"/>
      <c r="GQ553" s="35"/>
      <c r="GR553" s="35"/>
      <c r="GS553" s="35"/>
      <c r="GT553" s="35"/>
      <c r="GU553" s="35"/>
      <c r="GV553" s="35"/>
      <c r="GW553" s="35"/>
      <c r="GX553" s="35"/>
      <c r="GY553" s="35"/>
      <c r="GZ553" s="35"/>
      <c r="HA553" s="35"/>
      <c r="HB553" s="35"/>
      <c r="HC553" s="35"/>
      <c r="HD553" s="35"/>
      <c r="HE553" s="35"/>
      <c r="HF553" s="35"/>
      <c r="HG553" s="35"/>
      <c r="HH553" s="35"/>
      <c r="HI553" s="35"/>
      <c r="HJ553" s="35"/>
      <c r="HK553" s="35"/>
      <c r="HL553" s="35"/>
      <c r="HM553" s="35"/>
      <c r="HN553" s="35"/>
      <c r="HO553" s="35"/>
      <c r="HP553" s="35"/>
      <c r="HQ553" s="35"/>
      <c r="HR553" s="35"/>
      <c r="HS553" s="35"/>
      <c r="HT553" s="35"/>
      <c r="HU553" s="35"/>
      <c r="HV553" s="35"/>
      <c r="HW553" s="35"/>
      <c r="HX553" s="35"/>
      <c r="HY553" s="35"/>
      <c r="HZ553" s="35"/>
      <c r="IA553" s="35"/>
      <c r="IB553" s="35"/>
      <c r="IC553" s="35"/>
      <c r="ID553" s="35"/>
      <c r="IE553" s="35"/>
      <c r="IF553" s="35"/>
      <c r="IG553" s="35"/>
      <c r="IH553" s="35"/>
      <c r="II553" s="35"/>
      <c r="IJ553" s="35"/>
      <c r="IK553" s="35"/>
      <c r="IL553" s="35"/>
      <c r="IM553" s="35"/>
      <c r="IN553" s="35"/>
      <c r="IO553" s="35"/>
      <c r="IP553" s="35"/>
      <c r="IQ553" s="35"/>
      <c r="IR553" s="35"/>
      <c r="IS553" s="35"/>
      <c r="IT553" s="35"/>
      <c r="IU553" s="35"/>
      <c r="IV553" s="35"/>
      <c r="IW553" s="35"/>
      <c r="IX553" s="35"/>
      <c r="IY553" s="35"/>
      <c r="IZ553" s="35"/>
      <c r="JA553" s="35"/>
      <c r="JB553" s="35"/>
      <c r="JC553" s="35"/>
      <c r="JD553" s="35"/>
      <c r="JE553" s="35"/>
    </row>
    <row r="554">
      <c r="A554" s="42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  <c r="BC554" s="35"/>
      <c r="BD554" s="35"/>
      <c r="BE554" s="35"/>
      <c r="BF554" s="35"/>
      <c r="BG554" s="35"/>
      <c r="BH554" s="35"/>
      <c r="BI554" s="35"/>
      <c r="BJ554" s="35"/>
      <c r="BK554" s="35"/>
      <c r="BL554" s="35"/>
      <c r="BM554" s="35"/>
      <c r="BN554" s="35"/>
      <c r="BO554" s="35"/>
      <c r="BP554" s="35"/>
      <c r="BQ554" s="35"/>
      <c r="BR554" s="35"/>
      <c r="BS554" s="35"/>
      <c r="BT554" s="35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35"/>
      <c r="CO554" s="35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35"/>
      <c r="DJ554" s="35"/>
      <c r="DK554" s="35"/>
      <c r="DL554" s="35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35"/>
      <c r="EE554" s="35"/>
      <c r="EF554" s="35"/>
      <c r="EG554" s="35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35"/>
      <c r="EZ554" s="35"/>
      <c r="FA554" s="35"/>
      <c r="FB554" s="35"/>
      <c r="FC554" s="35"/>
      <c r="FD554" s="35"/>
      <c r="FE554" s="35"/>
      <c r="FF554" s="35"/>
      <c r="FG554" s="35"/>
      <c r="FH554" s="35"/>
      <c r="FI554" s="35"/>
      <c r="FJ554" s="35"/>
      <c r="FK554" s="35"/>
      <c r="FL554" s="35"/>
      <c r="FM554" s="35"/>
      <c r="FN554" s="35"/>
      <c r="FO554" s="35"/>
      <c r="FP554" s="35"/>
      <c r="FQ554" s="35"/>
      <c r="FR554" s="35"/>
      <c r="FS554" s="35"/>
      <c r="FT554" s="35"/>
      <c r="FU554" s="35"/>
      <c r="FV554" s="35"/>
      <c r="FW554" s="35"/>
      <c r="FX554" s="35"/>
      <c r="FY554" s="35"/>
      <c r="FZ554" s="35"/>
      <c r="GA554" s="35"/>
      <c r="GB554" s="35"/>
      <c r="GC554" s="35"/>
      <c r="GD554" s="35"/>
      <c r="GE554" s="35"/>
      <c r="GF554" s="35"/>
      <c r="GG554" s="35"/>
      <c r="GH554" s="35"/>
      <c r="GI554" s="35"/>
      <c r="GJ554" s="35"/>
      <c r="GK554" s="35"/>
      <c r="GL554" s="35"/>
      <c r="GM554" s="35"/>
      <c r="GN554" s="35"/>
      <c r="GO554" s="35"/>
      <c r="GP554" s="35"/>
      <c r="GQ554" s="35"/>
      <c r="GR554" s="35"/>
      <c r="GS554" s="35"/>
      <c r="GT554" s="35"/>
      <c r="GU554" s="35"/>
      <c r="GV554" s="35"/>
      <c r="GW554" s="35"/>
      <c r="GX554" s="35"/>
      <c r="GY554" s="35"/>
      <c r="GZ554" s="35"/>
      <c r="HA554" s="35"/>
      <c r="HB554" s="35"/>
      <c r="HC554" s="35"/>
      <c r="HD554" s="35"/>
      <c r="HE554" s="35"/>
      <c r="HF554" s="35"/>
      <c r="HG554" s="35"/>
      <c r="HH554" s="35"/>
      <c r="HI554" s="35"/>
      <c r="HJ554" s="35"/>
      <c r="HK554" s="35"/>
      <c r="HL554" s="35"/>
      <c r="HM554" s="35"/>
      <c r="HN554" s="35"/>
      <c r="HO554" s="35"/>
      <c r="HP554" s="35"/>
      <c r="HQ554" s="35"/>
      <c r="HR554" s="35"/>
      <c r="HS554" s="35"/>
      <c r="HT554" s="35"/>
      <c r="HU554" s="35"/>
      <c r="HV554" s="35"/>
      <c r="HW554" s="35"/>
      <c r="HX554" s="35"/>
      <c r="HY554" s="35"/>
      <c r="HZ554" s="35"/>
      <c r="IA554" s="35"/>
      <c r="IB554" s="35"/>
      <c r="IC554" s="35"/>
      <c r="ID554" s="35"/>
      <c r="IE554" s="35"/>
      <c r="IF554" s="35"/>
      <c r="IG554" s="35"/>
      <c r="IH554" s="35"/>
      <c r="II554" s="35"/>
      <c r="IJ554" s="35"/>
      <c r="IK554" s="35"/>
      <c r="IL554" s="35"/>
      <c r="IM554" s="35"/>
      <c r="IN554" s="35"/>
      <c r="IO554" s="35"/>
      <c r="IP554" s="35"/>
      <c r="IQ554" s="35"/>
      <c r="IR554" s="35"/>
      <c r="IS554" s="35"/>
      <c r="IT554" s="35"/>
      <c r="IU554" s="35"/>
      <c r="IV554" s="35"/>
      <c r="IW554" s="35"/>
      <c r="IX554" s="35"/>
      <c r="IY554" s="35"/>
      <c r="IZ554" s="35"/>
      <c r="JA554" s="35"/>
      <c r="JB554" s="35"/>
      <c r="JC554" s="35"/>
      <c r="JD554" s="35"/>
      <c r="JE554" s="35"/>
    </row>
    <row r="555">
      <c r="A555" s="42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35"/>
      <c r="BA555" s="35"/>
      <c r="BB555" s="35"/>
      <c r="BC555" s="35"/>
      <c r="BD555" s="35"/>
      <c r="BE555" s="35"/>
      <c r="BF555" s="35"/>
      <c r="BG555" s="35"/>
      <c r="BH555" s="35"/>
      <c r="BI555" s="35"/>
      <c r="BJ555" s="35"/>
      <c r="BK555" s="35"/>
      <c r="BL555" s="35"/>
      <c r="BM555" s="35"/>
      <c r="BN555" s="35"/>
      <c r="BO555" s="35"/>
      <c r="BP555" s="35"/>
      <c r="BQ555" s="35"/>
      <c r="BR555" s="35"/>
      <c r="BS555" s="35"/>
      <c r="BT555" s="35"/>
      <c r="BU555" s="35"/>
      <c r="BV555" s="35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35"/>
      <c r="CO555" s="35"/>
      <c r="CP555" s="35"/>
      <c r="CQ555" s="35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35"/>
      <c r="DJ555" s="35"/>
      <c r="DK555" s="35"/>
      <c r="DL555" s="35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35"/>
      <c r="EE555" s="35"/>
      <c r="EF555" s="35"/>
      <c r="EG555" s="35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35"/>
      <c r="EZ555" s="35"/>
      <c r="FA555" s="35"/>
      <c r="FB555" s="35"/>
      <c r="FC555" s="35"/>
      <c r="FD555" s="35"/>
      <c r="FE555" s="35"/>
      <c r="FF555" s="35"/>
      <c r="FG555" s="35"/>
      <c r="FH555" s="35"/>
      <c r="FI555" s="35"/>
      <c r="FJ555" s="35"/>
      <c r="FK555" s="35"/>
      <c r="FL555" s="35"/>
      <c r="FM555" s="35"/>
      <c r="FN555" s="35"/>
      <c r="FO555" s="35"/>
      <c r="FP555" s="35"/>
      <c r="FQ555" s="35"/>
      <c r="FR555" s="35"/>
      <c r="FS555" s="35"/>
      <c r="FT555" s="35"/>
      <c r="FU555" s="35"/>
      <c r="FV555" s="35"/>
      <c r="FW555" s="35"/>
      <c r="FX555" s="35"/>
      <c r="FY555" s="35"/>
      <c r="FZ555" s="35"/>
      <c r="GA555" s="35"/>
      <c r="GB555" s="35"/>
      <c r="GC555" s="35"/>
      <c r="GD555" s="35"/>
      <c r="GE555" s="35"/>
      <c r="GF555" s="35"/>
      <c r="GG555" s="35"/>
      <c r="GH555" s="35"/>
      <c r="GI555" s="35"/>
      <c r="GJ555" s="35"/>
      <c r="GK555" s="35"/>
      <c r="GL555" s="35"/>
      <c r="GM555" s="35"/>
      <c r="GN555" s="35"/>
      <c r="GO555" s="35"/>
      <c r="GP555" s="35"/>
      <c r="GQ555" s="35"/>
      <c r="GR555" s="35"/>
      <c r="GS555" s="35"/>
      <c r="GT555" s="35"/>
      <c r="GU555" s="35"/>
      <c r="GV555" s="35"/>
      <c r="GW555" s="35"/>
      <c r="GX555" s="35"/>
      <c r="GY555" s="35"/>
      <c r="GZ555" s="35"/>
      <c r="HA555" s="35"/>
      <c r="HB555" s="35"/>
      <c r="HC555" s="35"/>
      <c r="HD555" s="35"/>
      <c r="HE555" s="35"/>
      <c r="HF555" s="35"/>
      <c r="HG555" s="35"/>
      <c r="HH555" s="35"/>
      <c r="HI555" s="35"/>
      <c r="HJ555" s="35"/>
      <c r="HK555" s="35"/>
      <c r="HL555" s="35"/>
      <c r="HM555" s="35"/>
      <c r="HN555" s="35"/>
      <c r="HO555" s="35"/>
      <c r="HP555" s="35"/>
      <c r="HQ555" s="35"/>
      <c r="HR555" s="35"/>
      <c r="HS555" s="35"/>
      <c r="HT555" s="35"/>
      <c r="HU555" s="35"/>
      <c r="HV555" s="35"/>
      <c r="HW555" s="35"/>
      <c r="HX555" s="35"/>
      <c r="HY555" s="35"/>
      <c r="HZ555" s="35"/>
      <c r="IA555" s="35"/>
      <c r="IB555" s="35"/>
      <c r="IC555" s="35"/>
      <c r="ID555" s="35"/>
      <c r="IE555" s="35"/>
      <c r="IF555" s="35"/>
      <c r="IG555" s="35"/>
      <c r="IH555" s="35"/>
      <c r="II555" s="35"/>
      <c r="IJ555" s="35"/>
      <c r="IK555" s="35"/>
      <c r="IL555" s="35"/>
      <c r="IM555" s="35"/>
      <c r="IN555" s="35"/>
      <c r="IO555" s="35"/>
      <c r="IP555" s="35"/>
      <c r="IQ555" s="35"/>
      <c r="IR555" s="35"/>
      <c r="IS555" s="35"/>
      <c r="IT555" s="35"/>
      <c r="IU555" s="35"/>
      <c r="IV555" s="35"/>
      <c r="IW555" s="35"/>
      <c r="IX555" s="35"/>
      <c r="IY555" s="35"/>
      <c r="IZ555" s="35"/>
      <c r="JA555" s="35"/>
      <c r="JB555" s="35"/>
      <c r="JC555" s="35"/>
      <c r="JD555" s="35"/>
      <c r="JE555" s="35"/>
    </row>
    <row r="556">
      <c r="A556" s="42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35"/>
      <c r="BA556" s="35"/>
      <c r="BB556" s="35"/>
      <c r="BC556" s="35"/>
      <c r="BD556" s="35"/>
      <c r="BE556" s="35"/>
      <c r="BF556" s="35"/>
      <c r="BG556" s="35"/>
      <c r="BH556" s="35"/>
      <c r="BI556" s="35"/>
      <c r="BJ556" s="35"/>
      <c r="BK556" s="35"/>
      <c r="BL556" s="35"/>
      <c r="BM556" s="35"/>
      <c r="BN556" s="35"/>
      <c r="BO556" s="35"/>
      <c r="BP556" s="35"/>
      <c r="BQ556" s="35"/>
      <c r="BR556" s="35"/>
      <c r="BS556" s="35"/>
      <c r="BT556" s="35"/>
      <c r="BU556" s="35"/>
      <c r="BV556" s="35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35"/>
      <c r="CO556" s="35"/>
      <c r="CP556" s="35"/>
      <c r="CQ556" s="35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35"/>
      <c r="DJ556" s="35"/>
      <c r="DK556" s="35"/>
      <c r="DL556" s="35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35"/>
      <c r="EE556" s="35"/>
      <c r="EF556" s="35"/>
      <c r="EG556" s="35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35"/>
      <c r="EZ556" s="35"/>
      <c r="FA556" s="35"/>
      <c r="FB556" s="35"/>
      <c r="FC556" s="35"/>
      <c r="FD556" s="35"/>
      <c r="FE556" s="35"/>
      <c r="FF556" s="35"/>
      <c r="FG556" s="35"/>
      <c r="FH556" s="35"/>
      <c r="FI556" s="35"/>
      <c r="FJ556" s="35"/>
      <c r="FK556" s="35"/>
      <c r="FL556" s="35"/>
      <c r="FM556" s="35"/>
      <c r="FN556" s="35"/>
      <c r="FO556" s="35"/>
      <c r="FP556" s="35"/>
      <c r="FQ556" s="35"/>
      <c r="FR556" s="35"/>
      <c r="FS556" s="35"/>
      <c r="FT556" s="35"/>
      <c r="FU556" s="35"/>
      <c r="FV556" s="35"/>
      <c r="FW556" s="35"/>
      <c r="FX556" s="35"/>
      <c r="FY556" s="35"/>
      <c r="FZ556" s="35"/>
      <c r="GA556" s="35"/>
      <c r="GB556" s="35"/>
      <c r="GC556" s="35"/>
      <c r="GD556" s="35"/>
      <c r="GE556" s="35"/>
      <c r="GF556" s="35"/>
      <c r="GG556" s="35"/>
      <c r="GH556" s="35"/>
      <c r="GI556" s="35"/>
      <c r="GJ556" s="35"/>
      <c r="GK556" s="35"/>
      <c r="GL556" s="35"/>
      <c r="GM556" s="35"/>
      <c r="GN556" s="35"/>
      <c r="GO556" s="35"/>
      <c r="GP556" s="35"/>
      <c r="GQ556" s="35"/>
      <c r="GR556" s="35"/>
      <c r="GS556" s="35"/>
      <c r="GT556" s="35"/>
      <c r="GU556" s="35"/>
      <c r="GV556" s="35"/>
      <c r="GW556" s="35"/>
      <c r="GX556" s="35"/>
      <c r="GY556" s="35"/>
      <c r="GZ556" s="35"/>
      <c r="HA556" s="35"/>
      <c r="HB556" s="35"/>
      <c r="HC556" s="35"/>
      <c r="HD556" s="35"/>
      <c r="HE556" s="35"/>
      <c r="HF556" s="35"/>
      <c r="HG556" s="35"/>
      <c r="HH556" s="35"/>
      <c r="HI556" s="35"/>
      <c r="HJ556" s="35"/>
      <c r="HK556" s="35"/>
      <c r="HL556" s="35"/>
      <c r="HM556" s="35"/>
      <c r="HN556" s="35"/>
      <c r="HO556" s="35"/>
      <c r="HP556" s="35"/>
      <c r="HQ556" s="35"/>
      <c r="HR556" s="35"/>
      <c r="HS556" s="35"/>
      <c r="HT556" s="35"/>
      <c r="HU556" s="35"/>
      <c r="HV556" s="35"/>
      <c r="HW556" s="35"/>
      <c r="HX556" s="35"/>
      <c r="HY556" s="35"/>
      <c r="HZ556" s="35"/>
      <c r="IA556" s="35"/>
      <c r="IB556" s="35"/>
      <c r="IC556" s="35"/>
      <c r="ID556" s="35"/>
      <c r="IE556" s="35"/>
      <c r="IF556" s="35"/>
      <c r="IG556" s="35"/>
      <c r="IH556" s="35"/>
      <c r="II556" s="35"/>
      <c r="IJ556" s="35"/>
      <c r="IK556" s="35"/>
      <c r="IL556" s="35"/>
      <c r="IM556" s="35"/>
      <c r="IN556" s="35"/>
      <c r="IO556" s="35"/>
      <c r="IP556" s="35"/>
      <c r="IQ556" s="35"/>
      <c r="IR556" s="35"/>
      <c r="IS556" s="35"/>
      <c r="IT556" s="35"/>
      <c r="IU556" s="35"/>
      <c r="IV556" s="35"/>
      <c r="IW556" s="35"/>
      <c r="IX556" s="35"/>
      <c r="IY556" s="35"/>
      <c r="IZ556" s="35"/>
      <c r="JA556" s="35"/>
      <c r="JB556" s="35"/>
      <c r="JC556" s="35"/>
      <c r="JD556" s="35"/>
      <c r="JE556" s="35"/>
    </row>
    <row r="557">
      <c r="A557" s="42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  <c r="BC557" s="35"/>
      <c r="BD557" s="35"/>
      <c r="BE557" s="35"/>
      <c r="BF557" s="35"/>
      <c r="BG557" s="35"/>
      <c r="BH557" s="35"/>
      <c r="BI557" s="35"/>
      <c r="BJ557" s="35"/>
      <c r="BK557" s="35"/>
      <c r="BL557" s="35"/>
      <c r="BM557" s="35"/>
      <c r="BN557" s="35"/>
      <c r="BO557" s="35"/>
      <c r="BP557" s="35"/>
      <c r="BQ557" s="35"/>
      <c r="BR557" s="35"/>
      <c r="BS557" s="35"/>
      <c r="BT557" s="35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35"/>
      <c r="CO557" s="35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35"/>
      <c r="DJ557" s="35"/>
      <c r="DK557" s="35"/>
      <c r="DL557" s="35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35"/>
      <c r="EE557" s="35"/>
      <c r="EF557" s="35"/>
      <c r="EG557" s="35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35"/>
      <c r="EZ557" s="35"/>
      <c r="FA557" s="35"/>
      <c r="FB557" s="35"/>
      <c r="FC557" s="35"/>
      <c r="FD557" s="35"/>
      <c r="FE557" s="35"/>
      <c r="FF557" s="35"/>
      <c r="FG557" s="35"/>
      <c r="FH557" s="35"/>
      <c r="FI557" s="35"/>
      <c r="FJ557" s="35"/>
      <c r="FK557" s="35"/>
      <c r="FL557" s="35"/>
      <c r="FM557" s="35"/>
      <c r="FN557" s="35"/>
      <c r="FO557" s="35"/>
      <c r="FP557" s="35"/>
      <c r="FQ557" s="35"/>
      <c r="FR557" s="35"/>
      <c r="FS557" s="35"/>
      <c r="FT557" s="35"/>
      <c r="FU557" s="35"/>
      <c r="FV557" s="35"/>
      <c r="FW557" s="35"/>
      <c r="FX557" s="35"/>
      <c r="FY557" s="35"/>
      <c r="FZ557" s="35"/>
      <c r="GA557" s="35"/>
      <c r="GB557" s="35"/>
      <c r="GC557" s="35"/>
      <c r="GD557" s="35"/>
      <c r="GE557" s="35"/>
      <c r="GF557" s="35"/>
      <c r="GG557" s="35"/>
      <c r="GH557" s="35"/>
      <c r="GI557" s="35"/>
      <c r="GJ557" s="35"/>
      <c r="GK557" s="35"/>
      <c r="GL557" s="35"/>
      <c r="GM557" s="35"/>
      <c r="GN557" s="35"/>
      <c r="GO557" s="35"/>
      <c r="GP557" s="35"/>
      <c r="GQ557" s="35"/>
      <c r="GR557" s="35"/>
      <c r="GS557" s="35"/>
      <c r="GT557" s="35"/>
      <c r="GU557" s="35"/>
      <c r="GV557" s="35"/>
      <c r="GW557" s="35"/>
      <c r="GX557" s="35"/>
      <c r="GY557" s="35"/>
      <c r="GZ557" s="35"/>
      <c r="HA557" s="35"/>
      <c r="HB557" s="35"/>
      <c r="HC557" s="35"/>
      <c r="HD557" s="35"/>
      <c r="HE557" s="35"/>
      <c r="HF557" s="35"/>
      <c r="HG557" s="35"/>
      <c r="HH557" s="35"/>
      <c r="HI557" s="35"/>
      <c r="HJ557" s="35"/>
      <c r="HK557" s="35"/>
      <c r="HL557" s="35"/>
      <c r="HM557" s="35"/>
      <c r="HN557" s="35"/>
      <c r="HO557" s="35"/>
      <c r="HP557" s="35"/>
      <c r="HQ557" s="35"/>
      <c r="HR557" s="35"/>
      <c r="HS557" s="35"/>
      <c r="HT557" s="35"/>
      <c r="HU557" s="35"/>
      <c r="HV557" s="35"/>
      <c r="HW557" s="35"/>
      <c r="HX557" s="35"/>
      <c r="HY557" s="35"/>
      <c r="HZ557" s="35"/>
      <c r="IA557" s="35"/>
      <c r="IB557" s="35"/>
      <c r="IC557" s="35"/>
      <c r="ID557" s="35"/>
      <c r="IE557" s="35"/>
      <c r="IF557" s="35"/>
      <c r="IG557" s="35"/>
      <c r="IH557" s="35"/>
      <c r="II557" s="35"/>
      <c r="IJ557" s="35"/>
      <c r="IK557" s="35"/>
      <c r="IL557" s="35"/>
      <c r="IM557" s="35"/>
      <c r="IN557" s="35"/>
      <c r="IO557" s="35"/>
      <c r="IP557" s="35"/>
      <c r="IQ557" s="35"/>
      <c r="IR557" s="35"/>
      <c r="IS557" s="35"/>
      <c r="IT557" s="35"/>
      <c r="IU557" s="35"/>
      <c r="IV557" s="35"/>
      <c r="IW557" s="35"/>
      <c r="IX557" s="35"/>
      <c r="IY557" s="35"/>
      <c r="IZ557" s="35"/>
      <c r="JA557" s="35"/>
      <c r="JB557" s="35"/>
      <c r="JC557" s="35"/>
      <c r="JD557" s="35"/>
      <c r="JE557" s="35"/>
    </row>
    <row r="558">
      <c r="A558" s="42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  <c r="BC558" s="35"/>
      <c r="BD558" s="35"/>
      <c r="BE558" s="35"/>
      <c r="BF558" s="35"/>
      <c r="BG558" s="35"/>
      <c r="BH558" s="35"/>
      <c r="BI558" s="35"/>
      <c r="BJ558" s="35"/>
      <c r="BK558" s="35"/>
      <c r="BL558" s="35"/>
      <c r="BM558" s="35"/>
      <c r="BN558" s="35"/>
      <c r="BO558" s="35"/>
      <c r="BP558" s="35"/>
      <c r="BQ558" s="35"/>
      <c r="BR558" s="35"/>
      <c r="BS558" s="35"/>
      <c r="BT558" s="35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35"/>
      <c r="CO558" s="35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35"/>
      <c r="DJ558" s="35"/>
      <c r="DK558" s="35"/>
      <c r="DL558" s="35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35"/>
      <c r="EE558" s="35"/>
      <c r="EF558" s="35"/>
      <c r="EG558" s="35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35"/>
      <c r="EZ558" s="35"/>
      <c r="FA558" s="35"/>
      <c r="FB558" s="35"/>
      <c r="FC558" s="35"/>
      <c r="FD558" s="35"/>
      <c r="FE558" s="35"/>
      <c r="FF558" s="35"/>
      <c r="FG558" s="35"/>
      <c r="FH558" s="35"/>
      <c r="FI558" s="35"/>
      <c r="FJ558" s="35"/>
      <c r="FK558" s="35"/>
      <c r="FL558" s="35"/>
      <c r="FM558" s="35"/>
      <c r="FN558" s="35"/>
      <c r="FO558" s="35"/>
      <c r="FP558" s="35"/>
      <c r="FQ558" s="35"/>
      <c r="FR558" s="35"/>
      <c r="FS558" s="35"/>
      <c r="FT558" s="35"/>
      <c r="FU558" s="35"/>
      <c r="FV558" s="35"/>
      <c r="FW558" s="35"/>
      <c r="FX558" s="35"/>
      <c r="FY558" s="35"/>
      <c r="FZ558" s="35"/>
      <c r="GA558" s="35"/>
      <c r="GB558" s="35"/>
      <c r="GC558" s="35"/>
      <c r="GD558" s="35"/>
      <c r="GE558" s="35"/>
      <c r="GF558" s="35"/>
      <c r="GG558" s="35"/>
      <c r="GH558" s="35"/>
      <c r="GI558" s="35"/>
      <c r="GJ558" s="35"/>
      <c r="GK558" s="35"/>
      <c r="GL558" s="35"/>
      <c r="GM558" s="35"/>
      <c r="GN558" s="35"/>
      <c r="GO558" s="35"/>
      <c r="GP558" s="35"/>
      <c r="GQ558" s="35"/>
      <c r="GR558" s="35"/>
      <c r="GS558" s="35"/>
      <c r="GT558" s="35"/>
      <c r="GU558" s="35"/>
      <c r="GV558" s="35"/>
      <c r="GW558" s="35"/>
      <c r="GX558" s="35"/>
      <c r="GY558" s="35"/>
      <c r="GZ558" s="35"/>
      <c r="HA558" s="35"/>
      <c r="HB558" s="35"/>
      <c r="HC558" s="35"/>
      <c r="HD558" s="35"/>
      <c r="HE558" s="35"/>
      <c r="HF558" s="35"/>
      <c r="HG558" s="35"/>
      <c r="HH558" s="35"/>
      <c r="HI558" s="35"/>
      <c r="HJ558" s="35"/>
      <c r="HK558" s="35"/>
      <c r="HL558" s="35"/>
      <c r="HM558" s="35"/>
      <c r="HN558" s="35"/>
      <c r="HO558" s="35"/>
      <c r="HP558" s="35"/>
      <c r="HQ558" s="35"/>
      <c r="HR558" s="35"/>
      <c r="HS558" s="35"/>
      <c r="HT558" s="35"/>
      <c r="HU558" s="35"/>
      <c r="HV558" s="35"/>
      <c r="HW558" s="35"/>
      <c r="HX558" s="35"/>
      <c r="HY558" s="35"/>
      <c r="HZ558" s="35"/>
      <c r="IA558" s="35"/>
      <c r="IB558" s="35"/>
      <c r="IC558" s="35"/>
      <c r="ID558" s="35"/>
      <c r="IE558" s="35"/>
      <c r="IF558" s="35"/>
      <c r="IG558" s="35"/>
      <c r="IH558" s="35"/>
      <c r="II558" s="35"/>
      <c r="IJ558" s="35"/>
      <c r="IK558" s="35"/>
      <c r="IL558" s="35"/>
      <c r="IM558" s="35"/>
      <c r="IN558" s="35"/>
      <c r="IO558" s="35"/>
      <c r="IP558" s="35"/>
      <c r="IQ558" s="35"/>
      <c r="IR558" s="35"/>
      <c r="IS558" s="35"/>
      <c r="IT558" s="35"/>
      <c r="IU558" s="35"/>
      <c r="IV558" s="35"/>
      <c r="IW558" s="35"/>
      <c r="IX558" s="35"/>
      <c r="IY558" s="35"/>
      <c r="IZ558" s="35"/>
      <c r="JA558" s="35"/>
      <c r="JB558" s="35"/>
      <c r="JC558" s="35"/>
      <c r="JD558" s="35"/>
      <c r="JE558" s="35"/>
    </row>
    <row r="559">
      <c r="A559" s="42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  <c r="BC559" s="35"/>
      <c r="BD559" s="35"/>
      <c r="BE559" s="35"/>
      <c r="BF559" s="35"/>
      <c r="BG559" s="35"/>
      <c r="BH559" s="35"/>
      <c r="BI559" s="35"/>
      <c r="BJ559" s="35"/>
      <c r="BK559" s="35"/>
      <c r="BL559" s="35"/>
      <c r="BM559" s="35"/>
      <c r="BN559" s="35"/>
      <c r="BO559" s="35"/>
      <c r="BP559" s="35"/>
      <c r="BQ559" s="35"/>
      <c r="BR559" s="35"/>
      <c r="BS559" s="35"/>
      <c r="BT559" s="35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35"/>
      <c r="CO559" s="35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35"/>
      <c r="DJ559" s="35"/>
      <c r="DK559" s="35"/>
      <c r="DL559" s="35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35"/>
      <c r="EE559" s="35"/>
      <c r="EF559" s="35"/>
      <c r="EG559" s="35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35"/>
      <c r="EZ559" s="35"/>
      <c r="FA559" s="35"/>
      <c r="FB559" s="35"/>
      <c r="FC559" s="35"/>
      <c r="FD559" s="35"/>
      <c r="FE559" s="35"/>
      <c r="FF559" s="35"/>
      <c r="FG559" s="35"/>
      <c r="FH559" s="35"/>
      <c r="FI559" s="35"/>
      <c r="FJ559" s="35"/>
      <c r="FK559" s="35"/>
      <c r="FL559" s="35"/>
      <c r="FM559" s="35"/>
      <c r="FN559" s="35"/>
      <c r="FO559" s="35"/>
      <c r="FP559" s="35"/>
      <c r="FQ559" s="35"/>
      <c r="FR559" s="35"/>
      <c r="FS559" s="35"/>
      <c r="FT559" s="35"/>
      <c r="FU559" s="35"/>
      <c r="FV559" s="35"/>
      <c r="FW559" s="35"/>
      <c r="FX559" s="35"/>
      <c r="FY559" s="35"/>
      <c r="FZ559" s="35"/>
      <c r="GA559" s="35"/>
      <c r="GB559" s="35"/>
      <c r="GC559" s="35"/>
      <c r="GD559" s="35"/>
      <c r="GE559" s="35"/>
      <c r="GF559" s="35"/>
      <c r="GG559" s="35"/>
      <c r="GH559" s="35"/>
      <c r="GI559" s="35"/>
      <c r="GJ559" s="35"/>
      <c r="GK559" s="35"/>
      <c r="GL559" s="35"/>
      <c r="GM559" s="35"/>
      <c r="GN559" s="35"/>
      <c r="GO559" s="35"/>
      <c r="GP559" s="35"/>
      <c r="GQ559" s="35"/>
      <c r="GR559" s="35"/>
      <c r="GS559" s="35"/>
      <c r="GT559" s="35"/>
      <c r="GU559" s="35"/>
      <c r="GV559" s="35"/>
      <c r="GW559" s="35"/>
      <c r="GX559" s="35"/>
      <c r="GY559" s="35"/>
      <c r="GZ559" s="35"/>
      <c r="HA559" s="35"/>
      <c r="HB559" s="35"/>
      <c r="HC559" s="35"/>
      <c r="HD559" s="35"/>
      <c r="HE559" s="35"/>
      <c r="HF559" s="35"/>
      <c r="HG559" s="35"/>
      <c r="HH559" s="35"/>
      <c r="HI559" s="35"/>
      <c r="HJ559" s="35"/>
      <c r="HK559" s="35"/>
      <c r="HL559" s="35"/>
      <c r="HM559" s="35"/>
      <c r="HN559" s="35"/>
      <c r="HO559" s="35"/>
      <c r="HP559" s="35"/>
      <c r="HQ559" s="35"/>
      <c r="HR559" s="35"/>
      <c r="HS559" s="35"/>
      <c r="HT559" s="35"/>
      <c r="HU559" s="35"/>
      <c r="HV559" s="35"/>
      <c r="HW559" s="35"/>
      <c r="HX559" s="35"/>
      <c r="HY559" s="35"/>
      <c r="HZ559" s="35"/>
      <c r="IA559" s="35"/>
      <c r="IB559" s="35"/>
      <c r="IC559" s="35"/>
      <c r="ID559" s="35"/>
      <c r="IE559" s="35"/>
      <c r="IF559" s="35"/>
      <c r="IG559" s="35"/>
      <c r="IH559" s="35"/>
      <c r="II559" s="35"/>
      <c r="IJ559" s="35"/>
      <c r="IK559" s="35"/>
      <c r="IL559" s="35"/>
      <c r="IM559" s="35"/>
      <c r="IN559" s="35"/>
      <c r="IO559" s="35"/>
      <c r="IP559" s="35"/>
      <c r="IQ559" s="35"/>
      <c r="IR559" s="35"/>
      <c r="IS559" s="35"/>
      <c r="IT559" s="35"/>
      <c r="IU559" s="35"/>
      <c r="IV559" s="35"/>
      <c r="IW559" s="35"/>
      <c r="IX559" s="35"/>
      <c r="IY559" s="35"/>
      <c r="IZ559" s="35"/>
      <c r="JA559" s="35"/>
      <c r="JB559" s="35"/>
      <c r="JC559" s="35"/>
      <c r="JD559" s="35"/>
      <c r="JE559" s="35"/>
    </row>
    <row r="560">
      <c r="A560" s="42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5"/>
      <c r="BR560" s="35"/>
      <c r="BS560" s="35"/>
      <c r="BT560" s="35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35"/>
      <c r="CO560" s="35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35"/>
      <c r="DJ560" s="35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35"/>
      <c r="EE560" s="35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35"/>
      <c r="EZ560" s="35"/>
      <c r="FA560" s="35"/>
      <c r="FB560" s="35"/>
      <c r="FC560" s="35"/>
      <c r="FD560" s="35"/>
      <c r="FE560" s="35"/>
      <c r="FF560" s="35"/>
      <c r="FG560" s="35"/>
      <c r="FH560" s="35"/>
      <c r="FI560" s="35"/>
      <c r="FJ560" s="35"/>
      <c r="FK560" s="35"/>
      <c r="FL560" s="35"/>
      <c r="FM560" s="35"/>
      <c r="FN560" s="35"/>
      <c r="FO560" s="35"/>
      <c r="FP560" s="35"/>
      <c r="FQ560" s="35"/>
      <c r="FR560" s="35"/>
      <c r="FS560" s="35"/>
      <c r="FT560" s="35"/>
      <c r="FU560" s="35"/>
      <c r="FV560" s="35"/>
      <c r="FW560" s="35"/>
      <c r="FX560" s="35"/>
      <c r="FY560" s="35"/>
      <c r="FZ560" s="35"/>
      <c r="GA560" s="35"/>
      <c r="GB560" s="35"/>
      <c r="GC560" s="35"/>
      <c r="GD560" s="35"/>
      <c r="GE560" s="35"/>
      <c r="GF560" s="35"/>
      <c r="GG560" s="35"/>
      <c r="GH560" s="35"/>
      <c r="GI560" s="35"/>
      <c r="GJ560" s="35"/>
      <c r="GK560" s="35"/>
      <c r="GL560" s="35"/>
      <c r="GM560" s="35"/>
      <c r="GN560" s="35"/>
      <c r="GO560" s="35"/>
      <c r="GP560" s="35"/>
      <c r="GQ560" s="35"/>
      <c r="GR560" s="35"/>
      <c r="GS560" s="35"/>
      <c r="GT560" s="35"/>
      <c r="GU560" s="35"/>
      <c r="GV560" s="35"/>
      <c r="GW560" s="35"/>
      <c r="GX560" s="35"/>
      <c r="GY560" s="35"/>
      <c r="GZ560" s="35"/>
      <c r="HA560" s="35"/>
      <c r="HB560" s="35"/>
      <c r="HC560" s="35"/>
      <c r="HD560" s="35"/>
      <c r="HE560" s="35"/>
      <c r="HF560" s="35"/>
      <c r="HG560" s="35"/>
      <c r="HH560" s="35"/>
      <c r="HI560" s="35"/>
      <c r="HJ560" s="35"/>
      <c r="HK560" s="35"/>
      <c r="HL560" s="35"/>
      <c r="HM560" s="35"/>
      <c r="HN560" s="35"/>
      <c r="HO560" s="35"/>
      <c r="HP560" s="35"/>
      <c r="HQ560" s="35"/>
      <c r="HR560" s="35"/>
      <c r="HS560" s="35"/>
      <c r="HT560" s="35"/>
      <c r="HU560" s="35"/>
      <c r="HV560" s="35"/>
      <c r="HW560" s="35"/>
      <c r="HX560" s="35"/>
      <c r="HY560" s="35"/>
      <c r="HZ560" s="35"/>
      <c r="IA560" s="35"/>
      <c r="IB560" s="35"/>
      <c r="IC560" s="35"/>
      <c r="ID560" s="35"/>
      <c r="IE560" s="35"/>
      <c r="IF560" s="35"/>
      <c r="IG560" s="35"/>
      <c r="IH560" s="35"/>
      <c r="II560" s="35"/>
      <c r="IJ560" s="35"/>
      <c r="IK560" s="35"/>
      <c r="IL560" s="35"/>
      <c r="IM560" s="35"/>
      <c r="IN560" s="35"/>
      <c r="IO560" s="35"/>
      <c r="IP560" s="35"/>
      <c r="IQ560" s="35"/>
      <c r="IR560" s="35"/>
      <c r="IS560" s="35"/>
      <c r="IT560" s="35"/>
      <c r="IU560" s="35"/>
      <c r="IV560" s="35"/>
      <c r="IW560" s="35"/>
      <c r="IX560" s="35"/>
      <c r="IY560" s="35"/>
      <c r="IZ560" s="35"/>
      <c r="JA560" s="35"/>
      <c r="JB560" s="35"/>
      <c r="JC560" s="35"/>
      <c r="JD560" s="35"/>
      <c r="JE560" s="35"/>
    </row>
    <row r="561">
      <c r="A561" s="42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  <c r="BC561" s="35"/>
      <c r="BD561" s="35"/>
      <c r="BE561" s="35"/>
      <c r="BF561" s="35"/>
      <c r="BG561" s="35"/>
      <c r="BH561" s="35"/>
      <c r="BI561" s="35"/>
      <c r="BJ561" s="35"/>
      <c r="BK561" s="35"/>
      <c r="BL561" s="35"/>
      <c r="BM561" s="35"/>
      <c r="BN561" s="35"/>
      <c r="BO561" s="35"/>
      <c r="BP561" s="35"/>
      <c r="BQ561" s="35"/>
      <c r="BR561" s="35"/>
      <c r="BS561" s="35"/>
      <c r="BT561" s="35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35"/>
      <c r="CO561" s="35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35"/>
      <c r="DJ561" s="35"/>
      <c r="DK561" s="35"/>
      <c r="DL561" s="35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35"/>
      <c r="EE561" s="35"/>
      <c r="EF561" s="35"/>
      <c r="EG561" s="35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35"/>
      <c r="EZ561" s="35"/>
      <c r="FA561" s="35"/>
      <c r="FB561" s="35"/>
      <c r="FC561" s="35"/>
      <c r="FD561" s="35"/>
      <c r="FE561" s="35"/>
      <c r="FF561" s="35"/>
      <c r="FG561" s="35"/>
      <c r="FH561" s="35"/>
      <c r="FI561" s="35"/>
      <c r="FJ561" s="35"/>
      <c r="FK561" s="35"/>
      <c r="FL561" s="35"/>
      <c r="FM561" s="35"/>
      <c r="FN561" s="35"/>
      <c r="FO561" s="35"/>
      <c r="FP561" s="35"/>
      <c r="FQ561" s="35"/>
      <c r="FR561" s="35"/>
      <c r="FS561" s="35"/>
      <c r="FT561" s="35"/>
      <c r="FU561" s="35"/>
      <c r="FV561" s="35"/>
      <c r="FW561" s="35"/>
      <c r="FX561" s="35"/>
      <c r="FY561" s="35"/>
      <c r="FZ561" s="35"/>
      <c r="GA561" s="35"/>
      <c r="GB561" s="35"/>
      <c r="GC561" s="35"/>
      <c r="GD561" s="35"/>
      <c r="GE561" s="35"/>
      <c r="GF561" s="35"/>
      <c r="GG561" s="35"/>
      <c r="GH561" s="35"/>
      <c r="GI561" s="35"/>
      <c r="GJ561" s="35"/>
      <c r="GK561" s="35"/>
      <c r="GL561" s="35"/>
      <c r="GM561" s="35"/>
      <c r="GN561" s="35"/>
      <c r="GO561" s="35"/>
      <c r="GP561" s="35"/>
      <c r="GQ561" s="35"/>
      <c r="GR561" s="35"/>
      <c r="GS561" s="35"/>
      <c r="GT561" s="35"/>
      <c r="GU561" s="35"/>
      <c r="GV561" s="35"/>
      <c r="GW561" s="35"/>
      <c r="GX561" s="35"/>
      <c r="GY561" s="35"/>
      <c r="GZ561" s="35"/>
      <c r="HA561" s="35"/>
      <c r="HB561" s="35"/>
      <c r="HC561" s="35"/>
      <c r="HD561" s="35"/>
      <c r="HE561" s="35"/>
      <c r="HF561" s="35"/>
      <c r="HG561" s="35"/>
      <c r="HH561" s="35"/>
      <c r="HI561" s="35"/>
      <c r="HJ561" s="35"/>
      <c r="HK561" s="35"/>
      <c r="HL561" s="35"/>
      <c r="HM561" s="35"/>
      <c r="HN561" s="35"/>
      <c r="HO561" s="35"/>
      <c r="HP561" s="35"/>
      <c r="HQ561" s="35"/>
      <c r="HR561" s="35"/>
      <c r="HS561" s="35"/>
      <c r="HT561" s="35"/>
      <c r="HU561" s="35"/>
      <c r="HV561" s="35"/>
      <c r="HW561" s="35"/>
      <c r="HX561" s="35"/>
      <c r="HY561" s="35"/>
      <c r="HZ561" s="35"/>
      <c r="IA561" s="35"/>
      <c r="IB561" s="35"/>
      <c r="IC561" s="35"/>
      <c r="ID561" s="35"/>
      <c r="IE561" s="35"/>
      <c r="IF561" s="35"/>
      <c r="IG561" s="35"/>
      <c r="IH561" s="35"/>
      <c r="II561" s="35"/>
      <c r="IJ561" s="35"/>
      <c r="IK561" s="35"/>
      <c r="IL561" s="35"/>
      <c r="IM561" s="35"/>
      <c r="IN561" s="35"/>
      <c r="IO561" s="35"/>
      <c r="IP561" s="35"/>
      <c r="IQ561" s="35"/>
      <c r="IR561" s="35"/>
      <c r="IS561" s="35"/>
      <c r="IT561" s="35"/>
      <c r="IU561" s="35"/>
      <c r="IV561" s="35"/>
      <c r="IW561" s="35"/>
      <c r="IX561" s="35"/>
      <c r="IY561" s="35"/>
      <c r="IZ561" s="35"/>
      <c r="JA561" s="35"/>
      <c r="JB561" s="35"/>
      <c r="JC561" s="35"/>
      <c r="JD561" s="35"/>
      <c r="JE561" s="35"/>
    </row>
    <row r="562">
      <c r="A562" s="42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  <c r="BC562" s="35"/>
      <c r="BD562" s="35"/>
      <c r="BE562" s="35"/>
      <c r="BF562" s="35"/>
      <c r="BG562" s="35"/>
      <c r="BH562" s="35"/>
      <c r="BI562" s="35"/>
      <c r="BJ562" s="35"/>
      <c r="BK562" s="35"/>
      <c r="BL562" s="35"/>
      <c r="BM562" s="35"/>
      <c r="BN562" s="35"/>
      <c r="BO562" s="35"/>
      <c r="BP562" s="35"/>
      <c r="BQ562" s="35"/>
      <c r="BR562" s="35"/>
      <c r="BS562" s="35"/>
      <c r="BT562" s="35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35"/>
      <c r="CO562" s="35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35"/>
      <c r="DJ562" s="35"/>
      <c r="DK562" s="35"/>
      <c r="DL562" s="35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35"/>
      <c r="EE562" s="35"/>
      <c r="EF562" s="35"/>
      <c r="EG562" s="35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35"/>
      <c r="EZ562" s="35"/>
      <c r="FA562" s="35"/>
      <c r="FB562" s="35"/>
      <c r="FC562" s="35"/>
      <c r="FD562" s="35"/>
      <c r="FE562" s="35"/>
      <c r="FF562" s="35"/>
      <c r="FG562" s="35"/>
      <c r="FH562" s="35"/>
      <c r="FI562" s="35"/>
      <c r="FJ562" s="35"/>
      <c r="FK562" s="35"/>
      <c r="FL562" s="35"/>
      <c r="FM562" s="35"/>
      <c r="FN562" s="35"/>
      <c r="FO562" s="35"/>
      <c r="FP562" s="35"/>
      <c r="FQ562" s="35"/>
      <c r="FR562" s="35"/>
      <c r="FS562" s="35"/>
      <c r="FT562" s="35"/>
      <c r="FU562" s="35"/>
      <c r="FV562" s="35"/>
      <c r="FW562" s="35"/>
      <c r="FX562" s="35"/>
      <c r="FY562" s="35"/>
      <c r="FZ562" s="35"/>
      <c r="GA562" s="35"/>
      <c r="GB562" s="35"/>
      <c r="GC562" s="35"/>
      <c r="GD562" s="35"/>
      <c r="GE562" s="35"/>
      <c r="GF562" s="35"/>
      <c r="GG562" s="35"/>
      <c r="GH562" s="35"/>
      <c r="GI562" s="35"/>
      <c r="GJ562" s="35"/>
      <c r="GK562" s="35"/>
      <c r="GL562" s="35"/>
      <c r="GM562" s="35"/>
      <c r="GN562" s="35"/>
      <c r="GO562" s="35"/>
      <c r="GP562" s="35"/>
      <c r="GQ562" s="35"/>
      <c r="GR562" s="35"/>
      <c r="GS562" s="35"/>
      <c r="GT562" s="35"/>
      <c r="GU562" s="35"/>
      <c r="GV562" s="35"/>
      <c r="GW562" s="35"/>
      <c r="GX562" s="35"/>
      <c r="GY562" s="35"/>
      <c r="GZ562" s="35"/>
      <c r="HA562" s="35"/>
      <c r="HB562" s="35"/>
      <c r="HC562" s="35"/>
      <c r="HD562" s="35"/>
      <c r="HE562" s="35"/>
      <c r="HF562" s="35"/>
      <c r="HG562" s="35"/>
      <c r="HH562" s="35"/>
      <c r="HI562" s="35"/>
      <c r="HJ562" s="35"/>
      <c r="HK562" s="35"/>
      <c r="HL562" s="35"/>
      <c r="HM562" s="35"/>
      <c r="HN562" s="35"/>
      <c r="HO562" s="35"/>
      <c r="HP562" s="35"/>
      <c r="HQ562" s="35"/>
      <c r="HR562" s="35"/>
      <c r="HS562" s="35"/>
      <c r="HT562" s="35"/>
      <c r="HU562" s="35"/>
      <c r="HV562" s="35"/>
      <c r="HW562" s="35"/>
      <c r="HX562" s="35"/>
      <c r="HY562" s="35"/>
      <c r="HZ562" s="35"/>
      <c r="IA562" s="35"/>
      <c r="IB562" s="35"/>
      <c r="IC562" s="35"/>
      <c r="ID562" s="35"/>
      <c r="IE562" s="35"/>
      <c r="IF562" s="35"/>
      <c r="IG562" s="35"/>
      <c r="IH562" s="35"/>
      <c r="II562" s="35"/>
      <c r="IJ562" s="35"/>
      <c r="IK562" s="35"/>
      <c r="IL562" s="35"/>
      <c r="IM562" s="35"/>
      <c r="IN562" s="35"/>
      <c r="IO562" s="35"/>
      <c r="IP562" s="35"/>
      <c r="IQ562" s="35"/>
      <c r="IR562" s="35"/>
      <c r="IS562" s="35"/>
      <c r="IT562" s="35"/>
      <c r="IU562" s="35"/>
      <c r="IV562" s="35"/>
      <c r="IW562" s="35"/>
      <c r="IX562" s="35"/>
      <c r="IY562" s="35"/>
      <c r="IZ562" s="35"/>
      <c r="JA562" s="35"/>
      <c r="JB562" s="35"/>
      <c r="JC562" s="35"/>
      <c r="JD562" s="35"/>
      <c r="JE562" s="35"/>
    </row>
    <row r="563">
      <c r="A563" s="42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  <c r="BC563" s="35"/>
      <c r="BD563" s="35"/>
      <c r="BE563" s="35"/>
      <c r="BF563" s="35"/>
      <c r="BG563" s="35"/>
      <c r="BH563" s="35"/>
      <c r="BI563" s="35"/>
      <c r="BJ563" s="35"/>
      <c r="BK563" s="35"/>
      <c r="BL563" s="35"/>
      <c r="BM563" s="35"/>
      <c r="BN563" s="35"/>
      <c r="BO563" s="35"/>
      <c r="BP563" s="35"/>
      <c r="BQ563" s="35"/>
      <c r="BR563" s="35"/>
      <c r="BS563" s="35"/>
      <c r="BT563" s="35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35"/>
      <c r="CO563" s="35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35"/>
      <c r="DJ563" s="35"/>
      <c r="DK563" s="35"/>
      <c r="DL563" s="35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35"/>
      <c r="EE563" s="35"/>
      <c r="EF563" s="35"/>
      <c r="EG563" s="35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35"/>
      <c r="EZ563" s="35"/>
      <c r="FA563" s="35"/>
      <c r="FB563" s="35"/>
      <c r="FC563" s="35"/>
      <c r="FD563" s="35"/>
      <c r="FE563" s="35"/>
      <c r="FF563" s="35"/>
      <c r="FG563" s="35"/>
      <c r="FH563" s="35"/>
      <c r="FI563" s="35"/>
      <c r="FJ563" s="35"/>
      <c r="FK563" s="35"/>
      <c r="FL563" s="35"/>
      <c r="FM563" s="35"/>
      <c r="FN563" s="35"/>
      <c r="FO563" s="35"/>
      <c r="FP563" s="35"/>
      <c r="FQ563" s="35"/>
      <c r="FR563" s="35"/>
      <c r="FS563" s="35"/>
      <c r="FT563" s="35"/>
      <c r="FU563" s="35"/>
      <c r="FV563" s="35"/>
      <c r="FW563" s="35"/>
      <c r="FX563" s="35"/>
      <c r="FY563" s="35"/>
      <c r="FZ563" s="35"/>
      <c r="GA563" s="35"/>
      <c r="GB563" s="35"/>
      <c r="GC563" s="35"/>
      <c r="GD563" s="35"/>
      <c r="GE563" s="35"/>
      <c r="GF563" s="35"/>
      <c r="GG563" s="35"/>
      <c r="GH563" s="35"/>
      <c r="GI563" s="35"/>
      <c r="GJ563" s="35"/>
      <c r="GK563" s="35"/>
      <c r="GL563" s="35"/>
      <c r="GM563" s="35"/>
      <c r="GN563" s="35"/>
      <c r="GO563" s="35"/>
      <c r="GP563" s="35"/>
      <c r="GQ563" s="35"/>
      <c r="GR563" s="35"/>
      <c r="GS563" s="35"/>
      <c r="GT563" s="35"/>
      <c r="GU563" s="35"/>
      <c r="GV563" s="35"/>
      <c r="GW563" s="35"/>
      <c r="GX563" s="35"/>
      <c r="GY563" s="35"/>
      <c r="GZ563" s="35"/>
      <c r="HA563" s="35"/>
      <c r="HB563" s="35"/>
      <c r="HC563" s="35"/>
      <c r="HD563" s="35"/>
      <c r="HE563" s="35"/>
      <c r="HF563" s="35"/>
      <c r="HG563" s="35"/>
      <c r="HH563" s="35"/>
      <c r="HI563" s="35"/>
      <c r="HJ563" s="35"/>
      <c r="HK563" s="35"/>
      <c r="HL563" s="35"/>
      <c r="HM563" s="35"/>
      <c r="HN563" s="35"/>
      <c r="HO563" s="35"/>
      <c r="HP563" s="35"/>
      <c r="HQ563" s="35"/>
      <c r="HR563" s="35"/>
      <c r="HS563" s="35"/>
      <c r="HT563" s="35"/>
      <c r="HU563" s="35"/>
      <c r="HV563" s="35"/>
      <c r="HW563" s="35"/>
      <c r="HX563" s="35"/>
      <c r="HY563" s="35"/>
      <c r="HZ563" s="35"/>
      <c r="IA563" s="35"/>
      <c r="IB563" s="35"/>
      <c r="IC563" s="35"/>
      <c r="ID563" s="35"/>
      <c r="IE563" s="35"/>
      <c r="IF563" s="35"/>
      <c r="IG563" s="35"/>
      <c r="IH563" s="35"/>
      <c r="II563" s="35"/>
      <c r="IJ563" s="35"/>
      <c r="IK563" s="35"/>
      <c r="IL563" s="35"/>
      <c r="IM563" s="35"/>
      <c r="IN563" s="35"/>
      <c r="IO563" s="35"/>
      <c r="IP563" s="35"/>
      <c r="IQ563" s="35"/>
      <c r="IR563" s="35"/>
      <c r="IS563" s="35"/>
      <c r="IT563" s="35"/>
      <c r="IU563" s="35"/>
      <c r="IV563" s="35"/>
      <c r="IW563" s="35"/>
      <c r="IX563" s="35"/>
      <c r="IY563" s="35"/>
      <c r="IZ563" s="35"/>
      <c r="JA563" s="35"/>
      <c r="JB563" s="35"/>
      <c r="JC563" s="35"/>
      <c r="JD563" s="35"/>
      <c r="JE563" s="35"/>
    </row>
    <row r="564">
      <c r="A564" s="42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  <c r="BC564" s="35"/>
      <c r="BD564" s="35"/>
      <c r="BE564" s="35"/>
      <c r="BF564" s="35"/>
      <c r="BG564" s="35"/>
      <c r="BH564" s="35"/>
      <c r="BI564" s="35"/>
      <c r="BJ564" s="35"/>
      <c r="BK564" s="35"/>
      <c r="BL564" s="35"/>
      <c r="BM564" s="35"/>
      <c r="BN564" s="35"/>
      <c r="BO564" s="35"/>
      <c r="BP564" s="35"/>
      <c r="BQ564" s="35"/>
      <c r="BR564" s="35"/>
      <c r="BS564" s="35"/>
      <c r="BT564" s="35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35"/>
      <c r="CO564" s="35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35"/>
      <c r="DJ564" s="35"/>
      <c r="DK564" s="35"/>
      <c r="DL564" s="35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35"/>
      <c r="EE564" s="35"/>
      <c r="EF564" s="35"/>
      <c r="EG564" s="35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35"/>
      <c r="EZ564" s="35"/>
      <c r="FA564" s="35"/>
      <c r="FB564" s="35"/>
      <c r="FC564" s="35"/>
      <c r="FD564" s="35"/>
      <c r="FE564" s="35"/>
      <c r="FF564" s="35"/>
      <c r="FG564" s="35"/>
      <c r="FH564" s="35"/>
      <c r="FI564" s="35"/>
      <c r="FJ564" s="35"/>
      <c r="FK564" s="35"/>
      <c r="FL564" s="35"/>
      <c r="FM564" s="35"/>
      <c r="FN564" s="35"/>
      <c r="FO564" s="35"/>
      <c r="FP564" s="35"/>
      <c r="FQ564" s="35"/>
      <c r="FR564" s="35"/>
      <c r="FS564" s="35"/>
      <c r="FT564" s="35"/>
      <c r="FU564" s="35"/>
      <c r="FV564" s="35"/>
      <c r="FW564" s="35"/>
      <c r="FX564" s="35"/>
      <c r="FY564" s="35"/>
      <c r="FZ564" s="35"/>
      <c r="GA564" s="35"/>
      <c r="GB564" s="35"/>
      <c r="GC564" s="35"/>
      <c r="GD564" s="35"/>
      <c r="GE564" s="35"/>
      <c r="GF564" s="35"/>
      <c r="GG564" s="35"/>
      <c r="GH564" s="35"/>
      <c r="GI564" s="35"/>
      <c r="GJ564" s="35"/>
      <c r="GK564" s="35"/>
      <c r="GL564" s="35"/>
      <c r="GM564" s="35"/>
      <c r="GN564" s="35"/>
      <c r="GO564" s="35"/>
      <c r="GP564" s="35"/>
      <c r="GQ564" s="35"/>
      <c r="GR564" s="35"/>
      <c r="GS564" s="35"/>
      <c r="GT564" s="35"/>
      <c r="GU564" s="35"/>
      <c r="GV564" s="35"/>
      <c r="GW564" s="35"/>
      <c r="GX564" s="35"/>
      <c r="GY564" s="35"/>
      <c r="GZ564" s="35"/>
      <c r="HA564" s="35"/>
      <c r="HB564" s="35"/>
      <c r="HC564" s="35"/>
      <c r="HD564" s="35"/>
      <c r="HE564" s="35"/>
      <c r="HF564" s="35"/>
      <c r="HG564" s="35"/>
      <c r="HH564" s="35"/>
      <c r="HI564" s="35"/>
      <c r="HJ564" s="35"/>
      <c r="HK564" s="35"/>
      <c r="HL564" s="35"/>
      <c r="HM564" s="35"/>
      <c r="HN564" s="35"/>
      <c r="HO564" s="35"/>
      <c r="HP564" s="35"/>
      <c r="HQ564" s="35"/>
      <c r="HR564" s="35"/>
      <c r="HS564" s="35"/>
      <c r="HT564" s="35"/>
      <c r="HU564" s="35"/>
      <c r="HV564" s="35"/>
      <c r="HW564" s="35"/>
      <c r="HX564" s="35"/>
      <c r="HY564" s="35"/>
      <c r="HZ564" s="35"/>
      <c r="IA564" s="35"/>
      <c r="IB564" s="35"/>
      <c r="IC564" s="35"/>
      <c r="ID564" s="35"/>
      <c r="IE564" s="35"/>
      <c r="IF564" s="35"/>
      <c r="IG564" s="35"/>
      <c r="IH564" s="35"/>
      <c r="II564" s="35"/>
      <c r="IJ564" s="35"/>
      <c r="IK564" s="35"/>
      <c r="IL564" s="35"/>
      <c r="IM564" s="35"/>
      <c r="IN564" s="35"/>
      <c r="IO564" s="35"/>
      <c r="IP564" s="35"/>
      <c r="IQ564" s="35"/>
      <c r="IR564" s="35"/>
      <c r="IS564" s="35"/>
      <c r="IT564" s="35"/>
      <c r="IU564" s="35"/>
      <c r="IV564" s="35"/>
      <c r="IW564" s="35"/>
      <c r="IX564" s="35"/>
      <c r="IY564" s="35"/>
      <c r="IZ564" s="35"/>
      <c r="JA564" s="35"/>
      <c r="JB564" s="35"/>
      <c r="JC564" s="35"/>
      <c r="JD564" s="35"/>
      <c r="JE564" s="35"/>
    </row>
    <row r="565">
      <c r="A565" s="42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  <c r="BC565" s="35"/>
      <c r="BD565" s="35"/>
      <c r="BE565" s="35"/>
      <c r="BF565" s="35"/>
      <c r="BG565" s="35"/>
      <c r="BH565" s="35"/>
      <c r="BI565" s="35"/>
      <c r="BJ565" s="35"/>
      <c r="BK565" s="35"/>
      <c r="BL565" s="35"/>
      <c r="BM565" s="35"/>
      <c r="BN565" s="35"/>
      <c r="BO565" s="35"/>
      <c r="BP565" s="35"/>
      <c r="BQ565" s="35"/>
      <c r="BR565" s="35"/>
      <c r="BS565" s="35"/>
      <c r="BT565" s="35"/>
      <c r="BU565" s="35"/>
      <c r="BV565" s="35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35"/>
      <c r="CO565" s="35"/>
      <c r="CP565" s="35"/>
      <c r="CQ565" s="35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35"/>
      <c r="DJ565" s="35"/>
      <c r="DK565" s="35"/>
      <c r="DL565" s="35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35"/>
      <c r="EE565" s="35"/>
      <c r="EF565" s="35"/>
      <c r="EG565" s="35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35"/>
      <c r="EZ565" s="35"/>
      <c r="FA565" s="35"/>
      <c r="FB565" s="35"/>
      <c r="FC565" s="35"/>
      <c r="FD565" s="35"/>
      <c r="FE565" s="35"/>
      <c r="FF565" s="35"/>
      <c r="FG565" s="35"/>
      <c r="FH565" s="35"/>
      <c r="FI565" s="35"/>
      <c r="FJ565" s="35"/>
      <c r="FK565" s="35"/>
      <c r="FL565" s="35"/>
      <c r="FM565" s="35"/>
      <c r="FN565" s="35"/>
      <c r="FO565" s="35"/>
      <c r="FP565" s="35"/>
      <c r="FQ565" s="35"/>
      <c r="FR565" s="35"/>
      <c r="FS565" s="35"/>
      <c r="FT565" s="35"/>
      <c r="FU565" s="35"/>
      <c r="FV565" s="35"/>
      <c r="FW565" s="35"/>
      <c r="FX565" s="35"/>
      <c r="FY565" s="35"/>
      <c r="FZ565" s="35"/>
      <c r="GA565" s="35"/>
      <c r="GB565" s="35"/>
      <c r="GC565" s="35"/>
      <c r="GD565" s="35"/>
      <c r="GE565" s="35"/>
      <c r="GF565" s="35"/>
      <c r="GG565" s="35"/>
      <c r="GH565" s="35"/>
      <c r="GI565" s="35"/>
      <c r="GJ565" s="35"/>
      <c r="GK565" s="35"/>
      <c r="GL565" s="35"/>
      <c r="GM565" s="35"/>
      <c r="GN565" s="35"/>
      <c r="GO565" s="35"/>
      <c r="GP565" s="35"/>
      <c r="GQ565" s="35"/>
      <c r="GR565" s="35"/>
      <c r="GS565" s="35"/>
      <c r="GT565" s="35"/>
      <c r="GU565" s="35"/>
      <c r="GV565" s="35"/>
      <c r="GW565" s="35"/>
      <c r="GX565" s="35"/>
      <c r="GY565" s="35"/>
      <c r="GZ565" s="35"/>
      <c r="HA565" s="35"/>
      <c r="HB565" s="35"/>
      <c r="HC565" s="35"/>
      <c r="HD565" s="35"/>
      <c r="HE565" s="35"/>
      <c r="HF565" s="35"/>
      <c r="HG565" s="35"/>
      <c r="HH565" s="35"/>
      <c r="HI565" s="35"/>
      <c r="HJ565" s="35"/>
      <c r="HK565" s="35"/>
      <c r="HL565" s="35"/>
      <c r="HM565" s="35"/>
      <c r="HN565" s="35"/>
      <c r="HO565" s="35"/>
      <c r="HP565" s="35"/>
      <c r="HQ565" s="35"/>
      <c r="HR565" s="35"/>
      <c r="HS565" s="35"/>
      <c r="HT565" s="35"/>
      <c r="HU565" s="35"/>
      <c r="HV565" s="35"/>
      <c r="HW565" s="35"/>
      <c r="HX565" s="35"/>
      <c r="HY565" s="35"/>
      <c r="HZ565" s="35"/>
      <c r="IA565" s="35"/>
      <c r="IB565" s="35"/>
      <c r="IC565" s="35"/>
      <c r="ID565" s="35"/>
      <c r="IE565" s="35"/>
      <c r="IF565" s="35"/>
      <c r="IG565" s="35"/>
      <c r="IH565" s="35"/>
      <c r="II565" s="35"/>
      <c r="IJ565" s="35"/>
      <c r="IK565" s="35"/>
      <c r="IL565" s="35"/>
      <c r="IM565" s="35"/>
      <c r="IN565" s="35"/>
      <c r="IO565" s="35"/>
      <c r="IP565" s="35"/>
      <c r="IQ565" s="35"/>
      <c r="IR565" s="35"/>
      <c r="IS565" s="35"/>
      <c r="IT565" s="35"/>
      <c r="IU565" s="35"/>
      <c r="IV565" s="35"/>
      <c r="IW565" s="35"/>
      <c r="IX565" s="35"/>
      <c r="IY565" s="35"/>
      <c r="IZ565" s="35"/>
      <c r="JA565" s="35"/>
      <c r="JB565" s="35"/>
      <c r="JC565" s="35"/>
      <c r="JD565" s="35"/>
      <c r="JE565" s="35"/>
    </row>
    <row r="566">
      <c r="A566" s="42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  <c r="BC566" s="35"/>
      <c r="BD566" s="35"/>
      <c r="BE566" s="35"/>
      <c r="BF566" s="35"/>
      <c r="BG566" s="35"/>
      <c r="BH566" s="35"/>
      <c r="BI566" s="35"/>
      <c r="BJ566" s="35"/>
      <c r="BK566" s="35"/>
      <c r="BL566" s="35"/>
      <c r="BM566" s="35"/>
      <c r="BN566" s="35"/>
      <c r="BO566" s="35"/>
      <c r="BP566" s="35"/>
      <c r="BQ566" s="35"/>
      <c r="BR566" s="35"/>
      <c r="BS566" s="35"/>
      <c r="BT566" s="35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35"/>
      <c r="CO566" s="35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35"/>
      <c r="DJ566" s="35"/>
      <c r="DK566" s="35"/>
      <c r="DL566" s="35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35"/>
      <c r="EE566" s="35"/>
      <c r="EF566" s="35"/>
      <c r="EG566" s="35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35"/>
      <c r="EZ566" s="35"/>
      <c r="FA566" s="35"/>
      <c r="FB566" s="35"/>
      <c r="FC566" s="35"/>
      <c r="FD566" s="35"/>
      <c r="FE566" s="35"/>
      <c r="FF566" s="35"/>
      <c r="FG566" s="35"/>
      <c r="FH566" s="35"/>
      <c r="FI566" s="35"/>
      <c r="FJ566" s="35"/>
      <c r="FK566" s="35"/>
      <c r="FL566" s="35"/>
      <c r="FM566" s="35"/>
      <c r="FN566" s="35"/>
      <c r="FO566" s="35"/>
      <c r="FP566" s="35"/>
      <c r="FQ566" s="35"/>
      <c r="FR566" s="35"/>
      <c r="FS566" s="35"/>
      <c r="FT566" s="35"/>
      <c r="FU566" s="35"/>
      <c r="FV566" s="35"/>
      <c r="FW566" s="35"/>
      <c r="FX566" s="35"/>
      <c r="FY566" s="35"/>
      <c r="FZ566" s="35"/>
      <c r="GA566" s="35"/>
      <c r="GB566" s="35"/>
      <c r="GC566" s="35"/>
      <c r="GD566" s="35"/>
      <c r="GE566" s="35"/>
      <c r="GF566" s="35"/>
      <c r="GG566" s="35"/>
      <c r="GH566" s="35"/>
      <c r="GI566" s="35"/>
      <c r="GJ566" s="35"/>
      <c r="GK566" s="35"/>
      <c r="GL566" s="35"/>
      <c r="GM566" s="35"/>
      <c r="GN566" s="35"/>
      <c r="GO566" s="35"/>
      <c r="GP566" s="35"/>
      <c r="GQ566" s="35"/>
      <c r="GR566" s="35"/>
      <c r="GS566" s="35"/>
      <c r="GT566" s="35"/>
      <c r="GU566" s="35"/>
      <c r="GV566" s="35"/>
      <c r="GW566" s="35"/>
      <c r="GX566" s="35"/>
      <c r="GY566" s="35"/>
      <c r="GZ566" s="35"/>
      <c r="HA566" s="35"/>
      <c r="HB566" s="35"/>
      <c r="HC566" s="35"/>
      <c r="HD566" s="35"/>
      <c r="HE566" s="35"/>
      <c r="HF566" s="35"/>
      <c r="HG566" s="35"/>
      <c r="HH566" s="35"/>
      <c r="HI566" s="35"/>
      <c r="HJ566" s="35"/>
      <c r="HK566" s="35"/>
      <c r="HL566" s="35"/>
      <c r="HM566" s="35"/>
      <c r="HN566" s="35"/>
      <c r="HO566" s="35"/>
      <c r="HP566" s="35"/>
      <c r="HQ566" s="35"/>
      <c r="HR566" s="35"/>
      <c r="HS566" s="35"/>
      <c r="HT566" s="35"/>
      <c r="HU566" s="35"/>
      <c r="HV566" s="35"/>
      <c r="HW566" s="35"/>
      <c r="HX566" s="35"/>
      <c r="HY566" s="35"/>
      <c r="HZ566" s="35"/>
      <c r="IA566" s="35"/>
      <c r="IB566" s="35"/>
      <c r="IC566" s="35"/>
      <c r="ID566" s="35"/>
      <c r="IE566" s="35"/>
      <c r="IF566" s="35"/>
      <c r="IG566" s="35"/>
      <c r="IH566" s="35"/>
      <c r="II566" s="35"/>
      <c r="IJ566" s="35"/>
      <c r="IK566" s="35"/>
      <c r="IL566" s="35"/>
      <c r="IM566" s="35"/>
      <c r="IN566" s="35"/>
      <c r="IO566" s="35"/>
      <c r="IP566" s="35"/>
      <c r="IQ566" s="35"/>
      <c r="IR566" s="35"/>
      <c r="IS566" s="35"/>
      <c r="IT566" s="35"/>
      <c r="IU566" s="35"/>
      <c r="IV566" s="35"/>
      <c r="IW566" s="35"/>
      <c r="IX566" s="35"/>
      <c r="IY566" s="35"/>
      <c r="IZ566" s="35"/>
      <c r="JA566" s="35"/>
      <c r="JB566" s="35"/>
      <c r="JC566" s="35"/>
      <c r="JD566" s="35"/>
      <c r="JE566" s="35"/>
    </row>
    <row r="567">
      <c r="A567" s="42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  <c r="BC567" s="35"/>
      <c r="BD567" s="35"/>
      <c r="BE567" s="35"/>
      <c r="BF567" s="35"/>
      <c r="BG567" s="35"/>
      <c r="BH567" s="35"/>
      <c r="BI567" s="35"/>
      <c r="BJ567" s="35"/>
      <c r="BK567" s="35"/>
      <c r="BL567" s="35"/>
      <c r="BM567" s="35"/>
      <c r="BN567" s="35"/>
      <c r="BO567" s="35"/>
      <c r="BP567" s="35"/>
      <c r="BQ567" s="35"/>
      <c r="BR567" s="35"/>
      <c r="BS567" s="35"/>
      <c r="BT567" s="35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35"/>
      <c r="CO567" s="35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35"/>
      <c r="DJ567" s="35"/>
      <c r="DK567" s="35"/>
      <c r="DL567" s="35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35"/>
      <c r="EE567" s="35"/>
      <c r="EF567" s="35"/>
      <c r="EG567" s="35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35"/>
      <c r="EZ567" s="35"/>
      <c r="FA567" s="35"/>
      <c r="FB567" s="35"/>
      <c r="FC567" s="35"/>
      <c r="FD567" s="35"/>
      <c r="FE567" s="35"/>
      <c r="FF567" s="35"/>
      <c r="FG567" s="35"/>
      <c r="FH567" s="35"/>
      <c r="FI567" s="35"/>
      <c r="FJ567" s="35"/>
      <c r="FK567" s="35"/>
      <c r="FL567" s="35"/>
      <c r="FM567" s="35"/>
      <c r="FN567" s="35"/>
      <c r="FO567" s="35"/>
      <c r="FP567" s="35"/>
      <c r="FQ567" s="35"/>
      <c r="FR567" s="35"/>
      <c r="FS567" s="35"/>
      <c r="FT567" s="35"/>
      <c r="FU567" s="35"/>
      <c r="FV567" s="35"/>
      <c r="FW567" s="35"/>
      <c r="FX567" s="35"/>
      <c r="FY567" s="35"/>
      <c r="FZ567" s="35"/>
      <c r="GA567" s="35"/>
      <c r="GB567" s="35"/>
      <c r="GC567" s="35"/>
      <c r="GD567" s="35"/>
      <c r="GE567" s="35"/>
      <c r="GF567" s="35"/>
      <c r="GG567" s="35"/>
      <c r="GH567" s="35"/>
      <c r="GI567" s="35"/>
      <c r="GJ567" s="35"/>
      <c r="GK567" s="35"/>
      <c r="GL567" s="35"/>
      <c r="GM567" s="35"/>
      <c r="GN567" s="35"/>
      <c r="GO567" s="35"/>
      <c r="GP567" s="35"/>
      <c r="GQ567" s="35"/>
      <c r="GR567" s="35"/>
      <c r="GS567" s="35"/>
      <c r="GT567" s="35"/>
      <c r="GU567" s="35"/>
      <c r="GV567" s="35"/>
      <c r="GW567" s="35"/>
      <c r="GX567" s="35"/>
      <c r="GY567" s="35"/>
      <c r="GZ567" s="35"/>
      <c r="HA567" s="35"/>
      <c r="HB567" s="35"/>
      <c r="HC567" s="35"/>
      <c r="HD567" s="35"/>
      <c r="HE567" s="35"/>
      <c r="HF567" s="35"/>
      <c r="HG567" s="35"/>
      <c r="HH567" s="35"/>
      <c r="HI567" s="35"/>
      <c r="HJ567" s="35"/>
      <c r="HK567" s="35"/>
      <c r="HL567" s="35"/>
      <c r="HM567" s="35"/>
      <c r="HN567" s="35"/>
      <c r="HO567" s="35"/>
      <c r="HP567" s="35"/>
      <c r="HQ567" s="35"/>
      <c r="HR567" s="35"/>
      <c r="HS567" s="35"/>
      <c r="HT567" s="35"/>
      <c r="HU567" s="35"/>
      <c r="HV567" s="35"/>
      <c r="HW567" s="35"/>
      <c r="HX567" s="35"/>
      <c r="HY567" s="35"/>
      <c r="HZ567" s="35"/>
      <c r="IA567" s="35"/>
      <c r="IB567" s="35"/>
      <c r="IC567" s="35"/>
      <c r="ID567" s="35"/>
      <c r="IE567" s="35"/>
      <c r="IF567" s="35"/>
      <c r="IG567" s="35"/>
      <c r="IH567" s="35"/>
      <c r="II567" s="35"/>
      <c r="IJ567" s="35"/>
      <c r="IK567" s="35"/>
      <c r="IL567" s="35"/>
      <c r="IM567" s="35"/>
      <c r="IN567" s="35"/>
      <c r="IO567" s="35"/>
      <c r="IP567" s="35"/>
      <c r="IQ567" s="35"/>
      <c r="IR567" s="35"/>
      <c r="IS567" s="35"/>
      <c r="IT567" s="35"/>
      <c r="IU567" s="35"/>
      <c r="IV567" s="35"/>
      <c r="IW567" s="35"/>
      <c r="IX567" s="35"/>
      <c r="IY567" s="35"/>
      <c r="IZ567" s="35"/>
      <c r="JA567" s="35"/>
      <c r="JB567" s="35"/>
      <c r="JC567" s="35"/>
      <c r="JD567" s="35"/>
      <c r="JE567" s="35"/>
    </row>
    <row r="568">
      <c r="A568" s="42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  <c r="BC568" s="35"/>
      <c r="BD568" s="35"/>
      <c r="BE568" s="35"/>
      <c r="BF568" s="35"/>
      <c r="BG568" s="35"/>
      <c r="BH568" s="35"/>
      <c r="BI568" s="35"/>
      <c r="BJ568" s="35"/>
      <c r="BK568" s="35"/>
      <c r="BL568" s="35"/>
      <c r="BM568" s="35"/>
      <c r="BN568" s="35"/>
      <c r="BO568" s="35"/>
      <c r="BP568" s="35"/>
      <c r="BQ568" s="35"/>
      <c r="BR568" s="35"/>
      <c r="BS568" s="35"/>
      <c r="BT568" s="35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35"/>
      <c r="CO568" s="35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35"/>
      <c r="DJ568" s="35"/>
      <c r="DK568" s="35"/>
      <c r="DL568" s="35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35"/>
      <c r="EE568" s="35"/>
      <c r="EF568" s="35"/>
      <c r="EG568" s="35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35"/>
      <c r="EZ568" s="35"/>
      <c r="FA568" s="35"/>
      <c r="FB568" s="35"/>
      <c r="FC568" s="35"/>
      <c r="FD568" s="35"/>
      <c r="FE568" s="35"/>
      <c r="FF568" s="35"/>
      <c r="FG568" s="35"/>
      <c r="FH568" s="35"/>
      <c r="FI568" s="35"/>
      <c r="FJ568" s="35"/>
      <c r="FK568" s="35"/>
      <c r="FL568" s="35"/>
      <c r="FM568" s="35"/>
      <c r="FN568" s="35"/>
      <c r="FO568" s="35"/>
      <c r="FP568" s="35"/>
      <c r="FQ568" s="35"/>
      <c r="FR568" s="35"/>
      <c r="FS568" s="35"/>
      <c r="FT568" s="35"/>
      <c r="FU568" s="35"/>
      <c r="FV568" s="35"/>
      <c r="FW568" s="35"/>
      <c r="FX568" s="35"/>
      <c r="FY568" s="35"/>
      <c r="FZ568" s="35"/>
      <c r="GA568" s="35"/>
      <c r="GB568" s="35"/>
      <c r="GC568" s="35"/>
      <c r="GD568" s="35"/>
      <c r="GE568" s="35"/>
      <c r="GF568" s="35"/>
      <c r="GG568" s="35"/>
      <c r="GH568" s="35"/>
      <c r="GI568" s="35"/>
      <c r="GJ568" s="35"/>
      <c r="GK568" s="35"/>
      <c r="GL568" s="35"/>
      <c r="GM568" s="35"/>
      <c r="GN568" s="35"/>
      <c r="GO568" s="35"/>
      <c r="GP568" s="35"/>
      <c r="GQ568" s="35"/>
      <c r="GR568" s="35"/>
      <c r="GS568" s="35"/>
      <c r="GT568" s="35"/>
      <c r="GU568" s="35"/>
      <c r="GV568" s="35"/>
      <c r="GW568" s="35"/>
      <c r="GX568" s="35"/>
      <c r="GY568" s="35"/>
      <c r="GZ568" s="35"/>
      <c r="HA568" s="35"/>
      <c r="HB568" s="35"/>
      <c r="HC568" s="35"/>
      <c r="HD568" s="35"/>
      <c r="HE568" s="35"/>
      <c r="HF568" s="35"/>
      <c r="HG568" s="35"/>
      <c r="HH568" s="35"/>
      <c r="HI568" s="35"/>
      <c r="HJ568" s="35"/>
      <c r="HK568" s="35"/>
      <c r="HL568" s="35"/>
      <c r="HM568" s="35"/>
      <c r="HN568" s="35"/>
      <c r="HO568" s="35"/>
      <c r="HP568" s="35"/>
      <c r="HQ568" s="35"/>
      <c r="HR568" s="35"/>
      <c r="HS568" s="35"/>
      <c r="HT568" s="35"/>
      <c r="HU568" s="35"/>
      <c r="HV568" s="35"/>
      <c r="HW568" s="35"/>
      <c r="HX568" s="35"/>
      <c r="HY568" s="35"/>
      <c r="HZ568" s="35"/>
      <c r="IA568" s="35"/>
      <c r="IB568" s="35"/>
      <c r="IC568" s="35"/>
      <c r="ID568" s="35"/>
      <c r="IE568" s="35"/>
      <c r="IF568" s="35"/>
      <c r="IG568" s="35"/>
      <c r="IH568" s="35"/>
      <c r="II568" s="35"/>
      <c r="IJ568" s="35"/>
      <c r="IK568" s="35"/>
      <c r="IL568" s="35"/>
      <c r="IM568" s="35"/>
      <c r="IN568" s="35"/>
      <c r="IO568" s="35"/>
      <c r="IP568" s="35"/>
      <c r="IQ568" s="35"/>
      <c r="IR568" s="35"/>
      <c r="IS568" s="35"/>
      <c r="IT568" s="35"/>
      <c r="IU568" s="35"/>
      <c r="IV568" s="35"/>
      <c r="IW568" s="35"/>
      <c r="IX568" s="35"/>
      <c r="IY568" s="35"/>
      <c r="IZ568" s="35"/>
      <c r="JA568" s="35"/>
      <c r="JB568" s="35"/>
      <c r="JC568" s="35"/>
      <c r="JD568" s="35"/>
      <c r="JE568" s="35"/>
    </row>
    <row r="569">
      <c r="A569" s="42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  <c r="BC569" s="35"/>
      <c r="BD569" s="35"/>
      <c r="BE569" s="35"/>
      <c r="BF569" s="35"/>
      <c r="BG569" s="35"/>
      <c r="BH569" s="35"/>
      <c r="BI569" s="35"/>
      <c r="BJ569" s="35"/>
      <c r="BK569" s="35"/>
      <c r="BL569" s="35"/>
      <c r="BM569" s="35"/>
      <c r="BN569" s="35"/>
      <c r="BO569" s="35"/>
      <c r="BP569" s="35"/>
      <c r="BQ569" s="35"/>
      <c r="BR569" s="35"/>
      <c r="BS569" s="35"/>
      <c r="BT569" s="35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35"/>
      <c r="CO569" s="35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35"/>
      <c r="DJ569" s="35"/>
      <c r="DK569" s="35"/>
      <c r="DL569" s="35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35"/>
      <c r="EE569" s="35"/>
      <c r="EF569" s="35"/>
      <c r="EG569" s="35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35"/>
      <c r="EZ569" s="35"/>
      <c r="FA569" s="35"/>
      <c r="FB569" s="35"/>
      <c r="FC569" s="35"/>
      <c r="FD569" s="35"/>
      <c r="FE569" s="35"/>
      <c r="FF569" s="35"/>
      <c r="FG569" s="35"/>
      <c r="FH569" s="35"/>
      <c r="FI569" s="35"/>
      <c r="FJ569" s="35"/>
      <c r="FK569" s="35"/>
      <c r="FL569" s="35"/>
      <c r="FM569" s="35"/>
      <c r="FN569" s="35"/>
      <c r="FO569" s="35"/>
      <c r="FP569" s="35"/>
      <c r="FQ569" s="35"/>
      <c r="FR569" s="35"/>
      <c r="FS569" s="35"/>
      <c r="FT569" s="35"/>
      <c r="FU569" s="35"/>
      <c r="FV569" s="35"/>
      <c r="FW569" s="35"/>
      <c r="FX569" s="35"/>
      <c r="FY569" s="35"/>
      <c r="FZ569" s="35"/>
      <c r="GA569" s="35"/>
      <c r="GB569" s="35"/>
      <c r="GC569" s="35"/>
      <c r="GD569" s="35"/>
      <c r="GE569" s="35"/>
      <c r="GF569" s="35"/>
      <c r="GG569" s="35"/>
      <c r="GH569" s="35"/>
      <c r="GI569" s="35"/>
      <c r="GJ569" s="35"/>
      <c r="GK569" s="35"/>
      <c r="GL569" s="35"/>
      <c r="GM569" s="35"/>
      <c r="GN569" s="35"/>
      <c r="GO569" s="35"/>
      <c r="GP569" s="35"/>
      <c r="GQ569" s="35"/>
      <c r="GR569" s="35"/>
      <c r="GS569" s="35"/>
      <c r="GT569" s="35"/>
      <c r="GU569" s="35"/>
      <c r="GV569" s="35"/>
      <c r="GW569" s="35"/>
      <c r="GX569" s="35"/>
      <c r="GY569" s="35"/>
      <c r="GZ569" s="35"/>
      <c r="HA569" s="35"/>
      <c r="HB569" s="35"/>
      <c r="HC569" s="35"/>
      <c r="HD569" s="35"/>
      <c r="HE569" s="35"/>
      <c r="HF569" s="35"/>
      <c r="HG569" s="35"/>
      <c r="HH569" s="35"/>
      <c r="HI569" s="35"/>
      <c r="HJ569" s="35"/>
      <c r="HK569" s="35"/>
      <c r="HL569" s="35"/>
      <c r="HM569" s="35"/>
      <c r="HN569" s="35"/>
      <c r="HO569" s="35"/>
      <c r="HP569" s="35"/>
      <c r="HQ569" s="35"/>
      <c r="HR569" s="35"/>
      <c r="HS569" s="35"/>
      <c r="HT569" s="35"/>
      <c r="HU569" s="35"/>
      <c r="HV569" s="35"/>
      <c r="HW569" s="35"/>
      <c r="HX569" s="35"/>
      <c r="HY569" s="35"/>
      <c r="HZ569" s="35"/>
      <c r="IA569" s="35"/>
      <c r="IB569" s="35"/>
      <c r="IC569" s="35"/>
      <c r="ID569" s="35"/>
      <c r="IE569" s="35"/>
      <c r="IF569" s="35"/>
      <c r="IG569" s="35"/>
      <c r="IH569" s="35"/>
      <c r="II569" s="35"/>
      <c r="IJ569" s="35"/>
      <c r="IK569" s="35"/>
      <c r="IL569" s="35"/>
      <c r="IM569" s="35"/>
      <c r="IN569" s="35"/>
      <c r="IO569" s="35"/>
      <c r="IP569" s="35"/>
      <c r="IQ569" s="35"/>
      <c r="IR569" s="35"/>
      <c r="IS569" s="35"/>
      <c r="IT569" s="35"/>
      <c r="IU569" s="35"/>
      <c r="IV569" s="35"/>
      <c r="IW569" s="35"/>
      <c r="IX569" s="35"/>
      <c r="IY569" s="35"/>
      <c r="IZ569" s="35"/>
      <c r="JA569" s="35"/>
      <c r="JB569" s="35"/>
      <c r="JC569" s="35"/>
      <c r="JD569" s="35"/>
      <c r="JE569" s="35"/>
    </row>
    <row r="570">
      <c r="A570" s="42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  <c r="BC570" s="35"/>
      <c r="BD570" s="35"/>
      <c r="BE570" s="35"/>
      <c r="BF570" s="35"/>
      <c r="BG570" s="35"/>
      <c r="BH570" s="35"/>
      <c r="BI570" s="35"/>
      <c r="BJ570" s="35"/>
      <c r="BK570" s="35"/>
      <c r="BL570" s="35"/>
      <c r="BM570" s="35"/>
      <c r="BN570" s="35"/>
      <c r="BO570" s="35"/>
      <c r="BP570" s="35"/>
      <c r="BQ570" s="35"/>
      <c r="BR570" s="35"/>
      <c r="BS570" s="35"/>
      <c r="BT570" s="35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35"/>
      <c r="CO570" s="35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35"/>
      <c r="DJ570" s="35"/>
      <c r="DK570" s="35"/>
      <c r="DL570" s="35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35"/>
      <c r="EE570" s="35"/>
      <c r="EF570" s="35"/>
      <c r="EG570" s="35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35"/>
      <c r="EZ570" s="35"/>
      <c r="FA570" s="35"/>
      <c r="FB570" s="35"/>
      <c r="FC570" s="35"/>
      <c r="FD570" s="35"/>
      <c r="FE570" s="35"/>
      <c r="FF570" s="35"/>
      <c r="FG570" s="35"/>
      <c r="FH570" s="35"/>
      <c r="FI570" s="35"/>
      <c r="FJ570" s="35"/>
      <c r="FK570" s="35"/>
      <c r="FL570" s="35"/>
      <c r="FM570" s="35"/>
      <c r="FN570" s="35"/>
      <c r="FO570" s="35"/>
      <c r="FP570" s="35"/>
      <c r="FQ570" s="35"/>
      <c r="FR570" s="35"/>
      <c r="FS570" s="35"/>
      <c r="FT570" s="35"/>
      <c r="FU570" s="35"/>
      <c r="FV570" s="35"/>
      <c r="FW570" s="35"/>
      <c r="FX570" s="35"/>
      <c r="FY570" s="35"/>
      <c r="FZ570" s="35"/>
      <c r="GA570" s="35"/>
      <c r="GB570" s="35"/>
      <c r="GC570" s="35"/>
      <c r="GD570" s="35"/>
      <c r="GE570" s="35"/>
      <c r="GF570" s="35"/>
      <c r="GG570" s="35"/>
      <c r="GH570" s="35"/>
      <c r="GI570" s="35"/>
      <c r="GJ570" s="35"/>
      <c r="GK570" s="35"/>
      <c r="GL570" s="35"/>
      <c r="GM570" s="35"/>
      <c r="GN570" s="35"/>
      <c r="GO570" s="35"/>
      <c r="GP570" s="35"/>
      <c r="GQ570" s="35"/>
      <c r="GR570" s="35"/>
      <c r="GS570" s="35"/>
      <c r="GT570" s="35"/>
      <c r="GU570" s="35"/>
      <c r="GV570" s="35"/>
      <c r="GW570" s="35"/>
      <c r="GX570" s="35"/>
      <c r="GY570" s="35"/>
      <c r="GZ570" s="35"/>
      <c r="HA570" s="35"/>
      <c r="HB570" s="35"/>
      <c r="HC570" s="35"/>
      <c r="HD570" s="35"/>
      <c r="HE570" s="35"/>
      <c r="HF570" s="35"/>
      <c r="HG570" s="35"/>
      <c r="HH570" s="35"/>
      <c r="HI570" s="35"/>
      <c r="HJ570" s="35"/>
      <c r="HK570" s="35"/>
      <c r="HL570" s="35"/>
      <c r="HM570" s="35"/>
      <c r="HN570" s="35"/>
      <c r="HO570" s="35"/>
      <c r="HP570" s="35"/>
      <c r="HQ570" s="35"/>
      <c r="HR570" s="35"/>
      <c r="HS570" s="35"/>
      <c r="HT570" s="35"/>
      <c r="HU570" s="35"/>
      <c r="HV570" s="35"/>
      <c r="HW570" s="35"/>
      <c r="HX570" s="35"/>
      <c r="HY570" s="35"/>
      <c r="HZ570" s="35"/>
      <c r="IA570" s="35"/>
      <c r="IB570" s="35"/>
      <c r="IC570" s="35"/>
      <c r="ID570" s="35"/>
      <c r="IE570" s="35"/>
      <c r="IF570" s="35"/>
      <c r="IG570" s="35"/>
      <c r="IH570" s="35"/>
      <c r="II570" s="35"/>
      <c r="IJ570" s="35"/>
      <c r="IK570" s="35"/>
      <c r="IL570" s="35"/>
      <c r="IM570" s="35"/>
      <c r="IN570" s="35"/>
      <c r="IO570" s="35"/>
      <c r="IP570" s="35"/>
      <c r="IQ570" s="35"/>
      <c r="IR570" s="35"/>
      <c r="IS570" s="35"/>
      <c r="IT570" s="35"/>
      <c r="IU570" s="35"/>
      <c r="IV570" s="35"/>
      <c r="IW570" s="35"/>
      <c r="IX570" s="35"/>
      <c r="IY570" s="35"/>
      <c r="IZ570" s="35"/>
      <c r="JA570" s="35"/>
      <c r="JB570" s="35"/>
      <c r="JC570" s="35"/>
      <c r="JD570" s="35"/>
      <c r="JE570" s="35"/>
    </row>
    <row r="571">
      <c r="A571" s="42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  <c r="BC571" s="35"/>
      <c r="BD571" s="35"/>
      <c r="BE571" s="35"/>
      <c r="BF571" s="35"/>
      <c r="BG571" s="35"/>
      <c r="BH571" s="35"/>
      <c r="BI571" s="35"/>
      <c r="BJ571" s="35"/>
      <c r="BK571" s="35"/>
      <c r="BL571" s="35"/>
      <c r="BM571" s="35"/>
      <c r="BN571" s="35"/>
      <c r="BO571" s="35"/>
      <c r="BP571" s="35"/>
      <c r="BQ571" s="35"/>
      <c r="BR571" s="35"/>
      <c r="BS571" s="35"/>
      <c r="BT571" s="35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35"/>
      <c r="CO571" s="35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35"/>
      <c r="DJ571" s="35"/>
      <c r="DK571" s="35"/>
      <c r="DL571" s="35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35"/>
      <c r="EE571" s="35"/>
      <c r="EF571" s="35"/>
      <c r="EG571" s="35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35"/>
      <c r="EZ571" s="35"/>
      <c r="FA571" s="35"/>
      <c r="FB571" s="35"/>
      <c r="FC571" s="35"/>
      <c r="FD571" s="35"/>
      <c r="FE571" s="35"/>
      <c r="FF571" s="35"/>
      <c r="FG571" s="35"/>
      <c r="FH571" s="35"/>
      <c r="FI571" s="35"/>
      <c r="FJ571" s="35"/>
      <c r="FK571" s="35"/>
      <c r="FL571" s="35"/>
      <c r="FM571" s="35"/>
      <c r="FN571" s="35"/>
      <c r="FO571" s="35"/>
      <c r="FP571" s="35"/>
      <c r="FQ571" s="35"/>
      <c r="FR571" s="35"/>
      <c r="FS571" s="35"/>
      <c r="FT571" s="35"/>
      <c r="FU571" s="35"/>
      <c r="FV571" s="35"/>
      <c r="FW571" s="35"/>
      <c r="FX571" s="35"/>
      <c r="FY571" s="35"/>
      <c r="FZ571" s="35"/>
      <c r="GA571" s="35"/>
      <c r="GB571" s="35"/>
      <c r="GC571" s="35"/>
      <c r="GD571" s="35"/>
      <c r="GE571" s="35"/>
      <c r="GF571" s="35"/>
      <c r="GG571" s="35"/>
      <c r="GH571" s="35"/>
      <c r="GI571" s="35"/>
      <c r="GJ571" s="35"/>
      <c r="GK571" s="35"/>
      <c r="GL571" s="35"/>
      <c r="GM571" s="35"/>
      <c r="GN571" s="35"/>
      <c r="GO571" s="35"/>
      <c r="GP571" s="35"/>
      <c r="GQ571" s="35"/>
      <c r="GR571" s="35"/>
      <c r="GS571" s="35"/>
      <c r="GT571" s="35"/>
      <c r="GU571" s="35"/>
      <c r="GV571" s="35"/>
      <c r="GW571" s="35"/>
      <c r="GX571" s="35"/>
      <c r="GY571" s="35"/>
      <c r="GZ571" s="35"/>
      <c r="HA571" s="35"/>
      <c r="HB571" s="35"/>
      <c r="HC571" s="35"/>
      <c r="HD571" s="35"/>
      <c r="HE571" s="35"/>
      <c r="HF571" s="35"/>
      <c r="HG571" s="35"/>
      <c r="HH571" s="35"/>
      <c r="HI571" s="35"/>
      <c r="HJ571" s="35"/>
      <c r="HK571" s="35"/>
      <c r="HL571" s="35"/>
      <c r="HM571" s="35"/>
      <c r="HN571" s="35"/>
      <c r="HO571" s="35"/>
      <c r="HP571" s="35"/>
      <c r="HQ571" s="35"/>
      <c r="HR571" s="35"/>
      <c r="HS571" s="35"/>
      <c r="HT571" s="35"/>
      <c r="HU571" s="35"/>
      <c r="HV571" s="35"/>
      <c r="HW571" s="35"/>
      <c r="HX571" s="35"/>
      <c r="HY571" s="35"/>
      <c r="HZ571" s="35"/>
      <c r="IA571" s="35"/>
      <c r="IB571" s="35"/>
      <c r="IC571" s="35"/>
      <c r="ID571" s="35"/>
      <c r="IE571" s="35"/>
      <c r="IF571" s="35"/>
      <c r="IG571" s="35"/>
      <c r="IH571" s="35"/>
      <c r="II571" s="35"/>
      <c r="IJ571" s="35"/>
      <c r="IK571" s="35"/>
      <c r="IL571" s="35"/>
      <c r="IM571" s="35"/>
      <c r="IN571" s="35"/>
      <c r="IO571" s="35"/>
      <c r="IP571" s="35"/>
      <c r="IQ571" s="35"/>
      <c r="IR571" s="35"/>
      <c r="IS571" s="35"/>
      <c r="IT571" s="35"/>
      <c r="IU571" s="35"/>
      <c r="IV571" s="35"/>
      <c r="IW571" s="35"/>
      <c r="IX571" s="35"/>
      <c r="IY571" s="35"/>
      <c r="IZ571" s="35"/>
      <c r="JA571" s="35"/>
      <c r="JB571" s="35"/>
      <c r="JC571" s="35"/>
      <c r="JD571" s="35"/>
      <c r="JE571" s="35"/>
    </row>
    <row r="572">
      <c r="A572" s="42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  <c r="BA572" s="35"/>
      <c r="BB572" s="35"/>
      <c r="BC572" s="35"/>
      <c r="BD572" s="35"/>
      <c r="BE572" s="35"/>
      <c r="BF572" s="35"/>
      <c r="BG572" s="35"/>
      <c r="BH572" s="35"/>
      <c r="BI572" s="35"/>
      <c r="BJ572" s="35"/>
      <c r="BK572" s="35"/>
      <c r="BL572" s="35"/>
      <c r="BM572" s="35"/>
      <c r="BN572" s="35"/>
      <c r="BO572" s="35"/>
      <c r="BP572" s="35"/>
      <c r="BQ572" s="35"/>
      <c r="BR572" s="35"/>
      <c r="BS572" s="35"/>
      <c r="BT572" s="35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35"/>
      <c r="CO572" s="35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35"/>
      <c r="DJ572" s="35"/>
      <c r="DK572" s="35"/>
      <c r="DL572" s="35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35"/>
      <c r="EE572" s="35"/>
      <c r="EF572" s="35"/>
      <c r="EG572" s="35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35"/>
      <c r="EZ572" s="35"/>
      <c r="FA572" s="35"/>
      <c r="FB572" s="35"/>
      <c r="FC572" s="35"/>
      <c r="FD572" s="35"/>
      <c r="FE572" s="35"/>
      <c r="FF572" s="35"/>
      <c r="FG572" s="35"/>
      <c r="FH572" s="35"/>
      <c r="FI572" s="35"/>
      <c r="FJ572" s="35"/>
      <c r="FK572" s="35"/>
      <c r="FL572" s="35"/>
      <c r="FM572" s="35"/>
      <c r="FN572" s="35"/>
      <c r="FO572" s="35"/>
      <c r="FP572" s="35"/>
      <c r="FQ572" s="35"/>
      <c r="FR572" s="35"/>
      <c r="FS572" s="35"/>
      <c r="FT572" s="35"/>
      <c r="FU572" s="35"/>
      <c r="FV572" s="35"/>
      <c r="FW572" s="35"/>
      <c r="FX572" s="35"/>
      <c r="FY572" s="35"/>
      <c r="FZ572" s="35"/>
      <c r="GA572" s="35"/>
      <c r="GB572" s="35"/>
      <c r="GC572" s="35"/>
      <c r="GD572" s="35"/>
      <c r="GE572" s="35"/>
      <c r="GF572" s="35"/>
      <c r="GG572" s="35"/>
      <c r="GH572" s="35"/>
      <c r="GI572" s="35"/>
      <c r="GJ572" s="35"/>
      <c r="GK572" s="35"/>
      <c r="GL572" s="35"/>
      <c r="GM572" s="35"/>
      <c r="GN572" s="35"/>
      <c r="GO572" s="35"/>
      <c r="GP572" s="35"/>
      <c r="GQ572" s="35"/>
      <c r="GR572" s="35"/>
      <c r="GS572" s="35"/>
      <c r="GT572" s="35"/>
      <c r="GU572" s="35"/>
      <c r="GV572" s="35"/>
      <c r="GW572" s="35"/>
      <c r="GX572" s="35"/>
      <c r="GY572" s="35"/>
      <c r="GZ572" s="35"/>
      <c r="HA572" s="35"/>
      <c r="HB572" s="35"/>
      <c r="HC572" s="35"/>
      <c r="HD572" s="35"/>
      <c r="HE572" s="35"/>
      <c r="HF572" s="35"/>
      <c r="HG572" s="35"/>
      <c r="HH572" s="35"/>
      <c r="HI572" s="35"/>
      <c r="HJ572" s="35"/>
      <c r="HK572" s="35"/>
      <c r="HL572" s="35"/>
      <c r="HM572" s="35"/>
      <c r="HN572" s="35"/>
      <c r="HO572" s="35"/>
      <c r="HP572" s="35"/>
      <c r="HQ572" s="35"/>
      <c r="HR572" s="35"/>
      <c r="HS572" s="35"/>
      <c r="HT572" s="35"/>
      <c r="HU572" s="35"/>
      <c r="HV572" s="35"/>
      <c r="HW572" s="35"/>
      <c r="HX572" s="35"/>
      <c r="HY572" s="35"/>
      <c r="HZ572" s="35"/>
      <c r="IA572" s="35"/>
      <c r="IB572" s="35"/>
      <c r="IC572" s="35"/>
      <c r="ID572" s="35"/>
      <c r="IE572" s="35"/>
      <c r="IF572" s="35"/>
      <c r="IG572" s="35"/>
      <c r="IH572" s="35"/>
      <c r="II572" s="35"/>
      <c r="IJ572" s="35"/>
      <c r="IK572" s="35"/>
      <c r="IL572" s="35"/>
      <c r="IM572" s="35"/>
      <c r="IN572" s="35"/>
      <c r="IO572" s="35"/>
      <c r="IP572" s="35"/>
      <c r="IQ572" s="35"/>
      <c r="IR572" s="35"/>
      <c r="IS572" s="35"/>
      <c r="IT572" s="35"/>
      <c r="IU572" s="35"/>
      <c r="IV572" s="35"/>
      <c r="IW572" s="35"/>
      <c r="IX572" s="35"/>
      <c r="IY572" s="35"/>
      <c r="IZ572" s="35"/>
      <c r="JA572" s="35"/>
      <c r="JB572" s="35"/>
      <c r="JC572" s="35"/>
      <c r="JD572" s="35"/>
      <c r="JE572" s="35"/>
    </row>
    <row r="573">
      <c r="A573" s="42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  <c r="BC573" s="35"/>
      <c r="BD573" s="35"/>
      <c r="BE573" s="35"/>
      <c r="BF573" s="35"/>
      <c r="BG573" s="35"/>
      <c r="BH573" s="35"/>
      <c r="BI573" s="35"/>
      <c r="BJ573" s="35"/>
      <c r="BK573" s="35"/>
      <c r="BL573" s="35"/>
      <c r="BM573" s="35"/>
      <c r="BN573" s="35"/>
      <c r="BO573" s="35"/>
      <c r="BP573" s="35"/>
      <c r="BQ573" s="35"/>
      <c r="BR573" s="35"/>
      <c r="BS573" s="35"/>
      <c r="BT573" s="35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35"/>
      <c r="CO573" s="35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35"/>
      <c r="DJ573" s="35"/>
      <c r="DK573" s="35"/>
      <c r="DL573" s="35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35"/>
      <c r="EE573" s="35"/>
      <c r="EF573" s="35"/>
      <c r="EG573" s="35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35"/>
      <c r="EZ573" s="35"/>
      <c r="FA573" s="35"/>
      <c r="FB573" s="35"/>
      <c r="FC573" s="35"/>
      <c r="FD573" s="35"/>
      <c r="FE573" s="35"/>
      <c r="FF573" s="35"/>
      <c r="FG573" s="35"/>
      <c r="FH573" s="35"/>
      <c r="FI573" s="35"/>
      <c r="FJ573" s="35"/>
      <c r="FK573" s="35"/>
      <c r="FL573" s="35"/>
      <c r="FM573" s="35"/>
      <c r="FN573" s="35"/>
      <c r="FO573" s="35"/>
      <c r="FP573" s="35"/>
      <c r="FQ573" s="35"/>
      <c r="FR573" s="35"/>
      <c r="FS573" s="35"/>
      <c r="FT573" s="35"/>
      <c r="FU573" s="35"/>
      <c r="FV573" s="35"/>
      <c r="FW573" s="35"/>
      <c r="FX573" s="35"/>
      <c r="FY573" s="35"/>
      <c r="FZ573" s="35"/>
      <c r="GA573" s="35"/>
      <c r="GB573" s="35"/>
      <c r="GC573" s="35"/>
      <c r="GD573" s="35"/>
      <c r="GE573" s="35"/>
      <c r="GF573" s="35"/>
      <c r="GG573" s="35"/>
      <c r="GH573" s="35"/>
      <c r="GI573" s="35"/>
      <c r="GJ573" s="35"/>
      <c r="GK573" s="35"/>
      <c r="GL573" s="35"/>
      <c r="GM573" s="35"/>
      <c r="GN573" s="35"/>
      <c r="GO573" s="35"/>
      <c r="GP573" s="35"/>
      <c r="GQ573" s="35"/>
      <c r="GR573" s="35"/>
      <c r="GS573" s="35"/>
      <c r="GT573" s="35"/>
      <c r="GU573" s="35"/>
      <c r="GV573" s="35"/>
      <c r="GW573" s="35"/>
      <c r="GX573" s="35"/>
      <c r="GY573" s="35"/>
      <c r="GZ573" s="35"/>
      <c r="HA573" s="35"/>
      <c r="HB573" s="35"/>
      <c r="HC573" s="35"/>
      <c r="HD573" s="35"/>
      <c r="HE573" s="35"/>
      <c r="HF573" s="35"/>
      <c r="HG573" s="35"/>
      <c r="HH573" s="35"/>
      <c r="HI573" s="35"/>
      <c r="HJ573" s="35"/>
      <c r="HK573" s="35"/>
      <c r="HL573" s="35"/>
      <c r="HM573" s="35"/>
      <c r="HN573" s="35"/>
      <c r="HO573" s="35"/>
      <c r="HP573" s="35"/>
      <c r="HQ573" s="35"/>
      <c r="HR573" s="35"/>
      <c r="HS573" s="35"/>
      <c r="HT573" s="35"/>
      <c r="HU573" s="35"/>
      <c r="HV573" s="35"/>
      <c r="HW573" s="35"/>
      <c r="HX573" s="35"/>
      <c r="HY573" s="35"/>
      <c r="HZ573" s="35"/>
      <c r="IA573" s="35"/>
      <c r="IB573" s="35"/>
      <c r="IC573" s="35"/>
      <c r="ID573" s="35"/>
      <c r="IE573" s="35"/>
      <c r="IF573" s="35"/>
      <c r="IG573" s="35"/>
      <c r="IH573" s="35"/>
      <c r="II573" s="35"/>
      <c r="IJ573" s="35"/>
      <c r="IK573" s="35"/>
      <c r="IL573" s="35"/>
      <c r="IM573" s="35"/>
      <c r="IN573" s="35"/>
      <c r="IO573" s="35"/>
      <c r="IP573" s="35"/>
      <c r="IQ573" s="35"/>
      <c r="IR573" s="35"/>
      <c r="IS573" s="35"/>
      <c r="IT573" s="35"/>
      <c r="IU573" s="35"/>
      <c r="IV573" s="35"/>
      <c r="IW573" s="35"/>
      <c r="IX573" s="35"/>
      <c r="IY573" s="35"/>
      <c r="IZ573" s="35"/>
      <c r="JA573" s="35"/>
      <c r="JB573" s="35"/>
      <c r="JC573" s="35"/>
      <c r="JD573" s="35"/>
      <c r="JE573" s="35"/>
    </row>
    <row r="574">
      <c r="A574" s="42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  <c r="BC574" s="35"/>
      <c r="BD574" s="35"/>
      <c r="BE574" s="35"/>
      <c r="BF574" s="35"/>
      <c r="BG574" s="35"/>
      <c r="BH574" s="35"/>
      <c r="BI574" s="35"/>
      <c r="BJ574" s="35"/>
      <c r="BK574" s="35"/>
      <c r="BL574" s="35"/>
      <c r="BM574" s="35"/>
      <c r="BN574" s="35"/>
      <c r="BO574" s="35"/>
      <c r="BP574" s="35"/>
      <c r="BQ574" s="35"/>
      <c r="BR574" s="35"/>
      <c r="BS574" s="35"/>
      <c r="BT574" s="35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35"/>
      <c r="CO574" s="35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35"/>
      <c r="DJ574" s="35"/>
      <c r="DK574" s="35"/>
      <c r="DL574" s="35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35"/>
      <c r="EE574" s="35"/>
      <c r="EF574" s="35"/>
      <c r="EG574" s="35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35"/>
      <c r="EZ574" s="35"/>
      <c r="FA574" s="35"/>
      <c r="FB574" s="35"/>
      <c r="FC574" s="35"/>
      <c r="FD574" s="35"/>
      <c r="FE574" s="35"/>
      <c r="FF574" s="35"/>
      <c r="FG574" s="35"/>
      <c r="FH574" s="35"/>
      <c r="FI574" s="35"/>
      <c r="FJ574" s="35"/>
      <c r="FK574" s="35"/>
      <c r="FL574" s="35"/>
      <c r="FM574" s="35"/>
      <c r="FN574" s="35"/>
      <c r="FO574" s="35"/>
      <c r="FP574" s="35"/>
      <c r="FQ574" s="35"/>
      <c r="FR574" s="35"/>
      <c r="FS574" s="35"/>
      <c r="FT574" s="35"/>
      <c r="FU574" s="35"/>
      <c r="FV574" s="35"/>
      <c r="FW574" s="35"/>
      <c r="FX574" s="35"/>
      <c r="FY574" s="35"/>
      <c r="FZ574" s="35"/>
      <c r="GA574" s="35"/>
      <c r="GB574" s="35"/>
      <c r="GC574" s="35"/>
      <c r="GD574" s="35"/>
      <c r="GE574" s="35"/>
      <c r="GF574" s="35"/>
      <c r="GG574" s="35"/>
      <c r="GH574" s="35"/>
      <c r="GI574" s="35"/>
      <c r="GJ574" s="35"/>
      <c r="GK574" s="35"/>
      <c r="GL574" s="35"/>
      <c r="GM574" s="35"/>
      <c r="GN574" s="35"/>
      <c r="GO574" s="35"/>
      <c r="GP574" s="35"/>
      <c r="GQ574" s="35"/>
      <c r="GR574" s="35"/>
      <c r="GS574" s="35"/>
      <c r="GT574" s="35"/>
      <c r="GU574" s="35"/>
      <c r="GV574" s="35"/>
      <c r="GW574" s="35"/>
      <c r="GX574" s="35"/>
      <c r="GY574" s="35"/>
      <c r="GZ574" s="35"/>
      <c r="HA574" s="35"/>
      <c r="HB574" s="35"/>
      <c r="HC574" s="35"/>
      <c r="HD574" s="35"/>
      <c r="HE574" s="35"/>
      <c r="HF574" s="35"/>
      <c r="HG574" s="35"/>
      <c r="HH574" s="35"/>
      <c r="HI574" s="35"/>
      <c r="HJ574" s="35"/>
      <c r="HK574" s="35"/>
      <c r="HL574" s="35"/>
      <c r="HM574" s="35"/>
      <c r="HN574" s="35"/>
      <c r="HO574" s="35"/>
      <c r="HP574" s="35"/>
      <c r="HQ574" s="35"/>
      <c r="HR574" s="35"/>
      <c r="HS574" s="35"/>
      <c r="HT574" s="35"/>
      <c r="HU574" s="35"/>
      <c r="HV574" s="35"/>
      <c r="HW574" s="35"/>
      <c r="HX574" s="35"/>
      <c r="HY574" s="35"/>
      <c r="HZ574" s="35"/>
      <c r="IA574" s="35"/>
      <c r="IB574" s="35"/>
      <c r="IC574" s="35"/>
      <c r="ID574" s="35"/>
      <c r="IE574" s="35"/>
      <c r="IF574" s="35"/>
      <c r="IG574" s="35"/>
      <c r="IH574" s="35"/>
      <c r="II574" s="35"/>
      <c r="IJ574" s="35"/>
      <c r="IK574" s="35"/>
      <c r="IL574" s="35"/>
      <c r="IM574" s="35"/>
      <c r="IN574" s="35"/>
      <c r="IO574" s="35"/>
      <c r="IP574" s="35"/>
      <c r="IQ574" s="35"/>
      <c r="IR574" s="35"/>
      <c r="IS574" s="35"/>
      <c r="IT574" s="35"/>
      <c r="IU574" s="35"/>
      <c r="IV574" s="35"/>
      <c r="IW574" s="35"/>
      <c r="IX574" s="35"/>
      <c r="IY574" s="35"/>
      <c r="IZ574" s="35"/>
      <c r="JA574" s="35"/>
      <c r="JB574" s="35"/>
      <c r="JC574" s="35"/>
      <c r="JD574" s="35"/>
      <c r="JE574" s="35"/>
    </row>
    <row r="575">
      <c r="A575" s="42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  <c r="BC575" s="35"/>
      <c r="BD575" s="35"/>
      <c r="BE575" s="35"/>
      <c r="BF575" s="35"/>
      <c r="BG575" s="35"/>
      <c r="BH575" s="35"/>
      <c r="BI575" s="35"/>
      <c r="BJ575" s="35"/>
      <c r="BK575" s="35"/>
      <c r="BL575" s="35"/>
      <c r="BM575" s="35"/>
      <c r="BN575" s="35"/>
      <c r="BO575" s="35"/>
      <c r="BP575" s="35"/>
      <c r="BQ575" s="35"/>
      <c r="BR575" s="35"/>
      <c r="BS575" s="35"/>
      <c r="BT575" s="35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35"/>
      <c r="CO575" s="35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35"/>
      <c r="DJ575" s="35"/>
      <c r="DK575" s="35"/>
      <c r="DL575" s="35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35"/>
      <c r="EE575" s="35"/>
      <c r="EF575" s="35"/>
      <c r="EG575" s="35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35"/>
      <c r="EZ575" s="35"/>
      <c r="FA575" s="35"/>
      <c r="FB575" s="35"/>
      <c r="FC575" s="35"/>
      <c r="FD575" s="35"/>
      <c r="FE575" s="35"/>
      <c r="FF575" s="35"/>
      <c r="FG575" s="35"/>
      <c r="FH575" s="35"/>
      <c r="FI575" s="35"/>
      <c r="FJ575" s="35"/>
      <c r="FK575" s="35"/>
      <c r="FL575" s="35"/>
      <c r="FM575" s="35"/>
      <c r="FN575" s="35"/>
      <c r="FO575" s="35"/>
      <c r="FP575" s="35"/>
      <c r="FQ575" s="35"/>
      <c r="FR575" s="35"/>
      <c r="FS575" s="35"/>
      <c r="FT575" s="35"/>
      <c r="FU575" s="35"/>
      <c r="FV575" s="35"/>
      <c r="FW575" s="35"/>
      <c r="FX575" s="35"/>
      <c r="FY575" s="35"/>
      <c r="FZ575" s="35"/>
      <c r="GA575" s="35"/>
      <c r="GB575" s="35"/>
      <c r="GC575" s="35"/>
      <c r="GD575" s="35"/>
      <c r="GE575" s="35"/>
      <c r="GF575" s="35"/>
      <c r="GG575" s="35"/>
      <c r="GH575" s="35"/>
      <c r="GI575" s="35"/>
      <c r="GJ575" s="35"/>
      <c r="GK575" s="35"/>
      <c r="GL575" s="35"/>
      <c r="GM575" s="35"/>
      <c r="GN575" s="35"/>
      <c r="GO575" s="35"/>
      <c r="GP575" s="35"/>
      <c r="GQ575" s="35"/>
      <c r="GR575" s="35"/>
      <c r="GS575" s="35"/>
      <c r="GT575" s="35"/>
      <c r="GU575" s="35"/>
      <c r="GV575" s="35"/>
      <c r="GW575" s="35"/>
      <c r="GX575" s="35"/>
      <c r="GY575" s="35"/>
      <c r="GZ575" s="35"/>
      <c r="HA575" s="35"/>
      <c r="HB575" s="35"/>
      <c r="HC575" s="35"/>
      <c r="HD575" s="35"/>
      <c r="HE575" s="35"/>
      <c r="HF575" s="35"/>
      <c r="HG575" s="35"/>
      <c r="HH575" s="35"/>
      <c r="HI575" s="35"/>
      <c r="HJ575" s="35"/>
      <c r="HK575" s="35"/>
      <c r="HL575" s="35"/>
      <c r="HM575" s="35"/>
      <c r="HN575" s="35"/>
      <c r="HO575" s="35"/>
      <c r="HP575" s="35"/>
      <c r="HQ575" s="35"/>
      <c r="HR575" s="35"/>
      <c r="HS575" s="35"/>
      <c r="HT575" s="35"/>
      <c r="HU575" s="35"/>
      <c r="HV575" s="35"/>
      <c r="HW575" s="35"/>
      <c r="HX575" s="35"/>
      <c r="HY575" s="35"/>
      <c r="HZ575" s="35"/>
      <c r="IA575" s="35"/>
      <c r="IB575" s="35"/>
      <c r="IC575" s="35"/>
      <c r="ID575" s="35"/>
      <c r="IE575" s="35"/>
      <c r="IF575" s="35"/>
      <c r="IG575" s="35"/>
      <c r="IH575" s="35"/>
      <c r="II575" s="35"/>
      <c r="IJ575" s="35"/>
      <c r="IK575" s="35"/>
      <c r="IL575" s="35"/>
      <c r="IM575" s="35"/>
      <c r="IN575" s="35"/>
      <c r="IO575" s="35"/>
      <c r="IP575" s="35"/>
      <c r="IQ575" s="35"/>
      <c r="IR575" s="35"/>
      <c r="IS575" s="35"/>
      <c r="IT575" s="35"/>
      <c r="IU575" s="35"/>
      <c r="IV575" s="35"/>
      <c r="IW575" s="35"/>
      <c r="IX575" s="35"/>
      <c r="IY575" s="35"/>
      <c r="IZ575" s="35"/>
      <c r="JA575" s="35"/>
      <c r="JB575" s="35"/>
      <c r="JC575" s="35"/>
      <c r="JD575" s="35"/>
      <c r="JE575" s="35"/>
    </row>
    <row r="576">
      <c r="A576" s="42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  <c r="BC576" s="35"/>
      <c r="BD576" s="35"/>
      <c r="BE576" s="35"/>
      <c r="BF576" s="35"/>
      <c r="BG576" s="35"/>
      <c r="BH576" s="35"/>
      <c r="BI576" s="35"/>
      <c r="BJ576" s="35"/>
      <c r="BK576" s="35"/>
      <c r="BL576" s="35"/>
      <c r="BM576" s="35"/>
      <c r="BN576" s="35"/>
      <c r="BO576" s="35"/>
      <c r="BP576" s="35"/>
      <c r="BQ576" s="35"/>
      <c r="BR576" s="35"/>
      <c r="BS576" s="35"/>
      <c r="BT576" s="35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35"/>
      <c r="CO576" s="35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35"/>
      <c r="DJ576" s="35"/>
      <c r="DK576" s="35"/>
      <c r="DL576" s="35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35"/>
      <c r="EE576" s="35"/>
      <c r="EF576" s="35"/>
      <c r="EG576" s="35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35"/>
      <c r="EZ576" s="35"/>
      <c r="FA576" s="35"/>
      <c r="FB576" s="35"/>
      <c r="FC576" s="35"/>
      <c r="FD576" s="35"/>
      <c r="FE576" s="35"/>
      <c r="FF576" s="35"/>
      <c r="FG576" s="35"/>
      <c r="FH576" s="35"/>
      <c r="FI576" s="35"/>
      <c r="FJ576" s="35"/>
      <c r="FK576" s="35"/>
      <c r="FL576" s="35"/>
      <c r="FM576" s="35"/>
      <c r="FN576" s="35"/>
      <c r="FO576" s="35"/>
      <c r="FP576" s="35"/>
      <c r="FQ576" s="35"/>
      <c r="FR576" s="35"/>
      <c r="FS576" s="35"/>
      <c r="FT576" s="35"/>
      <c r="FU576" s="35"/>
      <c r="FV576" s="35"/>
      <c r="FW576" s="35"/>
      <c r="FX576" s="35"/>
      <c r="FY576" s="35"/>
      <c r="FZ576" s="35"/>
      <c r="GA576" s="35"/>
      <c r="GB576" s="35"/>
      <c r="GC576" s="35"/>
      <c r="GD576" s="35"/>
      <c r="GE576" s="35"/>
      <c r="GF576" s="35"/>
      <c r="GG576" s="35"/>
      <c r="GH576" s="35"/>
      <c r="GI576" s="35"/>
      <c r="GJ576" s="35"/>
      <c r="GK576" s="35"/>
      <c r="GL576" s="35"/>
      <c r="GM576" s="35"/>
      <c r="GN576" s="35"/>
      <c r="GO576" s="35"/>
      <c r="GP576" s="35"/>
      <c r="GQ576" s="35"/>
      <c r="GR576" s="35"/>
      <c r="GS576" s="35"/>
      <c r="GT576" s="35"/>
      <c r="GU576" s="35"/>
      <c r="GV576" s="35"/>
      <c r="GW576" s="35"/>
      <c r="GX576" s="35"/>
      <c r="GY576" s="35"/>
      <c r="GZ576" s="35"/>
      <c r="HA576" s="35"/>
      <c r="HB576" s="35"/>
      <c r="HC576" s="35"/>
      <c r="HD576" s="35"/>
      <c r="HE576" s="35"/>
      <c r="HF576" s="35"/>
      <c r="HG576" s="35"/>
      <c r="HH576" s="35"/>
      <c r="HI576" s="35"/>
      <c r="HJ576" s="35"/>
      <c r="HK576" s="35"/>
      <c r="HL576" s="35"/>
      <c r="HM576" s="35"/>
      <c r="HN576" s="35"/>
      <c r="HO576" s="35"/>
      <c r="HP576" s="35"/>
      <c r="HQ576" s="35"/>
      <c r="HR576" s="35"/>
      <c r="HS576" s="35"/>
      <c r="HT576" s="35"/>
      <c r="HU576" s="35"/>
      <c r="HV576" s="35"/>
      <c r="HW576" s="35"/>
      <c r="HX576" s="35"/>
      <c r="HY576" s="35"/>
      <c r="HZ576" s="35"/>
      <c r="IA576" s="35"/>
      <c r="IB576" s="35"/>
      <c r="IC576" s="35"/>
      <c r="ID576" s="35"/>
      <c r="IE576" s="35"/>
      <c r="IF576" s="35"/>
      <c r="IG576" s="35"/>
      <c r="IH576" s="35"/>
      <c r="II576" s="35"/>
      <c r="IJ576" s="35"/>
      <c r="IK576" s="35"/>
      <c r="IL576" s="35"/>
      <c r="IM576" s="35"/>
      <c r="IN576" s="35"/>
      <c r="IO576" s="35"/>
      <c r="IP576" s="35"/>
      <c r="IQ576" s="35"/>
      <c r="IR576" s="35"/>
      <c r="IS576" s="35"/>
      <c r="IT576" s="35"/>
      <c r="IU576" s="35"/>
      <c r="IV576" s="35"/>
      <c r="IW576" s="35"/>
      <c r="IX576" s="35"/>
      <c r="IY576" s="35"/>
      <c r="IZ576" s="35"/>
      <c r="JA576" s="35"/>
      <c r="JB576" s="35"/>
      <c r="JC576" s="35"/>
      <c r="JD576" s="35"/>
      <c r="JE576" s="35"/>
    </row>
    <row r="577">
      <c r="A577" s="42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  <c r="BC577" s="35"/>
      <c r="BD577" s="35"/>
      <c r="BE577" s="35"/>
      <c r="BF577" s="35"/>
      <c r="BG577" s="35"/>
      <c r="BH577" s="35"/>
      <c r="BI577" s="35"/>
      <c r="BJ577" s="35"/>
      <c r="BK577" s="35"/>
      <c r="BL577" s="35"/>
      <c r="BM577" s="35"/>
      <c r="BN577" s="35"/>
      <c r="BO577" s="35"/>
      <c r="BP577" s="35"/>
      <c r="BQ577" s="35"/>
      <c r="BR577" s="35"/>
      <c r="BS577" s="35"/>
      <c r="BT577" s="35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35"/>
      <c r="CO577" s="35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35"/>
      <c r="DJ577" s="35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35"/>
      <c r="EE577" s="35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35"/>
      <c r="EZ577" s="35"/>
      <c r="FA577" s="35"/>
      <c r="FB577" s="35"/>
      <c r="FC577" s="35"/>
      <c r="FD577" s="35"/>
      <c r="FE577" s="35"/>
      <c r="FF577" s="35"/>
      <c r="FG577" s="35"/>
      <c r="FH577" s="35"/>
      <c r="FI577" s="35"/>
      <c r="FJ577" s="35"/>
      <c r="FK577" s="35"/>
      <c r="FL577" s="35"/>
      <c r="FM577" s="35"/>
      <c r="FN577" s="35"/>
      <c r="FO577" s="35"/>
      <c r="FP577" s="35"/>
      <c r="FQ577" s="35"/>
      <c r="FR577" s="35"/>
      <c r="FS577" s="35"/>
      <c r="FT577" s="35"/>
      <c r="FU577" s="35"/>
      <c r="FV577" s="35"/>
      <c r="FW577" s="35"/>
      <c r="FX577" s="35"/>
      <c r="FY577" s="35"/>
      <c r="FZ577" s="35"/>
      <c r="GA577" s="35"/>
      <c r="GB577" s="35"/>
      <c r="GC577" s="35"/>
      <c r="GD577" s="35"/>
      <c r="GE577" s="35"/>
      <c r="GF577" s="35"/>
      <c r="GG577" s="35"/>
      <c r="GH577" s="35"/>
      <c r="GI577" s="35"/>
      <c r="GJ577" s="35"/>
      <c r="GK577" s="35"/>
      <c r="GL577" s="35"/>
      <c r="GM577" s="35"/>
      <c r="GN577" s="35"/>
      <c r="GO577" s="35"/>
      <c r="GP577" s="35"/>
      <c r="GQ577" s="35"/>
      <c r="GR577" s="35"/>
      <c r="GS577" s="35"/>
      <c r="GT577" s="35"/>
      <c r="GU577" s="35"/>
      <c r="GV577" s="35"/>
      <c r="GW577" s="35"/>
      <c r="GX577" s="35"/>
      <c r="GY577" s="35"/>
      <c r="GZ577" s="35"/>
      <c r="HA577" s="35"/>
      <c r="HB577" s="35"/>
      <c r="HC577" s="35"/>
      <c r="HD577" s="35"/>
      <c r="HE577" s="35"/>
      <c r="HF577" s="35"/>
      <c r="HG577" s="35"/>
      <c r="HH577" s="35"/>
      <c r="HI577" s="35"/>
      <c r="HJ577" s="35"/>
      <c r="HK577" s="35"/>
      <c r="HL577" s="35"/>
      <c r="HM577" s="35"/>
      <c r="HN577" s="35"/>
      <c r="HO577" s="35"/>
      <c r="HP577" s="35"/>
      <c r="HQ577" s="35"/>
      <c r="HR577" s="35"/>
      <c r="HS577" s="35"/>
      <c r="HT577" s="35"/>
      <c r="HU577" s="35"/>
      <c r="HV577" s="35"/>
      <c r="HW577" s="35"/>
      <c r="HX577" s="35"/>
      <c r="HY577" s="35"/>
      <c r="HZ577" s="35"/>
      <c r="IA577" s="35"/>
      <c r="IB577" s="35"/>
      <c r="IC577" s="35"/>
      <c r="ID577" s="35"/>
      <c r="IE577" s="35"/>
      <c r="IF577" s="35"/>
      <c r="IG577" s="35"/>
      <c r="IH577" s="35"/>
      <c r="II577" s="35"/>
      <c r="IJ577" s="35"/>
      <c r="IK577" s="35"/>
      <c r="IL577" s="35"/>
      <c r="IM577" s="35"/>
      <c r="IN577" s="35"/>
      <c r="IO577" s="35"/>
      <c r="IP577" s="35"/>
      <c r="IQ577" s="35"/>
      <c r="IR577" s="35"/>
      <c r="IS577" s="35"/>
      <c r="IT577" s="35"/>
      <c r="IU577" s="35"/>
      <c r="IV577" s="35"/>
      <c r="IW577" s="35"/>
      <c r="IX577" s="35"/>
      <c r="IY577" s="35"/>
      <c r="IZ577" s="35"/>
      <c r="JA577" s="35"/>
      <c r="JB577" s="35"/>
      <c r="JC577" s="35"/>
      <c r="JD577" s="35"/>
      <c r="JE577" s="35"/>
    </row>
    <row r="578">
      <c r="A578" s="42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  <c r="BC578" s="35"/>
      <c r="BD578" s="35"/>
      <c r="BE578" s="35"/>
      <c r="BF578" s="35"/>
      <c r="BG578" s="35"/>
      <c r="BH578" s="35"/>
      <c r="BI578" s="35"/>
      <c r="BJ578" s="35"/>
      <c r="BK578" s="35"/>
      <c r="BL578" s="35"/>
      <c r="BM578" s="35"/>
      <c r="BN578" s="35"/>
      <c r="BO578" s="35"/>
      <c r="BP578" s="35"/>
      <c r="BQ578" s="35"/>
      <c r="BR578" s="35"/>
      <c r="BS578" s="35"/>
      <c r="BT578" s="35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35"/>
      <c r="CO578" s="35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35"/>
      <c r="DJ578" s="35"/>
      <c r="DK578" s="35"/>
      <c r="DL578" s="35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35"/>
      <c r="EE578" s="35"/>
      <c r="EF578" s="35"/>
      <c r="EG578" s="35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35"/>
      <c r="EZ578" s="35"/>
      <c r="FA578" s="35"/>
      <c r="FB578" s="35"/>
      <c r="FC578" s="35"/>
      <c r="FD578" s="35"/>
      <c r="FE578" s="35"/>
      <c r="FF578" s="35"/>
      <c r="FG578" s="35"/>
      <c r="FH578" s="35"/>
      <c r="FI578" s="35"/>
      <c r="FJ578" s="35"/>
      <c r="FK578" s="35"/>
      <c r="FL578" s="35"/>
      <c r="FM578" s="35"/>
      <c r="FN578" s="35"/>
      <c r="FO578" s="35"/>
      <c r="FP578" s="35"/>
      <c r="FQ578" s="35"/>
      <c r="FR578" s="35"/>
      <c r="FS578" s="35"/>
      <c r="FT578" s="35"/>
      <c r="FU578" s="35"/>
      <c r="FV578" s="35"/>
      <c r="FW578" s="35"/>
      <c r="FX578" s="35"/>
      <c r="FY578" s="35"/>
      <c r="FZ578" s="35"/>
      <c r="GA578" s="35"/>
      <c r="GB578" s="35"/>
      <c r="GC578" s="35"/>
      <c r="GD578" s="35"/>
      <c r="GE578" s="35"/>
      <c r="GF578" s="35"/>
      <c r="GG578" s="35"/>
      <c r="GH578" s="35"/>
      <c r="GI578" s="35"/>
      <c r="GJ578" s="35"/>
      <c r="GK578" s="35"/>
      <c r="GL578" s="35"/>
      <c r="GM578" s="35"/>
      <c r="GN578" s="35"/>
      <c r="GO578" s="35"/>
      <c r="GP578" s="35"/>
      <c r="GQ578" s="35"/>
      <c r="GR578" s="35"/>
      <c r="GS578" s="35"/>
      <c r="GT578" s="35"/>
      <c r="GU578" s="35"/>
      <c r="GV578" s="35"/>
      <c r="GW578" s="35"/>
      <c r="GX578" s="35"/>
      <c r="GY578" s="35"/>
      <c r="GZ578" s="35"/>
      <c r="HA578" s="35"/>
      <c r="HB578" s="35"/>
      <c r="HC578" s="35"/>
      <c r="HD578" s="35"/>
      <c r="HE578" s="35"/>
      <c r="HF578" s="35"/>
      <c r="HG578" s="35"/>
      <c r="HH578" s="35"/>
      <c r="HI578" s="35"/>
      <c r="HJ578" s="35"/>
      <c r="HK578" s="35"/>
      <c r="HL578" s="35"/>
      <c r="HM578" s="35"/>
      <c r="HN578" s="35"/>
      <c r="HO578" s="35"/>
      <c r="HP578" s="35"/>
      <c r="HQ578" s="35"/>
      <c r="HR578" s="35"/>
      <c r="HS578" s="35"/>
      <c r="HT578" s="35"/>
      <c r="HU578" s="35"/>
      <c r="HV578" s="35"/>
      <c r="HW578" s="35"/>
      <c r="HX578" s="35"/>
      <c r="HY578" s="35"/>
      <c r="HZ578" s="35"/>
      <c r="IA578" s="35"/>
      <c r="IB578" s="35"/>
      <c r="IC578" s="35"/>
      <c r="ID578" s="35"/>
      <c r="IE578" s="35"/>
      <c r="IF578" s="35"/>
      <c r="IG578" s="35"/>
      <c r="IH578" s="35"/>
      <c r="II578" s="35"/>
      <c r="IJ578" s="35"/>
      <c r="IK578" s="35"/>
      <c r="IL578" s="35"/>
      <c r="IM578" s="35"/>
      <c r="IN578" s="35"/>
      <c r="IO578" s="35"/>
      <c r="IP578" s="35"/>
      <c r="IQ578" s="35"/>
      <c r="IR578" s="35"/>
      <c r="IS578" s="35"/>
      <c r="IT578" s="35"/>
      <c r="IU578" s="35"/>
      <c r="IV578" s="35"/>
      <c r="IW578" s="35"/>
      <c r="IX578" s="35"/>
      <c r="IY578" s="35"/>
      <c r="IZ578" s="35"/>
      <c r="JA578" s="35"/>
      <c r="JB578" s="35"/>
      <c r="JC578" s="35"/>
      <c r="JD578" s="35"/>
      <c r="JE578" s="35"/>
    </row>
    <row r="579">
      <c r="A579" s="42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  <c r="BA579" s="35"/>
      <c r="BB579" s="35"/>
      <c r="BC579" s="35"/>
      <c r="BD579" s="35"/>
      <c r="BE579" s="35"/>
      <c r="BF579" s="35"/>
      <c r="BG579" s="35"/>
      <c r="BH579" s="35"/>
      <c r="BI579" s="35"/>
      <c r="BJ579" s="35"/>
      <c r="BK579" s="35"/>
      <c r="BL579" s="35"/>
      <c r="BM579" s="35"/>
      <c r="BN579" s="35"/>
      <c r="BO579" s="35"/>
      <c r="BP579" s="35"/>
      <c r="BQ579" s="35"/>
      <c r="BR579" s="35"/>
      <c r="BS579" s="35"/>
      <c r="BT579" s="35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35"/>
      <c r="CO579" s="35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35"/>
      <c r="DJ579" s="35"/>
      <c r="DK579" s="35"/>
      <c r="DL579" s="35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35"/>
      <c r="EE579" s="35"/>
      <c r="EF579" s="35"/>
      <c r="EG579" s="35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35"/>
      <c r="EZ579" s="35"/>
      <c r="FA579" s="35"/>
      <c r="FB579" s="35"/>
      <c r="FC579" s="35"/>
      <c r="FD579" s="35"/>
      <c r="FE579" s="35"/>
      <c r="FF579" s="35"/>
      <c r="FG579" s="35"/>
      <c r="FH579" s="35"/>
      <c r="FI579" s="35"/>
      <c r="FJ579" s="35"/>
      <c r="FK579" s="35"/>
      <c r="FL579" s="35"/>
      <c r="FM579" s="35"/>
      <c r="FN579" s="35"/>
      <c r="FO579" s="35"/>
      <c r="FP579" s="35"/>
      <c r="FQ579" s="35"/>
      <c r="FR579" s="35"/>
      <c r="FS579" s="35"/>
      <c r="FT579" s="35"/>
      <c r="FU579" s="35"/>
      <c r="FV579" s="35"/>
      <c r="FW579" s="35"/>
      <c r="FX579" s="35"/>
      <c r="FY579" s="35"/>
      <c r="FZ579" s="35"/>
      <c r="GA579" s="35"/>
      <c r="GB579" s="35"/>
      <c r="GC579" s="35"/>
      <c r="GD579" s="35"/>
      <c r="GE579" s="35"/>
      <c r="GF579" s="35"/>
      <c r="GG579" s="35"/>
      <c r="GH579" s="35"/>
      <c r="GI579" s="35"/>
      <c r="GJ579" s="35"/>
      <c r="GK579" s="35"/>
      <c r="GL579" s="35"/>
      <c r="GM579" s="35"/>
      <c r="GN579" s="35"/>
      <c r="GO579" s="35"/>
      <c r="GP579" s="35"/>
      <c r="GQ579" s="35"/>
      <c r="GR579" s="35"/>
      <c r="GS579" s="35"/>
      <c r="GT579" s="35"/>
      <c r="GU579" s="35"/>
      <c r="GV579" s="35"/>
      <c r="GW579" s="35"/>
      <c r="GX579" s="35"/>
      <c r="GY579" s="35"/>
      <c r="GZ579" s="35"/>
      <c r="HA579" s="35"/>
      <c r="HB579" s="35"/>
      <c r="HC579" s="35"/>
      <c r="HD579" s="35"/>
      <c r="HE579" s="35"/>
      <c r="HF579" s="35"/>
      <c r="HG579" s="35"/>
      <c r="HH579" s="35"/>
      <c r="HI579" s="35"/>
      <c r="HJ579" s="35"/>
      <c r="HK579" s="35"/>
      <c r="HL579" s="35"/>
      <c r="HM579" s="35"/>
      <c r="HN579" s="35"/>
      <c r="HO579" s="35"/>
      <c r="HP579" s="35"/>
      <c r="HQ579" s="35"/>
      <c r="HR579" s="35"/>
      <c r="HS579" s="35"/>
      <c r="HT579" s="35"/>
      <c r="HU579" s="35"/>
      <c r="HV579" s="35"/>
      <c r="HW579" s="35"/>
      <c r="HX579" s="35"/>
      <c r="HY579" s="35"/>
      <c r="HZ579" s="35"/>
      <c r="IA579" s="35"/>
      <c r="IB579" s="35"/>
      <c r="IC579" s="35"/>
      <c r="ID579" s="35"/>
      <c r="IE579" s="35"/>
      <c r="IF579" s="35"/>
      <c r="IG579" s="35"/>
      <c r="IH579" s="35"/>
      <c r="II579" s="35"/>
      <c r="IJ579" s="35"/>
      <c r="IK579" s="35"/>
      <c r="IL579" s="35"/>
      <c r="IM579" s="35"/>
      <c r="IN579" s="35"/>
      <c r="IO579" s="35"/>
      <c r="IP579" s="35"/>
      <c r="IQ579" s="35"/>
      <c r="IR579" s="35"/>
      <c r="IS579" s="35"/>
      <c r="IT579" s="35"/>
      <c r="IU579" s="35"/>
      <c r="IV579" s="35"/>
      <c r="IW579" s="35"/>
      <c r="IX579" s="35"/>
      <c r="IY579" s="35"/>
      <c r="IZ579" s="35"/>
      <c r="JA579" s="35"/>
      <c r="JB579" s="35"/>
      <c r="JC579" s="35"/>
      <c r="JD579" s="35"/>
      <c r="JE579" s="35"/>
    </row>
    <row r="580">
      <c r="A580" s="42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  <c r="AZ580" s="35"/>
      <c r="BA580" s="35"/>
      <c r="BB580" s="35"/>
      <c r="BC580" s="35"/>
      <c r="BD580" s="35"/>
      <c r="BE580" s="35"/>
      <c r="BF580" s="35"/>
      <c r="BG580" s="35"/>
      <c r="BH580" s="35"/>
      <c r="BI580" s="35"/>
      <c r="BJ580" s="35"/>
      <c r="BK580" s="35"/>
      <c r="BL580" s="35"/>
      <c r="BM580" s="35"/>
      <c r="BN580" s="35"/>
      <c r="BO580" s="35"/>
      <c r="BP580" s="35"/>
      <c r="BQ580" s="35"/>
      <c r="BR580" s="35"/>
      <c r="BS580" s="35"/>
      <c r="BT580" s="35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35"/>
      <c r="CO580" s="35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35"/>
      <c r="DJ580" s="35"/>
      <c r="DK580" s="35"/>
      <c r="DL580" s="35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35"/>
      <c r="EE580" s="35"/>
      <c r="EF580" s="35"/>
      <c r="EG580" s="35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35"/>
      <c r="EZ580" s="35"/>
      <c r="FA580" s="35"/>
      <c r="FB580" s="35"/>
      <c r="FC580" s="35"/>
      <c r="FD580" s="35"/>
      <c r="FE580" s="35"/>
      <c r="FF580" s="35"/>
      <c r="FG580" s="35"/>
      <c r="FH580" s="35"/>
      <c r="FI580" s="35"/>
      <c r="FJ580" s="35"/>
      <c r="FK580" s="35"/>
      <c r="FL580" s="35"/>
      <c r="FM580" s="35"/>
      <c r="FN580" s="35"/>
      <c r="FO580" s="35"/>
      <c r="FP580" s="35"/>
      <c r="FQ580" s="35"/>
      <c r="FR580" s="35"/>
      <c r="FS580" s="35"/>
      <c r="FT580" s="35"/>
      <c r="FU580" s="35"/>
      <c r="FV580" s="35"/>
      <c r="FW580" s="35"/>
      <c r="FX580" s="35"/>
      <c r="FY580" s="35"/>
      <c r="FZ580" s="35"/>
      <c r="GA580" s="35"/>
      <c r="GB580" s="35"/>
      <c r="GC580" s="35"/>
      <c r="GD580" s="35"/>
      <c r="GE580" s="35"/>
      <c r="GF580" s="35"/>
      <c r="GG580" s="35"/>
      <c r="GH580" s="35"/>
      <c r="GI580" s="35"/>
      <c r="GJ580" s="35"/>
      <c r="GK580" s="35"/>
      <c r="GL580" s="35"/>
      <c r="GM580" s="35"/>
      <c r="GN580" s="35"/>
      <c r="GO580" s="35"/>
      <c r="GP580" s="35"/>
      <c r="GQ580" s="35"/>
      <c r="GR580" s="35"/>
      <c r="GS580" s="35"/>
      <c r="GT580" s="35"/>
      <c r="GU580" s="35"/>
      <c r="GV580" s="35"/>
      <c r="GW580" s="35"/>
      <c r="GX580" s="35"/>
      <c r="GY580" s="35"/>
      <c r="GZ580" s="35"/>
      <c r="HA580" s="35"/>
      <c r="HB580" s="35"/>
      <c r="HC580" s="35"/>
      <c r="HD580" s="35"/>
      <c r="HE580" s="35"/>
      <c r="HF580" s="35"/>
      <c r="HG580" s="35"/>
      <c r="HH580" s="35"/>
      <c r="HI580" s="35"/>
      <c r="HJ580" s="35"/>
      <c r="HK580" s="35"/>
      <c r="HL580" s="35"/>
      <c r="HM580" s="35"/>
      <c r="HN580" s="35"/>
      <c r="HO580" s="35"/>
      <c r="HP580" s="35"/>
      <c r="HQ580" s="35"/>
      <c r="HR580" s="35"/>
      <c r="HS580" s="35"/>
      <c r="HT580" s="35"/>
      <c r="HU580" s="35"/>
      <c r="HV580" s="35"/>
      <c r="HW580" s="35"/>
      <c r="HX580" s="35"/>
      <c r="HY580" s="35"/>
      <c r="HZ580" s="35"/>
      <c r="IA580" s="35"/>
      <c r="IB580" s="35"/>
      <c r="IC580" s="35"/>
      <c r="ID580" s="35"/>
      <c r="IE580" s="35"/>
      <c r="IF580" s="35"/>
      <c r="IG580" s="35"/>
      <c r="IH580" s="35"/>
      <c r="II580" s="35"/>
      <c r="IJ580" s="35"/>
      <c r="IK580" s="35"/>
      <c r="IL580" s="35"/>
      <c r="IM580" s="35"/>
      <c r="IN580" s="35"/>
      <c r="IO580" s="35"/>
      <c r="IP580" s="35"/>
      <c r="IQ580" s="35"/>
      <c r="IR580" s="35"/>
      <c r="IS580" s="35"/>
      <c r="IT580" s="35"/>
      <c r="IU580" s="35"/>
      <c r="IV580" s="35"/>
      <c r="IW580" s="35"/>
      <c r="IX580" s="35"/>
      <c r="IY580" s="35"/>
      <c r="IZ580" s="35"/>
      <c r="JA580" s="35"/>
      <c r="JB580" s="35"/>
      <c r="JC580" s="35"/>
      <c r="JD580" s="35"/>
      <c r="JE580" s="35"/>
    </row>
    <row r="581">
      <c r="A581" s="42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  <c r="AZ581" s="35"/>
      <c r="BA581" s="35"/>
      <c r="BB581" s="35"/>
      <c r="BC581" s="35"/>
      <c r="BD581" s="35"/>
      <c r="BE581" s="35"/>
      <c r="BF581" s="35"/>
      <c r="BG581" s="35"/>
      <c r="BH581" s="35"/>
      <c r="BI581" s="35"/>
      <c r="BJ581" s="35"/>
      <c r="BK581" s="35"/>
      <c r="BL581" s="35"/>
      <c r="BM581" s="35"/>
      <c r="BN581" s="35"/>
      <c r="BO581" s="35"/>
      <c r="BP581" s="35"/>
      <c r="BQ581" s="35"/>
      <c r="BR581" s="35"/>
      <c r="BS581" s="35"/>
      <c r="BT581" s="35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35"/>
      <c r="CO581" s="35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35"/>
      <c r="DJ581" s="35"/>
      <c r="DK581" s="35"/>
      <c r="DL581" s="35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35"/>
      <c r="EE581" s="35"/>
      <c r="EF581" s="35"/>
      <c r="EG581" s="35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  <c r="ER581" s="35"/>
      <c r="ES581" s="35"/>
      <c r="ET581" s="35"/>
      <c r="EU581" s="35"/>
      <c r="EV581" s="35"/>
      <c r="EW581" s="35"/>
      <c r="EX581" s="35"/>
      <c r="EY581" s="35"/>
      <c r="EZ581" s="35"/>
      <c r="FA581" s="35"/>
      <c r="FB581" s="35"/>
      <c r="FC581" s="35"/>
      <c r="FD581" s="35"/>
      <c r="FE581" s="35"/>
      <c r="FF581" s="35"/>
      <c r="FG581" s="35"/>
      <c r="FH581" s="35"/>
      <c r="FI581" s="35"/>
      <c r="FJ581" s="35"/>
      <c r="FK581" s="35"/>
      <c r="FL581" s="35"/>
      <c r="FM581" s="35"/>
      <c r="FN581" s="35"/>
      <c r="FO581" s="35"/>
      <c r="FP581" s="35"/>
      <c r="FQ581" s="35"/>
      <c r="FR581" s="35"/>
      <c r="FS581" s="35"/>
      <c r="FT581" s="35"/>
      <c r="FU581" s="35"/>
      <c r="FV581" s="35"/>
      <c r="FW581" s="35"/>
      <c r="FX581" s="35"/>
      <c r="FY581" s="35"/>
      <c r="FZ581" s="35"/>
      <c r="GA581" s="35"/>
      <c r="GB581" s="35"/>
      <c r="GC581" s="35"/>
      <c r="GD581" s="35"/>
      <c r="GE581" s="35"/>
      <c r="GF581" s="35"/>
      <c r="GG581" s="35"/>
      <c r="GH581" s="35"/>
      <c r="GI581" s="35"/>
      <c r="GJ581" s="35"/>
      <c r="GK581" s="35"/>
      <c r="GL581" s="35"/>
      <c r="GM581" s="35"/>
      <c r="GN581" s="35"/>
      <c r="GO581" s="35"/>
      <c r="GP581" s="35"/>
      <c r="GQ581" s="35"/>
      <c r="GR581" s="35"/>
      <c r="GS581" s="35"/>
      <c r="GT581" s="35"/>
      <c r="GU581" s="35"/>
      <c r="GV581" s="35"/>
      <c r="GW581" s="35"/>
      <c r="GX581" s="35"/>
      <c r="GY581" s="35"/>
      <c r="GZ581" s="35"/>
      <c r="HA581" s="35"/>
      <c r="HB581" s="35"/>
      <c r="HC581" s="35"/>
      <c r="HD581" s="35"/>
      <c r="HE581" s="35"/>
      <c r="HF581" s="35"/>
      <c r="HG581" s="35"/>
      <c r="HH581" s="35"/>
      <c r="HI581" s="35"/>
      <c r="HJ581" s="35"/>
      <c r="HK581" s="35"/>
      <c r="HL581" s="35"/>
      <c r="HM581" s="35"/>
      <c r="HN581" s="35"/>
      <c r="HO581" s="35"/>
      <c r="HP581" s="35"/>
      <c r="HQ581" s="35"/>
      <c r="HR581" s="35"/>
      <c r="HS581" s="35"/>
      <c r="HT581" s="35"/>
      <c r="HU581" s="35"/>
      <c r="HV581" s="35"/>
      <c r="HW581" s="35"/>
      <c r="HX581" s="35"/>
      <c r="HY581" s="35"/>
      <c r="HZ581" s="35"/>
      <c r="IA581" s="35"/>
      <c r="IB581" s="35"/>
      <c r="IC581" s="35"/>
      <c r="ID581" s="35"/>
      <c r="IE581" s="35"/>
      <c r="IF581" s="35"/>
      <c r="IG581" s="35"/>
      <c r="IH581" s="35"/>
      <c r="II581" s="35"/>
      <c r="IJ581" s="35"/>
      <c r="IK581" s="35"/>
      <c r="IL581" s="35"/>
      <c r="IM581" s="35"/>
      <c r="IN581" s="35"/>
      <c r="IO581" s="35"/>
      <c r="IP581" s="35"/>
      <c r="IQ581" s="35"/>
      <c r="IR581" s="35"/>
      <c r="IS581" s="35"/>
      <c r="IT581" s="35"/>
      <c r="IU581" s="35"/>
      <c r="IV581" s="35"/>
      <c r="IW581" s="35"/>
      <c r="IX581" s="35"/>
      <c r="IY581" s="35"/>
      <c r="IZ581" s="35"/>
      <c r="JA581" s="35"/>
      <c r="JB581" s="35"/>
      <c r="JC581" s="35"/>
      <c r="JD581" s="35"/>
      <c r="JE581" s="35"/>
    </row>
    <row r="582">
      <c r="A582" s="42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  <c r="AZ582" s="35"/>
      <c r="BA582" s="35"/>
      <c r="BB582" s="35"/>
      <c r="BC582" s="35"/>
      <c r="BD582" s="35"/>
      <c r="BE582" s="35"/>
      <c r="BF582" s="35"/>
      <c r="BG582" s="35"/>
      <c r="BH582" s="35"/>
      <c r="BI582" s="35"/>
      <c r="BJ582" s="35"/>
      <c r="BK582" s="35"/>
      <c r="BL582" s="35"/>
      <c r="BM582" s="35"/>
      <c r="BN582" s="35"/>
      <c r="BO582" s="35"/>
      <c r="BP582" s="35"/>
      <c r="BQ582" s="35"/>
      <c r="BR582" s="35"/>
      <c r="BS582" s="35"/>
      <c r="BT582" s="35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35"/>
      <c r="CO582" s="35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35"/>
      <c r="DJ582" s="35"/>
      <c r="DK582" s="35"/>
      <c r="DL582" s="35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35"/>
      <c r="EE582" s="35"/>
      <c r="EF582" s="35"/>
      <c r="EG582" s="35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  <c r="ER582" s="35"/>
      <c r="ES582" s="35"/>
      <c r="ET582" s="35"/>
      <c r="EU582" s="35"/>
      <c r="EV582" s="35"/>
      <c r="EW582" s="35"/>
      <c r="EX582" s="35"/>
      <c r="EY582" s="35"/>
      <c r="EZ582" s="35"/>
      <c r="FA582" s="35"/>
      <c r="FB582" s="35"/>
      <c r="FC582" s="35"/>
      <c r="FD582" s="35"/>
      <c r="FE582" s="35"/>
      <c r="FF582" s="35"/>
      <c r="FG582" s="35"/>
      <c r="FH582" s="35"/>
      <c r="FI582" s="35"/>
      <c r="FJ582" s="35"/>
      <c r="FK582" s="35"/>
      <c r="FL582" s="35"/>
      <c r="FM582" s="35"/>
      <c r="FN582" s="35"/>
      <c r="FO582" s="35"/>
      <c r="FP582" s="35"/>
      <c r="FQ582" s="35"/>
      <c r="FR582" s="35"/>
      <c r="FS582" s="35"/>
      <c r="FT582" s="35"/>
      <c r="FU582" s="35"/>
      <c r="FV582" s="35"/>
      <c r="FW582" s="35"/>
      <c r="FX582" s="35"/>
      <c r="FY582" s="35"/>
      <c r="FZ582" s="35"/>
      <c r="GA582" s="35"/>
      <c r="GB582" s="35"/>
      <c r="GC582" s="35"/>
      <c r="GD582" s="35"/>
      <c r="GE582" s="35"/>
      <c r="GF582" s="35"/>
      <c r="GG582" s="35"/>
      <c r="GH582" s="35"/>
      <c r="GI582" s="35"/>
      <c r="GJ582" s="35"/>
      <c r="GK582" s="35"/>
      <c r="GL582" s="35"/>
      <c r="GM582" s="35"/>
      <c r="GN582" s="35"/>
      <c r="GO582" s="35"/>
      <c r="GP582" s="35"/>
      <c r="GQ582" s="35"/>
      <c r="GR582" s="35"/>
      <c r="GS582" s="35"/>
      <c r="GT582" s="35"/>
      <c r="GU582" s="35"/>
      <c r="GV582" s="35"/>
      <c r="GW582" s="35"/>
      <c r="GX582" s="35"/>
      <c r="GY582" s="35"/>
      <c r="GZ582" s="35"/>
      <c r="HA582" s="35"/>
      <c r="HB582" s="35"/>
      <c r="HC582" s="35"/>
      <c r="HD582" s="35"/>
      <c r="HE582" s="35"/>
      <c r="HF582" s="35"/>
      <c r="HG582" s="35"/>
      <c r="HH582" s="35"/>
      <c r="HI582" s="35"/>
      <c r="HJ582" s="35"/>
      <c r="HK582" s="35"/>
      <c r="HL582" s="35"/>
      <c r="HM582" s="35"/>
      <c r="HN582" s="35"/>
      <c r="HO582" s="35"/>
      <c r="HP582" s="35"/>
      <c r="HQ582" s="35"/>
      <c r="HR582" s="35"/>
      <c r="HS582" s="35"/>
      <c r="HT582" s="35"/>
      <c r="HU582" s="35"/>
      <c r="HV582" s="35"/>
      <c r="HW582" s="35"/>
      <c r="HX582" s="35"/>
      <c r="HY582" s="35"/>
      <c r="HZ582" s="35"/>
      <c r="IA582" s="35"/>
      <c r="IB582" s="35"/>
      <c r="IC582" s="35"/>
      <c r="ID582" s="35"/>
      <c r="IE582" s="35"/>
      <c r="IF582" s="35"/>
      <c r="IG582" s="35"/>
      <c r="IH582" s="35"/>
      <c r="II582" s="35"/>
      <c r="IJ582" s="35"/>
      <c r="IK582" s="35"/>
      <c r="IL582" s="35"/>
      <c r="IM582" s="35"/>
      <c r="IN582" s="35"/>
      <c r="IO582" s="35"/>
      <c r="IP582" s="35"/>
      <c r="IQ582" s="35"/>
      <c r="IR582" s="35"/>
      <c r="IS582" s="35"/>
      <c r="IT582" s="35"/>
      <c r="IU582" s="35"/>
      <c r="IV582" s="35"/>
      <c r="IW582" s="35"/>
      <c r="IX582" s="35"/>
      <c r="IY582" s="35"/>
      <c r="IZ582" s="35"/>
      <c r="JA582" s="35"/>
      <c r="JB582" s="35"/>
      <c r="JC582" s="35"/>
      <c r="JD582" s="35"/>
      <c r="JE582" s="35"/>
    </row>
    <row r="583">
      <c r="A583" s="42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  <c r="AZ583" s="35"/>
      <c r="BA583" s="35"/>
      <c r="BB583" s="35"/>
      <c r="BC583" s="35"/>
      <c r="BD583" s="35"/>
      <c r="BE583" s="35"/>
      <c r="BF583" s="35"/>
      <c r="BG583" s="35"/>
      <c r="BH583" s="35"/>
      <c r="BI583" s="35"/>
      <c r="BJ583" s="35"/>
      <c r="BK583" s="35"/>
      <c r="BL583" s="35"/>
      <c r="BM583" s="35"/>
      <c r="BN583" s="35"/>
      <c r="BO583" s="35"/>
      <c r="BP583" s="35"/>
      <c r="BQ583" s="35"/>
      <c r="BR583" s="35"/>
      <c r="BS583" s="35"/>
      <c r="BT583" s="35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35"/>
      <c r="CO583" s="35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35"/>
      <c r="DJ583" s="35"/>
      <c r="DK583" s="35"/>
      <c r="DL583" s="35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35"/>
      <c r="EE583" s="35"/>
      <c r="EF583" s="35"/>
      <c r="EG583" s="35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  <c r="ER583" s="35"/>
      <c r="ES583" s="35"/>
      <c r="ET583" s="35"/>
      <c r="EU583" s="35"/>
      <c r="EV583" s="35"/>
      <c r="EW583" s="35"/>
      <c r="EX583" s="35"/>
      <c r="EY583" s="35"/>
      <c r="EZ583" s="35"/>
      <c r="FA583" s="35"/>
      <c r="FB583" s="35"/>
      <c r="FC583" s="35"/>
      <c r="FD583" s="35"/>
      <c r="FE583" s="35"/>
      <c r="FF583" s="35"/>
      <c r="FG583" s="35"/>
      <c r="FH583" s="35"/>
      <c r="FI583" s="35"/>
      <c r="FJ583" s="35"/>
      <c r="FK583" s="35"/>
      <c r="FL583" s="35"/>
      <c r="FM583" s="35"/>
      <c r="FN583" s="35"/>
      <c r="FO583" s="35"/>
      <c r="FP583" s="35"/>
      <c r="FQ583" s="35"/>
      <c r="FR583" s="35"/>
      <c r="FS583" s="35"/>
      <c r="FT583" s="35"/>
      <c r="FU583" s="35"/>
      <c r="FV583" s="35"/>
      <c r="FW583" s="35"/>
      <c r="FX583" s="35"/>
      <c r="FY583" s="35"/>
      <c r="FZ583" s="35"/>
      <c r="GA583" s="35"/>
      <c r="GB583" s="35"/>
      <c r="GC583" s="35"/>
      <c r="GD583" s="35"/>
      <c r="GE583" s="35"/>
      <c r="GF583" s="35"/>
      <c r="GG583" s="35"/>
      <c r="GH583" s="35"/>
      <c r="GI583" s="35"/>
      <c r="GJ583" s="35"/>
      <c r="GK583" s="35"/>
      <c r="GL583" s="35"/>
      <c r="GM583" s="35"/>
      <c r="GN583" s="35"/>
      <c r="GO583" s="35"/>
      <c r="GP583" s="35"/>
      <c r="GQ583" s="35"/>
      <c r="GR583" s="35"/>
      <c r="GS583" s="35"/>
      <c r="GT583" s="35"/>
      <c r="GU583" s="35"/>
      <c r="GV583" s="35"/>
      <c r="GW583" s="35"/>
      <c r="GX583" s="35"/>
      <c r="GY583" s="35"/>
      <c r="GZ583" s="35"/>
      <c r="HA583" s="35"/>
      <c r="HB583" s="35"/>
      <c r="HC583" s="35"/>
      <c r="HD583" s="35"/>
      <c r="HE583" s="35"/>
      <c r="HF583" s="35"/>
      <c r="HG583" s="35"/>
      <c r="HH583" s="35"/>
      <c r="HI583" s="35"/>
      <c r="HJ583" s="35"/>
      <c r="HK583" s="35"/>
      <c r="HL583" s="35"/>
      <c r="HM583" s="35"/>
      <c r="HN583" s="35"/>
      <c r="HO583" s="35"/>
      <c r="HP583" s="35"/>
      <c r="HQ583" s="35"/>
      <c r="HR583" s="35"/>
      <c r="HS583" s="35"/>
      <c r="HT583" s="35"/>
      <c r="HU583" s="35"/>
      <c r="HV583" s="35"/>
      <c r="HW583" s="35"/>
      <c r="HX583" s="35"/>
      <c r="HY583" s="35"/>
      <c r="HZ583" s="35"/>
      <c r="IA583" s="35"/>
      <c r="IB583" s="35"/>
      <c r="IC583" s="35"/>
      <c r="ID583" s="35"/>
      <c r="IE583" s="35"/>
      <c r="IF583" s="35"/>
      <c r="IG583" s="35"/>
      <c r="IH583" s="35"/>
      <c r="II583" s="35"/>
      <c r="IJ583" s="35"/>
      <c r="IK583" s="35"/>
      <c r="IL583" s="35"/>
      <c r="IM583" s="35"/>
      <c r="IN583" s="35"/>
      <c r="IO583" s="35"/>
      <c r="IP583" s="35"/>
      <c r="IQ583" s="35"/>
      <c r="IR583" s="35"/>
      <c r="IS583" s="35"/>
      <c r="IT583" s="35"/>
      <c r="IU583" s="35"/>
      <c r="IV583" s="35"/>
      <c r="IW583" s="35"/>
      <c r="IX583" s="35"/>
      <c r="IY583" s="35"/>
      <c r="IZ583" s="35"/>
      <c r="JA583" s="35"/>
      <c r="JB583" s="35"/>
      <c r="JC583" s="35"/>
      <c r="JD583" s="35"/>
      <c r="JE583" s="35"/>
    </row>
    <row r="584">
      <c r="A584" s="42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  <c r="AZ584" s="35"/>
      <c r="BA584" s="35"/>
      <c r="BB584" s="35"/>
      <c r="BC584" s="35"/>
      <c r="BD584" s="35"/>
      <c r="BE584" s="35"/>
      <c r="BF584" s="35"/>
      <c r="BG584" s="35"/>
      <c r="BH584" s="35"/>
      <c r="BI584" s="35"/>
      <c r="BJ584" s="35"/>
      <c r="BK584" s="35"/>
      <c r="BL584" s="35"/>
      <c r="BM584" s="35"/>
      <c r="BN584" s="35"/>
      <c r="BO584" s="35"/>
      <c r="BP584" s="35"/>
      <c r="BQ584" s="35"/>
      <c r="BR584" s="35"/>
      <c r="BS584" s="35"/>
      <c r="BT584" s="35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35"/>
      <c r="CO584" s="35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35"/>
      <c r="DJ584" s="35"/>
      <c r="DK584" s="35"/>
      <c r="DL584" s="35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35"/>
      <c r="EE584" s="35"/>
      <c r="EF584" s="35"/>
      <c r="EG584" s="35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  <c r="ER584" s="35"/>
      <c r="ES584" s="35"/>
      <c r="ET584" s="35"/>
      <c r="EU584" s="35"/>
      <c r="EV584" s="35"/>
      <c r="EW584" s="35"/>
      <c r="EX584" s="35"/>
      <c r="EY584" s="35"/>
      <c r="EZ584" s="35"/>
      <c r="FA584" s="35"/>
      <c r="FB584" s="35"/>
      <c r="FC584" s="35"/>
      <c r="FD584" s="35"/>
      <c r="FE584" s="35"/>
      <c r="FF584" s="35"/>
      <c r="FG584" s="35"/>
      <c r="FH584" s="35"/>
      <c r="FI584" s="35"/>
      <c r="FJ584" s="35"/>
      <c r="FK584" s="35"/>
      <c r="FL584" s="35"/>
      <c r="FM584" s="35"/>
      <c r="FN584" s="35"/>
      <c r="FO584" s="35"/>
      <c r="FP584" s="35"/>
      <c r="FQ584" s="35"/>
      <c r="FR584" s="35"/>
      <c r="FS584" s="35"/>
      <c r="FT584" s="35"/>
      <c r="FU584" s="35"/>
      <c r="FV584" s="35"/>
      <c r="FW584" s="35"/>
      <c r="FX584" s="35"/>
      <c r="FY584" s="35"/>
      <c r="FZ584" s="35"/>
      <c r="GA584" s="35"/>
      <c r="GB584" s="35"/>
      <c r="GC584" s="35"/>
      <c r="GD584" s="35"/>
      <c r="GE584" s="35"/>
      <c r="GF584" s="35"/>
      <c r="GG584" s="35"/>
      <c r="GH584" s="35"/>
      <c r="GI584" s="35"/>
      <c r="GJ584" s="35"/>
      <c r="GK584" s="35"/>
      <c r="GL584" s="35"/>
      <c r="GM584" s="35"/>
      <c r="GN584" s="35"/>
      <c r="GO584" s="35"/>
      <c r="GP584" s="35"/>
      <c r="GQ584" s="35"/>
      <c r="GR584" s="35"/>
      <c r="GS584" s="35"/>
      <c r="GT584" s="35"/>
      <c r="GU584" s="35"/>
      <c r="GV584" s="35"/>
      <c r="GW584" s="35"/>
      <c r="GX584" s="35"/>
      <c r="GY584" s="35"/>
      <c r="GZ584" s="35"/>
      <c r="HA584" s="35"/>
      <c r="HB584" s="35"/>
      <c r="HC584" s="35"/>
      <c r="HD584" s="35"/>
      <c r="HE584" s="35"/>
      <c r="HF584" s="35"/>
      <c r="HG584" s="35"/>
      <c r="HH584" s="35"/>
      <c r="HI584" s="35"/>
      <c r="HJ584" s="35"/>
      <c r="HK584" s="35"/>
      <c r="HL584" s="35"/>
      <c r="HM584" s="35"/>
      <c r="HN584" s="35"/>
      <c r="HO584" s="35"/>
      <c r="HP584" s="35"/>
      <c r="HQ584" s="35"/>
      <c r="HR584" s="35"/>
      <c r="HS584" s="35"/>
      <c r="HT584" s="35"/>
      <c r="HU584" s="35"/>
      <c r="HV584" s="35"/>
      <c r="HW584" s="35"/>
      <c r="HX584" s="35"/>
      <c r="HY584" s="35"/>
      <c r="HZ584" s="35"/>
      <c r="IA584" s="35"/>
      <c r="IB584" s="35"/>
      <c r="IC584" s="35"/>
      <c r="ID584" s="35"/>
      <c r="IE584" s="35"/>
      <c r="IF584" s="35"/>
      <c r="IG584" s="35"/>
      <c r="IH584" s="35"/>
      <c r="II584" s="35"/>
      <c r="IJ584" s="35"/>
      <c r="IK584" s="35"/>
      <c r="IL584" s="35"/>
      <c r="IM584" s="35"/>
      <c r="IN584" s="35"/>
      <c r="IO584" s="35"/>
      <c r="IP584" s="35"/>
      <c r="IQ584" s="35"/>
      <c r="IR584" s="35"/>
      <c r="IS584" s="35"/>
      <c r="IT584" s="35"/>
      <c r="IU584" s="35"/>
      <c r="IV584" s="35"/>
      <c r="IW584" s="35"/>
      <c r="IX584" s="35"/>
      <c r="IY584" s="35"/>
      <c r="IZ584" s="35"/>
      <c r="JA584" s="35"/>
      <c r="JB584" s="35"/>
      <c r="JC584" s="35"/>
      <c r="JD584" s="35"/>
      <c r="JE584" s="35"/>
    </row>
    <row r="585">
      <c r="A585" s="42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  <c r="AZ585" s="35"/>
      <c r="BA585" s="35"/>
      <c r="BB585" s="35"/>
      <c r="BC585" s="35"/>
      <c r="BD585" s="35"/>
      <c r="BE585" s="35"/>
      <c r="BF585" s="35"/>
      <c r="BG585" s="35"/>
      <c r="BH585" s="35"/>
      <c r="BI585" s="35"/>
      <c r="BJ585" s="35"/>
      <c r="BK585" s="35"/>
      <c r="BL585" s="35"/>
      <c r="BM585" s="35"/>
      <c r="BN585" s="35"/>
      <c r="BO585" s="35"/>
      <c r="BP585" s="35"/>
      <c r="BQ585" s="35"/>
      <c r="BR585" s="35"/>
      <c r="BS585" s="35"/>
      <c r="BT585" s="35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35"/>
      <c r="CO585" s="35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35"/>
      <c r="DJ585" s="35"/>
      <c r="DK585" s="35"/>
      <c r="DL585" s="35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35"/>
      <c r="EE585" s="35"/>
      <c r="EF585" s="35"/>
      <c r="EG585" s="35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  <c r="ER585" s="35"/>
      <c r="ES585" s="35"/>
      <c r="ET585" s="35"/>
      <c r="EU585" s="35"/>
      <c r="EV585" s="35"/>
      <c r="EW585" s="35"/>
      <c r="EX585" s="35"/>
      <c r="EY585" s="35"/>
      <c r="EZ585" s="35"/>
      <c r="FA585" s="35"/>
      <c r="FB585" s="35"/>
      <c r="FC585" s="35"/>
      <c r="FD585" s="35"/>
      <c r="FE585" s="35"/>
      <c r="FF585" s="35"/>
      <c r="FG585" s="35"/>
      <c r="FH585" s="35"/>
      <c r="FI585" s="35"/>
      <c r="FJ585" s="35"/>
      <c r="FK585" s="35"/>
      <c r="FL585" s="35"/>
      <c r="FM585" s="35"/>
      <c r="FN585" s="35"/>
      <c r="FO585" s="35"/>
      <c r="FP585" s="35"/>
      <c r="FQ585" s="35"/>
      <c r="FR585" s="35"/>
      <c r="FS585" s="35"/>
      <c r="FT585" s="35"/>
      <c r="FU585" s="35"/>
      <c r="FV585" s="35"/>
      <c r="FW585" s="35"/>
      <c r="FX585" s="35"/>
      <c r="FY585" s="35"/>
      <c r="FZ585" s="35"/>
      <c r="GA585" s="35"/>
      <c r="GB585" s="35"/>
      <c r="GC585" s="35"/>
      <c r="GD585" s="35"/>
      <c r="GE585" s="35"/>
      <c r="GF585" s="35"/>
      <c r="GG585" s="35"/>
      <c r="GH585" s="35"/>
      <c r="GI585" s="35"/>
      <c r="GJ585" s="35"/>
      <c r="GK585" s="35"/>
      <c r="GL585" s="35"/>
      <c r="GM585" s="35"/>
      <c r="GN585" s="35"/>
      <c r="GO585" s="35"/>
      <c r="GP585" s="35"/>
      <c r="GQ585" s="35"/>
      <c r="GR585" s="35"/>
      <c r="GS585" s="35"/>
      <c r="GT585" s="35"/>
      <c r="GU585" s="35"/>
      <c r="GV585" s="35"/>
      <c r="GW585" s="35"/>
      <c r="GX585" s="35"/>
      <c r="GY585" s="35"/>
      <c r="GZ585" s="35"/>
      <c r="HA585" s="35"/>
      <c r="HB585" s="35"/>
      <c r="HC585" s="35"/>
      <c r="HD585" s="35"/>
      <c r="HE585" s="35"/>
      <c r="HF585" s="35"/>
      <c r="HG585" s="35"/>
      <c r="HH585" s="35"/>
      <c r="HI585" s="35"/>
      <c r="HJ585" s="35"/>
      <c r="HK585" s="35"/>
      <c r="HL585" s="35"/>
      <c r="HM585" s="35"/>
      <c r="HN585" s="35"/>
      <c r="HO585" s="35"/>
      <c r="HP585" s="35"/>
      <c r="HQ585" s="35"/>
      <c r="HR585" s="35"/>
      <c r="HS585" s="35"/>
      <c r="HT585" s="35"/>
      <c r="HU585" s="35"/>
      <c r="HV585" s="35"/>
      <c r="HW585" s="35"/>
      <c r="HX585" s="35"/>
      <c r="HY585" s="35"/>
      <c r="HZ585" s="35"/>
      <c r="IA585" s="35"/>
      <c r="IB585" s="35"/>
      <c r="IC585" s="35"/>
      <c r="ID585" s="35"/>
      <c r="IE585" s="35"/>
      <c r="IF585" s="35"/>
      <c r="IG585" s="35"/>
      <c r="IH585" s="35"/>
      <c r="II585" s="35"/>
      <c r="IJ585" s="35"/>
      <c r="IK585" s="35"/>
      <c r="IL585" s="35"/>
      <c r="IM585" s="35"/>
      <c r="IN585" s="35"/>
      <c r="IO585" s="35"/>
      <c r="IP585" s="35"/>
      <c r="IQ585" s="35"/>
      <c r="IR585" s="35"/>
      <c r="IS585" s="35"/>
      <c r="IT585" s="35"/>
      <c r="IU585" s="35"/>
      <c r="IV585" s="35"/>
      <c r="IW585" s="35"/>
      <c r="IX585" s="35"/>
      <c r="IY585" s="35"/>
      <c r="IZ585" s="35"/>
      <c r="JA585" s="35"/>
      <c r="JB585" s="35"/>
      <c r="JC585" s="35"/>
      <c r="JD585" s="35"/>
      <c r="JE585" s="35"/>
    </row>
    <row r="586">
      <c r="A586" s="42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  <c r="AZ586" s="35"/>
      <c r="BA586" s="35"/>
      <c r="BB586" s="35"/>
      <c r="BC586" s="35"/>
      <c r="BD586" s="35"/>
      <c r="BE586" s="35"/>
      <c r="BF586" s="35"/>
      <c r="BG586" s="35"/>
      <c r="BH586" s="35"/>
      <c r="BI586" s="35"/>
      <c r="BJ586" s="35"/>
      <c r="BK586" s="35"/>
      <c r="BL586" s="35"/>
      <c r="BM586" s="35"/>
      <c r="BN586" s="35"/>
      <c r="BO586" s="35"/>
      <c r="BP586" s="35"/>
      <c r="BQ586" s="35"/>
      <c r="BR586" s="35"/>
      <c r="BS586" s="35"/>
      <c r="BT586" s="35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35"/>
      <c r="CO586" s="35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35"/>
      <c r="DJ586" s="35"/>
      <c r="DK586" s="35"/>
      <c r="DL586" s="35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35"/>
      <c r="EE586" s="35"/>
      <c r="EF586" s="35"/>
      <c r="EG586" s="35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  <c r="ER586" s="35"/>
      <c r="ES586" s="35"/>
      <c r="ET586" s="35"/>
      <c r="EU586" s="35"/>
      <c r="EV586" s="35"/>
      <c r="EW586" s="35"/>
      <c r="EX586" s="35"/>
      <c r="EY586" s="35"/>
      <c r="EZ586" s="35"/>
      <c r="FA586" s="35"/>
      <c r="FB586" s="35"/>
      <c r="FC586" s="35"/>
      <c r="FD586" s="35"/>
      <c r="FE586" s="35"/>
      <c r="FF586" s="35"/>
      <c r="FG586" s="35"/>
      <c r="FH586" s="35"/>
      <c r="FI586" s="35"/>
      <c r="FJ586" s="35"/>
      <c r="FK586" s="35"/>
      <c r="FL586" s="35"/>
      <c r="FM586" s="35"/>
      <c r="FN586" s="35"/>
      <c r="FO586" s="35"/>
      <c r="FP586" s="35"/>
      <c r="FQ586" s="35"/>
      <c r="FR586" s="35"/>
      <c r="FS586" s="35"/>
      <c r="FT586" s="35"/>
      <c r="FU586" s="35"/>
      <c r="FV586" s="35"/>
      <c r="FW586" s="35"/>
      <c r="FX586" s="35"/>
      <c r="FY586" s="35"/>
      <c r="FZ586" s="35"/>
      <c r="GA586" s="35"/>
      <c r="GB586" s="35"/>
      <c r="GC586" s="35"/>
      <c r="GD586" s="35"/>
      <c r="GE586" s="35"/>
      <c r="GF586" s="35"/>
      <c r="GG586" s="35"/>
      <c r="GH586" s="35"/>
      <c r="GI586" s="35"/>
      <c r="GJ586" s="35"/>
      <c r="GK586" s="35"/>
      <c r="GL586" s="35"/>
      <c r="GM586" s="35"/>
      <c r="GN586" s="35"/>
      <c r="GO586" s="35"/>
      <c r="GP586" s="35"/>
      <c r="GQ586" s="35"/>
      <c r="GR586" s="35"/>
      <c r="GS586" s="35"/>
      <c r="GT586" s="35"/>
      <c r="GU586" s="35"/>
      <c r="GV586" s="35"/>
      <c r="GW586" s="35"/>
      <c r="GX586" s="35"/>
      <c r="GY586" s="35"/>
      <c r="GZ586" s="35"/>
      <c r="HA586" s="35"/>
      <c r="HB586" s="35"/>
      <c r="HC586" s="35"/>
      <c r="HD586" s="35"/>
      <c r="HE586" s="35"/>
      <c r="HF586" s="35"/>
      <c r="HG586" s="35"/>
      <c r="HH586" s="35"/>
      <c r="HI586" s="35"/>
      <c r="HJ586" s="35"/>
      <c r="HK586" s="35"/>
      <c r="HL586" s="35"/>
      <c r="HM586" s="35"/>
      <c r="HN586" s="35"/>
      <c r="HO586" s="35"/>
      <c r="HP586" s="35"/>
      <c r="HQ586" s="35"/>
      <c r="HR586" s="35"/>
      <c r="HS586" s="35"/>
      <c r="HT586" s="35"/>
      <c r="HU586" s="35"/>
      <c r="HV586" s="35"/>
      <c r="HW586" s="35"/>
      <c r="HX586" s="35"/>
      <c r="HY586" s="35"/>
      <c r="HZ586" s="35"/>
      <c r="IA586" s="35"/>
      <c r="IB586" s="35"/>
      <c r="IC586" s="35"/>
      <c r="ID586" s="35"/>
      <c r="IE586" s="35"/>
      <c r="IF586" s="35"/>
      <c r="IG586" s="35"/>
      <c r="IH586" s="35"/>
      <c r="II586" s="35"/>
      <c r="IJ586" s="35"/>
      <c r="IK586" s="35"/>
      <c r="IL586" s="35"/>
      <c r="IM586" s="35"/>
      <c r="IN586" s="35"/>
      <c r="IO586" s="35"/>
      <c r="IP586" s="35"/>
      <c r="IQ586" s="35"/>
      <c r="IR586" s="35"/>
      <c r="IS586" s="35"/>
      <c r="IT586" s="35"/>
      <c r="IU586" s="35"/>
      <c r="IV586" s="35"/>
      <c r="IW586" s="35"/>
      <c r="IX586" s="35"/>
      <c r="IY586" s="35"/>
      <c r="IZ586" s="35"/>
      <c r="JA586" s="35"/>
      <c r="JB586" s="35"/>
      <c r="JC586" s="35"/>
      <c r="JD586" s="35"/>
      <c r="JE586" s="35"/>
    </row>
    <row r="587">
      <c r="A587" s="42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  <c r="AZ587" s="35"/>
      <c r="BA587" s="35"/>
      <c r="BB587" s="35"/>
      <c r="BC587" s="35"/>
      <c r="BD587" s="35"/>
      <c r="BE587" s="35"/>
      <c r="BF587" s="35"/>
      <c r="BG587" s="35"/>
      <c r="BH587" s="35"/>
      <c r="BI587" s="35"/>
      <c r="BJ587" s="35"/>
      <c r="BK587" s="35"/>
      <c r="BL587" s="35"/>
      <c r="BM587" s="35"/>
      <c r="BN587" s="35"/>
      <c r="BO587" s="35"/>
      <c r="BP587" s="35"/>
      <c r="BQ587" s="35"/>
      <c r="BR587" s="35"/>
      <c r="BS587" s="35"/>
      <c r="BT587" s="35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35"/>
      <c r="CO587" s="35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35"/>
      <c r="DJ587" s="35"/>
      <c r="DK587" s="35"/>
      <c r="DL587" s="35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35"/>
      <c r="EE587" s="35"/>
      <c r="EF587" s="35"/>
      <c r="EG587" s="35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  <c r="ER587" s="35"/>
      <c r="ES587" s="35"/>
      <c r="ET587" s="35"/>
      <c r="EU587" s="35"/>
      <c r="EV587" s="35"/>
      <c r="EW587" s="35"/>
      <c r="EX587" s="35"/>
      <c r="EY587" s="35"/>
      <c r="EZ587" s="35"/>
      <c r="FA587" s="35"/>
      <c r="FB587" s="35"/>
      <c r="FC587" s="35"/>
      <c r="FD587" s="35"/>
      <c r="FE587" s="35"/>
      <c r="FF587" s="35"/>
      <c r="FG587" s="35"/>
      <c r="FH587" s="35"/>
      <c r="FI587" s="35"/>
      <c r="FJ587" s="35"/>
      <c r="FK587" s="35"/>
      <c r="FL587" s="35"/>
      <c r="FM587" s="35"/>
      <c r="FN587" s="35"/>
      <c r="FO587" s="35"/>
      <c r="FP587" s="35"/>
      <c r="FQ587" s="35"/>
      <c r="FR587" s="35"/>
      <c r="FS587" s="35"/>
      <c r="FT587" s="35"/>
      <c r="FU587" s="35"/>
      <c r="FV587" s="35"/>
      <c r="FW587" s="35"/>
      <c r="FX587" s="35"/>
      <c r="FY587" s="35"/>
      <c r="FZ587" s="35"/>
      <c r="GA587" s="35"/>
      <c r="GB587" s="35"/>
      <c r="GC587" s="35"/>
      <c r="GD587" s="35"/>
      <c r="GE587" s="35"/>
      <c r="GF587" s="35"/>
      <c r="GG587" s="35"/>
      <c r="GH587" s="35"/>
      <c r="GI587" s="35"/>
      <c r="GJ587" s="35"/>
      <c r="GK587" s="35"/>
      <c r="GL587" s="35"/>
      <c r="GM587" s="35"/>
      <c r="GN587" s="35"/>
      <c r="GO587" s="35"/>
      <c r="GP587" s="35"/>
      <c r="GQ587" s="35"/>
      <c r="GR587" s="35"/>
      <c r="GS587" s="35"/>
      <c r="GT587" s="35"/>
      <c r="GU587" s="35"/>
      <c r="GV587" s="35"/>
      <c r="GW587" s="35"/>
      <c r="GX587" s="35"/>
      <c r="GY587" s="35"/>
      <c r="GZ587" s="35"/>
      <c r="HA587" s="35"/>
      <c r="HB587" s="35"/>
      <c r="HC587" s="35"/>
      <c r="HD587" s="35"/>
      <c r="HE587" s="35"/>
      <c r="HF587" s="35"/>
      <c r="HG587" s="35"/>
      <c r="HH587" s="35"/>
      <c r="HI587" s="35"/>
      <c r="HJ587" s="35"/>
      <c r="HK587" s="35"/>
      <c r="HL587" s="35"/>
      <c r="HM587" s="35"/>
      <c r="HN587" s="35"/>
      <c r="HO587" s="35"/>
      <c r="HP587" s="35"/>
      <c r="HQ587" s="35"/>
      <c r="HR587" s="35"/>
      <c r="HS587" s="35"/>
      <c r="HT587" s="35"/>
      <c r="HU587" s="35"/>
      <c r="HV587" s="35"/>
      <c r="HW587" s="35"/>
      <c r="HX587" s="35"/>
      <c r="HY587" s="35"/>
      <c r="HZ587" s="35"/>
      <c r="IA587" s="35"/>
      <c r="IB587" s="35"/>
      <c r="IC587" s="35"/>
      <c r="ID587" s="35"/>
      <c r="IE587" s="35"/>
      <c r="IF587" s="35"/>
      <c r="IG587" s="35"/>
      <c r="IH587" s="35"/>
      <c r="II587" s="35"/>
      <c r="IJ587" s="35"/>
      <c r="IK587" s="35"/>
      <c r="IL587" s="35"/>
      <c r="IM587" s="35"/>
      <c r="IN587" s="35"/>
      <c r="IO587" s="35"/>
      <c r="IP587" s="35"/>
      <c r="IQ587" s="35"/>
      <c r="IR587" s="35"/>
      <c r="IS587" s="35"/>
      <c r="IT587" s="35"/>
      <c r="IU587" s="35"/>
      <c r="IV587" s="35"/>
      <c r="IW587" s="35"/>
      <c r="IX587" s="35"/>
      <c r="IY587" s="35"/>
      <c r="IZ587" s="35"/>
      <c r="JA587" s="35"/>
      <c r="JB587" s="35"/>
      <c r="JC587" s="35"/>
      <c r="JD587" s="35"/>
      <c r="JE587" s="35"/>
    </row>
    <row r="588">
      <c r="A588" s="42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  <c r="AZ588" s="35"/>
      <c r="BA588" s="35"/>
      <c r="BB588" s="35"/>
      <c r="BC588" s="35"/>
      <c r="BD588" s="35"/>
      <c r="BE588" s="35"/>
      <c r="BF588" s="35"/>
      <c r="BG588" s="35"/>
      <c r="BH588" s="35"/>
      <c r="BI588" s="35"/>
      <c r="BJ588" s="35"/>
      <c r="BK588" s="35"/>
      <c r="BL588" s="35"/>
      <c r="BM588" s="35"/>
      <c r="BN588" s="35"/>
      <c r="BO588" s="35"/>
      <c r="BP588" s="35"/>
      <c r="BQ588" s="35"/>
      <c r="BR588" s="35"/>
      <c r="BS588" s="35"/>
      <c r="BT588" s="35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35"/>
      <c r="CO588" s="35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35"/>
      <c r="DJ588" s="35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35"/>
      <c r="EE588" s="35"/>
      <c r="EF588" s="35"/>
      <c r="EG588" s="35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35"/>
      <c r="EZ588" s="35"/>
      <c r="FA588" s="35"/>
      <c r="FB588" s="35"/>
      <c r="FC588" s="35"/>
      <c r="FD588" s="35"/>
      <c r="FE588" s="35"/>
      <c r="FF588" s="35"/>
      <c r="FG588" s="35"/>
      <c r="FH588" s="35"/>
      <c r="FI588" s="35"/>
      <c r="FJ588" s="35"/>
      <c r="FK588" s="35"/>
      <c r="FL588" s="35"/>
      <c r="FM588" s="35"/>
      <c r="FN588" s="35"/>
      <c r="FO588" s="35"/>
      <c r="FP588" s="35"/>
      <c r="FQ588" s="35"/>
      <c r="FR588" s="35"/>
      <c r="FS588" s="35"/>
      <c r="FT588" s="35"/>
      <c r="FU588" s="35"/>
      <c r="FV588" s="35"/>
      <c r="FW588" s="35"/>
      <c r="FX588" s="35"/>
      <c r="FY588" s="35"/>
      <c r="FZ588" s="35"/>
      <c r="GA588" s="35"/>
      <c r="GB588" s="35"/>
      <c r="GC588" s="35"/>
      <c r="GD588" s="35"/>
      <c r="GE588" s="35"/>
      <c r="GF588" s="35"/>
      <c r="GG588" s="35"/>
      <c r="GH588" s="35"/>
      <c r="GI588" s="35"/>
      <c r="GJ588" s="35"/>
      <c r="GK588" s="35"/>
      <c r="GL588" s="35"/>
      <c r="GM588" s="35"/>
      <c r="GN588" s="35"/>
      <c r="GO588" s="35"/>
      <c r="GP588" s="35"/>
      <c r="GQ588" s="35"/>
      <c r="GR588" s="35"/>
      <c r="GS588" s="35"/>
      <c r="GT588" s="35"/>
      <c r="GU588" s="35"/>
      <c r="GV588" s="35"/>
      <c r="GW588" s="35"/>
      <c r="GX588" s="35"/>
      <c r="GY588" s="35"/>
      <c r="GZ588" s="35"/>
      <c r="HA588" s="35"/>
      <c r="HB588" s="35"/>
      <c r="HC588" s="35"/>
      <c r="HD588" s="35"/>
      <c r="HE588" s="35"/>
      <c r="HF588" s="35"/>
      <c r="HG588" s="35"/>
      <c r="HH588" s="35"/>
      <c r="HI588" s="35"/>
      <c r="HJ588" s="35"/>
      <c r="HK588" s="35"/>
      <c r="HL588" s="35"/>
      <c r="HM588" s="35"/>
      <c r="HN588" s="35"/>
      <c r="HO588" s="35"/>
      <c r="HP588" s="35"/>
      <c r="HQ588" s="35"/>
      <c r="HR588" s="35"/>
      <c r="HS588" s="35"/>
      <c r="HT588" s="35"/>
      <c r="HU588" s="35"/>
      <c r="HV588" s="35"/>
      <c r="HW588" s="35"/>
      <c r="HX588" s="35"/>
      <c r="HY588" s="35"/>
      <c r="HZ588" s="35"/>
      <c r="IA588" s="35"/>
      <c r="IB588" s="35"/>
      <c r="IC588" s="35"/>
      <c r="ID588" s="35"/>
      <c r="IE588" s="35"/>
      <c r="IF588" s="35"/>
      <c r="IG588" s="35"/>
      <c r="IH588" s="35"/>
      <c r="II588" s="35"/>
      <c r="IJ588" s="35"/>
      <c r="IK588" s="35"/>
      <c r="IL588" s="35"/>
      <c r="IM588" s="35"/>
      <c r="IN588" s="35"/>
      <c r="IO588" s="35"/>
      <c r="IP588" s="35"/>
      <c r="IQ588" s="35"/>
      <c r="IR588" s="35"/>
      <c r="IS588" s="35"/>
      <c r="IT588" s="35"/>
      <c r="IU588" s="35"/>
      <c r="IV588" s="35"/>
      <c r="IW588" s="35"/>
      <c r="IX588" s="35"/>
      <c r="IY588" s="35"/>
      <c r="IZ588" s="35"/>
      <c r="JA588" s="35"/>
      <c r="JB588" s="35"/>
      <c r="JC588" s="35"/>
      <c r="JD588" s="35"/>
      <c r="JE588" s="35"/>
    </row>
    <row r="589">
      <c r="A589" s="42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  <c r="AZ589" s="35"/>
      <c r="BA589" s="35"/>
      <c r="BB589" s="35"/>
      <c r="BC589" s="35"/>
      <c r="BD589" s="35"/>
      <c r="BE589" s="35"/>
      <c r="BF589" s="35"/>
      <c r="BG589" s="35"/>
      <c r="BH589" s="35"/>
      <c r="BI589" s="35"/>
      <c r="BJ589" s="35"/>
      <c r="BK589" s="35"/>
      <c r="BL589" s="35"/>
      <c r="BM589" s="35"/>
      <c r="BN589" s="35"/>
      <c r="BO589" s="35"/>
      <c r="BP589" s="35"/>
      <c r="BQ589" s="35"/>
      <c r="BR589" s="35"/>
      <c r="BS589" s="35"/>
      <c r="BT589" s="35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35"/>
      <c r="CO589" s="35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35"/>
      <c r="DJ589" s="35"/>
      <c r="DK589" s="35"/>
      <c r="DL589" s="35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35"/>
      <c r="EE589" s="35"/>
      <c r="EF589" s="35"/>
      <c r="EG589" s="35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  <c r="ER589" s="35"/>
      <c r="ES589" s="35"/>
      <c r="ET589" s="35"/>
      <c r="EU589" s="35"/>
      <c r="EV589" s="35"/>
      <c r="EW589" s="35"/>
      <c r="EX589" s="35"/>
      <c r="EY589" s="35"/>
      <c r="EZ589" s="35"/>
      <c r="FA589" s="35"/>
      <c r="FB589" s="35"/>
      <c r="FC589" s="35"/>
      <c r="FD589" s="35"/>
      <c r="FE589" s="35"/>
      <c r="FF589" s="35"/>
      <c r="FG589" s="35"/>
      <c r="FH589" s="35"/>
      <c r="FI589" s="35"/>
      <c r="FJ589" s="35"/>
      <c r="FK589" s="35"/>
      <c r="FL589" s="35"/>
      <c r="FM589" s="35"/>
      <c r="FN589" s="35"/>
      <c r="FO589" s="35"/>
      <c r="FP589" s="35"/>
      <c r="FQ589" s="35"/>
      <c r="FR589" s="35"/>
      <c r="FS589" s="35"/>
      <c r="FT589" s="35"/>
      <c r="FU589" s="35"/>
      <c r="FV589" s="35"/>
      <c r="FW589" s="35"/>
      <c r="FX589" s="35"/>
      <c r="FY589" s="35"/>
      <c r="FZ589" s="35"/>
      <c r="GA589" s="35"/>
      <c r="GB589" s="35"/>
      <c r="GC589" s="35"/>
      <c r="GD589" s="35"/>
      <c r="GE589" s="35"/>
      <c r="GF589" s="35"/>
      <c r="GG589" s="35"/>
      <c r="GH589" s="35"/>
      <c r="GI589" s="35"/>
      <c r="GJ589" s="35"/>
      <c r="GK589" s="35"/>
      <c r="GL589" s="35"/>
      <c r="GM589" s="35"/>
      <c r="GN589" s="35"/>
      <c r="GO589" s="35"/>
      <c r="GP589" s="35"/>
      <c r="GQ589" s="35"/>
      <c r="GR589" s="35"/>
      <c r="GS589" s="35"/>
      <c r="GT589" s="35"/>
      <c r="GU589" s="35"/>
      <c r="GV589" s="35"/>
      <c r="GW589" s="35"/>
      <c r="GX589" s="35"/>
      <c r="GY589" s="35"/>
      <c r="GZ589" s="35"/>
      <c r="HA589" s="35"/>
      <c r="HB589" s="35"/>
      <c r="HC589" s="35"/>
      <c r="HD589" s="35"/>
      <c r="HE589" s="35"/>
      <c r="HF589" s="35"/>
      <c r="HG589" s="35"/>
      <c r="HH589" s="35"/>
      <c r="HI589" s="35"/>
      <c r="HJ589" s="35"/>
      <c r="HK589" s="35"/>
      <c r="HL589" s="35"/>
      <c r="HM589" s="35"/>
      <c r="HN589" s="35"/>
      <c r="HO589" s="35"/>
      <c r="HP589" s="35"/>
      <c r="HQ589" s="35"/>
      <c r="HR589" s="35"/>
      <c r="HS589" s="35"/>
      <c r="HT589" s="35"/>
      <c r="HU589" s="35"/>
      <c r="HV589" s="35"/>
      <c r="HW589" s="35"/>
      <c r="HX589" s="35"/>
      <c r="HY589" s="35"/>
      <c r="HZ589" s="35"/>
      <c r="IA589" s="35"/>
      <c r="IB589" s="35"/>
      <c r="IC589" s="35"/>
      <c r="ID589" s="35"/>
      <c r="IE589" s="35"/>
      <c r="IF589" s="35"/>
      <c r="IG589" s="35"/>
      <c r="IH589" s="35"/>
      <c r="II589" s="35"/>
      <c r="IJ589" s="35"/>
      <c r="IK589" s="35"/>
      <c r="IL589" s="35"/>
      <c r="IM589" s="35"/>
      <c r="IN589" s="35"/>
      <c r="IO589" s="35"/>
      <c r="IP589" s="35"/>
      <c r="IQ589" s="35"/>
      <c r="IR589" s="35"/>
      <c r="IS589" s="35"/>
      <c r="IT589" s="35"/>
      <c r="IU589" s="35"/>
      <c r="IV589" s="35"/>
      <c r="IW589" s="35"/>
      <c r="IX589" s="35"/>
      <c r="IY589" s="35"/>
      <c r="IZ589" s="35"/>
      <c r="JA589" s="35"/>
      <c r="JB589" s="35"/>
      <c r="JC589" s="35"/>
      <c r="JD589" s="35"/>
      <c r="JE589" s="35"/>
    </row>
    <row r="590">
      <c r="A590" s="42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  <c r="AZ590" s="35"/>
      <c r="BA590" s="35"/>
      <c r="BB590" s="35"/>
      <c r="BC590" s="35"/>
      <c r="BD590" s="35"/>
      <c r="BE590" s="35"/>
      <c r="BF590" s="35"/>
      <c r="BG590" s="35"/>
      <c r="BH590" s="35"/>
      <c r="BI590" s="35"/>
      <c r="BJ590" s="35"/>
      <c r="BK590" s="35"/>
      <c r="BL590" s="35"/>
      <c r="BM590" s="35"/>
      <c r="BN590" s="35"/>
      <c r="BO590" s="35"/>
      <c r="BP590" s="35"/>
      <c r="BQ590" s="35"/>
      <c r="BR590" s="35"/>
      <c r="BS590" s="35"/>
      <c r="BT590" s="35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35"/>
      <c r="CO590" s="35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35"/>
      <c r="DJ590" s="35"/>
      <c r="DK590" s="35"/>
      <c r="DL590" s="35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35"/>
      <c r="EE590" s="35"/>
      <c r="EF590" s="35"/>
      <c r="EG590" s="35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  <c r="ER590" s="35"/>
      <c r="ES590" s="35"/>
      <c r="ET590" s="35"/>
      <c r="EU590" s="35"/>
      <c r="EV590" s="35"/>
      <c r="EW590" s="35"/>
      <c r="EX590" s="35"/>
      <c r="EY590" s="35"/>
      <c r="EZ590" s="35"/>
      <c r="FA590" s="35"/>
      <c r="FB590" s="35"/>
      <c r="FC590" s="35"/>
      <c r="FD590" s="35"/>
      <c r="FE590" s="35"/>
      <c r="FF590" s="35"/>
      <c r="FG590" s="35"/>
      <c r="FH590" s="35"/>
      <c r="FI590" s="35"/>
      <c r="FJ590" s="35"/>
      <c r="FK590" s="35"/>
      <c r="FL590" s="35"/>
      <c r="FM590" s="35"/>
      <c r="FN590" s="35"/>
      <c r="FO590" s="35"/>
      <c r="FP590" s="35"/>
      <c r="FQ590" s="35"/>
      <c r="FR590" s="35"/>
      <c r="FS590" s="35"/>
      <c r="FT590" s="35"/>
      <c r="FU590" s="35"/>
      <c r="FV590" s="35"/>
      <c r="FW590" s="35"/>
      <c r="FX590" s="35"/>
      <c r="FY590" s="35"/>
      <c r="FZ590" s="35"/>
      <c r="GA590" s="35"/>
      <c r="GB590" s="35"/>
      <c r="GC590" s="35"/>
      <c r="GD590" s="35"/>
      <c r="GE590" s="35"/>
      <c r="GF590" s="35"/>
      <c r="GG590" s="35"/>
      <c r="GH590" s="35"/>
      <c r="GI590" s="35"/>
      <c r="GJ590" s="35"/>
      <c r="GK590" s="35"/>
      <c r="GL590" s="35"/>
      <c r="GM590" s="35"/>
      <c r="GN590" s="35"/>
      <c r="GO590" s="35"/>
      <c r="GP590" s="35"/>
      <c r="GQ590" s="35"/>
      <c r="GR590" s="35"/>
      <c r="GS590" s="35"/>
      <c r="GT590" s="35"/>
      <c r="GU590" s="35"/>
      <c r="GV590" s="35"/>
      <c r="GW590" s="35"/>
      <c r="GX590" s="35"/>
      <c r="GY590" s="35"/>
      <c r="GZ590" s="35"/>
      <c r="HA590" s="35"/>
      <c r="HB590" s="35"/>
      <c r="HC590" s="35"/>
      <c r="HD590" s="35"/>
      <c r="HE590" s="35"/>
      <c r="HF590" s="35"/>
      <c r="HG590" s="35"/>
      <c r="HH590" s="35"/>
      <c r="HI590" s="35"/>
      <c r="HJ590" s="35"/>
      <c r="HK590" s="35"/>
      <c r="HL590" s="35"/>
      <c r="HM590" s="35"/>
      <c r="HN590" s="35"/>
      <c r="HO590" s="35"/>
      <c r="HP590" s="35"/>
      <c r="HQ590" s="35"/>
      <c r="HR590" s="35"/>
      <c r="HS590" s="35"/>
      <c r="HT590" s="35"/>
      <c r="HU590" s="35"/>
      <c r="HV590" s="35"/>
      <c r="HW590" s="35"/>
      <c r="HX590" s="35"/>
      <c r="HY590" s="35"/>
      <c r="HZ590" s="35"/>
      <c r="IA590" s="35"/>
      <c r="IB590" s="35"/>
      <c r="IC590" s="35"/>
      <c r="ID590" s="35"/>
      <c r="IE590" s="35"/>
      <c r="IF590" s="35"/>
      <c r="IG590" s="35"/>
      <c r="IH590" s="35"/>
      <c r="II590" s="35"/>
      <c r="IJ590" s="35"/>
      <c r="IK590" s="35"/>
      <c r="IL590" s="35"/>
      <c r="IM590" s="35"/>
      <c r="IN590" s="35"/>
      <c r="IO590" s="35"/>
      <c r="IP590" s="35"/>
      <c r="IQ590" s="35"/>
      <c r="IR590" s="35"/>
      <c r="IS590" s="35"/>
      <c r="IT590" s="35"/>
      <c r="IU590" s="35"/>
      <c r="IV590" s="35"/>
      <c r="IW590" s="35"/>
      <c r="IX590" s="35"/>
      <c r="IY590" s="35"/>
      <c r="IZ590" s="35"/>
      <c r="JA590" s="35"/>
      <c r="JB590" s="35"/>
      <c r="JC590" s="35"/>
      <c r="JD590" s="35"/>
      <c r="JE590" s="35"/>
    </row>
    <row r="591">
      <c r="A591" s="42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  <c r="AZ591" s="35"/>
      <c r="BA591" s="35"/>
      <c r="BB591" s="35"/>
      <c r="BC591" s="35"/>
      <c r="BD591" s="35"/>
      <c r="BE591" s="35"/>
      <c r="BF591" s="35"/>
      <c r="BG591" s="35"/>
      <c r="BH591" s="35"/>
      <c r="BI591" s="35"/>
      <c r="BJ591" s="35"/>
      <c r="BK591" s="35"/>
      <c r="BL591" s="35"/>
      <c r="BM591" s="35"/>
      <c r="BN591" s="35"/>
      <c r="BO591" s="35"/>
      <c r="BP591" s="35"/>
      <c r="BQ591" s="35"/>
      <c r="BR591" s="35"/>
      <c r="BS591" s="35"/>
      <c r="BT591" s="35"/>
      <c r="BU591" s="35"/>
      <c r="BV591" s="35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35"/>
      <c r="CO591" s="35"/>
      <c r="CP591" s="35"/>
      <c r="CQ591" s="35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35"/>
      <c r="DJ591" s="35"/>
      <c r="DK591" s="35"/>
      <c r="DL591" s="35"/>
      <c r="DM591" s="35"/>
      <c r="DN591" s="35"/>
      <c r="DO591" s="35"/>
      <c r="DP591" s="35"/>
      <c r="DQ591" s="35"/>
      <c r="DR591" s="35"/>
      <c r="DS591" s="35"/>
      <c r="DT591" s="35"/>
      <c r="DU591" s="35"/>
      <c r="DV591" s="35"/>
      <c r="DW591" s="35"/>
      <c r="DX591" s="35"/>
      <c r="DY591" s="35"/>
      <c r="DZ591" s="35"/>
      <c r="EA591" s="35"/>
      <c r="EB591" s="35"/>
      <c r="EC591" s="35"/>
      <c r="ED591" s="35"/>
      <c r="EE591" s="35"/>
      <c r="EF591" s="35"/>
      <c r="EG591" s="35"/>
      <c r="EH591" s="35"/>
      <c r="EI591" s="35"/>
      <c r="EJ591" s="35"/>
      <c r="EK591" s="35"/>
      <c r="EL591" s="35"/>
      <c r="EM591" s="35"/>
      <c r="EN591" s="35"/>
      <c r="EO591" s="35"/>
      <c r="EP591" s="35"/>
      <c r="EQ591" s="35"/>
      <c r="ER591" s="35"/>
      <c r="ES591" s="35"/>
      <c r="ET591" s="35"/>
      <c r="EU591" s="35"/>
      <c r="EV591" s="35"/>
      <c r="EW591" s="35"/>
      <c r="EX591" s="35"/>
      <c r="EY591" s="35"/>
      <c r="EZ591" s="35"/>
      <c r="FA591" s="35"/>
      <c r="FB591" s="35"/>
      <c r="FC591" s="35"/>
      <c r="FD591" s="35"/>
      <c r="FE591" s="35"/>
      <c r="FF591" s="35"/>
      <c r="FG591" s="35"/>
      <c r="FH591" s="35"/>
      <c r="FI591" s="35"/>
      <c r="FJ591" s="35"/>
      <c r="FK591" s="35"/>
      <c r="FL591" s="35"/>
      <c r="FM591" s="35"/>
      <c r="FN591" s="35"/>
      <c r="FO591" s="35"/>
      <c r="FP591" s="35"/>
      <c r="FQ591" s="35"/>
      <c r="FR591" s="35"/>
      <c r="FS591" s="35"/>
      <c r="FT591" s="35"/>
      <c r="FU591" s="35"/>
      <c r="FV591" s="35"/>
      <c r="FW591" s="35"/>
      <c r="FX591" s="35"/>
      <c r="FY591" s="35"/>
      <c r="FZ591" s="35"/>
      <c r="GA591" s="35"/>
      <c r="GB591" s="35"/>
      <c r="GC591" s="35"/>
      <c r="GD591" s="35"/>
      <c r="GE591" s="35"/>
      <c r="GF591" s="35"/>
      <c r="GG591" s="35"/>
      <c r="GH591" s="35"/>
      <c r="GI591" s="35"/>
      <c r="GJ591" s="35"/>
      <c r="GK591" s="35"/>
      <c r="GL591" s="35"/>
      <c r="GM591" s="35"/>
      <c r="GN591" s="35"/>
      <c r="GO591" s="35"/>
      <c r="GP591" s="35"/>
      <c r="GQ591" s="35"/>
      <c r="GR591" s="35"/>
      <c r="GS591" s="35"/>
      <c r="GT591" s="35"/>
      <c r="GU591" s="35"/>
      <c r="GV591" s="35"/>
      <c r="GW591" s="35"/>
      <c r="GX591" s="35"/>
      <c r="GY591" s="35"/>
      <c r="GZ591" s="35"/>
      <c r="HA591" s="35"/>
      <c r="HB591" s="35"/>
      <c r="HC591" s="35"/>
      <c r="HD591" s="35"/>
      <c r="HE591" s="35"/>
      <c r="HF591" s="35"/>
      <c r="HG591" s="35"/>
      <c r="HH591" s="35"/>
      <c r="HI591" s="35"/>
      <c r="HJ591" s="35"/>
      <c r="HK591" s="35"/>
      <c r="HL591" s="35"/>
      <c r="HM591" s="35"/>
      <c r="HN591" s="35"/>
      <c r="HO591" s="35"/>
      <c r="HP591" s="35"/>
      <c r="HQ591" s="35"/>
      <c r="HR591" s="35"/>
      <c r="HS591" s="35"/>
      <c r="HT591" s="35"/>
      <c r="HU591" s="35"/>
      <c r="HV591" s="35"/>
      <c r="HW591" s="35"/>
      <c r="HX591" s="35"/>
      <c r="HY591" s="35"/>
      <c r="HZ591" s="35"/>
      <c r="IA591" s="35"/>
      <c r="IB591" s="35"/>
      <c r="IC591" s="35"/>
      <c r="ID591" s="35"/>
      <c r="IE591" s="35"/>
      <c r="IF591" s="35"/>
      <c r="IG591" s="35"/>
      <c r="IH591" s="35"/>
      <c r="II591" s="35"/>
      <c r="IJ591" s="35"/>
      <c r="IK591" s="35"/>
      <c r="IL591" s="35"/>
      <c r="IM591" s="35"/>
      <c r="IN591" s="35"/>
      <c r="IO591" s="35"/>
      <c r="IP591" s="35"/>
      <c r="IQ591" s="35"/>
      <c r="IR591" s="35"/>
      <c r="IS591" s="35"/>
      <c r="IT591" s="35"/>
      <c r="IU591" s="35"/>
      <c r="IV591" s="35"/>
      <c r="IW591" s="35"/>
      <c r="IX591" s="35"/>
      <c r="IY591" s="35"/>
      <c r="IZ591" s="35"/>
      <c r="JA591" s="35"/>
      <c r="JB591" s="35"/>
      <c r="JC591" s="35"/>
      <c r="JD591" s="35"/>
      <c r="JE591" s="35"/>
    </row>
    <row r="592">
      <c r="A592" s="42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  <c r="AZ592" s="35"/>
      <c r="BA592" s="35"/>
      <c r="BB592" s="35"/>
      <c r="BC592" s="35"/>
      <c r="BD592" s="35"/>
      <c r="BE592" s="35"/>
      <c r="BF592" s="35"/>
      <c r="BG592" s="35"/>
      <c r="BH592" s="35"/>
      <c r="BI592" s="35"/>
      <c r="BJ592" s="35"/>
      <c r="BK592" s="35"/>
      <c r="BL592" s="35"/>
      <c r="BM592" s="35"/>
      <c r="BN592" s="35"/>
      <c r="BO592" s="35"/>
      <c r="BP592" s="35"/>
      <c r="BQ592" s="35"/>
      <c r="BR592" s="35"/>
      <c r="BS592" s="35"/>
      <c r="BT592" s="35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35"/>
      <c r="CO592" s="35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35"/>
      <c r="DJ592" s="35"/>
      <c r="DK592" s="35"/>
      <c r="DL592" s="35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35"/>
      <c r="EE592" s="35"/>
      <c r="EF592" s="35"/>
      <c r="EG592" s="35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35"/>
      <c r="EZ592" s="35"/>
      <c r="FA592" s="35"/>
      <c r="FB592" s="35"/>
      <c r="FC592" s="35"/>
      <c r="FD592" s="35"/>
      <c r="FE592" s="35"/>
      <c r="FF592" s="35"/>
      <c r="FG592" s="35"/>
      <c r="FH592" s="35"/>
      <c r="FI592" s="35"/>
      <c r="FJ592" s="35"/>
      <c r="FK592" s="35"/>
      <c r="FL592" s="35"/>
      <c r="FM592" s="35"/>
      <c r="FN592" s="35"/>
      <c r="FO592" s="35"/>
      <c r="FP592" s="35"/>
      <c r="FQ592" s="35"/>
      <c r="FR592" s="35"/>
      <c r="FS592" s="35"/>
      <c r="FT592" s="35"/>
      <c r="FU592" s="35"/>
      <c r="FV592" s="35"/>
      <c r="FW592" s="35"/>
      <c r="FX592" s="35"/>
      <c r="FY592" s="35"/>
      <c r="FZ592" s="35"/>
      <c r="GA592" s="35"/>
      <c r="GB592" s="35"/>
      <c r="GC592" s="35"/>
      <c r="GD592" s="35"/>
      <c r="GE592" s="35"/>
      <c r="GF592" s="35"/>
      <c r="GG592" s="35"/>
      <c r="GH592" s="35"/>
      <c r="GI592" s="35"/>
      <c r="GJ592" s="35"/>
      <c r="GK592" s="35"/>
      <c r="GL592" s="35"/>
      <c r="GM592" s="35"/>
      <c r="GN592" s="35"/>
      <c r="GO592" s="35"/>
      <c r="GP592" s="35"/>
      <c r="GQ592" s="35"/>
      <c r="GR592" s="35"/>
      <c r="GS592" s="35"/>
      <c r="GT592" s="35"/>
      <c r="GU592" s="35"/>
      <c r="GV592" s="35"/>
      <c r="GW592" s="35"/>
      <c r="GX592" s="35"/>
      <c r="GY592" s="35"/>
      <c r="GZ592" s="35"/>
      <c r="HA592" s="35"/>
      <c r="HB592" s="35"/>
      <c r="HC592" s="35"/>
      <c r="HD592" s="35"/>
      <c r="HE592" s="35"/>
      <c r="HF592" s="35"/>
      <c r="HG592" s="35"/>
      <c r="HH592" s="35"/>
      <c r="HI592" s="35"/>
      <c r="HJ592" s="35"/>
      <c r="HK592" s="35"/>
      <c r="HL592" s="35"/>
      <c r="HM592" s="35"/>
      <c r="HN592" s="35"/>
      <c r="HO592" s="35"/>
      <c r="HP592" s="35"/>
      <c r="HQ592" s="35"/>
      <c r="HR592" s="35"/>
      <c r="HS592" s="35"/>
      <c r="HT592" s="35"/>
      <c r="HU592" s="35"/>
      <c r="HV592" s="35"/>
      <c r="HW592" s="35"/>
      <c r="HX592" s="35"/>
      <c r="HY592" s="35"/>
      <c r="HZ592" s="35"/>
      <c r="IA592" s="35"/>
      <c r="IB592" s="35"/>
      <c r="IC592" s="35"/>
      <c r="ID592" s="35"/>
      <c r="IE592" s="35"/>
      <c r="IF592" s="35"/>
      <c r="IG592" s="35"/>
      <c r="IH592" s="35"/>
      <c r="II592" s="35"/>
      <c r="IJ592" s="35"/>
      <c r="IK592" s="35"/>
      <c r="IL592" s="35"/>
      <c r="IM592" s="35"/>
      <c r="IN592" s="35"/>
      <c r="IO592" s="35"/>
      <c r="IP592" s="35"/>
      <c r="IQ592" s="35"/>
      <c r="IR592" s="35"/>
      <c r="IS592" s="35"/>
      <c r="IT592" s="35"/>
      <c r="IU592" s="35"/>
      <c r="IV592" s="35"/>
      <c r="IW592" s="35"/>
      <c r="IX592" s="35"/>
      <c r="IY592" s="35"/>
      <c r="IZ592" s="35"/>
      <c r="JA592" s="35"/>
      <c r="JB592" s="35"/>
      <c r="JC592" s="35"/>
      <c r="JD592" s="35"/>
      <c r="JE592" s="35"/>
    </row>
    <row r="593">
      <c r="A593" s="42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  <c r="AZ593" s="35"/>
      <c r="BA593" s="35"/>
      <c r="BB593" s="35"/>
      <c r="BC593" s="35"/>
      <c r="BD593" s="35"/>
      <c r="BE593" s="35"/>
      <c r="BF593" s="35"/>
      <c r="BG593" s="35"/>
      <c r="BH593" s="35"/>
      <c r="BI593" s="35"/>
      <c r="BJ593" s="35"/>
      <c r="BK593" s="35"/>
      <c r="BL593" s="35"/>
      <c r="BM593" s="35"/>
      <c r="BN593" s="35"/>
      <c r="BO593" s="35"/>
      <c r="BP593" s="35"/>
      <c r="BQ593" s="35"/>
      <c r="BR593" s="35"/>
      <c r="BS593" s="35"/>
      <c r="BT593" s="35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35"/>
      <c r="CO593" s="35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35"/>
      <c r="DJ593" s="35"/>
      <c r="DK593" s="35"/>
      <c r="DL593" s="35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35"/>
      <c r="EE593" s="35"/>
      <c r="EF593" s="35"/>
      <c r="EG593" s="35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  <c r="ER593" s="35"/>
      <c r="ES593" s="35"/>
      <c r="ET593" s="35"/>
      <c r="EU593" s="35"/>
      <c r="EV593" s="35"/>
      <c r="EW593" s="35"/>
      <c r="EX593" s="35"/>
      <c r="EY593" s="35"/>
      <c r="EZ593" s="35"/>
      <c r="FA593" s="35"/>
      <c r="FB593" s="35"/>
      <c r="FC593" s="35"/>
      <c r="FD593" s="35"/>
      <c r="FE593" s="35"/>
      <c r="FF593" s="35"/>
      <c r="FG593" s="35"/>
      <c r="FH593" s="35"/>
      <c r="FI593" s="35"/>
      <c r="FJ593" s="35"/>
      <c r="FK593" s="35"/>
      <c r="FL593" s="35"/>
      <c r="FM593" s="35"/>
      <c r="FN593" s="35"/>
      <c r="FO593" s="35"/>
      <c r="FP593" s="35"/>
      <c r="FQ593" s="35"/>
      <c r="FR593" s="35"/>
      <c r="FS593" s="35"/>
      <c r="FT593" s="35"/>
      <c r="FU593" s="35"/>
      <c r="FV593" s="35"/>
      <c r="FW593" s="35"/>
      <c r="FX593" s="35"/>
      <c r="FY593" s="35"/>
      <c r="FZ593" s="35"/>
      <c r="GA593" s="35"/>
      <c r="GB593" s="35"/>
      <c r="GC593" s="35"/>
      <c r="GD593" s="35"/>
      <c r="GE593" s="35"/>
      <c r="GF593" s="35"/>
      <c r="GG593" s="35"/>
      <c r="GH593" s="35"/>
      <c r="GI593" s="35"/>
      <c r="GJ593" s="35"/>
      <c r="GK593" s="35"/>
      <c r="GL593" s="35"/>
      <c r="GM593" s="35"/>
      <c r="GN593" s="35"/>
      <c r="GO593" s="35"/>
      <c r="GP593" s="35"/>
      <c r="GQ593" s="35"/>
      <c r="GR593" s="35"/>
      <c r="GS593" s="35"/>
      <c r="GT593" s="35"/>
      <c r="GU593" s="35"/>
      <c r="GV593" s="35"/>
      <c r="GW593" s="35"/>
      <c r="GX593" s="35"/>
      <c r="GY593" s="35"/>
      <c r="GZ593" s="35"/>
      <c r="HA593" s="35"/>
      <c r="HB593" s="35"/>
      <c r="HC593" s="35"/>
      <c r="HD593" s="35"/>
      <c r="HE593" s="35"/>
      <c r="HF593" s="35"/>
      <c r="HG593" s="35"/>
      <c r="HH593" s="35"/>
      <c r="HI593" s="35"/>
      <c r="HJ593" s="35"/>
      <c r="HK593" s="35"/>
      <c r="HL593" s="35"/>
      <c r="HM593" s="35"/>
      <c r="HN593" s="35"/>
      <c r="HO593" s="35"/>
      <c r="HP593" s="35"/>
      <c r="HQ593" s="35"/>
      <c r="HR593" s="35"/>
      <c r="HS593" s="35"/>
      <c r="HT593" s="35"/>
      <c r="HU593" s="35"/>
      <c r="HV593" s="35"/>
      <c r="HW593" s="35"/>
      <c r="HX593" s="35"/>
      <c r="HY593" s="35"/>
      <c r="HZ593" s="35"/>
      <c r="IA593" s="35"/>
      <c r="IB593" s="35"/>
      <c r="IC593" s="35"/>
      <c r="ID593" s="35"/>
      <c r="IE593" s="35"/>
      <c r="IF593" s="35"/>
      <c r="IG593" s="35"/>
      <c r="IH593" s="35"/>
      <c r="II593" s="35"/>
      <c r="IJ593" s="35"/>
      <c r="IK593" s="35"/>
      <c r="IL593" s="35"/>
      <c r="IM593" s="35"/>
      <c r="IN593" s="35"/>
      <c r="IO593" s="35"/>
      <c r="IP593" s="35"/>
      <c r="IQ593" s="35"/>
      <c r="IR593" s="35"/>
      <c r="IS593" s="35"/>
      <c r="IT593" s="35"/>
      <c r="IU593" s="35"/>
      <c r="IV593" s="35"/>
      <c r="IW593" s="35"/>
      <c r="IX593" s="35"/>
      <c r="IY593" s="35"/>
      <c r="IZ593" s="35"/>
      <c r="JA593" s="35"/>
      <c r="JB593" s="35"/>
      <c r="JC593" s="35"/>
      <c r="JD593" s="35"/>
      <c r="JE593" s="35"/>
    </row>
    <row r="594">
      <c r="A594" s="42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  <c r="AZ594" s="35"/>
      <c r="BA594" s="35"/>
      <c r="BB594" s="35"/>
      <c r="BC594" s="35"/>
      <c r="BD594" s="35"/>
      <c r="BE594" s="35"/>
      <c r="BF594" s="35"/>
      <c r="BG594" s="35"/>
      <c r="BH594" s="35"/>
      <c r="BI594" s="35"/>
      <c r="BJ594" s="35"/>
      <c r="BK594" s="35"/>
      <c r="BL594" s="35"/>
      <c r="BM594" s="35"/>
      <c r="BN594" s="35"/>
      <c r="BO594" s="35"/>
      <c r="BP594" s="35"/>
      <c r="BQ594" s="35"/>
      <c r="BR594" s="35"/>
      <c r="BS594" s="35"/>
      <c r="BT594" s="35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35"/>
      <c r="CO594" s="35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35"/>
      <c r="DJ594" s="35"/>
      <c r="DK594" s="35"/>
      <c r="DL594" s="35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35"/>
      <c r="EE594" s="35"/>
      <c r="EF594" s="35"/>
      <c r="EG594" s="35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  <c r="ER594" s="35"/>
      <c r="ES594" s="35"/>
      <c r="ET594" s="35"/>
      <c r="EU594" s="35"/>
      <c r="EV594" s="35"/>
      <c r="EW594" s="35"/>
      <c r="EX594" s="35"/>
      <c r="EY594" s="35"/>
      <c r="EZ594" s="35"/>
      <c r="FA594" s="35"/>
      <c r="FB594" s="35"/>
      <c r="FC594" s="35"/>
      <c r="FD594" s="35"/>
      <c r="FE594" s="35"/>
      <c r="FF594" s="35"/>
      <c r="FG594" s="35"/>
      <c r="FH594" s="35"/>
      <c r="FI594" s="35"/>
      <c r="FJ594" s="35"/>
      <c r="FK594" s="35"/>
      <c r="FL594" s="35"/>
      <c r="FM594" s="35"/>
      <c r="FN594" s="35"/>
      <c r="FO594" s="35"/>
      <c r="FP594" s="35"/>
      <c r="FQ594" s="35"/>
      <c r="FR594" s="35"/>
      <c r="FS594" s="35"/>
      <c r="FT594" s="35"/>
      <c r="FU594" s="35"/>
      <c r="FV594" s="35"/>
      <c r="FW594" s="35"/>
      <c r="FX594" s="35"/>
      <c r="FY594" s="35"/>
      <c r="FZ594" s="35"/>
      <c r="GA594" s="35"/>
      <c r="GB594" s="35"/>
      <c r="GC594" s="35"/>
      <c r="GD594" s="35"/>
      <c r="GE594" s="35"/>
      <c r="GF594" s="35"/>
      <c r="GG594" s="35"/>
      <c r="GH594" s="35"/>
      <c r="GI594" s="35"/>
      <c r="GJ594" s="35"/>
      <c r="GK594" s="35"/>
      <c r="GL594" s="35"/>
      <c r="GM594" s="35"/>
      <c r="GN594" s="35"/>
      <c r="GO594" s="35"/>
      <c r="GP594" s="35"/>
      <c r="GQ594" s="35"/>
      <c r="GR594" s="35"/>
      <c r="GS594" s="35"/>
      <c r="GT594" s="35"/>
      <c r="GU594" s="35"/>
      <c r="GV594" s="35"/>
      <c r="GW594" s="35"/>
      <c r="GX594" s="35"/>
      <c r="GY594" s="35"/>
      <c r="GZ594" s="35"/>
      <c r="HA594" s="35"/>
      <c r="HB594" s="35"/>
      <c r="HC594" s="35"/>
      <c r="HD594" s="35"/>
      <c r="HE594" s="35"/>
      <c r="HF594" s="35"/>
      <c r="HG594" s="35"/>
      <c r="HH594" s="35"/>
      <c r="HI594" s="35"/>
      <c r="HJ594" s="35"/>
      <c r="HK594" s="35"/>
      <c r="HL594" s="35"/>
      <c r="HM594" s="35"/>
      <c r="HN594" s="35"/>
      <c r="HO594" s="35"/>
      <c r="HP594" s="35"/>
      <c r="HQ594" s="35"/>
      <c r="HR594" s="35"/>
      <c r="HS594" s="35"/>
      <c r="HT594" s="35"/>
      <c r="HU594" s="35"/>
      <c r="HV594" s="35"/>
      <c r="HW594" s="35"/>
      <c r="HX594" s="35"/>
      <c r="HY594" s="35"/>
      <c r="HZ594" s="35"/>
      <c r="IA594" s="35"/>
      <c r="IB594" s="35"/>
      <c r="IC594" s="35"/>
      <c r="ID594" s="35"/>
      <c r="IE594" s="35"/>
      <c r="IF594" s="35"/>
      <c r="IG594" s="35"/>
      <c r="IH594" s="35"/>
      <c r="II594" s="35"/>
      <c r="IJ594" s="35"/>
      <c r="IK594" s="35"/>
      <c r="IL594" s="35"/>
      <c r="IM594" s="35"/>
      <c r="IN594" s="35"/>
      <c r="IO594" s="35"/>
      <c r="IP594" s="35"/>
      <c r="IQ594" s="35"/>
      <c r="IR594" s="35"/>
      <c r="IS594" s="35"/>
      <c r="IT594" s="35"/>
      <c r="IU594" s="35"/>
      <c r="IV594" s="35"/>
      <c r="IW594" s="35"/>
      <c r="IX594" s="35"/>
      <c r="IY594" s="35"/>
      <c r="IZ594" s="35"/>
      <c r="JA594" s="35"/>
      <c r="JB594" s="35"/>
      <c r="JC594" s="35"/>
      <c r="JD594" s="35"/>
      <c r="JE594" s="35"/>
    </row>
    <row r="595">
      <c r="A595" s="42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  <c r="AZ595" s="35"/>
      <c r="BA595" s="35"/>
      <c r="BB595" s="35"/>
      <c r="BC595" s="35"/>
      <c r="BD595" s="35"/>
      <c r="BE595" s="35"/>
      <c r="BF595" s="35"/>
      <c r="BG595" s="35"/>
      <c r="BH595" s="35"/>
      <c r="BI595" s="35"/>
      <c r="BJ595" s="35"/>
      <c r="BK595" s="35"/>
      <c r="BL595" s="35"/>
      <c r="BM595" s="35"/>
      <c r="BN595" s="35"/>
      <c r="BO595" s="35"/>
      <c r="BP595" s="35"/>
      <c r="BQ595" s="35"/>
      <c r="BR595" s="35"/>
      <c r="BS595" s="35"/>
      <c r="BT595" s="35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35"/>
      <c r="CO595" s="35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35"/>
      <c r="DJ595" s="35"/>
      <c r="DK595" s="35"/>
      <c r="DL595" s="35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35"/>
      <c r="EE595" s="35"/>
      <c r="EF595" s="35"/>
      <c r="EG595" s="35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  <c r="ER595" s="35"/>
      <c r="ES595" s="35"/>
      <c r="ET595" s="35"/>
      <c r="EU595" s="35"/>
      <c r="EV595" s="35"/>
      <c r="EW595" s="35"/>
      <c r="EX595" s="35"/>
      <c r="EY595" s="35"/>
      <c r="EZ595" s="35"/>
      <c r="FA595" s="35"/>
      <c r="FB595" s="35"/>
      <c r="FC595" s="35"/>
      <c r="FD595" s="35"/>
      <c r="FE595" s="35"/>
      <c r="FF595" s="35"/>
      <c r="FG595" s="35"/>
      <c r="FH595" s="35"/>
      <c r="FI595" s="35"/>
      <c r="FJ595" s="35"/>
      <c r="FK595" s="35"/>
      <c r="FL595" s="35"/>
      <c r="FM595" s="35"/>
      <c r="FN595" s="35"/>
      <c r="FO595" s="35"/>
      <c r="FP595" s="35"/>
      <c r="FQ595" s="35"/>
      <c r="FR595" s="35"/>
      <c r="FS595" s="35"/>
      <c r="FT595" s="35"/>
      <c r="FU595" s="35"/>
      <c r="FV595" s="35"/>
      <c r="FW595" s="35"/>
      <c r="FX595" s="35"/>
      <c r="FY595" s="35"/>
      <c r="FZ595" s="35"/>
      <c r="GA595" s="35"/>
      <c r="GB595" s="35"/>
      <c r="GC595" s="35"/>
      <c r="GD595" s="35"/>
      <c r="GE595" s="35"/>
      <c r="GF595" s="35"/>
      <c r="GG595" s="35"/>
      <c r="GH595" s="35"/>
      <c r="GI595" s="35"/>
      <c r="GJ595" s="35"/>
      <c r="GK595" s="35"/>
      <c r="GL595" s="35"/>
      <c r="GM595" s="35"/>
      <c r="GN595" s="35"/>
      <c r="GO595" s="35"/>
      <c r="GP595" s="35"/>
      <c r="GQ595" s="35"/>
      <c r="GR595" s="35"/>
      <c r="GS595" s="35"/>
      <c r="GT595" s="35"/>
      <c r="GU595" s="35"/>
      <c r="GV595" s="35"/>
      <c r="GW595" s="35"/>
      <c r="GX595" s="35"/>
      <c r="GY595" s="35"/>
      <c r="GZ595" s="35"/>
      <c r="HA595" s="35"/>
      <c r="HB595" s="35"/>
      <c r="HC595" s="35"/>
      <c r="HD595" s="35"/>
      <c r="HE595" s="35"/>
      <c r="HF595" s="35"/>
      <c r="HG595" s="35"/>
      <c r="HH595" s="35"/>
      <c r="HI595" s="35"/>
      <c r="HJ595" s="35"/>
      <c r="HK595" s="35"/>
      <c r="HL595" s="35"/>
      <c r="HM595" s="35"/>
      <c r="HN595" s="35"/>
      <c r="HO595" s="35"/>
      <c r="HP595" s="35"/>
      <c r="HQ595" s="35"/>
      <c r="HR595" s="35"/>
      <c r="HS595" s="35"/>
      <c r="HT595" s="35"/>
      <c r="HU595" s="35"/>
      <c r="HV595" s="35"/>
      <c r="HW595" s="35"/>
      <c r="HX595" s="35"/>
      <c r="HY595" s="35"/>
      <c r="HZ595" s="35"/>
      <c r="IA595" s="35"/>
      <c r="IB595" s="35"/>
      <c r="IC595" s="35"/>
      <c r="ID595" s="35"/>
      <c r="IE595" s="35"/>
      <c r="IF595" s="35"/>
      <c r="IG595" s="35"/>
      <c r="IH595" s="35"/>
      <c r="II595" s="35"/>
      <c r="IJ595" s="35"/>
      <c r="IK595" s="35"/>
      <c r="IL595" s="35"/>
      <c r="IM595" s="35"/>
      <c r="IN595" s="35"/>
      <c r="IO595" s="35"/>
      <c r="IP595" s="35"/>
      <c r="IQ595" s="35"/>
      <c r="IR595" s="35"/>
      <c r="IS595" s="35"/>
      <c r="IT595" s="35"/>
      <c r="IU595" s="35"/>
      <c r="IV595" s="35"/>
      <c r="IW595" s="35"/>
      <c r="IX595" s="35"/>
      <c r="IY595" s="35"/>
      <c r="IZ595" s="35"/>
      <c r="JA595" s="35"/>
      <c r="JB595" s="35"/>
      <c r="JC595" s="35"/>
      <c r="JD595" s="35"/>
      <c r="JE595" s="35"/>
    </row>
    <row r="596">
      <c r="A596" s="42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  <c r="AZ596" s="35"/>
      <c r="BA596" s="35"/>
      <c r="BB596" s="35"/>
      <c r="BC596" s="35"/>
      <c r="BD596" s="35"/>
      <c r="BE596" s="35"/>
      <c r="BF596" s="35"/>
      <c r="BG596" s="35"/>
      <c r="BH596" s="35"/>
      <c r="BI596" s="35"/>
      <c r="BJ596" s="35"/>
      <c r="BK596" s="35"/>
      <c r="BL596" s="35"/>
      <c r="BM596" s="35"/>
      <c r="BN596" s="35"/>
      <c r="BO596" s="35"/>
      <c r="BP596" s="35"/>
      <c r="BQ596" s="35"/>
      <c r="BR596" s="35"/>
      <c r="BS596" s="35"/>
      <c r="BT596" s="35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35"/>
      <c r="CO596" s="35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35"/>
      <c r="DJ596" s="35"/>
      <c r="DK596" s="35"/>
      <c r="DL596" s="35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35"/>
      <c r="EE596" s="35"/>
      <c r="EF596" s="35"/>
      <c r="EG596" s="35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  <c r="ER596" s="35"/>
      <c r="ES596" s="35"/>
      <c r="ET596" s="35"/>
      <c r="EU596" s="35"/>
      <c r="EV596" s="35"/>
      <c r="EW596" s="35"/>
      <c r="EX596" s="35"/>
      <c r="EY596" s="35"/>
      <c r="EZ596" s="35"/>
      <c r="FA596" s="35"/>
      <c r="FB596" s="35"/>
      <c r="FC596" s="35"/>
      <c r="FD596" s="35"/>
      <c r="FE596" s="35"/>
      <c r="FF596" s="35"/>
      <c r="FG596" s="35"/>
      <c r="FH596" s="35"/>
      <c r="FI596" s="35"/>
      <c r="FJ596" s="35"/>
      <c r="FK596" s="35"/>
      <c r="FL596" s="35"/>
      <c r="FM596" s="35"/>
      <c r="FN596" s="35"/>
      <c r="FO596" s="35"/>
      <c r="FP596" s="35"/>
      <c r="FQ596" s="35"/>
      <c r="FR596" s="35"/>
      <c r="FS596" s="35"/>
      <c r="FT596" s="35"/>
      <c r="FU596" s="35"/>
      <c r="FV596" s="35"/>
      <c r="FW596" s="35"/>
      <c r="FX596" s="35"/>
      <c r="FY596" s="35"/>
      <c r="FZ596" s="35"/>
      <c r="GA596" s="35"/>
      <c r="GB596" s="35"/>
      <c r="GC596" s="35"/>
      <c r="GD596" s="35"/>
      <c r="GE596" s="35"/>
      <c r="GF596" s="35"/>
      <c r="GG596" s="35"/>
      <c r="GH596" s="35"/>
      <c r="GI596" s="35"/>
      <c r="GJ596" s="35"/>
      <c r="GK596" s="35"/>
      <c r="GL596" s="35"/>
      <c r="GM596" s="35"/>
      <c r="GN596" s="35"/>
      <c r="GO596" s="35"/>
      <c r="GP596" s="35"/>
      <c r="GQ596" s="35"/>
      <c r="GR596" s="35"/>
      <c r="GS596" s="35"/>
      <c r="GT596" s="35"/>
      <c r="GU596" s="35"/>
      <c r="GV596" s="35"/>
      <c r="GW596" s="35"/>
      <c r="GX596" s="35"/>
      <c r="GY596" s="35"/>
      <c r="GZ596" s="35"/>
      <c r="HA596" s="35"/>
      <c r="HB596" s="35"/>
      <c r="HC596" s="35"/>
      <c r="HD596" s="35"/>
      <c r="HE596" s="35"/>
      <c r="HF596" s="35"/>
      <c r="HG596" s="35"/>
      <c r="HH596" s="35"/>
      <c r="HI596" s="35"/>
      <c r="HJ596" s="35"/>
      <c r="HK596" s="35"/>
      <c r="HL596" s="35"/>
      <c r="HM596" s="35"/>
      <c r="HN596" s="35"/>
      <c r="HO596" s="35"/>
      <c r="HP596" s="35"/>
      <c r="HQ596" s="35"/>
      <c r="HR596" s="35"/>
      <c r="HS596" s="35"/>
      <c r="HT596" s="35"/>
      <c r="HU596" s="35"/>
      <c r="HV596" s="35"/>
      <c r="HW596" s="35"/>
      <c r="HX596" s="35"/>
      <c r="HY596" s="35"/>
      <c r="HZ596" s="35"/>
      <c r="IA596" s="35"/>
      <c r="IB596" s="35"/>
      <c r="IC596" s="35"/>
      <c r="ID596" s="35"/>
      <c r="IE596" s="35"/>
      <c r="IF596" s="35"/>
      <c r="IG596" s="35"/>
      <c r="IH596" s="35"/>
      <c r="II596" s="35"/>
      <c r="IJ596" s="35"/>
      <c r="IK596" s="35"/>
      <c r="IL596" s="35"/>
      <c r="IM596" s="35"/>
      <c r="IN596" s="35"/>
      <c r="IO596" s="35"/>
      <c r="IP596" s="35"/>
      <c r="IQ596" s="35"/>
      <c r="IR596" s="35"/>
      <c r="IS596" s="35"/>
      <c r="IT596" s="35"/>
      <c r="IU596" s="35"/>
      <c r="IV596" s="35"/>
      <c r="IW596" s="35"/>
      <c r="IX596" s="35"/>
      <c r="IY596" s="35"/>
      <c r="IZ596" s="35"/>
      <c r="JA596" s="35"/>
      <c r="JB596" s="35"/>
      <c r="JC596" s="35"/>
      <c r="JD596" s="35"/>
      <c r="JE596" s="35"/>
    </row>
    <row r="597">
      <c r="A597" s="42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  <c r="AZ597" s="35"/>
      <c r="BA597" s="35"/>
      <c r="BB597" s="35"/>
      <c r="BC597" s="35"/>
      <c r="BD597" s="35"/>
      <c r="BE597" s="35"/>
      <c r="BF597" s="35"/>
      <c r="BG597" s="35"/>
      <c r="BH597" s="35"/>
      <c r="BI597" s="35"/>
      <c r="BJ597" s="35"/>
      <c r="BK597" s="35"/>
      <c r="BL597" s="35"/>
      <c r="BM597" s="35"/>
      <c r="BN597" s="35"/>
      <c r="BO597" s="35"/>
      <c r="BP597" s="35"/>
      <c r="BQ597" s="35"/>
      <c r="BR597" s="35"/>
      <c r="BS597" s="35"/>
      <c r="BT597" s="35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35"/>
      <c r="CO597" s="35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35"/>
      <c r="DJ597" s="35"/>
      <c r="DK597" s="35"/>
      <c r="DL597" s="35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35"/>
      <c r="EE597" s="35"/>
      <c r="EF597" s="35"/>
      <c r="EG597" s="35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  <c r="ER597" s="35"/>
      <c r="ES597" s="35"/>
      <c r="ET597" s="35"/>
      <c r="EU597" s="35"/>
      <c r="EV597" s="35"/>
      <c r="EW597" s="35"/>
      <c r="EX597" s="35"/>
      <c r="EY597" s="35"/>
      <c r="EZ597" s="35"/>
      <c r="FA597" s="35"/>
      <c r="FB597" s="35"/>
      <c r="FC597" s="35"/>
      <c r="FD597" s="35"/>
      <c r="FE597" s="35"/>
      <c r="FF597" s="35"/>
      <c r="FG597" s="35"/>
      <c r="FH597" s="35"/>
      <c r="FI597" s="35"/>
      <c r="FJ597" s="35"/>
      <c r="FK597" s="35"/>
      <c r="FL597" s="35"/>
      <c r="FM597" s="35"/>
      <c r="FN597" s="35"/>
      <c r="FO597" s="35"/>
      <c r="FP597" s="35"/>
      <c r="FQ597" s="35"/>
      <c r="FR597" s="35"/>
      <c r="FS597" s="35"/>
      <c r="FT597" s="35"/>
      <c r="FU597" s="35"/>
      <c r="FV597" s="35"/>
      <c r="FW597" s="35"/>
      <c r="FX597" s="35"/>
      <c r="FY597" s="35"/>
      <c r="FZ597" s="35"/>
      <c r="GA597" s="35"/>
      <c r="GB597" s="35"/>
      <c r="GC597" s="35"/>
      <c r="GD597" s="35"/>
      <c r="GE597" s="35"/>
      <c r="GF597" s="35"/>
      <c r="GG597" s="35"/>
      <c r="GH597" s="35"/>
      <c r="GI597" s="35"/>
      <c r="GJ597" s="35"/>
      <c r="GK597" s="35"/>
      <c r="GL597" s="35"/>
      <c r="GM597" s="35"/>
      <c r="GN597" s="35"/>
      <c r="GO597" s="35"/>
      <c r="GP597" s="35"/>
      <c r="GQ597" s="35"/>
      <c r="GR597" s="35"/>
      <c r="GS597" s="35"/>
      <c r="GT597" s="35"/>
      <c r="GU597" s="35"/>
      <c r="GV597" s="35"/>
      <c r="GW597" s="35"/>
      <c r="GX597" s="35"/>
      <c r="GY597" s="35"/>
      <c r="GZ597" s="35"/>
      <c r="HA597" s="35"/>
      <c r="HB597" s="35"/>
      <c r="HC597" s="35"/>
      <c r="HD597" s="35"/>
      <c r="HE597" s="35"/>
      <c r="HF597" s="35"/>
      <c r="HG597" s="35"/>
      <c r="HH597" s="35"/>
      <c r="HI597" s="35"/>
      <c r="HJ597" s="35"/>
      <c r="HK597" s="35"/>
      <c r="HL597" s="35"/>
      <c r="HM597" s="35"/>
      <c r="HN597" s="35"/>
      <c r="HO597" s="35"/>
      <c r="HP597" s="35"/>
      <c r="HQ597" s="35"/>
      <c r="HR597" s="35"/>
      <c r="HS597" s="35"/>
      <c r="HT597" s="35"/>
      <c r="HU597" s="35"/>
      <c r="HV597" s="35"/>
      <c r="HW597" s="35"/>
      <c r="HX597" s="35"/>
      <c r="HY597" s="35"/>
      <c r="HZ597" s="35"/>
      <c r="IA597" s="35"/>
      <c r="IB597" s="35"/>
      <c r="IC597" s="35"/>
      <c r="ID597" s="35"/>
      <c r="IE597" s="35"/>
      <c r="IF597" s="35"/>
      <c r="IG597" s="35"/>
      <c r="IH597" s="35"/>
      <c r="II597" s="35"/>
      <c r="IJ597" s="35"/>
      <c r="IK597" s="35"/>
      <c r="IL597" s="35"/>
      <c r="IM597" s="35"/>
      <c r="IN597" s="35"/>
      <c r="IO597" s="35"/>
      <c r="IP597" s="35"/>
      <c r="IQ597" s="35"/>
      <c r="IR597" s="35"/>
      <c r="IS597" s="35"/>
      <c r="IT597" s="35"/>
      <c r="IU597" s="35"/>
      <c r="IV597" s="35"/>
      <c r="IW597" s="35"/>
      <c r="IX597" s="35"/>
      <c r="IY597" s="35"/>
      <c r="IZ597" s="35"/>
      <c r="JA597" s="35"/>
      <c r="JB597" s="35"/>
      <c r="JC597" s="35"/>
      <c r="JD597" s="35"/>
      <c r="JE597" s="35"/>
    </row>
    <row r="598">
      <c r="A598" s="42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  <c r="AZ598" s="35"/>
      <c r="BA598" s="35"/>
      <c r="BB598" s="35"/>
      <c r="BC598" s="35"/>
      <c r="BD598" s="35"/>
      <c r="BE598" s="35"/>
      <c r="BF598" s="35"/>
      <c r="BG598" s="35"/>
      <c r="BH598" s="35"/>
      <c r="BI598" s="35"/>
      <c r="BJ598" s="35"/>
      <c r="BK598" s="35"/>
      <c r="BL598" s="35"/>
      <c r="BM598" s="35"/>
      <c r="BN598" s="35"/>
      <c r="BO598" s="35"/>
      <c r="BP598" s="35"/>
      <c r="BQ598" s="35"/>
      <c r="BR598" s="35"/>
      <c r="BS598" s="35"/>
      <c r="BT598" s="35"/>
      <c r="BU598" s="35"/>
      <c r="BV598" s="35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35"/>
      <c r="CO598" s="35"/>
      <c r="CP598" s="35"/>
      <c r="CQ598" s="35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35"/>
      <c r="DJ598" s="35"/>
      <c r="DK598" s="35"/>
      <c r="DL598" s="35"/>
      <c r="DM598" s="35"/>
      <c r="DN598" s="35"/>
      <c r="DO598" s="35"/>
      <c r="DP598" s="35"/>
      <c r="DQ598" s="35"/>
      <c r="DR598" s="35"/>
      <c r="DS598" s="35"/>
      <c r="DT598" s="35"/>
      <c r="DU598" s="35"/>
      <c r="DV598" s="35"/>
      <c r="DW598" s="35"/>
      <c r="DX598" s="35"/>
      <c r="DY598" s="35"/>
      <c r="DZ598" s="35"/>
      <c r="EA598" s="35"/>
      <c r="EB598" s="35"/>
      <c r="EC598" s="35"/>
      <c r="ED598" s="35"/>
      <c r="EE598" s="35"/>
      <c r="EF598" s="35"/>
      <c r="EG598" s="35"/>
      <c r="EH598" s="35"/>
      <c r="EI598" s="35"/>
      <c r="EJ598" s="35"/>
      <c r="EK598" s="35"/>
      <c r="EL598" s="35"/>
      <c r="EM598" s="35"/>
      <c r="EN598" s="35"/>
      <c r="EO598" s="35"/>
      <c r="EP598" s="35"/>
      <c r="EQ598" s="35"/>
      <c r="ER598" s="35"/>
      <c r="ES598" s="35"/>
      <c r="ET598" s="35"/>
      <c r="EU598" s="35"/>
      <c r="EV598" s="35"/>
      <c r="EW598" s="35"/>
      <c r="EX598" s="35"/>
      <c r="EY598" s="35"/>
      <c r="EZ598" s="35"/>
      <c r="FA598" s="35"/>
      <c r="FB598" s="35"/>
      <c r="FC598" s="35"/>
      <c r="FD598" s="35"/>
      <c r="FE598" s="35"/>
      <c r="FF598" s="35"/>
      <c r="FG598" s="35"/>
      <c r="FH598" s="35"/>
      <c r="FI598" s="35"/>
      <c r="FJ598" s="35"/>
      <c r="FK598" s="35"/>
      <c r="FL598" s="35"/>
      <c r="FM598" s="35"/>
      <c r="FN598" s="35"/>
      <c r="FO598" s="35"/>
      <c r="FP598" s="35"/>
      <c r="FQ598" s="35"/>
      <c r="FR598" s="35"/>
      <c r="FS598" s="35"/>
      <c r="FT598" s="35"/>
      <c r="FU598" s="35"/>
      <c r="FV598" s="35"/>
      <c r="FW598" s="35"/>
      <c r="FX598" s="35"/>
      <c r="FY598" s="35"/>
      <c r="FZ598" s="35"/>
      <c r="GA598" s="35"/>
      <c r="GB598" s="35"/>
      <c r="GC598" s="35"/>
      <c r="GD598" s="35"/>
      <c r="GE598" s="35"/>
      <c r="GF598" s="35"/>
      <c r="GG598" s="35"/>
      <c r="GH598" s="35"/>
      <c r="GI598" s="35"/>
      <c r="GJ598" s="35"/>
      <c r="GK598" s="35"/>
      <c r="GL598" s="35"/>
      <c r="GM598" s="35"/>
      <c r="GN598" s="35"/>
      <c r="GO598" s="35"/>
      <c r="GP598" s="35"/>
      <c r="GQ598" s="35"/>
      <c r="GR598" s="35"/>
      <c r="GS598" s="35"/>
      <c r="GT598" s="35"/>
      <c r="GU598" s="35"/>
      <c r="GV598" s="35"/>
      <c r="GW598" s="35"/>
      <c r="GX598" s="35"/>
      <c r="GY598" s="35"/>
      <c r="GZ598" s="35"/>
      <c r="HA598" s="35"/>
      <c r="HB598" s="35"/>
      <c r="HC598" s="35"/>
      <c r="HD598" s="35"/>
      <c r="HE598" s="35"/>
      <c r="HF598" s="35"/>
      <c r="HG598" s="35"/>
      <c r="HH598" s="35"/>
      <c r="HI598" s="35"/>
      <c r="HJ598" s="35"/>
      <c r="HK598" s="35"/>
      <c r="HL598" s="35"/>
      <c r="HM598" s="35"/>
      <c r="HN598" s="35"/>
      <c r="HO598" s="35"/>
      <c r="HP598" s="35"/>
      <c r="HQ598" s="35"/>
      <c r="HR598" s="35"/>
      <c r="HS598" s="35"/>
      <c r="HT598" s="35"/>
      <c r="HU598" s="35"/>
      <c r="HV598" s="35"/>
      <c r="HW598" s="35"/>
      <c r="HX598" s="35"/>
      <c r="HY598" s="35"/>
      <c r="HZ598" s="35"/>
      <c r="IA598" s="35"/>
      <c r="IB598" s="35"/>
      <c r="IC598" s="35"/>
      <c r="ID598" s="35"/>
      <c r="IE598" s="35"/>
      <c r="IF598" s="35"/>
      <c r="IG598" s="35"/>
      <c r="IH598" s="35"/>
      <c r="II598" s="35"/>
      <c r="IJ598" s="35"/>
      <c r="IK598" s="35"/>
      <c r="IL598" s="35"/>
      <c r="IM598" s="35"/>
      <c r="IN598" s="35"/>
      <c r="IO598" s="35"/>
      <c r="IP598" s="35"/>
      <c r="IQ598" s="35"/>
      <c r="IR598" s="35"/>
      <c r="IS598" s="35"/>
      <c r="IT598" s="35"/>
      <c r="IU598" s="35"/>
      <c r="IV598" s="35"/>
      <c r="IW598" s="35"/>
      <c r="IX598" s="35"/>
      <c r="IY598" s="35"/>
      <c r="IZ598" s="35"/>
      <c r="JA598" s="35"/>
      <c r="JB598" s="35"/>
      <c r="JC598" s="35"/>
      <c r="JD598" s="35"/>
      <c r="JE598" s="35"/>
    </row>
    <row r="599">
      <c r="A599" s="42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  <c r="AZ599" s="35"/>
      <c r="BA599" s="35"/>
      <c r="BB599" s="35"/>
      <c r="BC599" s="35"/>
      <c r="BD599" s="35"/>
      <c r="BE599" s="35"/>
      <c r="BF599" s="35"/>
      <c r="BG599" s="35"/>
      <c r="BH599" s="35"/>
      <c r="BI599" s="35"/>
      <c r="BJ599" s="35"/>
      <c r="BK599" s="35"/>
      <c r="BL599" s="35"/>
      <c r="BM599" s="35"/>
      <c r="BN599" s="35"/>
      <c r="BO599" s="35"/>
      <c r="BP599" s="35"/>
      <c r="BQ599" s="35"/>
      <c r="BR599" s="35"/>
      <c r="BS599" s="35"/>
      <c r="BT599" s="35"/>
      <c r="BU599" s="35"/>
      <c r="BV599" s="35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35"/>
      <c r="CO599" s="35"/>
      <c r="CP599" s="35"/>
      <c r="CQ599" s="35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35"/>
      <c r="DJ599" s="35"/>
      <c r="DK599" s="35"/>
      <c r="DL599" s="35"/>
      <c r="DM599" s="35"/>
      <c r="DN599" s="35"/>
      <c r="DO599" s="35"/>
      <c r="DP599" s="35"/>
      <c r="DQ599" s="35"/>
      <c r="DR599" s="35"/>
      <c r="DS599" s="35"/>
      <c r="DT599" s="35"/>
      <c r="DU599" s="35"/>
      <c r="DV599" s="35"/>
      <c r="DW599" s="35"/>
      <c r="DX599" s="35"/>
      <c r="DY599" s="35"/>
      <c r="DZ599" s="35"/>
      <c r="EA599" s="35"/>
      <c r="EB599" s="35"/>
      <c r="EC599" s="35"/>
      <c r="ED599" s="35"/>
      <c r="EE599" s="35"/>
      <c r="EF599" s="35"/>
      <c r="EG599" s="35"/>
      <c r="EH599" s="35"/>
      <c r="EI599" s="35"/>
      <c r="EJ599" s="35"/>
      <c r="EK599" s="35"/>
      <c r="EL599" s="35"/>
      <c r="EM599" s="35"/>
      <c r="EN599" s="35"/>
      <c r="EO599" s="35"/>
      <c r="EP599" s="35"/>
      <c r="EQ599" s="35"/>
      <c r="ER599" s="35"/>
      <c r="ES599" s="35"/>
      <c r="ET599" s="35"/>
      <c r="EU599" s="35"/>
      <c r="EV599" s="35"/>
      <c r="EW599" s="35"/>
      <c r="EX599" s="35"/>
      <c r="EY599" s="35"/>
      <c r="EZ599" s="35"/>
      <c r="FA599" s="35"/>
      <c r="FB599" s="35"/>
      <c r="FC599" s="35"/>
      <c r="FD599" s="35"/>
      <c r="FE599" s="35"/>
      <c r="FF599" s="35"/>
      <c r="FG599" s="35"/>
      <c r="FH599" s="35"/>
      <c r="FI599" s="35"/>
      <c r="FJ599" s="35"/>
      <c r="FK599" s="35"/>
      <c r="FL599" s="35"/>
      <c r="FM599" s="35"/>
      <c r="FN599" s="35"/>
      <c r="FO599" s="35"/>
      <c r="FP599" s="35"/>
      <c r="FQ599" s="35"/>
      <c r="FR599" s="35"/>
      <c r="FS599" s="35"/>
      <c r="FT599" s="35"/>
      <c r="FU599" s="35"/>
      <c r="FV599" s="35"/>
      <c r="FW599" s="35"/>
      <c r="FX599" s="35"/>
      <c r="FY599" s="35"/>
      <c r="FZ599" s="35"/>
      <c r="GA599" s="35"/>
      <c r="GB599" s="35"/>
      <c r="GC599" s="35"/>
      <c r="GD599" s="35"/>
      <c r="GE599" s="35"/>
      <c r="GF599" s="35"/>
      <c r="GG599" s="35"/>
      <c r="GH599" s="35"/>
      <c r="GI599" s="35"/>
      <c r="GJ599" s="35"/>
      <c r="GK599" s="35"/>
      <c r="GL599" s="35"/>
      <c r="GM599" s="35"/>
      <c r="GN599" s="35"/>
      <c r="GO599" s="35"/>
      <c r="GP599" s="35"/>
      <c r="GQ599" s="35"/>
      <c r="GR599" s="35"/>
      <c r="GS599" s="35"/>
      <c r="GT599" s="35"/>
      <c r="GU599" s="35"/>
      <c r="GV599" s="35"/>
      <c r="GW599" s="35"/>
      <c r="GX599" s="35"/>
      <c r="GY599" s="35"/>
      <c r="GZ599" s="35"/>
      <c r="HA599" s="35"/>
      <c r="HB599" s="35"/>
      <c r="HC599" s="35"/>
      <c r="HD599" s="35"/>
      <c r="HE599" s="35"/>
      <c r="HF599" s="35"/>
      <c r="HG599" s="35"/>
      <c r="HH599" s="35"/>
      <c r="HI599" s="35"/>
      <c r="HJ599" s="35"/>
      <c r="HK599" s="35"/>
      <c r="HL599" s="35"/>
      <c r="HM599" s="35"/>
      <c r="HN599" s="35"/>
      <c r="HO599" s="35"/>
      <c r="HP599" s="35"/>
      <c r="HQ599" s="35"/>
      <c r="HR599" s="35"/>
      <c r="HS599" s="35"/>
      <c r="HT599" s="35"/>
      <c r="HU599" s="35"/>
      <c r="HV599" s="35"/>
      <c r="HW599" s="35"/>
      <c r="HX599" s="35"/>
      <c r="HY599" s="35"/>
      <c r="HZ599" s="35"/>
      <c r="IA599" s="35"/>
      <c r="IB599" s="35"/>
      <c r="IC599" s="35"/>
      <c r="ID599" s="35"/>
      <c r="IE599" s="35"/>
      <c r="IF599" s="35"/>
      <c r="IG599" s="35"/>
      <c r="IH599" s="35"/>
      <c r="II599" s="35"/>
      <c r="IJ599" s="35"/>
      <c r="IK599" s="35"/>
      <c r="IL599" s="35"/>
      <c r="IM599" s="35"/>
      <c r="IN599" s="35"/>
      <c r="IO599" s="35"/>
      <c r="IP599" s="35"/>
      <c r="IQ599" s="35"/>
      <c r="IR599" s="35"/>
      <c r="IS599" s="35"/>
      <c r="IT599" s="35"/>
      <c r="IU599" s="35"/>
      <c r="IV599" s="35"/>
      <c r="IW599" s="35"/>
      <c r="IX599" s="35"/>
      <c r="IY599" s="35"/>
      <c r="IZ599" s="35"/>
      <c r="JA599" s="35"/>
      <c r="JB599" s="35"/>
      <c r="JC599" s="35"/>
      <c r="JD599" s="35"/>
      <c r="JE599" s="35"/>
    </row>
    <row r="600">
      <c r="A600" s="42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  <c r="AZ600" s="35"/>
      <c r="BA600" s="35"/>
      <c r="BB600" s="35"/>
      <c r="BC600" s="35"/>
      <c r="BD600" s="35"/>
      <c r="BE600" s="35"/>
      <c r="BF600" s="35"/>
      <c r="BG600" s="35"/>
      <c r="BH600" s="35"/>
      <c r="BI600" s="35"/>
      <c r="BJ600" s="35"/>
      <c r="BK600" s="35"/>
      <c r="BL600" s="35"/>
      <c r="BM600" s="35"/>
      <c r="BN600" s="35"/>
      <c r="BO600" s="35"/>
      <c r="BP600" s="35"/>
      <c r="BQ600" s="35"/>
      <c r="BR600" s="35"/>
      <c r="BS600" s="35"/>
      <c r="BT600" s="35"/>
      <c r="BU600" s="35"/>
      <c r="BV600" s="35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35"/>
      <c r="CO600" s="35"/>
      <c r="CP600" s="35"/>
      <c r="CQ600" s="35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35"/>
      <c r="DJ600" s="35"/>
      <c r="DK600" s="35"/>
      <c r="DL600" s="35"/>
      <c r="DM600" s="35"/>
      <c r="DN600" s="35"/>
      <c r="DO600" s="35"/>
      <c r="DP600" s="35"/>
      <c r="DQ600" s="35"/>
      <c r="DR600" s="35"/>
      <c r="DS600" s="35"/>
      <c r="DT600" s="35"/>
      <c r="DU600" s="35"/>
      <c r="DV600" s="35"/>
      <c r="DW600" s="35"/>
      <c r="DX600" s="35"/>
      <c r="DY600" s="35"/>
      <c r="DZ600" s="35"/>
      <c r="EA600" s="35"/>
      <c r="EB600" s="35"/>
      <c r="EC600" s="35"/>
      <c r="ED600" s="35"/>
      <c r="EE600" s="35"/>
      <c r="EF600" s="35"/>
      <c r="EG600" s="35"/>
      <c r="EH600" s="35"/>
      <c r="EI600" s="35"/>
      <c r="EJ600" s="35"/>
      <c r="EK600" s="35"/>
      <c r="EL600" s="35"/>
      <c r="EM600" s="35"/>
      <c r="EN600" s="35"/>
      <c r="EO600" s="35"/>
      <c r="EP600" s="35"/>
      <c r="EQ600" s="35"/>
      <c r="ER600" s="35"/>
      <c r="ES600" s="35"/>
      <c r="ET600" s="35"/>
      <c r="EU600" s="35"/>
      <c r="EV600" s="35"/>
      <c r="EW600" s="35"/>
      <c r="EX600" s="35"/>
      <c r="EY600" s="35"/>
      <c r="EZ600" s="35"/>
      <c r="FA600" s="35"/>
      <c r="FB600" s="35"/>
      <c r="FC600" s="35"/>
      <c r="FD600" s="35"/>
      <c r="FE600" s="35"/>
      <c r="FF600" s="35"/>
      <c r="FG600" s="35"/>
      <c r="FH600" s="35"/>
      <c r="FI600" s="35"/>
      <c r="FJ600" s="35"/>
      <c r="FK600" s="35"/>
      <c r="FL600" s="35"/>
      <c r="FM600" s="35"/>
      <c r="FN600" s="35"/>
      <c r="FO600" s="35"/>
      <c r="FP600" s="35"/>
      <c r="FQ600" s="35"/>
      <c r="FR600" s="35"/>
      <c r="FS600" s="35"/>
      <c r="FT600" s="35"/>
      <c r="FU600" s="35"/>
      <c r="FV600" s="35"/>
      <c r="FW600" s="35"/>
      <c r="FX600" s="35"/>
      <c r="FY600" s="35"/>
      <c r="FZ600" s="35"/>
      <c r="GA600" s="35"/>
      <c r="GB600" s="35"/>
      <c r="GC600" s="35"/>
      <c r="GD600" s="35"/>
      <c r="GE600" s="35"/>
      <c r="GF600" s="35"/>
      <c r="GG600" s="35"/>
      <c r="GH600" s="35"/>
      <c r="GI600" s="35"/>
      <c r="GJ600" s="35"/>
      <c r="GK600" s="35"/>
      <c r="GL600" s="35"/>
      <c r="GM600" s="35"/>
      <c r="GN600" s="35"/>
      <c r="GO600" s="35"/>
      <c r="GP600" s="35"/>
      <c r="GQ600" s="35"/>
      <c r="GR600" s="35"/>
      <c r="GS600" s="35"/>
      <c r="GT600" s="35"/>
      <c r="GU600" s="35"/>
      <c r="GV600" s="35"/>
      <c r="GW600" s="35"/>
      <c r="GX600" s="35"/>
      <c r="GY600" s="35"/>
      <c r="GZ600" s="35"/>
      <c r="HA600" s="35"/>
      <c r="HB600" s="35"/>
      <c r="HC600" s="35"/>
      <c r="HD600" s="35"/>
      <c r="HE600" s="35"/>
      <c r="HF600" s="35"/>
      <c r="HG600" s="35"/>
      <c r="HH600" s="35"/>
      <c r="HI600" s="35"/>
      <c r="HJ600" s="35"/>
      <c r="HK600" s="35"/>
      <c r="HL600" s="35"/>
      <c r="HM600" s="35"/>
      <c r="HN600" s="35"/>
      <c r="HO600" s="35"/>
      <c r="HP600" s="35"/>
      <c r="HQ600" s="35"/>
      <c r="HR600" s="35"/>
      <c r="HS600" s="35"/>
      <c r="HT600" s="35"/>
      <c r="HU600" s="35"/>
      <c r="HV600" s="35"/>
      <c r="HW600" s="35"/>
      <c r="HX600" s="35"/>
      <c r="HY600" s="35"/>
      <c r="HZ600" s="35"/>
      <c r="IA600" s="35"/>
      <c r="IB600" s="35"/>
      <c r="IC600" s="35"/>
      <c r="ID600" s="35"/>
      <c r="IE600" s="35"/>
      <c r="IF600" s="35"/>
      <c r="IG600" s="35"/>
      <c r="IH600" s="35"/>
      <c r="II600" s="35"/>
      <c r="IJ600" s="35"/>
      <c r="IK600" s="35"/>
      <c r="IL600" s="35"/>
      <c r="IM600" s="35"/>
      <c r="IN600" s="35"/>
      <c r="IO600" s="35"/>
      <c r="IP600" s="35"/>
      <c r="IQ600" s="35"/>
      <c r="IR600" s="35"/>
      <c r="IS600" s="35"/>
      <c r="IT600" s="35"/>
      <c r="IU600" s="35"/>
      <c r="IV600" s="35"/>
      <c r="IW600" s="35"/>
      <c r="IX600" s="35"/>
      <c r="IY600" s="35"/>
      <c r="IZ600" s="35"/>
      <c r="JA600" s="35"/>
      <c r="JB600" s="35"/>
      <c r="JC600" s="35"/>
      <c r="JD600" s="35"/>
      <c r="JE600" s="35"/>
    </row>
    <row r="601">
      <c r="A601" s="42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  <c r="AZ601" s="35"/>
      <c r="BA601" s="35"/>
      <c r="BB601" s="35"/>
      <c r="BC601" s="35"/>
      <c r="BD601" s="35"/>
      <c r="BE601" s="35"/>
      <c r="BF601" s="35"/>
      <c r="BG601" s="35"/>
      <c r="BH601" s="35"/>
      <c r="BI601" s="35"/>
      <c r="BJ601" s="35"/>
      <c r="BK601" s="35"/>
      <c r="BL601" s="35"/>
      <c r="BM601" s="35"/>
      <c r="BN601" s="35"/>
      <c r="BO601" s="35"/>
      <c r="BP601" s="35"/>
      <c r="BQ601" s="35"/>
      <c r="BR601" s="35"/>
      <c r="BS601" s="35"/>
      <c r="BT601" s="35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35"/>
      <c r="CO601" s="35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35"/>
      <c r="DJ601" s="35"/>
      <c r="DK601" s="35"/>
      <c r="DL601" s="35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35"/>
      <c r="EE601" s="35"/>
      <c r="EF601" s="35"/>
      <c r="EG601" s="35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  <c r="ER601" s="35"/>
      <c r="ES601" s="35"/>
      <c r="ET601" s="35"/>
      <c r="EU601" s="35"/>
      <c r="EV601" s="35"/>
      <c r="EW601" s="35"/>
      <c r="EX601" s="35"/>
      <c r="EY601" s="35"/>
      <c r="EZ601" s="35"/>
      <c r="FA601" s="35"/>
      <c r="FB601" s="35"/>
      <c r="FC601" s="35"/>
      <c r="FD601" s="35"/>
      <c r="FE601" s="35"/>
      <c r="FF601" s="35"/>
      <c r="FG601" s="35"/>
      <c r="FH601" s="35"/>
      <c r="FI601" s="35"/>
      <c r="FJ601" s="35"/>
      <c r="FK601" s="35"/>
      <c r="FL601" s="35"/>
      <c r="FM601" s="35"/>
      <c r="FN601" s="35"/>
      <c r="FO601" s="35"/>
      <c r="FP601" s="35"/>
      <c r="FQ601" s="35"/>
      <c r="FR601" s="35"/>
      <c r="FS601" s="35"/>
      <c r="FT601" s="35"/>
      <c r="FU601" s="35"/>
      <c r="FV601" s="35"/>
      <c r="FW601" s="35"/>
      <c r="FX601" s="35"/>
      <c r="FY601" s="35"/>
      <c r="FZ601" s="35"/>
      <c r="GA601" s="35"/>
      <c r="GB601" s="35"/>
      <c r="GC601" s="35"/>
      <c r="GD601" s="35"/>
      <c r="GE601" s="35"/>
      <c r="GF601" s="35"/>
      <c r="GG601" s="35"/>
      <c r="GH601" s="35"/>
      <c r="GI601" s="35"/>
      <c r="GJ601" s="35"/>
      <c r="GK601" s="35"/>
      <c r="GL601" s="35"/>
      <c r="GM601" s="35"/>
      <c r="GN601" s="35"/>
      <c r="GO601" s="35"/>
      <c r="GP601" s="35"/>
      <c r="GQ601" s="35"/>
      <c r="GR601" s="35"/>
      <c r="GS601" s="35"/>
      <c r="GT601" s="35"/>
      <c r="GU601" s="35"/>
      <c r="GV601" s="35"/>
      <c r="GW601" s="35"/>
      <c r="GX601" s="35"/>
      <c r="GY601" s="35"/>
      <c r="GZ601" s="35"/>
      <c r="HA601" s="35"/>
      <c r="HB601" s="35"/>
      <c r="HC601" s="35"/>
      <c r="HD601" s="35"/>
      <c r="HE601" s="35"/>
      <c r="HF601" s="35"/>
      <c r="HG601" s="35"/>
      <c r="HH601" s="35"/>
      <c r="HI601" s="35"/>
      <c r="HJ601" s="35"/>
      <c r="HK601" s="35"/>
      <c r="HL601" s="35"/>
      <c r="HM601" s="35"/>
      <c r="HN601" s="35"/>
      <c r="HO601" s="35"/>
      <c r="HP601" s="35"/>
      <c r="HQ601" s="35"/>
      <c r="HR601" s="35"/>
      <c r="HS601" s="35"/>
      <c r="HT601" s="35"/>
      <c r="HU601" s="35"/>
      <c r="HV601" s="35"/>
      <c r="HW601" s="35"/>
      <c r="HX601" s="35"/>
      <c r="HY601" s="35"/>
      <c r="HZ601" s="35"/>
      <c r="IA601" s="35"/>
      <c r="IB601" s="35"/>
      <c r="IC601" s="35"/>
      <c r="ID601" s="35"/>
      <c r="IE601" s="35"/>
      <c r="IF601" s="35"/>
      <c r="IG601" s="35"/>
      <c r="IH601" s="35"/>
      <c r="II601" s="35"/>
      <c r="IJ601" s="35"/>
      <c r="IK601" s="35"/>
      <c r="IL601" s="35"/>
      <c r="IM601" s="35"/>
      <c r="IN601" s="35"/>
      <c r="IO601" s="35"/>
      <c r="IP601" s="35"/>
      <c r="IQ601" s="35"/>
      <c r="IR601" s="35"/>
      <c r="IS601" s="35"/>
      <c r="IT601" s="35"/>
      <c r="IU601" s="35"/>
      <c r="IV601" s="35"/>
      <c r="IW601" s="35"/>
      <c r="IX601" s="35"/>
      <c r="IY601" s="35"/>
      <c r="IZ601" s="35"/>
      <c r="JA601" s="35"/>
      <c r="JB601" s="35"/>
      <c r="JC601" s="35"/>
      <c r="JD601" s="35"/>
      <c r="JE601" s="35"/>
    </row>
    <row r="602">
      <c r="A602" s="42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  <c r="BA602" s="35"/>
      <c r="BB602" s="35"/>
      <c r="BC602" s="35"/>
      <c r="BD602" s="35"/>
      <c r="BE602" s="35"/>
      <c r="BF602" s="35"/>
      <c r="BG602" s="35"/>
      <c r="BH602" s="35"/>
      <c r="BI602" s="35"/>
      <c r="BJ602" s="35"/>
      <c r="BK602" s="35"/>
      <c r="BL602" s="35"/>
      <c r="BM602" s="35"/>
      <c r="BN602" s="35"/>
      <c r="BO602" s="35"/>
      <c r="BP602" s="35"/>
      <c r="BQ602" s="35"/>
      <c r="BR602" s="35"/>
      <c r="BS602" s="35"/>
      <c r="BT602" s="35"/>
      <c r="BU602" s="35"/>
      <c r="BV602" s="35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35"/>
      <c r="CO602" s="35"/>
      <c r="CP602" s="35"/>
      <c r="CQ602" s="35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35"/>
      <c r="DJ602" s="35"/>
      <c r="DK602" s="35"/>
      <c r="DL602" s="35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35"/>
      <c r="EE602" s="35"/>
      <c r="EF602" s="35"/>
      <c r="EG602" s="35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  <c r="ER602" s="35"/>
      <c r="ES602" s="35"/>
      <c r="ET602" s="35"/>
      <c r="EU602" s="35"/>
      <c r="EV602" s="35"/>
      <c r="EW602" s="35"/>
      <c r="EX602" s="35"/>
      <c r="EY602" s="35"/>
      <c r="EZ602" s="35"/>
      <c r="FA602" s="35"/>
      <c r="FB602" s="35"/>
      <c r="FC602" s="35"/>
      <c r="FD602" s="35"/>
      <c r="FE602" s="35"/>
      <c r="FF602" s="35"/>
      <c r="FG602" s="35"/>
      <c r="FH602" s="35"/>
      <c r="FI602" s="35"/>
      <c r="FJ602" s="35"/>
      <c r="FK602" s="35"/>
      <c r="FL602" s="35"/>
      <c r="FM602" s="35"/>
      <c r="FN602" s="35"/>
      <c r="FO602" s="35"/>
      <c r="FP602" s="35"/>
      <c r="FQ602" s="35"/>
      <c r="FR602" s="35"/>
      <c r="FS602" s="35"/>
      <c r="FT602" s="35"/>
      <c r="FU602" s="35"/>
      <c r="FV602" s="35"/>
      <c r="FW602" s="35"/>
      <c r="FX602" s="35"/>
      <c r="FY602" s="35"/>
      <c r="FZ602" s="35"/>
      <c r="GA602" s="35"/>
      <c r="GB602" s="35"/>
      <c r="GC602" s="35"/>
      <c r="GD602" s="35"/>
      <c r="GE602" s="35"/>
      <c r="GF602" s="35"/>
      <c r="GG602" s="35"/>
      <c r="GH602" s="35"/>
      <c r="GI602" s="35"/>
      <c r="GJ602" s="35"/>
      <c r="GK602" s="35"/>
      <c r="GL602" s="35"/>
      <c r="GM602" s="35"/>
      <c r="GN602" s="35"/>
      <c r="GO602" s="35"/>
      <c r="GP602" s="35"/>
      <c r="GQ602" s="35"/>
      <c r="GR602" s="35"/>
      <c r="GS602" s="35"/>
      <c r="GT602" s="35"/>
      <c r="GU602" s="35"/>
      <c r="GV602" s="35"/>
      <c r="GW602" s="35"/>
      <c r="GX602" s="35"/>
      <c r="GY602" s="35"/>
      <c r="GZ602" s="35"/>
      <c r="HA602" s="35"/>
      <c r="HB602" s="35"/>
      <c r="HC602" s="35"/>
      <c r="HD602" s="35"/>
      <c r="HE602" s="35"/>
      <c r="HF602" s="35"/>
      <c r="HG602" s="35"/>
      <c r="HH602" s="35"/>
      <c r="HI602" s="35"/>
      <c r="HJ602" s="35"/>
      <c r="HK602" s="35"/>
      <c r="HL602" s="35"/>
      <c r="HM602" s="35"/>
      <c r="HN602" s="35"/>
      <c r="HO602" s="35"/>
      <c r="HP602" s="35"/>
      <c r="HQ602" s="35"/>
      <c r="HR602" s="35"/>
      <c r="HS602" s="35"/>
      <c r="HT602" s="35"/>
      <c r="HU602" s="35"/>
      <c r="HV602" s="35"/>
      <c r="HW602" s="35"/>
      <c r="HX602" s="35"/>
      <c r="HY602" s="35"/>
      <c r="HZ602" s="35"/>
      <c r="IA602" s="35"/>
      <c r="IB602" s="35"/>
      <c r="IC602" s="35"/>
      <c r="ID602" s="35"/>
      <c r="IE602" s="35"/>
      <c r="IF602" s="35"/>
      <c r="IG602" s="35"/>
      <c r="IH602" s="35"/>
      <c r="II602" s="35"/>
      <c r="IJ602" s="35"/>
      <c r="IK602" s="35"/>
      <c r="IL602" s="35"/>
      <c r="IM602" s="35"/>
      <c r="IN602" s="35"/>
      <c r="IO602" s="35"/>
      <c r="IP602" s="35"/>
      <c r="IQ602" s="35"/>
      <c r="IR602" s="35"/>
      <c r="IS602" s="35"/>
      <c r="IT602" s="35"/>
      <c r="IU602" s="35"/>
      <c r="IV602" s="35"/>
      <c r="IW602" s="35"/>
      <c r="IX602" s="35"/>
      <c r="IY602" s="35"/>
      <c r="IZ602" s="35"/>
      <c r="JA602" s="35"/>
      <c r="JB602" s="35"/>
      <c r="JC602" s="35"/>
      <c r="JD602" s="35"/>
      <c r="JE602" s="35"/>
    </row>
    <row r="603">
      <c r="A603" s="42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  <c r="BA603" s="35"/>
      <c r="BB603" s="35"/>
      <c r="BC603" s="35"/>
      <c r="BD603" s="35"/>
      <c r="BE603" s="35"/>
      <c r="BF603" s="35"/>
      <c r="BG603" s="35"/>
      <c r="BH603" s="35"/>
      <c r="BI603" s="35"/>
      <c r="BJ603" s="35"/>
      <c r="BK603" s="35"/>
      <c r="BL603" s="35"/>
      <c r="BM603" s="35"/>
      <c r="BN603" s="35"/>
      <c r="BO603" s="35"/>
      <c r="BP603" s="35"/>
      <c r="BQ603" s="35"/>
      <c r="BR603" s="35"/>
      <c r="BS603" s="35"/>
      <c r="BT603" s="35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35"/>
      <c r="CO603" s="35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35"/>
      <c r="DJ603" s="35"/>
      <c r="DK603" s="35"/>
      <c r="DL603" s="35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35"/>
      <c r="EE603" s="35"/>
      <c r="EF603" s="35"/>
      <c r="EG603" s="35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  <c r="ER603" s="35"/>
      <c r="ES603" s="35"/>
      <c r="ET603" s="35"/>
      <c r="EU603" s="35"/>
      <c r="EV603" s="35"/>
      <c r="EW603" s="35"/>
      <c r="EX603" s="35"/>
      <c r="EY603" s="35"/>
      <c r="EZ603" s="35"/>
      <c r="FA603" s="35"/>
      <c r="FB603" s="35"/>
      <c r="FC603" s="35"/>
      <c r="FD603" s="35"/>
      <c r="FE603" s="35"/>
      <c r="FF603" s="35"/>
      <c r="FG603" s="35"/>
      <c r="FH603" s="35"/>
      <c r="FI603" s="35"/>
      <c r="FJ603" s="35"/>
      <c r="FK603" s="35"/>
      <c r="FL603" s="35"/>
      <c r="FM603" s="35"/>
      <c r="FN603" s="35"/>
      <c r="FO603" s="35"/>
      <c r="FP603" s="35"/>
      <c r="FQ603" s="35"/>
      <c r="FR603" s="35"/>
      <c r="FS603" s="35"/>
      <c r="FT603" s="35"/>
      <c r="FU603" s="35"/>
      <c r="FV603" s="35"/>
      <c r="FW603" s="35"/>
      <c r="FX603" s="35"/>
      <c r="FY603" s="35"/>
      <c r="FZ603" s="35"/>
      <c r="GA603" s="35"/>
      <c r="GB603" s="35"/>
      <c r="GC603" s="35"/>
      <c r="GD603" s="35"/>
      <c r="GE603" s="35"/>
      <c r="GF603" s="35"/>
      <c r="GG603" s="35"/>
      <c r="GH603" s="35"/>
      <c r="GI603" s="35"/>
      <c r="GJ603" s="35"/>
      <c r="GK603" s="35"/>
      <c r="GL603" s="35"/>
      <c r="GM603" s="35"/>
      <c r="GN603" s="35"/>
      <c r="GO603" s="35"/>
      <c r="GP603" s="35"/>
      <c r="GQ603" s="35"/>
      <c r="GR603" s="35"/>
      <c r="GS603" s="35"/>
      <c r="GT603" s="35"/>
      <c r="GU603" s="35"/>
      <c r="GV603" s="35"/>
      <c r="GW603" s="35"/>
      <c r="GX603" s="35"/>
      <c r="GY603" s="35"/>
      <c r="GZ603" s="35"/>
      <c r="HA603" s="35"/>
      <c r="HB603" s="35"/>
      <c r="HC603" s="35"/>
      <c r="HD603" s="35"/>
      <c r="HE603" s="35"/>
      <c r="HF603" s="35"/>
      <c r="HG603" s="35"/>
      <c r="HH603" s="35"/>
      <c r="HI603" s="35"/>
      <c r="HJ603" s="35"/>
      <c r="HK603" s="35"/>
      <c r="HL603" s="35"/>
      <c r="HM603" s="35"/>
      <c r="HN603" s="35"/>
      <c r="HO603" s="35"/>
      <c r="HP603" s="35"/>
      <c r="HQ603" s="35"/>
      <c r="HR603" s="35"/>
      <c r="HS603" s="35"/>
      <c r="HT603" s="35"/>
      <c r="HU603" s="35"/>
      <c r="HV603" s="35"/>
      <c r="HW603" s="35"/>
      <c r="HX603" s="35"/>
      <c r="HY603" s="35"/>
      <c r="HZ603" s="35"/>
      <c r="IA603" s="35"/>
      <c r="IB603" s="35"/>
      <c r="IC603" s="35"/>
      <c r="ID603" s="35"/>
      <c r="IE603" s="35"/>
      <c r="IF603" s="35"/>
      <c r="IG603" s="35"/>
      <c r="IH603" s="35"/>
      <c r="II603" s="35"/>
      <c r="IJ603" s="35"/>
      <c r="IK603" s="35"/>
      <c r="IL603" s="35"/>
      <c r="IM603" s="35"/>
      <c r="IN603" s="35"/>
      <c r="IO603" s="35"/>
      <c r="IP603" s="35"/>
      <c r="IQ603" s="35"/>
      <c r="IR603" s="35"/>
      <c r="IS603" s="35"/>
      <c r="IT603" s="35"/>
      <c r="IU603" s="35"/>
      <c r="IV603" s="35"/>
      <c r="IW603" s="35"/>
      <c r="IX603" s="35"/>
      <c r="IY603" s="35"/>
      <c r="IZ603" s="35"/>
      <c r="JA603" s="35"/>
      <c r="JB603" s="35"/>
      <c r="JC603" s="35"/>
      <c r="JD603" s="35"/>
      <c r="JE603" s="35"/>
    </row>
    <row r="604">
      <c r="A604" s="42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  <c r="BC604" s="35"/>
      <c r="BD604" s="35"/>
      <c r="BE604" s="35"/>
      <c r="BF604" s="35"/>
      <c r="BG604" s="35"/>
      <c r="BH604" s="35"/>
      <c r="BI604" s="35"/>
      <c r="BJ604" s="35"/>
      <c r="BK604" s="35"/>
      <c r="BL604" s="35"/>
      <c r="BM604" s="35"/>
      <c r="BN604" s="35"/>
      <c r="BO604" s="35"/>
      <c r="BP604" s="35"/>
      <c r="BQ604" s="35"/>
      <c r="BR604" s="35"/>
      <c r="BS604" s="35"/>
      <c r="BT604" s="35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35"/>
      <c r="CO604" s="35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35"/>
      <c r="DJ604" s="35"/>
      <c r="DK604" s="35"/>
      <c r="DL604" s="35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35"/>
      <c r="EE604" s="35"/>
      <c r="EF604" s="35"/>
      <c r="EG604" s="35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35"/>
      <c r="EZ604" s="35"/>
      <c r="FA604" s="35"/>
      <c r="FB604" s="35"/>
      <c r="FC604" s="35"/>
      <c r="FD604" s="35"/>
      <c r="FE604" s="35"/>
      <c r="FF604" s="35"/>
      <c r="FG604" s="35"/>
      <c r="FH604" s="35"/>
      <c r="FI604" s="35"/>
      <c r="FJ604" s="35"/>
      <c r="FK604" s="35"/>
      <c r="FL604" s="35"/>
      <c r="FM604" s="35"/>
      <c r="FN604" s="35"/>
      <c r="FO604" s="35"/>
      <c r="FP604" s="35"/>
      <c r="FQ604" s="35"/>
      <c r="FR604" s="35"/>
      <c r="FS604" s="35"/>
      <c r="FT604" s="35"/>
      <c r="FU604" s="35"/>
      <c r="FV604" s="35"/>
      <c r="FW604" s="35"/>
      <c r="FX604" s="35"/>
      <c r="FY604" s="35"/>
      <c r="FZ604" s="35"/>
      <c r="GA604" s="35"/>
      <c r="GB604" s="35"/>
      <c r="GC604" s="35"/>
      <c r="GD604" s="35"/>
      <c r="GE604" s="35"/>
      <c r="GF604" s="35"/>
      <c r="GG604" s="35"/>
      <c r="GH604" s="35"/>
      <c r="GI604" s="35"/>
      <c r="GJ604" s="35"/>
      <c r="GK604" s="35"/>
      <c r="GL604" s="35"/>
      <c r="GM604" s="35"/>
      <c r="GN604" s="35"/>
      <c r="GO604" s="35"/>
      <c r="GP604" s="35"/>
      <c r="GQ604" s="35"/>
      <c r="GR604" s="35"/>
      <c r="GS604" s="35"/>
      <c r="GT604" s="35"/>
      <c r="GU604" s="35"/>
      <c r="GV604" s="35"/>
      <c r="GW604" s="35"/>
      <c r="GX604" s="35"/>
      <c r="GY604" s="35"/>
      <c r="GZ604" s="35"/>
      <c r="HA604" s="35"/>
      <c r="HB604" s="35"/>
      <c r="HC604" s="35"/>
      <c r="HD604" s="35"/>
      <c r="HE604" s="35"/>
      <c r="HF604" s="35"/>
      <c r="HG604" s="35"/>
      <c r="HH604" s="35"/>
      <c r="HI604" s="35"/>
      <c r="HJ604" s="35"/>
      <c r="HK604" s="35"/>
      <c r="HL604" s="35"/>
      <c r="HM604" s="35"/>
      <c r="HN604" s="35"/>
      <c r="HO604" s="35"/>
      <c r="HP604" s="35"/>
      <c r="HQ604" s="35"/>
      <c r="HR604" s="35"/>
      <c r="HS604" s="35"/>
      <c r="HT604" s="35"/>
      <c r="HU604" s="35"/>
      <c r="HV604" s="35"/>
      <c r="HW604" s="35"/>
      <c r="HX604" s="35"/>
      <c r="HY604" s="35"/>
      <c r="HZ604" s="35"/>
      <c r="IA604" s="35"/>
      <c r="IB604" s="35"/>
      <c r="IC604" s="35"/>
      <c r="ID604" s="35"/>
      <c r="IE604" s="35"/>
      <c r="IF604" s="35"/>
      <c r="IG604" s="35"/>
      <c r="IH604" s="35"/>
      <c r="II604" s="35"/>
      <c r="IJ604" s="35"/>
      <c r="IK604" s="35"/>
      <c r="IL604" s="35"/>
      <c r="IM604" s="35"/>
      <c r="IN604" s="35"/>
      <c r="IO604" s="35"/>
      <c r="IP604" s="35"/>
      <c r="IQ604" s="35"/>
      <c r="IR604" s="35"/>
      <c r="IS604" s="35"/>
      <c r="IT604" s="35"/>
      <c r="IU604" s="35"/>
      <c r="IV604" s="35"/>
      <c r="IW604" s="35"/>
      <c r="IX604" s="35"/>
      <c r="IY604" s="35"/>
      <c r="IZ604" s="35"/>
      <c r="JA604" s="35"/>
      <c r="JB604" s="35"/>
      <c r="JC604" s="35"/>
      <c r="JD604" s="35"/>
      <c r="JE604" s="35"/>
    </row>
    <row r="605">
      <c r="A605" s="42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  <c r="BC605" s="35"/>
      <c r="BD605" s="35"/>
      <c r="BE605" s="35"/>
      <c r="BF605" s="35"/>
      <c r="BG605" s="35"/>
      <c r="BH605" s="35"/>
      <c r="BI605" s="35"/>
      <c r="BJ605" s="35"/>
      <c r="BK605" s="35"/>
      <c r="BL605" s="35"/>
      <c r="BM605" s="35"/>
      <c r="BN605" s="35"/>
      <c r="BO605" s="35"/>
      <c r="BP605" s="35"/>
      <c r="BQ605" s="35"/>
      <c r="BR605" s="35"/>
      <c r="BS605" s="35"/>
      <c r="BT605" s="35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35"/>
      <c r="CO605" s="35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35"/>
      <c r="DJ605" s="35"/>
      <c r="DK605" s="35"/>
      <c r="DL605" s="35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35"/>
      <c r="EE605" s="35"/>
      <c r="EF605" s="35"/>
      <c r="EG605" s="35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35"/>
      <c r="EZ605" s="35"/>
      <c r="FA605" s="35"/>
      <c r="FB605" s="35"/>
      <c r="FC605" s="35"/>
      <c r="FD605" s="35"/>
      <c r="FE605" s="35"/>
      <c r="FF605" s="35"/>
      <c r="FG605" s="35"/>
      <c r="FH605" s="35"/>
      <c r="FI605" s="35"/>
      <c r="FJ605" s="35"/>
      <c r="FK605" s="35"/>
      <c r="FL605" s="35"/>
      <c r="FM605" s="35"/>
      <c r="FN605" s="35"/>
      <c r="FO605" s="35"/>
      <c r="FP605" s="35"/>
      <c r="FQ605" s="35"/>
      <c r="FR605" s="35"/>
      <c r="FS605" s="35"/>
      <c r="FT605" s="35"/>
      <c r="FU605" s="35"/>
      <c r="FV605" s="35"/>
      <c r="FW605" s="35"/>
      <c r="FX605" s="35"/>
      <c r="FY605" s="35"/>
      <c r="FZ605" s="35"/>
      <c r="GA605" s="35"/>
      <c r="GB605" s="35"/>
      <c r="GC605" s="35"/>
      <c r="GD605" s="35"/>
      <c r="GE605" s="35"/>
      <c r="GF605" s="35"/>
      <c r="GG605" s="35"/>
      <c r="GH605" s="35"/>
      <c r="GI605" s="35"/>
      <c r="GJ605" s="35"/>
      <c r="GK605" s="35"/>
      <c r="GL605" s="35"/>
      <c r="GM605" s="35"/>
      <c r="GN605" s="35"/>
      <c r="GO605" s="35"/>
      <c r="GP605" s="35"/>
      <c r="GQ605" s="35"/>
      <c r="GR605" s="35"/>
      <c r="GS605" s="35"/>
      <c r="GT605" s="35"/>
      <c r="GU605" s="35"/>
      <c r="GV605" s="35"/>
      <c r="GW605" s="35"/>
      <c r="GX605" s="35"/>
      <c r="GY605" s="35"/>
      <c r="GZ605" s="35"/>
      <c r="HA605" s="35"/>
      <c r="HB605" s="35"/>
      <c r="HC605" s="35"/>
      <c r="HD605" s="35"/>
      <c r="HE605" s="35"/>
      <c r="HF605" s="35"/>
      <c r="HG605" s="35"/>
      <c r="HH605" s="35"/>
      <c r="HI605" s="35"/>
      <c r="HJ605" s="35"/>
      <c r="HK605" s="35"/>
      <c r="HL605" s="35"/>
      <c r="HM605" s="35"/>
      <c r="HN605" s="35"/>
      <c r="HO605" s="35"/>
      <c r="HP605" s="35"/>
      <c r="HQ605" s="35"/>
      <c r="HR605" s="35"/>
      <c r="HS605" s="35"/>
      <c r="HT605" s="35"/>
      <c r="HU605" s="35"/>
      <c r="HV605" s="35"/>
      <c r="HW605" s="35"/>
      <c r="HX605" s="35"/>
      <c r="HY605" s="35"/>
      <c r="HZ605" s="35"/>
      <c r="IA605" s="35"/>
      <c r="IB605" s="35"/>
      <c r="IC605" s="35"/>
      <c r="ID605" s="35"/>
      <c r="IE605" s="35"/>
      <c r="IF605" s="35"/>
      <c r="IG605" s="35"/>
      <c r="IH605" s="35"/>
      <c r="II605" s="35"/>
      <c r="IJ605" s="35"/>
      <c r="IK605" s="35"/>
      <c r="IL605" s="35"/>
      <c r="IM605" s="35"/>
      <c r="IN605" s="35"/>
      <c r="IO605" s="35"/>
      <c r="IP605" s="35"/>
      <c r="IQ605" s="35"/>
      <c r="IR605" s="35"/>
      <c r="IS605" s="35"/>
      <c r="IT605" s="35"/>
      <c r="IU605" s="35"/>
      <c r="IV605" s="35"/>
      <c r="IW605" s="35"/>
      <c r="IX605" s="35"/>
      <c r="IY605" s="35"/>
      <c r="IZ605" s="35"/>
      <c r="JA605" s="35"/>
      <c r="JB605" s="35"/>
      <c r="JC605" s="35"/>
      <c r="JD605" s="35"/>
      <c r="JE605" s="35"/>
    </row>
    <row r="606">
      <c r="A606" s="42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  <c r="BC606" s="35"/>
      <c r="BD606" s="35"/>
      <c r="BE606" s="35"/>
      <c r="BF606" s="35"/>
      <c r="BG606" s="35"/>
      <c r="BH606" s="35"/>
      <c r="BI606" s="35"/>
      <c r="BJ606" s="35"/>
      <c r="BK606" s="35"/>
      <c r="BL606" s="35"/>
      <c r="BM606" s="35"/>
      <c r="BN606" s="35"/>
      <c r="BO606" s="35"/>
      <c r="BP606" s="35"/>
      <c r="BQ606" s="35"/>
      <c r="BR606" s="35"/>
      <c r="BS606" s="35"/>
      <c r="BT606" s="35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35"/>
      <c r="CO606" s="35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35"/>
      <c r="DJ606" s="35"/>
      <c r="DK606" s="35"/>
      <c r="DL606" s="35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35"/>
      <c r="EE606" s="35"/>
      <c r="EF606" s="35"/>
      <c r="EG606" s="35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35"/>
      <c r="EZ606" s="35"/>
      <c r="FA606" s="35"/>
      <c r="FB606" s="35"/>
      <c r="FC606" s="35"/>
      <c r="FD606" s="35"/>
      <c r="FE606" s="35"/>
      <c r="FF606" s="35"/>
      <c r="FG606" s="35"/>
      <c r="FH606" s="35"/>
      <c r="FI606" s="35"/>
      <c r="FJ606" s="35"/>
      <c r="FK606" s="35"/>
      <c r="FL606" s="35"/>
      <c r="FM606" s="35"/>
      <c r="FN606" s="35"/>
      <c r="FO606" s="35"/>
      <c r="FP606" s="35"/>
      <c r="FQ606" s="35"/>
      <c r="FR606" s="35"/>
      <c r="FS606" s="35"/>
      <c r="FT606" s="35"/>
      <c r="FU606" s="35"/>
      <c r="FV606" s="35"/>
      <c r="FW606" s="35"/>
      <c r="FX606" s="35"/>
      <c r="FY606" s="35"/>
      <c r="FZ606" s="35"/>
      <c r="GA606" s="35"/>
      <c r="GB606" s="35"/>
      <c r="GC606" s="35"/>
      <c r="GD606" s="35"/>
      <c r="GE606" s="35"/>
      <c r="GF606" s="35"/>
      <c r="GG606" s="35"/>
      <c r="GH606" s="35"/>
      <c r="GI606" s="35"/>
      <c r="GJ606" s="35"/>
      <c r="GK606" s="35"/>
      <c r="GL606" s="35"/>
      <c r="GM606" s="35"/>
      <c r="GN606" s="35"/>
      <c r="GO606" s="35"/>
      <c r="GP606" s="35"/>
      <c r="GQ606" s="35"/>
      <c r="GR606" s="35"/>
      <c r="GS606" s="35"/>
      <c r="GT606" s="35"/>
      <c r="GU606" s="35"/>
      <c r="GV606" s="35"/>
      <c r="GW606" s="35"/>
      <c r="GX606" s="35"/>
      <c r="GY606" s="35"/>
      <c r="GZ606" s="35"/>
      <c r="HA606" s="35"/>
      <c r="HB606" s="35"/>
      <c r="HC606" s="35"/>
      <c r="HD606" s="35"/>
      <c r="HE606" s="35"/>
      <c r="HF606" s="35"/>
      <c r="HG606" s="35"/>
      <c r="HH606" s="35"/>
      <c r="HI606" s="35"/>
      <c r="HJ606" s="35"/>
      <c r="HK606" s="35"/>
      <c r="HL606" s="35"/>
      <c r="HM606" s="35"/>
      <c r="HN606" s="35"/>
      <c r="HO606" s="35"/>
      <c r="HP606" s="35"/>
      <c r="HQ606" s="35"/>
      <c r="HR606" s="35"/>
      <c r="HS606" s="35"/>
      <c r="HT606" s="35"/>
      <c r="HU606" s="35"/>
      <c r="HV606" s="35"/>
      <c r="HW606" s="35"/>
      <c r="HX606" s="35"/>
      <c r="HY606" s="35"/>
      <c r="HZ606" s="35"/>
      <c r="IA606" s="35"/>
      <c r="IB606" s="35"/>
      <c r="IC606" s="35"/>
      <c r="ID606" s="35"/>
      <c r="IE606" s="35"/>
      <c r="IF606" s="35"/>
      <c r="IG606" s="35"/>
      <c r="IH606" s="35"/>
      <c r="II606" s="35"/>
      <c r="IJ606" s="35"/>
      <c r="IK606" s="35"/>
      <c r="IL606" s="35"/>
      <c r="IM606" s="35"/>
      <c r="IN606" s="35"/>
      <c r="IO606" s="35"/>
      <c r="IP606" s="35"/>
      <c r="IQ606" s="35"/>
      <c r="IR606" s="35"/>
      <c r="IS606" s="35"/>
      <c r="IT606" s="35"/>
      <c r="IU606" s="35"/>
      <c r="IV606" s="35"/>
      <c r="IW606" s="35"/>
      <c r="IX606" s="35"/>
      <c r="IY606" s="35"/>
      <c r="IZ606" s="35"/>
      <c r="JA606" s="35"/>
      <c r="JB606" s="35"/>
      <c r="JC606" s="35"/>
      <c r="JD606" s="35"/>
      <c r="JE606" s="35"/>
    </row>
    <row r="607">
      <c r="A607" s="42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  <c r="AZ607" s="35"/>
      <c r="BA607" s="35"/>
      <c r="BB607" s="35"/>
      <c r="BC607" s="35"/>
      <c r="BD607" s="35"/>
      <c r="BE607" s="35"/>
      <c r="BF607" s="35"/>
      <c r="BG607" s="35"/>
      <c r="BH607" s="35"/>
      <c r="BI607" s="35"/>
      <c r="BJ607" s="35"/>
      <c r="BK607" s="35"/>
      <c r="BL607" s="35"/>
      <c r="BM607" s="35"/>
      <c r="BN607" s="35"/>
      <c r="BO607" s="35"/>
      <c r="BP607" s="35"/>
      <c r="BQ607" s="35"/>
      <c r="BR607" s="35"/>
      <c r="BS607" s="35"/>
      <c r="BT607" s="35"/>
      <c r="BU607" s="35"/>
      <c r="BV607" s="35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35"/>
      <c r="CO607" s="35"/>
      <c r="CP607" s="35"/>
      <c r="CQ607" s="35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35"/>
      <c r="DJ607" s="35"/>
      <c r="DK607" s="35"/>
      <c r="DL607" s="35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35"/>
      <c r="EE607" s="35"/>
      <c r="EF607" s="35"/>
      <c r="EG607" s="35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  <c r="ER607" s="35"/>
      <c r="ES607" s="35"/>
      <c r="ET607" s="35"/>
      <c r="EU607" s="35"/>
      <c r="EV607" s="35"/>
      <c r="EW607" s="35"/>
      <c r="EX607" s="35"/>
      <c r="EY607" s="35"/>
      <c r="EZ607" s="35"/>
      <c r="FA607" s="35"/>
      <c r="FB607" s="35"/>
      <c r="FC607" s="35"/>
      <c r="FD607" s="35"/>
      <c r="FE607" s="35"/>
      <c r="FF607" s="35"/>
      <c r="FG607" s="35"/>
      <c r="FH607" s="35"/>
      <c r="FI607" s="35"/>
      <c r="FJ607" s="35"/>
      <c r="FK607" s="35"/>
      <c r="FL607" s="35"/>
      <c r="FM607" s="35"/>
      <c r="FN607" s="35"/>
      <c r="FO607" s="35"/>
      <c r="FP607" s="35"/>
      <c r="FQ607" s="35"/>
      <c r="FR607" s="35"/>
      <c r="FS607" s="35"/>
      <c r="FT607" s="35"/>
      <c r="FU607" s="35"/>
      <c r="FV607" s="35"/>
      <c r="FW607" s="35"/>
      <c r="FX607" s="35"/>
      <c r="FY607" s="35"/>
      <c r="FZ607" s="35"/>
      <c r="GA607" s="35"/>
      <c r="GB607" s="35"/>
      <c r="GC607" s="35"/>
      <c r="GD607" s="35"/>
      <c r="GE607" s="35"/>
      <c r="GF607" s="35"/>
      <c r="GG607" s="35"/>
      <c r="GH607" s="35"/>
      <c r="GI607" s="35"/>
      <c r="GJ607" s="35"/>
      <c r="GK607" s="35"/>
      <c r="GL607" s="35"/>
      <c r="GM607" s="35"/>
      <c r="GN607" s="35"/>
      <c r="GO607" s="35"/>
      <c r="GP607" s="35"/>
      <c r="GQ607" s="35"/>
      <c r="GR607" s="35"/>
      <c r="GS607" s="35"/>
      <c r="GT607" s="35"/>
      <c r="GU607" s="35"/>
      <c r="GV607" s="35"/>
      <c r="GW607" s="35"/>
      <c r="GX607" s="35"/>
      <c r="GY607" s="35"/>
      <c r="GZ607" s="35"/>
      <c r="HA607" s="35"/>
      <c r="HB607" s="35"/>
      <c r="HC607" s="35"/>
      <c r="HD607" s="35"/>
      <c r="HE607" s="35"/>
      <c r="HF607" s="35"/>
      <c r="HG607" s="35"/>
      <c r="HH607" s="35"/>
      <c r="HI607" s="35"/>
      <c r="HJ607" s="35"/>
      <c r="HK607" s="35"/>
      <c r="HL607" s="35"/>
      <c r="HM607" s="35"/>
      <c r="HN607" s="35"/>
      <c r="HO607" s="35"/>
      <c r="HP607" s="35"/>
      <c r="HQ607" s="35"/>
      <c r="HR607" s="35"/>
      <c r="HS607" s="35"/>
      <c r="HT607" s="35"/>
      <c r="HU607" s="35"/>
      <c r="HV607" s="35"/>
      <c r="HW607" s="35"/>
      <c r="HX607" s="35"/>
      <c r="HY607" s="35"/>
      <c r="HZ607" s="35"/>
      <c r="IA607" s="35"/>
      <c r="IB607" s="35"/>
      <c r="IC607" s="35"/>
      <c r="ID607" s="35"/>
      <c r="IE607" s="35"/>
      <c r="IF607" s="35"/>
      <c r="IG607" s="35"/>
      <c r="IH607" s="35"/>
      <c r="II607" s="35"/>
      <c r="IJ607" s="35"/>
      <c r="IK607" s="35"/>
      <c r="IL607" s="35"/>
      <c r="IM607" s="35"/>
      <c r="IN607" s="35"/>
      <c r="IO607" s="35"/>
      <c r="IP607" s="35"/>
      <c r="IQ607" s="35"/>
      <c r="IR607" s="35"/>
      <c r="IS607" s="35"/>
      <c r="IT607" s="35"/>
      <c r="IU607" s="35"/>
      <c r="IV607" s="35"/>
      <c r="IW607" s="35"/>
      <c r="IX607" s="35"/>
      <c r="IY607" s="35"/>
      <c r="IZ607" s="35"/>
      <c r="JA607" s="35"/>
      <c r="JB607" s="35"/>
      <c r="JC607" s="35"/>
      <c r="JD607" s="35"/>
      <c r="JE607" s="35"/>
    </row>
    <row r="608">
      <c r="A608" s="42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  <c r="AZ608" s="35"/>
      <c r="BA608" s="35"/>
      <c r="BB608" s="35"/>
      <c r="BC608" s="35"/>
      <c r="BD608" s="35"/>
      <c r="BE608" s="35"/>
      <c r="BF608" s="35"/>
      <c r="BG608" s="35"/>
      <c r="BH608" s="35"/>
      <c r="BI608" s="35"/>
      <c r="BJ608" s="35"/>
      <c r="BK608" s="35"/>
      <c r="BL608" s="35"/>
      <c r="BM608" s="35"/>
      <c r="BN608" s="35"/>
      <c r="BO608" s="35"/>
      <c r="BP608" s="35"/>
      <c r="BQ608" s="35"/>
      <c r="BR608" s="35"/>
      <c r="BS608" s="35"/>
      <c r="BT608" s="35"/>
      <c r="BU608" s="35"/>
      <c r="BV608" s="35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35"/>
      <c r="CO608" s="35"/>
      <c r="CP608" s="35"/>
      <c r="CQ608" s="35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35"/>
      <c r="DJ608" s="35"/>
      <c r="DK608" s="35"/>
      <c r="DL608" s="35"/>
      <c r="DM608" s="35"/>
      <c r="DN608" s="35"/>
      <c r="DO608" s="35"/>
      <c r="DP608" s="35"/>
      <c r="DQ608" s="35"/>
      <c r="DR608" s="35"/>
      <c r="DS608" s="35"/>
      <c r="DT608" s="35"/>
      <c r="DU608" s="35"/>
      <c r="DV608" s="35"/>
      <c r="DW608" s="35"/>
      <c r="DX608" s="35"/>
      <c r="DY608" s="35"/>
      <c r="DZ608" s="35"/>
      <c r="EA608" s="35"/>
      <c r="EB608" s="35"/>
      <c r="EC608" s="35"/>
      <c r="ED608" s="35"/>
      <c r="EE608" s="35"/>
      <c r="EF608" s="35"/>
      <c r="EG608" s="35"/>
      <c r="EH608" s="35"/>
      <c r="EI608" s="35"/>
      <c r="EJ608" s="35"/>
      <c r="EK608" s="35"/>
      <c r="EL608" s="35"/>
      <c r="EM608" s="35"/>
      <c r="EN608" s="35"/>
      <c r="EO608" s="35"/>
      <c r="EP608" s="35"/>
      <c r="EQ608" s="35"/>
      <c r="ER608" s="35"/>
      <c r="ES608" s="35"/>
      <c r="ET608" s="35"/>
      <c r="EU608" s="35"/>
      <c r="EV608" s="35"/>
      <c r="EW608" s="35"/>
      <c r="EX608" s="35"/>
      <c r="EY608" s="35"/>
      <c r="EZ608" s="35"/>
      <c r="FA608" s="35"/>
      <c r="FB608" s="35"/>
      <c r="FC608" s="35"/>
      <c r="FD608" s="35"/>
      <c r="FE608" s="35"/>
      <c r="FF608" s="35"/>
      <c r="FG608" s="35"/>
      <c r="FH608" s="35"/>
      <c r="FI608" s="35"/>
      <c r="FJ608" s="35"/>
      <c r="FK608" s="35"/>
      <c r="FL608" s="35"/>
      <c r="FM608" s="35"/>
      <c r="FN608" s="35"/>
      <c r="FO608" s="35"/>
      <c r="FP608" s="35"/>
      <c r="FQ608" s="35"/>
      <c r="FR608" s="35"/>
      <c r="FS608" s="35"/>
      <c r="FT608" s="35"/>
      <c r="FU608" s="35"/>
      <c r="FV608" s="35"/>
      <c r="FW608" s="35"/>
      <c r="FX608" s="35"/>
      <c r="FY608" s="35"/>
      <c r="FZ608" s="35"/>
      <c r="GA608" s="35"/>
      <c r="GB608" s="35"/>
      <c r="GC608" s="35"/>
      <c r="GD608" s="35"/>
      <c r="GE608" s="35"/>
      <c r="GF608" s="35"/>
      <c r="GG608" s="35"/>
      <c r="GH608" s="35"/>
      <c r="GI608" s="35"/>
      <c r="GJ608" s="35"/>
      <c r="GK608" s="35"/>
      <c r="GL608" s="35"/>
      <c r="GM608" s="35"/>
      <c r="GN608" s="35"/>
      <c r="GO608" s="35"/>
      <c r="GP608" s="35"/>
      <c r="GQ608" s="35"/>
      <c r="GR608" s="35"/>
      <c r="GS608" s="35"/>
      <c r="GT608" s="35"/>
      <c r="GU608" s="35"/>
      <c r="GV608" s="35"/>
      <c r="GW608" s="35"/>
      <c r="GX608" s="35"/>
      <c r="GY608" s="35"/>
      <c r="GZ608" s="35"/>
      <c r="HA608" s="35"/>
      <c r="HB608" s="35"/>
      <c r="HC608" s="35"/>
      <c r="HD608" s="35"/>
      <c r="HE608" s="35"/>
      <c r="HF608" s="35"/>
      <c r="HG608" s="35"/>
      <c r="HH608" s="35"/>
      <c r="HI608" s="35"/>
      <c r="HJ608" s="35"/>
      <c r="HK608" s="35"/>
      <c r="HL608" s="35"/>
      <c r="HM608" s="35"/>
      <c r="HN608" s="35"/>
      <c r="HO608" s="35"/>
      <c r="HP608" s="35"/>
      <c r="HQ608" s="35"/>
      <c r="HR608" s="35"/>
      <c r="HS608" s="35"/>
      <c r="HT608" s="35"/>
      <c r="HU608" s="35"/>
      <c r="HV608" s="35"/>
      <c r="HW608" s="35"/>
      <c r="HX608" s="35"/>
      <c r="HY608" s="35"/>
      <c r="HZ608" s="35"/>
      <c r="IA608" s="35"/>
      <c r="IB608" s="35"/>
      <c r="IC608" s="35"/>
      <c r="ID608" s="35"/>
      <c r="IE608" s="35"/>
      <c r="IF608" s="35"/>
      <c r="IG608" s="35"/>
      <c r="IH608" s="35"/>
      <c r="II608" s="35"/>
      <c r="IJ608" s="35"/>
      <c r="IK608" s="35"/>
      <c r="IL608" s="35"/>
      <c r="IM608" s="35"/>
      <c r="IN608" s="35"/>
      <c r="IO608" s="35"/>
      <c r="IP608" s="35"/>
      <c r="IQ608" s="35"/>
      <c r="IR608" s="35"/>
      <c r="IS608" s="35"/>
      <c r="IT608" s="35"/>
      <c r="IU608" s="35"/>
      <c r="IV608" s="35"/>
      <c r="IW608" s="35"/>
      <c r="IX608" s="35"/>
      <c r="IY608" s="35"/>
      <c r="IZ608" s="35"/>
      <c r="JA608" s="35"/>
      <c r="JB608" s="35"/>
      <c r="JC608" s="35"/>
      <c r="JD608" s="35"/>
      <c r="JE608" s="35"/>
    </row>
    <row r="609">
      <c r="A609" s="42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  <c r="AZ609" s="35"/>
      <c r="BA609" s="35"/>
      <c r="BB609" s="35"/>
      <c r="BC609" s="35"/>
      <c r="BD609" s="35"/>
      <c r="BE609" s="35"/>
      <c r="BF609" s="35"/>
      <c r="BG609" s="35"/>
      <c r="BH609" s="35"/>
      <c r="BI609" s="35"/>
      <c r="BJ609" s="35"/>
      <c r="BK609" s="35"/>
      <c r="BL609" s="35"/>
      <c r="BM609" s="35"/>
      <c r="BN609" s="35"/>
      <c r="BO609" s="35"/>
      <c r="BP609" s="35"/>
      <c r="BQ609" s="35"/>
      <c r="BR609" s="35"/>
      <c r="BS609" s="35"/>
      <c r="BT609" s="35"/>
      <c r="BU609" s="35"/>
      <c r="BV609" s="35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35"/>
      <c r="CO609" s="35"/>
      <c r="CP609" s="35"/>
      <c r="CQ609" s="35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35"/>
      <c r="DJ609" s="35"/>
      <c r="DK609" s="35"/>
      <c r="DL609" s="35"/>
      <c r="DM609" s="35"/>
      <c r="DN609" s="35"/>
      <c r="DO609" s="35"/>
      <c r="DP609" s="35"/>
      <c r="DQ609" s="35"/>
      <c r="DR609" s="35"/>
      <c r="DS609" s="35"/>
      <c r="DT609" s="35"/>
      <c r="DU609" s="35"/>
      <c r="DV609" s="35"/>
      <c r="DW609" s="35"/>
      <c r="DX609" s="35"/>
      <c r="DY609" s="35"/>
      <c r="DZ609" s="35"/>
      <c r="EA609" s="35"/>
      <c r="EB609" s="35"/>
      <c r="EC609" s="35"/>
      <c r="ED609" s="35"/>
      <c r="EE609" s="35"/>
      <c r="EF609" s="35"/>
      <c r="EG609" s="35"/>
      <c r="EH609" s="35"/>
      <c r="EI609" s="35"/>
      <c r="EJ609" s="35"/>
      <c r="EK609" s="35"/>
      <c r="EL609" s="35"/>
      <c r="EM609" s="35"/>
      <c r="EN609" s="35"/>
      <c r="EO609" s="35"/>
      <c r="EP609" s="35"/>
      <c r="EQ609" s="35"/>
      <c r="ER609" s="35"/>
      <c r="ES609" s="35"/>
      <c r="ET609" s="35"/>
      <c r="EU609" s="35"/>
      <c r="EV609" s="35"/>
      <c r="EW609" s="35"/>
      <c r="EX609" s="35"/>
      <c r="EY609" s="35"/>
      <c r="EZ609" s="35"/>
      <c r="FA609" s="35"/>
      <c r="FB609" s="35"/>
      <c r="FC609" s="35"/>
      <c r="FD609" s="35"/>
      <c r="FE609" s="35"/>
      <c r="FF609" s="35"/>
      <c r="FG609" s="35"/>
      <c r="FH609" s="35"/>
      <c r="FI609" s="35"/>
      <c r="FJ609" s="35"/>
      <c r="FK609" s="35"/>
      <c r="FL609" s="35"/>
      <c r="FM609" s="35"/>
      <c r="FN609" s="35"/>
      <c r="FO609" s="35"/>
      <c r="FP609" s="35"/>
      <c r="FQ609" s="35"/>
      <c r="FR609" s="35"/>
      <c r="FS609" s="35"/>
      <c r="FT609" s="35"/>
      <c r="FU609" s="35"/>
      <c r="FV609" s="35"/>
      <c r="FW609" s="35"/>
      <c r="FX609" s="35"/>
      <c r="FY609" s="35"/>
      <c r="FZ609" s="35"/>
      <c r="GA609" s="35"/>
      <c r="GB609" s="35"/>
      <c r="GC609" s="35"/>
      <c r="GD609" s="35"/>
      <c r="GE609" s="35"/>
      <c r="GF609" s="35"/>
      <c r="GG609" s="35"/>
      <c r="GH609" s="35"/>
      <c r="GI609" s="35"/>
      <c r="GJ609" s="35"/>
      <c r="GK609" s="35"/>
      <c r="GL609" s="35"/>
      <c r="GM609" s="35"/>
      <c r="GN609" s="35"/>
      <c r="GO609" s="35"/>
      <c r="GP609" s="35"/>
      <c r="GQ609" s="35"/>
      <c r="GR609" s="35"/>
      <c r="GS609" s="35"/>
      <c r="GT609" s="35"/>
      <c r="GU609" s="35"/>
      <c r="GV609" s="35"/>
      <c r="GW609" s="35"/>
      <c r="GX609" s="35"/>
      <c r="GY609" s="35"/>
      <c r="GZ609" s="35"/>
      <c r="HA609" s="35"/>
      <c r="HB609" s="35"/>
      <c r="HC609" s="35"/>
      <c r="HD609" s="35"/>
      <c r="HE609" s="35"/>
      <c r="HF609" s="35"/>
      <c r="HG609" s="35"/>
      <c r="HH609" s="35"/>
      <c r="HI609" s="35"/>
      <c r="HJ609" s="35"/>
      <c r="HK609" s="35"/>
      <c r="HL609" s="35"/>
      <c r="HM609" s="35"/>
      <c r="HN609" s="35"/>
      <c r="HO609" s="35"/>
      <c r="HP609" s="35"/>
      <c r="HQ609" s="35"/>
      <c r="HR609" s="35"/>
      <c r="HS609" s="35"/>
      <c r="HT609" s="35"/>
      <c r="HU609" s="35"/>
      <c r="HV609" s="35"/>
      <c r="HW609" s="35"/>
      <c r="HX609" s="35"/>
      <c r="HY609" s="35"/>
      <c r="HZ609" s="35"/>
      <c r="IA609" s="35"/>
      <c r="IB609" s="35"/>
      <c r="IC609" s="35"/>
      <c r="ID609" s="35"/>
      <c r="IE609" s="35"/>
      <c r="IF609" s="35"/>
      <c r="IG609" s="35"/>
      <c r="IH609" s="35"/>
      <c r="II609" s="35"/>
      <c r="IJ609" s="35"/>
      <c r="IK609" s="35"/>
      <c r="IL609" s="35"/>
      <c r="IM609" s="35"/>
      <c r="IN609" s="35"/>
      <c r="IO609" s="35"/>
      <c r="IP609" s="35"/>
      <c r="IQ609" s="35"/>
      <c r="IR609" s="35"/>
      <c r="IS609" s="35"/>
      <c r="IT609" s="35"/>
      <c r="IU609" s="35"/>
      <c r="IV609" s="35"/>
      <c r="IW609" s="35"/>
      <c r="IX609" s="35"/>
      <c r="IY609" s="35"/>
      <c r="IZ609" s="35"/>
      <c r="JA609" s="35"/>
      <c r="JB609" s="35"/>
      <c r="JC609" s="35"/>
      <c r="JD609" s="35"/>
      <c r="JE609" s="35"/>
    </row>
    <row r="610">
      <c r="A610" s="42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  <c r="AZ610" s="35"/>
      <c r="BA610" s="35"/>
      <c r="BB610" s="35"/>
      <c r="BC610" s="35"/>
      <c r="BD610" s="35"/>
      <c r="BE610" s="35"/>
      <c r="BF610" s="35"/>
      <c r="BG610" s="35"/>
      <c r="BH610" s="35"/>
      <c r="BI610" s="35"/>
      <c r="BJ610" s="35"/>
      <c r="BK610" s="35"/>
      <c r="BL610" s="35"/>
      <c r="BM610" s="35"/>
      <c r="BN610" s="35"/>
      <c r="BO610" s="35"/>
      <c r="BP610" s="35"/>
      <c r="BQ610" s="35"/>
      <c r="BR610" s="35"/>
      <c r="BS610" s="35"/>
      <c r="BT610" s="35"/>
      <c r="BU610" s="35"/>
      <c r="BV610" s="35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35"/>
      <c r="CO610" s="35"/>
      <c r="CP610" s="35"/>
      <c r="CQ610" s="35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35"/>
      <c r="DJ610" s="35"/>
      <c r="DK610" s="35"/>
      <c r="DL610" s="35"/>
      <c r="DM610" s="35"/>
      <c r="DN610" s="35"/>
      <c r="DO610" s="35"/>
      <c r="DP610" s="35"/>
      <c r="DQ610" s="35"/>
      <c r="DR610" s="35"/>
      <c r="DS610" s="35"/>
      <c r="DT610" s="35"/>
      <c r="DU610" s="35"/>
      <c r="DV610" s="35"/>
      <c r="DW610" s="35"/>
      <c r="DX610" s="35"/>
      <c r="DY610" s="35"/>
      <c r="DZ610" s="35"/>
      <c r="EA610" s="35"/>
      <c r="EB610" s="35"/>
      <c r="EC610" s="35"/>
      <c r="ED610" s="35"/>
      <c r="EE610" s="35"/>
      <c r="EF610" s="35"/>
      <c r="EG610" s="35"/>
      <c r="EH610" s="35"/>
      <c r="EI610" s="35"/>
      <c r="EJ610" s="35"/>
      <c r="EK610" s="35"/>
      <c r="EL610" s="35"/>
      <c r="EM610" s="35"/>
      <c r="EN610" s="35"/>
      <c r="EO610" s="35"/>
      <c r="EP610" s="35"/>
      <c r="EQ610" s="35"/>
      <c r="ER610" s="35"/>
      <c r="ES610" s="35"/>
      <c r="ET610" s="35"/>
      <c r="EU610" s="35"/>
      <c r="EV610" s="35"/>
      <c r="EW610" s="35"/>
      <c r="EX610" s="35"/>
      <c r="EY610" s="35"/>
      <c r="EZ610" s="35"/>
      <c r="FA610" s="35"/>
      <c r="FB610" s="35"/>
      <c r="FC610" s="35"/>
      <c r="FD610" s="35"/>
      <c r="FE610" s="35"/>
      <c r="FF610" s="35"/>
      <c r="FG610" s="35"/>
      <c r="FH610" s="35"/>
      <c r="FI610" s="35"/>
      <c r="FJ610" s="35"/>
      <c r="FK610" s="35"/>
      <c r="FL610" s="35"/>
      <c r="FM610" s="35"/>
      <c r="FN610" s="35"/>
      <c r="FO610" s="35"/>
      <c r="FP610" s="35"/>
      <c r="FQ610" s="35"/>
      <c r="FR610" s="35"/>
      <c r="FS610" s="35"/>
      <c r="FT610" s="35"/>
      <c r="FU610" s="35"/>
      <c r="FV610" s="35"/>
      <c r="FW610" s="35"/>
      <c r="FX610" s="35"/>
      <c r="FY610" s="35"/>
      <c r="FZ610" s="35"/>
      <c r="GA610" s="35"/>
      <c r="GB610" s="35"/>
      <c r="GC610" s="35"/>
      <c r="GD610" s="35"/>
      <c r="GE610" s="35"/>
      <c r="GF610" s="35"/>
      <c r="GG610" s="35"/>
      <c r="GH610" s="35"/>
      <c r="GI610" s="35"/>
      <c r="GJ610" s="35"/>
      <c r="GK610" s="35"/>
      <c r="GL610" s="35"/>
      <c r="GM610" s="35"/>
      <c r="GN610" s="35"/>
      <c r="GO610" s="35"/>
      <c r="GP610" s="35"/>
      <c r="GQ610" s="35"/>
      <c r="GR610" s="35"/>
      <c r="GS610" s="35"/>
      <c r="GT610" s="35"/>
      <c r="GU610" s="35"/>
      <c r="GV610" s="35"/>
      <c r="GW610" s="35"/>
      <c r="GX610" s="35"/>
      <c r="GY610" s="35"/>
      <c r="GZ610" s="35"/>
      <c r="HA610" s="35"/>
      <c r="HB610" s="35"/>
      <c r="HC610" s="35"/>
      <c r="HD610" s="35"/>
      <c r="HE610" s="35"/>
      <c r="HF610" s="35"/>
      <c r="HG610" s="35"/>
      <c r="HH610" s="35"/>
      <c r="HI610" s="35"/>
      <c r="HJ610" s="35"/>
      <c r="HK610" s="35"/>
      <c r="HL610" s="35"/>
      <c r="HM610" s="35"/>
      <c r="HN610" s="35"/>
      <c r="HO610" s="35"/>
      <c r="HP610" s="35"/>
      <c r="HQ610" s="35"/>
      <c r="HR610" s="35"/>
      <c r="HS610" s="35"/>
      <c r="HT610" s="35"/>
      <c r="HU610" s="35"/>
      <c r="HV610" s="35"/>
      <c r="HW610" s="35"/>
      <c r="HX610" s="35"/>
      <c r="HY610" s="35"/>
      <c r="HZ610" s="35"/>
      <c r="IA610" s="35"/>
      <c r="IB610" s="35"/>
      <c r="IC610" s="35"/>
      <c r="ID610" s="35"/>
      <c r="IE610" s="35"/>
      <c r="IF610" s="35"/>
      <c r="IG610" s="35"/>
      <c r="IH610" s="35"/>
      <c r="II610" s="35"/>
      <c r="IJ610" s="35"/>
      <c r="IK610" s="35"/>
      <c r="IL610" s="35"/>
      <c r="IM610" s="35"/>
      <c r="IN610" s="35"/>
      <c r="IO610" s="35"/>
      <c r="IP610" s="35"/>
      <c r="IQ610" s="35"/>
      <c r="IR610" s="35"/>
      <c r="IS610" s="35"/>
      <c r="IT610" s="35"/>
      <c r="IU610" s="35"/>
      <c r="IV610" s="35"/>
      <c r="IW610" s="35"/>
      <c r="IX610" s="35"/>
      <c r="IY610" s="35"/>
      <c r="IZ610" s="35"/>
      <c r="JA610" s="35"/>
      <c r="JB610" s="35"/>
      <c r="JC610" s="35"/>
      <c r="JD610" s="35"/>
      <c r="JE610" s="35"/>
    </row>
    <row r="611">
      <c r="A611" s="42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  <c r="AZ611" s="35"/>
      <c r="BA611" s="35"/>
      <c r="BB611" s="35"/>
      <c r="BC611" s="35"/>
      <c r="BD611" s="35"/>
      <c r="BE611" s="35"/>
      <c r="BF611" s="35"/>
      <c r="BG611" s="35"/>
      <c r="BH611" s="35"/>
      <c r="BI611" s="35"/>
      <c r="BJ611" s="35"/>
      <c r="BK611" s="35"/>
      <c r="BL611" s="35"/>
      <c r="BM611" s="35"/>
      <c r="BN611" s="35"/>
      <c r="BO611" s="35"/>
      <c r="BP611" s="35"/>
      <c r="BQ611" s="35"/>
      <c r="BR611" s="35"/>
      <c r="BS611" s="35"/>
      <c r="BT611" s="35"/>
      <c r="BU611" s="35"/>
      <c r="BV611" s="35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35"/>
      <c r="CO611" s="35"/>
      <c r="CP611" s="35"/>
      <c r="CQ611" s="35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35"/>
      <c r="DJ611" s="35"/>
      <c r="DK611" s="35"/>
      <c r="DL611" s="35"/>
      <c r="DM611" s="35"/>
      <c r="DN611" s="35"/>
      <c r="DO611" s="35"/>
      <c r="DP611" s="35"/>
      <c r="DQ611" s="35"/>
      <c r="DR611" s="35"/>
      <c r="DS611" s="35"/>
      <c r="DT611" s="35"/>
      <c r="DU611" s="35"/>
      <c r="DV611" s="35"/>
      <c r="DW611" s="35"/>
      <c r="DX611" s="35"/>
      <c r="DY611" s="35"/>
      <c r="DZ611" s="35"/>
      <c r="EA611" s="35"/>
      <c r="EB611" s="35"/>
      <c r="EC611" s="35"/>
      <c r="ED611" s="35"/>
      <c r="EE611" s="35"/>
      <c r="EF611" s="35"/>
      <c r="EG611" s="35"/>
      <c r="EH611" s="35"/>
      <c r="EI611" s="35"/>
      <c r="EJ611" s="35"/>
      <c r="EK611" s="35"/>
      <c r="EL611" s="35"/>
      <c r="EM611" s="35"/>
      <c r="EN611" s="35"/>
      <c r="EO611" s="35"/>
      <c r="EP611" s="35"/>
      <c r="EQ611" s="35"/>
      <c r="ER611" s="35"/>
      <c r="ES611" s="35"/>
      <c r="ET611" s="35"/>
      <c r="EU611" s="35"/>
      <c r="EV611" s="35"/>
      <c r="EW611" s="35"/>
      <c r="EX611" s="35"/>
      <c r="EY611" s="35"/>
      <c r="EZ611" s="35"/>
      <c r="FA611" s="35"/>
      <c r="FB611" s="35"/>
      <c r="FC611" s="35"/>
      <c r="FD611" s="35"/>
      <c r="FE611" s="35"/>
      <c r="FF611" s="35"/>
      <c r="FG611" s="35"/>
      <c r="FH611" s="35"/>
      <c r="FI611" s="35"/>
      <c r="FJ611" s="35"/>
      <c r="FK611" s="35"/>
      <c r="FL611" s="35"/>
      <c r="FM611" s="35"/>
      <c r="FN611" s="35"/>
      <c r="FO611" s="35"/>
      <c r="FP611" s="35"/>
      <c r="FQ611" s="35"/>
      <c r="FR611" s="35"/>
      <c r="FS611" s="35"/>
      <c r="FT611" s="35"/>
      <c r="FU611" s="35"/>
      <c r="FV611" s="35"/>
      <c r="FW611" s="35"/>
      <c r="FX611" s="35"/>
      <c r="FY611" s="35"/>
      <c r="FZ611" s="35"/>
      <c r="GA611" s="35"/>
      <c r="GB611" s="35"/>
      <c r="GC611" s="35"/>
      <c r="GD611" s="35"/>
      <c r="GE611" s="35"/>
      <c r="GF611" s="35"/>
      <c r="GG611" s="35"/>
      <c r="GH611" s="35"/>
      <c r="GI611" s="35"/>
      <c r="GJ611" s="35"/>
      <c r="GK611" s="35"/>
      <c r="GL611" s="35"/>
      <c r="GM611" s="35"/>
      <c r="GN611" s="35"/>
      <c r="GO611" s="35"/>
      <c r="GP611" s="35"/>
      <c r="GQ611" s="35"/>
      <c r="GR611" s="35"/>
      <c r="GS611" s="35"/>
      <c r="GT611" s="35"/>
      <c r="GU611" s="35"/>
      <c r="GV611" s="35"/>
      <c r="GW611" s="35"/>
      <c r="GX611" s="35"/>
      <c r="GY611" s="35"/>
      <c r="GZ611" s="35"/>
      <c r="HA611" s="35"/>
      <c r="HB611" s="35"/>
      <c r="HC611" s="35"/>
      <c r="HD611" s="35"/>
      <c r="HE611" s="35"/>
      <c r="HF611" s="35"/>
      <c r="HG611" s="35"/>
      <c r="HH611" s="35"/>
      <c r="HI611" s="35"/>
      <c r="HJ611" s="35"/>
      <c r="HK611" s="35"/>
      <c r="HL611" s="35"/>
      <c r="HM611" s="35"/>
      <c r="HN611" s="35"/>
      <c r="HO611" s="35"/>
      <c r="HP611" s="35"/>
      <c r="HQ611" s="35"/>
      <c r="HR611" s="35"/>
      <c r="HS611" s="35"/>
      <c r="HT611" s="35"/>
      <c r="HU611" s="35"/>
      <c r="HV611" s="35"/>
      <c r="HW611" s="35"/>
      <c r="HX611" s="35"/>
      <c r="HY611" s="35"/>
      <c r="HZ611" s="35"/>
      <c r="IA611" s="35"/>
      <c r="IB611" s="35"/>
      <c r="IC611" s="35"/>
      <c r="ID611" s="35"/>
      <c r="IE611" s="35"/>
      <c r="IF611" s="35"/>
      <c r="IG611" s="35"/>
      <c r="IH611" s="35"/>
      <c r="II611" s="35"/>
      <c r="IJ611" s="35"/>
      <c r="IK611" s="35"/>
      <c r="IL611" s="35"/>
      <c r="IM611" s="35"/>
      <c r="IN611" s="35"/>
      <c r="IO611" s="35"/>
      <c r="IP611" s="35"/>
      <c r="IQ611" s="35"/>
      <c r="IR611" s="35"/>
      <c r="IS611" s="35"/>
      <c r="IT611" s="35"/>
      <c r="IU611" s="35"/>
      <c r="IV611" s="35"/>
      <c r="IW611" s="35"/>
      <c r="IX611" s="35"/>
      <c r="IY611" s="35"/>
      <c r="IZ611" s="35"/>
      <c r="JA611" s="35"/>
      <c r="JB611" s="35"/>
      <c r="JC611" s="35"/>
      <c r="JD611" s="35"/>
      <c r="JE611" s="35"/>
    </row>
    <row r="612">
      <c r="A612" s="42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  <c r="AZ612" s="35"/>
      <c r="BA612" s="35"/>
      <c r="BB612" s="35"/>
      <c r="BC612" s="35"/>
      <c r="BD612" s="35"/>
      <c r="BE612" s="35"/>
      <c r="BF612" s="35"/>
      <c r="BG612" s="35"/>
      <c r="BH612" s="35"/>
      <c r="BI612" s="35"/>
      <c r="BJ612" s="35"/>
      <c r="BK612" s="35"/>
      <c r="BL612" s="35"/>
      <c r="BM612" s="35"/>
      <c r="BN612" s="35"/>
      <c r="BO612" s="35"/>
      <c r="BP612" s="35"/>
      <c r="BQ612" s="35"/>
      <c r="BR612" s="35"/>
      <c r="BS612" s="35"/>
      <c r="BT612" s="35"/>
      <c r="BU612" s="35"/>
      <c r="BV612" s="35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35"/>
      <c r="CO612" s="35"/>
      <c r="CP612" s="35"/>
      <c r="CQ612" s="35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35"/>
      <c r="DJ612" s="35"/>
      <c r="DK612" s="35"/>
      <c r="DL612" s="35"/>
      <c r="DM612" s="35"/>
      <c r="DN612" s="35"/>
      <c r="DO612" s="35"/>
      <c r="DP612" s="35"/>
      <c r="DQ612" s="35"/>
      <c r="DR612" s="35"/>
      <c r="DS612" s="35"/>
      <c r="DT612" s="35"/>
      <c r="DU612" s="35"/>
      <c r="DV612" s="35"/>
      <c r="DW612" s="35"/>
      <c r="DX612" s="35"/>
      <c r="DY612" s="35"/>
      <c r="DZ612" s="35"/>
      <c r="EA612" s="35"/>
      <c r="EB612" s="35"/>
      <c r="EC612" s="35"/>
      <c r="ED612" s="35"/>
      <c r="EE612" s="35"/>
      <c r="EF612" s="35"/>
      <c r="EG612" s="35"/>
      <c r="EH612" s="35"/>
      <c r="EI612" s="35"/>
      <c r="EJ612" s="35"/>
      <c r="EK612" s="35"/>
      <c r="EL612" s="35"/>
      <c r="EM612" s="35"/>
      <c r="EN612" s="35"/>
      <c r="EO612" s="35"/>
      <c r="EP612" s="35"/>
      <c r="EQ612" s="35"/>
      <c r="ER612" s="35"/>
      <c r="ES612" s="35"/>
      <c r="ET612" s="35"/>
      <c r="EU612" s="35"/>
      <c r="EV612" s="35"/>
      <c r="EW612" s="35"/>
      <c r="EX612" s="35"/>
      <c r="EY612" s="35"/>
      <c r="EZ612" s="35"/>
      <c r="FA612" s="35"/>
      <c r="FB612" s="35"/>
      <c r="FC612" s="35"/>
      <c r="FD612" s="35"/>
      <c r="FE612" s="35"/>
      <c r="FF612" s="35"/>
      <c r="FG612" s="35"/>
      <c r="FH612" s="35"/>
      <c r="FI612" s="35"/>
      <c r="FJ612" s="35"/>
      <c r="FK612" s="35"/>
      <c r="FL612" s="35"/>
      <c r="FM612" s="35"/>
      <c r="FN612" s="35"/>
      <c r="FO612" s="35"/>
      <c r="FP612" s="35"/>
      <c r="FQ612" s="35"/>
      <c r="FR612" s="35"/>
      <c r="FS612" s="35"/>
      <c r="FT612" s="35"/>
      <c r="FU612" s="35"/>
      <c r="FV612" s="35"/>
      <c r="FW612" s="35"/>
      <c r="FX612" s="35"/>
      <c r="FY612" s="35"/>
      <c r="FZ612" s="35"/>
      <c r="GA612" s="35"/>
      <c r="GB612" s="35"/>
      <c r="GC612" s="35"/>
      <c r="GD612" s="35"/>
      <c r="GE612" s="35"/>
      <c r="GF612" s="35"/>
      <c r="GG612" s="35"/>
      <c r="GH612" s="35"/>
      <c r="GI612" s="35"/>
      <c r="GJ612" s="35"/>
      <c r="GK612" s="35"/>
      <c r="GL612" s="35"/>
      <c r="GM612" s="35"/>
      <c r="GN612" s="35"/>
      <c r="GO612" s="35"/>
      <c r="GP612" s="35"/>
      <c r="GQ612" s="35"/>
      <c r="GR612" s="35"/>
      <c r="GS612" s="35"/>
      <c r="GT612" s="35"/>
      <c r="GU612" s="35"/>
      <c r="GV612" s="35"/>
      <c r="GW612" s="35"/>
      <c r="GX612" s="35"/>
      <c r="GY612" s="35"/>
      <c r="GZ612" s="35"/>
      <c r="HA612" s="35"/>
      <c r="HB612" s="35"/>
      <c r="HC612" s="35"/>
      <c r="HD612" s="35"/>
      <c r="HE612" s="35"/>
      <c r="HF612" s="35"/>
      <c r="HG612" s="35"/>
      <c r="HH612" s="35"/>
      <c r="HI612" s="35"/>
      <c r="HJ612" s="35"/>
      <c r="HK612" s="35"/>
      <c r="HL612" s="35"/>
      <c r="HM612" s="35"/>
      <c r="HN612" s="35"/>
      <c r="HO612" s="35"/>
      <c r="HP612" s="35"/>
      <c r="HQ612" s="35"/>
      <c r="HR612" s="35"/>
      <c r="HS612" s="35"/>
      <c r="HT612" s="35"/>
      <c r="HU612" s="35"/>
      <c r="HV612" s="35"/>
      <c r="HW612" s="35"/>
      <c r="HX612" s="35"/>
      <c r="HY612" s="35"/>
      <c r="HZ612" s="35"/>
      <c r="IA612" s="35"/>
      <c r="IB612" s="35"/>
      <c r="IC612" s="35"/>
      <c r="ID612" s="35"/>
      <c r="IE612" s="35"/>
      <c r="IF612" s="35"/>
      <c r="IG612" s="35"/>
      <c r="IH612" s="35"/>
      <c r="II612" s="35"/>
      <c r="IJ612" s="35"/>
      <c r="IK612" s="35"/>
      <c r="IL612" s="35"/>
      <c r="IM612" s="35"/>
      <c r="IN612" s="35"/>
      <c r="IO612" s="35"/>
      <c r="IP612" s="35"/>
      <c r="IQ612" s="35"/>
      <c r="IR612" s="35"/>
      <c r="IS612" s="35"/>
      <c r="IT612" s="35"/>
      <c r="IU612" s="35"/>
      <c r="IV612" s="35"/>
      <c r="IW612" s="35"/>
      <c r="IX612" s="35"/>
      <c r="IY612" s="35"/>
      <c r="IZ612" s="35"/>
      <c r="JA612" s="35"/>
      <c r="JB612" s="35"/>
      <c r="JC612" s="35"/>
      <c r="JD612" s="35"/>
      <c r="JE612" s="35"/>
    </row>
    <row r="613">
      <c r="A613" s="42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  <c r="AZ613" s="35"/>
      <c r="BA613" s="35"/>
      <c r="BB613" s="35"/>
      <c r="BC613" s="35"/>
      <c r="BD613" s="35"/>
      <c r="BE613" s="35"/>
      <c r="BF613" s="35"/>
      <c r="BG613" s="35"/>
      <c r="BH613" s="35"/>
      <c r="BI613" s="35"/>
      <c r="BJ613" s="35"/>
      <c r="BK613" s="35"/>
      <c r="BL613" s="35"/>
      <c r="BM613" s="35"/>
      <c r="BN613" s="35"/>
      <c r="BO613" s="35"/>
      <c r="BP613" s="35"/>
      <c r="BQ613" s="35"/>
      <c r="BR613" s="35"/>
      <c r="BS613" s="35"/>
      <c r="BT613" s="35"/>
      <c r="BU613" s="35"/>
      <c r="BV613" s="35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35"/>
      <c r="CO613" s="35"/>
      <c r="CP613" s="35"/>
      <c r="CQ613" s="35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35"/>
      <c r="DJ613" s="35"/>
      <c r="DK613" s="35"/>
      <c r="DL613" s="35"/>
      <c r="DM613" s="35"/>
      <c r="DN613" s="35"/>
      <c r="DO613" s="35"/>
      <c r="DP613" s="35"/>
      <c r="DQ613" s="35"/>
      <c r="DR613" s="35"/>
      <c r="DS613" s="35"/>
      <c r="DT613" s="35"/>
      <c r="DU613" s="35"/>
      <c r="DV613" s="35"/>
      <c r="DW613" s="35"/>
      <c r="DX613" s="35"/>
      <c r="DY613" s="35"/>
      <c r="DZ613" s="35"/>
      <c r="EA613" s="35"/>
      <c r="EB613" s="35"/>
      <c r="EC613" s="35"/>
      <c r="ED613" s="35"/>
      <c r="EE613" s="35"/>
      <c r="EF613" s="35"/>
      <c r="EG613" s="35"/>
      <c r="EH613" s="35"/>
      <c r="EI613" s="35"/>
      <c r="EJ613" s="35"/>
      <c r="EK613" s="35"/>
      <c r="EL613" s="35"/>
      <c r="EM613" s="35"/>
      <c r="EN613" s="35"/>
      <c r="EO613" s="35"/>
      <c r="EP613" s="35"/>
      <c r="EQ613" s="35"/>
      <c r="ER613" s="35"/>
      <c r="ES613" s="35"/>
      <c r="ET613" s="35"/>
      <c r="EU613" s="35"/>
      <c r="EV613" s="35"/>
      <c r="EW613" s="35"/>
      <c r="EX613" s="35"/>
      <c r="EY613" s="35"/>
      <c r="EZ613" s="35"/>
      <c r="FA613" s="35"/>
      <c r="FB613" s="35"/>
      <c r="FC613" s="35"/>
      <c r="FD613" s="35"/>
      <c r="FE613" s="35"/>
      <c r="FF613" s="35"/>
      <c r="FG613" s="35"/>
      <c r="FH613" s="35"/>
      <c r="FI613" s="35"/>
      <c r="FJ613" s="35"/>
      <c r="FK613" s="35"/>
      <c r="FL613" s="35"/>
      <c r="FM613" s="35"/>
      <c r="FN613" s="35"/>
      <c r="FO613" s="35"/>
      <c r="FP613" s="35"/>
      <c r="FQ613" s="35"/>
      <c r="FR613" s="35"/>
      <c r="FS613" s="35"/>
      <c r="FT613" s="35"/>
      <c r="FU613" s="35"/>
      <c r="FV613" s="35"/>
      <c r="FW613" s="35"/>
      <c r="FX613" s="35"/>
      <c r="FY613" s="35"/>
      <c r="FZ613" s="35"/>
      <c r="GA613" s="35"/>
      <c r="GB613" s="35"/>
      <c r="GC613" s="35"/>
      <c r="GD613" s="35"/>
      <c r="GE613" s="35"/>
      <c r="GF613" s="35"/>
      <c r="GG613" s="35"/>
      <c r="GH613" s="35"/>
      <c r="GI613" s="35"/>
      <c r="GJ613" s="35"/>
      <c r="GK613" s="35"/>
      <c r="GL613" s="35"/>
      <c r="GM613" s="35"/>
      <c r="GN613" s="35"/>
      <c r="GO613" s="35"/>
      <c r="GP613" s="35"/>
      <c r="GQ613" s="35"/>
      <c r="GR613" s="35"/>
      <c r="GS613" s="35"/>
      <c r="GT613" s="35"/>
      <c r="GU613" s="35"/>
      <c r="GV613" s="35"/>
      <c r="GW613" s="35"/>
      <c r="GX613" s="35"/>
      <c r="GY613" s="35"/>
      <c r="GZ613" s="35"/>
      <c r="HA613" s="35"/>
      <c r="HB613" s="35"/>
      <c r="HC613" s="35"/>
      <c r="HD613" s="35"/>
      <c r="HE613" s="35"/>
      <c r="HF613" s="35"/>
      <c r="HG613" s="35"/>
      <c r="HH613" s="35"/>
      <c r="HI613" s="35"/>
      <c r="HJ613" s="35"/>
      <c r="HK613" s="35"/>
      <c r="HL613" s="35"/>
      <c r="HM613" s="35"/>
      <c r="HN613" s="35"/>
      <c r="HO613" s="35"/>
      <c r="HP613" s="35"/>
      <c r="HQ613" s="35"/>
      <c r="HR613" s="35"/>
      <c r="HS613" s="35"/>
      <c r="HT613" s="35"/>
      <c r="HU613" s="35"/>
      <c r="HV613" s="35"/>
      <c r="HW613" s="35"/>
      <c r="HX613" s="35"/>
      <c r="HY613" s="35"/>
      <c r="HZ613" s="35"/>
      <c r="IA613" s="35"/>
      <c r="IB613" s="35"/>
      <c r="IC613" s="35"/>
      <c r="ID613" s="35"/>
      <c r="IE613" s="35"/>
      <c r="IF613" s="35"/>
      <c r="IG613" s="35"/>
      <c r="IH613" s="35"/>
      <c r="II613" s="35"/>
      <c r="IJ613" s="35"/>
      <c r="IK613" s="35"/>
      <c r="IL613" s="35"/>
      <c r="IM613" s="35"/>
      <c r="IN613" s="35"/>
      <c r="IO613" s="35"/>
      <c r="IP613" s="35"/>
      <c r="IQ613" s="35"/>
      <c r="IR613" s="35"/>
      <c r="IS613" s="35"/>
      <c r="IT613" s="35"/>
      <c r="IU613" s="35"/>
      <c r="IV613" s="35"/>
      <c r="IW613" s="35"/>
      <c r="IX613" s="35"/>
      <c r="IY613" s="35"/>
      <c r="IZ613" s="35"/>
      <c r="JA613" s="35"/>
      <c r="JB613" s="35"/>
      <c r="JC613" s="35"/>
      <c r="JD613" s="35"/>
      <c r="JE613" s="35"/>
    </row>
    <row r="614">
      <c r="A614" s="42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  <c r="BC614" s="35"/>
      <c r="BD614" s="35"/>
      <c r="BE614" s="35"/>
      <c r="BF614" s="35"/>
      <c r="BG614" s="35"/>
      <c r="BH614" s="35"/>
      <c r="BI614" s="35"/>
      <c r="BJ614" s="35"/>
      <c r="BK614" s="35"/>
      <c r="BL614" s="35"/>
      <c r="BM614" s="35"/>
      <c r="BN614" s="35"/>
      <c r="BO614" s="35"/>
      <c r="BP614" s="35"/>
      <c r="BQ614" s="35"/>
      <c r="BR614" s="35"/>
      <c r="BS614" s="35"/>
      <c r="BT614" s="35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35"/>
      <c r="CO614" s="35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35"/>
      <c r="DJ614" s="35"/>
      <c r="DK614" s="35"/>
      <c r="DL614" s="35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35"/>
      <c r="EE614" s="35"/>
      <c r="EF614" s="35"/>
      <c r="EG614" s="35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  <c r="ER614" s="35"/>
      <c r="ES614" s="35"/>
      <c r="ET614" s="35"/>
      <c r="EU614" s="35"/>
      <c r="EV614" s="35"/>
      <c r="EW614" s="35"/>
      <c r="EX614" s="35"/>
      <c r="EY614" s="35"/>
      <c r="EZ614" s="35"/>
      <c r="FA614" s="35"/>
      <c r="FB614" s="35"/>
      <c r="FC614" s="35"/>
      <c r="FD614" s="35"/>
      <c r="FE614" s="35"/>
      <c r="FF614" s="35"/>
      <c r="FG614" s="35"/>
      <c r="FH614" s="35"/>
      <c r="FI614" s="35"/>
      <c r="FJ614" s="35"/>
      <c r="FK614" s="35"/>
      <c r="FL614" s="35"/>
      <c r="FM614" s="35"/>
      <c r="FN614" s="35"/>
      <c r="FO614" s="35"/>
      <c r="FP614" s="35"/>
      <c r="FQ614" s="35"/>
      <c r="FR614" s="35"/>
      <c r="FS614" s="35"/>
      <c r="FT614" s="35"/>
      <c r="FU614" s="35"/>
      <c r="FV614" s="35"/>
      <c r="FW614" s="35"/>
      <c r="FX614" s="35"/>
      <c r="FY614" s="35"/>
      <c r="FZ614" s="35"/>
      <c r="GA614" s="35"/>
      <c r="GB614" s="35"/>
      <c r="GC614" s="35"/>
      <c r="GD614" s="35"/>
      <c r="GE614" s="35"/>
      <c r="GF614" s="35"/>
      <c r="GG614" s="35"/>
      <c r="GH614" s="35"/>
      <c r="GI614" s="35"/>
      <c r="GJ614" s="35"/>
      <c r="GK614" s="35"/>
      <c r="GL614" s="35"/>
      <c r="GM614" s="35"/>
      <c r="GN614" s="35"/>
      <c r="GO614" s="35"/>
      <c r="GP614" s="35"/>
      <c r="GQ614" s="35"/>
      <c r="GR614" s="35"/>
      <c r="GS614" s="35"/>
      <c r="GT614" s="35"/>
      <c r="GU614" s="35"/>
      <c r="GV614" s="35"/>
      <c r="GW614" s="35"/>
      <c r="GX614" s="35"/>
      <c r="GY614" s="35"/>
      <c r="GZ614" s="35"/>
      <c r="HA614" s="35"/>
      <c r="HB614" s="35"/>
      <c r="HC614" s="35"/>
      <c r="HD614" s="35"/>
      <c r="HE614" s="35"/>
      <c r="HF614" s="35"/>
      <c r="HG614" s="35"/>
      <c r="HH614" s="35"/>
      <c r="HI614" s="35"/>
      <c r="HJ614" s="35"/>
      <c r="HK614" s="35"/>
      <c r="HL614" s="35"/>
      <c r="HM614" s="35"/>
      <c r="HN614" s="35"/>
      <c r="HO614" s="35"/>
      <c r="HP614" s="35"/>
      <c r="HQ614" s="35"/>
      <c r="HR614" s="35"/>
      <c r="HS614" s="35"/>
      <c r="HT614" s="35"/>
      <c r="HU614" s="35"/>
      <c r="HV614" s="35"/>
      <c r="HW614" s="35"/>
      <c r="HX614" s="35"/>
      <c r="HY614" s="35"/>
      <c r="HZ614" s="35"/>
      <c r="IA614" s="35"/>
      <c r="IB614" s="35"/>
      <c r="IC614" s="35"/>
      <c r="ID614" s="35"/>
      <c r="IE614" s="35"/>
      <c r="IF614" s="35"/>
      <c r="IG614" s="35"/>
      <c r="IH614" s="35"/>
      <c r="II614" s="35"/>
      <c r="IJ614" s="35"/>
      <c r="IK614" s="35"/>
      <c r="IL614" s="35"/>
      <c r="IM614" s="35"/>
      <c r="IN614" s="35"/>
      <c r="IO614" s="35"/>
      <c r="IP614" s="35"/>
      <c r="IQ614" s="35"/>
      <c r="IR614" s="35"/>
      <c r="IS614" s="35"/>
      <c r="IT614" s="35"/>
      <c r="IU614" s="35"/>
      <c r="IV614" s="35"/>
      <c r="IW614" s="35"/>
      <c r="IX614" s="35"/>
      <c r="IY614" s="35"/>
      <c r="IZ614" s="35"/>
      <c r="JA614" s="35"/>
      <c r="JB614" s="35"/>
      <c r="JC614" s="35"/>
      <c r="JD614" s="35"/>
      <c r="JE614" s="35"/>
    </row>
    <row r="615">
      <c r="A615" s="42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  <c r="AZ615" s="35"/>
      <c r="BA615" s="35"/>
      <c r="BB615" s="35"/>
      <c r="BC615" s="35"/>
      <c r="BD615" s="35"/>
      <c r="BE615" s="35"/>
      <c r="BF615" s="35"/>
      <c r="BG615" s="35"/>
      <c r="BH615" s="35"/>
      <c r="BI615" s="35"/>
      <c r="BJ615" s="35"/>
      <c r="BK615" s="35"/>
      <c r="BL615" s="35"/>
      <c r="BM615" s="35"/>
      <c r="BN615" s="35"/>
      <c r="BO615" s="35"/>
      <c r="BP615" s="35"/>
      <c r="BQ615" s="35"/>
      <c r="BR615" s="35"/>
      <c r="BS615" s="35"/>
      <c r="BT615" s="35"/>
      <c r="BU615" s="35"/>
      <c r="BV615" s="35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35"/>
      <c r="CO615" s="35"/>
      <c r="CP615" s="35"/>
      <c r="CQ615" s="35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35"/>
      <c r="DJ615" s="35"/>
      <c r="DK615" s="35"/>
      <c r="DL615" s="35"/>
      <c r="DM615" s="35"/>
      <c r="DN615" s="35"/>
      <c r="DO615" s="35"/>
      <c r="DP615" s="35"/>
      <c r="DQ615" s="35"/>
      <c r="DR615" s="35"/>
      <c r="DS615" s="35"/>
      <c r="DT615" s="35"/>
      <c r="DU615" s="35"/>
      <c r="DV615" s="35"/>
      <c r="DW615" s="35"/>
      <c r="DX615" s="35"/>
      <c r="DY615" s="35"/>
      <c r="DZ615" s="35"/>
      <c r="EA615" s="35"/>
      <c r="EB615" s="35"/>
      <c r="EC615" s="35"/>
      <c r="ED615" s="35"/>
      <c r="EE615" s="35"/>
      <c r="EF615" s="35"/>
      <c r="EG615" s="35"/>
      <c r="EH615" s="35"/>
      <c r="EI615" s="35"/>
      <c r="EJ615" s="35"/>
      <c r="EK615" s="35"/>
      <c r="EL615" s="35"/>
      <c r="EM615" s="35"/>
      <c r="EN615" s="35"/>
      <c r="EO615" s="35"/>
      <c r="EP615" s="35"/>
      <c r="EQ615" s="35"/>
      <c r="ER615" s="35"/>
      <c r="ES615" s="35"/>
      <c r="ET615" s="35"/>
      <c r="EU615" s="35"/>
      <c r="EV615" s="35"/>
      <c r="EW615" s="35"/>
      <c r="EX615" s="35"/>
      <c r="EY615" s="35"/>
      <c r="EZ615" s="35"/>
      <c r="FA615" s="35"/>
      <c r="FB615" s="35"/>
      <c r="FC615" s="35"/>
      <c r="FD615" s="35"/>
      <c r="FE615" s="35"/>
      <c r="FF615" s="35"/>
      <c r="FG615" s="35"/>
      <c r="FH615" s="35"/>
      <c r="FI615" s="35"/>
      <c r="FJ615" s="35"/>
      <c r="FK615" s="35"/>
      <c r="FL615" s="35"/>
      <c r="FM615" s="35"/>
      <c r="FN615" s="35"/>
      <c r="FO615" s="35"/>
      <c r="FP615" s="35"/>
      <c r="FQ615" s="35"/>
      <c r="FR615" s="35"/>
      <c r="FS615" s="35"/>
      <c r="FT615" s="35"/>
      <c r="FU615" s="35"/>
      <c r="FV615" s="35"/>
      <c r="FW615" s="35"/>
      <c r="FX615" s="35"/>
      <c r="FY615" s="35"/>
      <c r="FZ615" s="35"/>
      <c r="GA615" s="35"/>
      <c r="GB615" s="35"/>
      <c r="GC615" s="35"/>
      <c r="GD615" s="35"/>
      <c r="GE615" s="35"/>
      <c r="GF615" s="35"/>
      <c r="GG615" s="35"/>
      <c r="GH615" s="35"/>
      <c r="GI615" s="35"/>
      <c r="GJ615" s="35"/>
      <c r="GK615" s="35"/>
      <c r="GL615" s="35"/>
      <c r="GM615" s="35"/>
      <c r="GN615" s="35"/>
      <c r="GO615" s="35"/>
      <c r="GP615" s="35"/>
      <c r="GQ615" s="35"/>
      <c r="GR615" s="35"/>
      <c r="GS615" s="35"/>
      <c r="GT615" s="35"/>
      <c r="GU615" s="35"/>
      <c r="GV615" s="35"/>
      <c r="GW615" s="35"/>
      <c r="GX615" s="35"/>
      <c r="GY615" s="35"/>
      <c r="GZ615" s="35"/>
      <c r="HA615" s="35"/>
      <c r="HB615" s="35"/>
      <c r="HC615" s="35"/>
      <c r="HD615" s="35"/>
      <c r="HE615" s="35"/>
      <c r="HF615" s="35"/>
      <c r="HG615" s="35"/>
      <c r="HH615" s="35"/>
      <c r="HI615" s="35"/>
      <c r="HJ615" s="35"/>
      <c r="HK615" s="35"/>
      <c r="HL615" s="35"/>
      <c r="HM615" s="35"/>
      <c r="HN615" s="35"/>
      <c r="HO615" s="35"/>
      <c r="HP615" s="35"/>
      <c r="HQ615" s="35"/>
      <c r="HR615" s="35"/>
      <c r="HS615" s="35"/>
      <c r="HT615" s="35"/>
      <c r="HU615" s="35"/>
      <c r="HV615" s="35"/>
      <c r="HW615" s="35"/>
      <c r="HX615" s="35"/>
      <c r="HY615" s="35"/>
      <c r="HZ615" s="35"/>
      <c r="IA615" s="35"/>
      <c r="IB615" s="35"/>
      <c r="IC615" s="35"/>
      <c r="ID615" s="35"/>
      <c r="IE615" s="35"/>
      <c r="IF615" s="35"/>
      <c r="IG615" s="35"/>
      <c r="IH615" s="35"/>
      <c r="II615" s="35"/>
      <c r="IJ615" s="35"/>
      <c r="IK615" s="35"/>
      <c r="IL615" s="35"/>
      <c r="IM615" s="35"/>
      <c r="IN615" s="35"/>
      <c r="IO615" s="35"/>
      <c r="IP615" s="35"/>
      <c r="IQ615" s="35"/>
      <c r="IR615" s="35"/>
      <c r="IS615" s="35"/>
      <c r="IT615" s="35"/>
      <c r="IU615" s="35"/>
      <c r="IV615" s="35"/>
      <c r="IW615" s="35"/>
      <c r="IX615" s="35"/>
      <c r="IY615" s="35"/>
      <c r="IZ615" s="35"/>
      <c r="JA615" s="35"/>
      <c r="JB615" s="35"/>
      <c r="JC615" s="35"/>
      <c r="JD615" s="35"/>
      <c r="JE615" s="35"/>
    </row>
    <row r="616">
      <c r="A616" s="42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  <c r="AZ616" s="35"/>
      <c r="BA616" s="35"/>
      <c r="BB616" s="35"/>
      <c r="BC616" s="35"/>
      <c r="BD616" s="35"/>
      <c r="BE616" s="35"/>
      <c r="BF616" s="35"/>
      <c r="BG616" s="35"/>
      <c r="BH616" s="35"/>
      <c r="BI616" s="35"/>
      <c r="BJ616" s="35"/>
      <c r="BK616" s="35"/>
      <c r="BL616" s="35"/>
      <c r="BM616" s="35"/>
      <c r="BN616" s="35"/>
      <c r="BO616" s="35"/>
      <c r="BP616" s="35"/>
      <c r="BQ616" s="35"/>
      <c r="BR616" s="35"/>
      <c r="BS616" s="35"/>
      <c r="BT616" s="35"/>
      <c r="BU616" s="35"/>
      <c r="BV616" s="35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35"/>
      <c r="CO616" s="35"/>
      <c r="CP616" s="35"/>
      <c r="CQ616" s="35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35"/>
      <c r="DJ616" s="35"/>
      <c r="DK616" s="35"/>
      <c r="DL616" s="35"/>
      <c r="DM616" s="35"/>
      <c r="DN616" s="35"/>
      <c r="DO616" s="35"/>
      <c r="DP616" s="35"/>
      <c r="DQ616" s="35"/>
      <c r="DR616" s="35"/>
      <c r="DS616" s="35"/>
      <c r="DT616" s="35"/>
      <c r="DU616" s="35"/>
      <c r="DV616" s="35"/>
      <c r="DW616" s="35"/>
      <c r="DX616" s="35"/>
      <c r="DY616" s="35"/>
      <c r="DZ616" s="35"/>
      <c r="EA616" s="35"/>
      <c r="EB616" s="35"/>
      <c r="EC616" s="35"/>
      <c r="ED616" s="35"/>
      <c r="EE616" s="35"/>
      <c r="EF616" s="35"/>
      <c r="EG616" s="35"/>
      <c r="EH616" s="35"/>
      <c r="EI616" s="35"/>
      <c r="EJ616" s="35"/>
      <c r="EK616" s="35"/>
      <c r="EL616" s="35"/>
      <c r="EM616" s="35"/>
      <c r="EN616" s="35"/>
      <c r="EO616" s="35"/>
      <c r="EP616" s="35"/>
      <c r="EQ616" s="35"/>
      <c r="ER616" s="35"/>
      <c r="ES616" s="35"/>
      <c r="ET616" s="35"/>
      <c r="EU616" s="35"/>
      <c r="EV616" s="35"/>
      <c r="EW616" s="35"/>
      <c r="EX616" s="35"/>
      <c r="EY616" s="35"/>
      <c r="EZ616" s="35"/>
      <c r="FA616" s="35"/>
      <c r="FB616" s="35"/>
      <c r="FC616" s="35"/>
      <c r="FD616" s="35"/>
      <c r="FE616" s="35"/>
      <c r="FF616" s="35"/>
      <c r="FG616" s="35"/>
      <c r="FH616" s="35"/>
      <c r="FI616" s="35"/>
      <c r="FJ616" s="35"/>
      <c r="FK616" s="35"/>
      <c r="FL616" s="35"/>
      <c r="FM616" s="35"/>
      <c r="FN616" s="35"/>
      <c r="FO616" s="35"/>
      <c r="FP616" s="35"/>
      <c r="FQ616" s="35"/>
      <c r="FR616" s="35"/>
      <c r="FS616" s="35"/>
      <c r="FT616" s="35"/>
      <c r="FU616" s="35"/>
      <c r="FV616" s="35"/>
      <c r="FW616" s="35"/>
      <c r="FX616" s="35"/>
      <c r="FY616" s="35"/>
      <c r="FZ616" s="35"/>
      <c r="GA616" s="35"/>
      <c r="GB616" s="35"/>
      <c r="GC616" s="35"/>
      <c r="GD616" s="35"/>
      <c r="GE616" s="35"/>
      <c r="GF616" s="35"/>
      <c r="GG616" s="35"/>
      <c r="GH616" s="35"/>
      <c r="GI616" s="35"/>
      <c r="GJ616" s="35"/>
      <c r="GK616" s="35"/>
      <c r="GL616" s="35"/>
      <c r="GM616" s="35"/>
      <c r="GN616" s="35"/>
      <c r="GO616" s="35"/>
      <c r="GP616" s="35"/>
      <c r="GQ616" s="35"/>
      <c r="GR616" s="35"/>
      <c r="GS616" s="35"/>
      <c r="GT616" s="35"/>
      <c r="GU616" s="35"/>
      <c r="GV616" s="35"/>
      <c r="GW616" s="35"/>
      <c r="GX616" s="35"/>
      <c r="GY616" s="35"/>
      <c r="GZ616" s="35"/>
      <c r="HA616" s="35"/>
      <c r="HB616" s="35"/>
      <c r="HC616" s="35"/>
      <c r="HD616" s="35"/>
      <c r="HE616" s="35"/>
      <c r="HF616" s="35"/>
      <c r="HG616" s="35"/>
      <c r="HH616" s="35"/>
      <c r="HI616" s="35"/>
      <c r="HJ616" s="35"/>
      <c r="HK616" s="35"/>
      <c r="HL616" s="35"/>
      <c r="HM616" s="35"/>
      <c r="HN616" s="35"/>
      <c r="HO616" s="35"/>
      <c r="HP616" s="35"/>
      <c r="HQ616" s="35"/>
      <c r="HR616" s="35"/>
      <c r="HS616" s="35"/>
      <c r="HT616" s="35"/>
      <c r="HU616" s="35"/>
      <c r="HV616" s="35"/>
      <c r="HW616" s="35"/>
      <c r="HX616" s="35"/>
      <c r="HY616" s="35"/>
      <c r="HZ616" s="35"/>
      <c r="IA616" s="35"/>
      <c r="IB616" s="35"/>
      <c r="IC616" s="35"/>
      <c r="ID616" s="35"/>
      <c r="IE616" s="35"/>
      <c r="IF616" s="35"/>
      <c r="IG616" s="35"/>
      <c r="IH616" s="35"/>
      <c r="II616" s="35"/>
      <c r="IJ616" s="35"/>
      <c r="IK616" s="35"/>
      <c r="IL616" s="35"/>
      <c r="IM616" s="35"/>
      <c r="IN616" s="35"/>
      <c r="IO616" s="35"/>
      <c r="IP616" s="35"/>
      <c r="IQ616" s="35"/>
      <c r="IR616" s="35"/>
      <c r="IS616" s="35"/>
      <c r="IT616" s="35"/>
      <c r="IU616" s="35"/>
      <c r="IV616" s="35"/>
      <c r="IW616" s="35"/>
      <c r="IX616" s="35"/>
      <c r="IY616" s="35"/>
      <c r="IZ616" s="35"/>
      <c r="JA616" s="35"/>
      <c r="JB616" s="35"/>
      <c r="JC616" s="35"/>
      <c r="JD616" s="35"/>
      <c r="JE616" s="35"/>
    </row>
    <row r="617">
      <c r="A617" s="42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  <c r="AZ617" s="35"/>
      <c r="BA617" s="35"/>
      <c r="BB617" s="35"/>
      <c r="BC617" s="35"/>
      <c r="BD617" s="35"/>
      <c r="BE617" s="35"/>
      <c r="BF617" s="35"/>
      <c r="BG617" s="35"/>
      <c r="BH617" s="35"/>
      <c r="BI617" s="35"/>
      <c r="BJ617" s="35"/>
      <c r="BK617" s="35"/>
      <c r="BL617" s="35"/>
      <c r="BM617" s="35"/>
      <c r="BN617" s="35"/>
      <c r="BO617" s="35"/>
      <c r="BP617" s="35"/>
      <c r="BQ617" s="35"/>
      <c r="BR617" s="35"/>
      <c r="BS617" s="35"/>
      <c r="BT617" s="35"/>
      <c r="BU617" s="35"/>
      <c r="BV617" s="35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35"/>
      <c r="CO617" s="35"/>
      <c r="CP617" s="35"/>
      <c r="CQ617" s="35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35"/>
      <c r="DJ617" s="35"/>
      <c r="DK617" s="35"/>
      <c r="DL617" s="35"/>
      <c r="DM617" s="35"/>
      <c r="DN617" s="35"/>
      <c r="DO617" s="35"/>
      <c r="DP617" s="35"/>
      <c r="DQ617" s="35"/>
      <c r="DR617" s="35"/>
      <c r="DS617" s="35"/>
      <c r="DT617" s="35"/>
      <c r="DU617" s="35"/>
      <c r="DV617" s="35"/>
      <c r="DW617" s="35"/>
      <c r="DX617" s="35"/>
      <c r="DY617" s="35"/>
      <c r="DZ617" s="35"/>
      <c r="EA617" s="35"/>
      <c r="EB617" s="35"/>
      <c r="EC617" s="35"/>
      <c r="ED617" s="35"/>
      <c r="EE617" s="35"/>
      <c r="EF617" s="35"/>
      <c r="EG617" s="35"/>
      <c r="EH617" s="35"/>
      <c r="EI617" s="35"/>
      <c r="EJ617" s="35"/>
      <c r="EK617" s="35"/>
      <c r="EL617" s="35"/>
      <c r="EM617" s="35"/>
      <c r="EN617" s="35"/>
      <c r="EO617" s="35"/>
      <c r="EP617" s="35"/>
      <c r="EQ617" s="35"/>
      <c r="ER617" s="35"/>
      <c r="ES617" s="35"/>
      <c r="ET617" s="35"/>
      <c r="EU617" s="35"/>
      <c r="EV617" s="35"/>
      <c r="EW617" s="35"/>
      <c r="EX617" s="35"/>
      <c r="EY617" s="35"/>
      <c r="EZ617" s="35"/>
      <c r="FA617" s="35"/>
      <c r="FB617" s="35"/>
      <c r="FC617" s="35"/>
      <c r="FD617" s="35"/>
      <c r="FE617" s="35"/>
      <c r="FF617" s="35"/>
      <c r="FG617" s="35"/>
      <c r="FH617" s="35"/>
      <c r="FI617" s="35"/>
      <c r="FJ617" s="35"/>
      <c r="FK617" s="35"/>
      <c r="FL617" s="35"/>
      <c r="FM617" s="35"/>
      <c r="FN617" s="35"/>
      <c r="FO617" s="35"/>
      <c r="FP617" s="35"/>
      <c r="FQ617" s="35"/>
      <c r="FR617" s="35"/>
      <c r="FS617" s="35"/>
      <c r="FT617" s="35"/>
      <c r="FU617" s="35"/>
      <c r="FV617" s="35"/>
      <c r="FW617" s="35"/>
      <c r="FX617" s="35"/>
      <c r="FY617" s="35"/>
      <c r="FZ617" s="35"/>
      <c r="GA617" s="35"/>
      <c r="GB617" s="35"/>
      <c r="GC617" s="35"/>
      <c r="GD617" s="35"/>
      <c r="GE617" s="35"/>
      <c r="GF617" s="35"/>
      <c r="GG617" s="35"/>
      <c r="GH617" s="35"/>
      <c r="GI617" s="35"/>
      <c r="GJ617" s="35"/>
      <c r="GK617" s="35"/>
      <c r="GL617" s="35"/>
      <c r="GM617" s="35"/>
      <c r="GN617" s="35"/>
      <c r="GO617" s="35"/>
      <c r="GP617" s="35"/>
      <c r="GQ617" s="35"/>
      <c r="GR617" s="35"/>
      <c r="GS617" s="35"/>
      <c r="GT617" s="35"/>
      <c r="GU617" s="35"/>
      <c r="GV617" s="35"/>
      <c r="GW617" s="35"/>
      <c r="GX617" s="35"/>
      <c r="GY617" s="35"/>
      <c r="GZ617" s="35"/>
      <c r="HA617" s="35"/>
      <c r="HB617" s="35"/>
      <c r="HC617" s="35"/>
      <c r="HD617" s="35"/>
      <c r="HE617" s="35"/>
      <c r="HF617" s="35"/>
      <c r="HG617" s="35"/>
      <c r="HH617" s="35"/>
      <c r="HI617" s="35"/>
      <c r="HJ617" s="35"/>
      <c r="HK617" s="35"/>
      <c r="HL617" s="35"/>
      <c r="HM617" s="35"/>
      <c r="HN617" s="35"/>
      <c r="HO617" s="35"/>
      <c r="HP617" s="35"/>
      <c r="HQ617" s="35"/>
      <c r="HR617" s="35"/>
      <c r="HS617" s="35"/>
      <c r="HT617" s="35"/>
      <c r="HU617" s="35"/>
      <c r="HV617" s="35"/>
      <c r="HW617" s="35"/>
      <c r="HX617" s="35"/>
      <c r="HY617" s="35"/>
      <c r="HZ617" s="35"/>
      <c r="IA617" s="35"/>
      <c r="IB617" s="35"/>
      <c r="IC617" s="35"/>
      <c r="ID617" s="35"/>
      <c r="IE617" s="35"/>
      <c r="IF617" s="35"/>
      <c r="IG617" s="35"/>
      <c r="IH617" s="35"/>
      <c r="II617" s="35"/>
      <c r="IJ617" s="35"/>
      <c r="IK617" s="35"/>
      <c r="IL617" s="35"/>
      <c r="IM617" s="35"/>
      <c r="IN617" s="35"/>
      <c r="IO617" s="35"/>
      <c r="IP617" s="35"/>
      <c r="IQ617" s="35"/>
      <c r="IR617" s="35"/>
      <c r="IS617" s="35"/>
      <c r="IT617" s="35"/>
      <c r="IU617" s="35"/>
      <c r="IV617" s="35"/>
      <c r="IW617" s="35"/>
      <c r="IX617" s="35"/>
      <c r="IY617" s="35"/>
      <c r="IZ617" s="35"/>
      <c r="JA617" s="35"/>
      <c r="JB617" s="35"/>
      <c r="JC617" s="35"/>
      <c r="JD617" s="35"/>
      <c r="JE617" s="35"/>
    </row>
    <row r="618">
      <c r="A618" s="42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  <c r="AZ618" s="35"/>
      <c r="BA618" s="35"/>
      <c r="BB618" s="35"/>
      <c r="BC618" s="35"/>
      <c r="BD618" s="35"/>
      <c r="BE618" s="35"/>
      <c r="BF618" s="35"/>
      <c r="BG618" s="35"/>
      <c r="BH618" s="35"/>
      <c r="BI618" s="35"/>
      <c r="BJ618" s="35"/>
      <c r="BK618" s="35"/>
      <c r="BL618" s="35"/>
      <c r="BM618" s="35"/>
      <c r="BN618" s="35"/>
      <c r="BO618" s="35"/>
      <c r="BP618" s="35"/>
      <c r="BQ618" s="35"/>
      <c r="BR618" s="35"/>
      <c r="BS618" s="35"/>
      <c r="BT618" s="35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35"/>
      <c r="CO618" s="35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35"/>
      <c r="DJ618" s="35"/>
      <c r="DK618" s="35"/>
      <c r="DL618" s="35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35"/>
      <c r="EE618" s="35"/>
      <c r="EF618" s="35"/>
      <c r="EG618" s="35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  <c r="ER618" s="35"/>
      <c r="ES618" s="35"/>
      <c r="ET618" s="35"/>
      <c r="EU618" s="35"/>
      <c r="EV618" s="35"/>
      <c r="EW618" s="35"/>
      <c r="EX618" s="35"/>
      <c r="EY618" s="35"/>
      <c r="EZ618" s="35"/>
      <c r="FA618" s="35"/>
      <c r="FB618" s="35"/>
      <c r="FC618" s="35"/>
      <c r="FD618" s="35"/>
      <c r="FE618" s="35"/>
      <c r="FF618" s="35"/>
      <c r="FG618" s="35"/>
      <c r="FH618" s="35"/>
      <c r="FI618" s="35"/>
      <c r="FJ618" s="35"/>
      <c r="FK618" s="35"/>
      <c r="FL618" s="35"/>
      <c r="FM618" s="35"/>
      <c r="FN618" s="35"/>
      <c r="FO618" s="35"/>
      <c r="FP618" s="35"/>
      <c r="FQ618" s="35"/>
      <c r="FR618" s="35"/>
      <c r="FS618" s="35"/>
      <c r="FT618" s="35"/>
      <c r="FU618" s="35"/>
      <c r="FV618" s="35"/>
      <c r="FW618" s="35"/>
      <c r="FX618" s="35"/>
      <c r="FY618" s="35"/>
      <c r="FZ618" s="35"/>
      <c r="GA618" s="35"/>
      <c r="GB618" s="35"/>
      <c r="GC618" s="35"/>
      <c r="GD618" s="35"/>
      <c r="GE618" s="35"/>
      <c r="GF618" s="35"/>
      <c r="GG618" s="35"/>
      <c r="GH618" s="35"/>
      <c r="GI618" s="35"/>
      <c r="GJ618" s="35"/>
      <c r="GK618" s="35"/>
      <c r="GL618" s="35"/>
      <c r="GM618" s="35"/>
      <c r="GN618" s="35"/>
      <c r="GO618" s="35"/>
      <c r="GP618" s="35"/>
      <c r="GQ618" s="35"/>
      <c r="GR618" s="35"/>
      <c r="GS618" s="35"/>
      <c r="GT618" s="35"/>
      <c r="GU618" s="35"/>
      <c r="GV618" s="35"/>
      <c r="GW618" s="35"/>
      <c r="GX618" s="35"/>
      <c r="GY618" s="35"/>
      <c r="GZ618" s="35"/>
      <c r="HA618" s="35"/>
      <c r="HB618" s="35"/>
      <c r="HC618" s="35"/>
      <c r="HD618" s="35"/>
      <c r="HE618" s="35"/>
      <c r="HF618" s="35"/>
      <c r="HG618" s="35"/>
      <c r="HH618" s="35"/>
      <c r="HI618" s="35"/>
      <c r="HJ618" s="35"/>
      <c r="HK618" s="35"/>
      <c r="HL618" s="35"/>
      <c r="HM618" s="35"/>
      <c r="HN618" s="35"/>
      <c r="HO618" s="35"/>
      <c r="HP618" s="35"/>
      <c r="HQ618" s="35"/>
      <c r="HR618" s="35"/>
      <c r="HS618" s="35"/>
      <c r="HT618" s="35"/>
      <c r="HU618" s="35"/>
      <c r="HV618" s="35"/>
      <c r="HW618" s="35"/>
      <c r="HX618" s="35"/>
      <c r="HY618" s="35"/>
      <c r="HZ618" s="35"/>
      <c r="IA618" s="35"/>
      <c r="IB618" s="35"/>
      <c r="IC618" s="35"/>
      <c r="ID618" s="35"/>
      <c r="IE618" s="35"/>
      <c r="IF618" s="35"/>
      <c r="IG618" s="35"/>
      <c r="IH618" s="35"/>
      <c r="II618" s="35"/>
      <c r="IJ618" s="35"/>
      <c r="IK618" s="35"/>
      <c r="IL618" s="35"/>
      <c r="IM618" s="35"/>
      <c r="IN618" s="35"/>
      <c r="IO618" s="35"/>
      <c r="IP618" s="35"/>
      <c r="IQ618" s="35"/>
      <c r="IR618" s="35"/>
      <c r="IS618" s="35"/>
      <c r="IT618" s="35"/>
      <c r="IU618" s="35"/>
      <c r="IV618" s="35"/>
      <c r="IW618" s="35"/>
      <c r="IX618" s="35"/>
      <c r="IY618" s="35"/>
      <c r="IZ618" s="35"/>
      <c r="JA618" s="35"/>
      <c r="JB618" s="35"/>
      <c r="JC618" s="35"/>
      <c r="JD618" s="35"/>
      <c r="JE618" s="35"/>
    </row>
    <row r="619">
      <c r="A619" s="42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  <c r="AZ619" s="35"/>
      <c r="BA619" s="35"/>
      <c r="BB619" s="35"/>
      <c r="BC619" s="35"/>
      <c r="BD619" s="35"/>
      <c r="BE619" s="35"/>
      <c r="BF619" s="35"/>
      <c r="BG619" s="35"/>
      <c r="BH619" s="35"/>
      <c r="BI619" s="35"/>
      <c r="BJ619" s="35"/>
      <c r="BK619" s="35"/>
      <c r="BL619" s="35"/>
      <c r="BM619" s="35"/>
      <c r="BN619" s="35"/>
      <c r="BO619" s="35"/>
      <c r="BP619" s="35"/>
      <c r="BQ619" s="35"/>
      <c r="BR619" s="35"/>
      <c r="BS619" s="35"/>
      <c r="BT619" s="35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35"/>
      <c r="CO619" s="35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35"/>
      <c r="DJ619" s="35"/>
      <c r="DK619" s="35"/>
      <c r="DL619" s="35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35"/>
      <c r="EE619" s="35"/>
      <c r="EF619" s="35"/>
      <c r="EG619" s="35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  <c r="ER619" s="35"/>
      <c r="ES619" s="35"/>
      <c r="ET619" s="35"/>
      <c r="EU619" s="35"/>
      <c r="EV619" s="35"/>
      <c r="EW619" s="35"/>
      <c r="EX619" s="35"/>
      <c r="EY619" s="35"/>
      <c r="EZ619" s="35"/>
      <c r="FA619" s="35"/>
      <c r="FB619" s="35"/>
      <c r="FC619" s="35"/>
      <c r="FD619" s="35"/>
      <c r="FE619" s="35"/>
      <c r="FF619" s="35"/>
      <c r="FG619" s="35"/>
      <c r="FH619" s="35"/>
      <c r="FI619" s="35"/>
      <c r="FJ619" s="35"/>
      <c r="FK619" s="35"/>
      <c r="FL619" s="35"/>
      <c r="FM619" s="35"/>
      <c r="FN619" s="35"/>
      <c r="FO619" s="35"/>
      <c r="FP619" s="35"/>
      <c r="FQ619" s="35"/>
      <c r="FR619" s="35"/>
      <c r="FS619" s="35"/>
      <c r="FT619" s="35"/>
      <c r="FU619" s="35"/>
      <c r="FV619" s="35"/>
      <c r="FW619" s="35"/>
      <c r="FX619" s="35"/>
      <c r="FY619" s="35"/>
      <c r="FZ619" s="35"/>
      <c r="GA619" s="35"/>
      <c r="GB619" s="35"/>
      <c r="GC619" s="35"/>
      <c r="GD619" s="35"/>
      <c r="GE619" s="35"/>
      <c r="GF619" s="35"/>
      <c r="GG619" s="35"/>
      <c r="GH619" s="35"/>
      <c r="GI619" s="35"/>
      <c r="GJ619" s="35"/>
      <c r="GK619" s="35"/>
      <c r="GL619" s="35"/>
      <c r="GM619" s="35"/>
      <c r="GN619" s="35"/>
      <c r="GO619" s="35"/>
      <c r="GP619" s="35"/>
      <c r="GQ619" s="35"/>
      <c r="GR619" s="35"/>
      <c r="GS619" s="35"/>
      <c r="GT619" s="35"/>
      <c r="GU619" s="35"/>
      <c r="GV619" s="35"/>
      <c r="GW619" s="35"/>
      <c r="GX619" s="35"/>
      <c r="GY619" s="35"/>
      <c r="GZ619" s="35"/>
      <c r="HA619" s="35"/>
      <c r="HB619" s="35"/>
      <c r="HC619" s="35"/>
      <c r="HD619" s="35"/>
      <c r="HE619" s="35"/>
      <c r="HF619" s="35"/>
      <c r="HG619" s="35"/>
      <c r="HH619" s="35"/>
      <c r="HI619" s="35"/>
      <c r="HJ619" s="35"/>
      <c r="HK619" s="35"/>
      <c r="HL619" s="35"/>
      <c r="HM619" s="35"/>
      <c r="HN619" s="35"/>
      <c r="HO619" s="35"/>
      <c r="HP619" s="35"/>
      <c r="HQ619" s="35"/>
      <c r="HR619" s="35"/>
      <c r="HS619" s="35"/>
      <c r="HT619" s="35"/>
      <c r="HU619" s="35"/>
      <c r="HV619" s="35"/>
      <c r="HW619" s="35"/>
      <c r="HX619" s="35"/>
      <c r="HY619" s="35"/>
      <c r="HZ619" s="35"/>
      <c r="IA619" s="35"/>
      <c r="IB619" s="35"/>
      <c r="IC619" s="35"/>
      <c r="ID619" s="35"/>
      <c r="IE619" s="35"/>
      <c r="IF619" s="35"/>
      <c r="IG619" s="35"/>
      <c r="IH619" s="35"/>
      <c r="II619" s="35"/>
      <c r="IJ619" s="35"/>
      <c r="IK619" s="35"/>
      <c r="IL619" s="35"/>
      <c r="IM619" s="35"/>
      <c r="IN619" s="35"/>
      <c r="IO619" s="35"/>
      <c r="IP619" s="35"/>
      <c r="IQ619" s="35"/>
      <c r="IR619" s="35"/>
      <c r="IS619" s="35"/>
      <c r="IT619" s="35"/>
      <c r="IU619" s="35"/>
      <c r="IV619" s="35"/>
      <c r="IW619" s="35"/>
      <c r="IX619" s="35"/>
      <c r="IY619" s="35"/>
      <c r="IZ619" s="35"/>
      <c r="JA619" s="35"/>
      <c r="JB619" s="35"/>
      <c r="JC619" s="35"/>
      <c r="JD619" s="35"/>
      <c r="JE619" s="35"/>
    </row>
    <row r="620">
      <c r="A620" s="42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  <c r="AZ620" s="35"/>
      <c r="BA620" s="35"/>
      <c r="BB620" s="35"/>
      <c r="BC620" s="35"/>
      <c r="BD620" s="35"/>
      <c r="BE620" s="35"/>
      <c r="BF620" s="35"/>
      <c r="BG620" s="35"/>
      <c r="BH620" s="35"/>
      <c r="BI620" s="35"/>
      <c r="BJ620" s="35"/>
      <c r="BK620" s="35"/>
      <c r="BL620" s="35"/>
      <c r="BM620" s="35"/>
      <c r="BN620" s="35"/>
      <c r="BO620" s="35"/>
      <c r="BP620" s="35"/>
      <c r="BQ620" s="35"/>
      <c r="BR620" s="35"/>
      <c r="BS620" s="35"/>
      <c r="BT620" s="35"/>
      <c r="BU620" s="35"/>
      <c r="BV620" s="35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35"/>
      <c r="CO620" s="35"/>
      <c r="CP620" s="35"/>
      <c r="CQ620" s="35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35"/>
      <c r="DJ620" s="35"/>
      <c r="DK620" s="35"/>
      <c r="DL620" s="35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35"/>
      <c r="EE620" s="35"/>
      <c r="EF620" s="35"/>
      <c r="EG620" s="35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  <c r="ER620" s="35"/>
      <c r="ES620" s="35"/>
      <c r="ET620" s="35"/>
      <c r="EU620" s="35"/>
      <c r="EV620" s="35"/>
      <c r="EW620" s="35"/>
      <c r="EX620" s="35"/>
      <c r="EY620" s="35"/>
      <c r="EZ620" s="35"/>
      <c r="FA620" s="35"/>
      <c r="FB620" s="35"/>
      <c r="FC620" s="35"/>
      <c r="FD620" s="35"/>
      <c r="FE620" s="35"/>
      <c r="FF620" s="35"/>
      <c r="FG620" s="35"/>
      <c r="FH620" s="35"/>
      <c r="FI620" s="35"/>
      <c r="FJ620" s="35"/>
      <c r="FK620" s="35"/>
      <c r="FL620" s="35"/>
      <c r="FM620" s="35"/>
      <c r="FN620" s="35"/>
      <c r="FO620" s="35"/>
      <c r="FP620" s="35"/>
      <c r="FQ620" s="35"/>
      <c r="FR620" s="35"/>
      <c r="FS620" s="35"/>
      <c r="FT620" s="35"/>
      <c r="FU620" s="35"/>
      <c r="FV620" s="35"/>
      <c r="FW620" s="35"/>
      <c r="FX620" s="35"/>
      <c r="FY620" s="35"/>
      <c r="FZ620" s="35"/>
      <c r="GA620" s="35"/>
      <c r="GB620" s="35"/>
      <c r="GC620" s="35"/>
      <c r="GD620" s="35"/>
      <c r="GE620" s="35"/>
      <c r="GF620" s="35"/>
      <c r="GG620" s="35"/>
      <c r="GH620" s="35"/>
      <c r="GI620" s="35"/>
      <c r="GJ620" s="35"/>
      <c r="GK620" s="35"/>
      <c r="GL620" s="35"/>
      <c r="GM620" s="35"/>
      <c r="GN620" s="35"/>
      <c r="GO620" s="35"/>
      <c r="GP620" s="35"/>
      <c r="GQ620" s="35"/>
      <c r="GR620" s="35"/>
      <c r="GS620" s="35"/>
      <c r="GT620" s="35"/>
      <c r="GU620" s="35"/>
      <c r="GV620" s="35"/>
      <c r="GW620" s="35"/>
      <c r="GX620" s="35"/>
      <c r="GY620" s="35"/>
      <c r="GZ620" s="35"/>
      <c r="HA620" s="35"/>
      <c r="HB620" s="35"/>
      <c r="HC620" s="35"/>
      <c r="HD620" s="35"/>
      <c r="HE620" s="35"/>
      <c r="HF620" s="35"/>
      <c r="HG620" s="35"/>
      <c r="HH620" s="35"/>
      <c r="HI620" s="35"/>
      <c r="HJ620" s="35"/>
      <c r="HK620" s="35"/>
      <c r="HL620" s="35"/>
      <c r="HM620" s="35"/>
      <c r="HN620" s="35"/>
      <c r="HO620" s="35"/>
      <c r="HP620" s="35"/>
      <c r="HQ620" s="35"/>
      <c r="HR620" s="35"/>
      <c r="HS620" s="35"/>
      <c r="HT620" s="35"/>
      <c r="HU620" s="35"/>
      <c r="HV620" s="35"/>
      <c r="HW620" s="35"/>
      <c r="HX620" s="35"/>
      <c r="HY620" s="35"/>
      <c r="HZ620" s="35"/>
      <c r="IA620" s="35"/>
      <c r="IB620" s="35"/>
      <c r="IC620" s="35"/>
      <c r="ID620" s="35"/>
      <c r="IE620" s="35"/>
      <c r="IF620" s="35"/>
      <c r="IG620" s="35"/>
      <c r="IH620" s="35"/>
      <c r="II620" s="35"/>
      <c r="IJ620" s="35"/>
      <c r="IK620" s="35"/>
      <c r="IL620" s="35"/>
      <c r="IM620" s="35"/>
      <c r="IN620" s="35"/>
      <c r="IO620" s="35"/>
      <c r="IP620" s="35"/>
      <c r="IQ620" s="35"/>
      <c r="IR620" s="35"/>
      <c r="IS620" s="35"/>
      <c r="IT620" s="35"/>
      <c r="IU620" s="35"/>
      <c r="IV620" s="35"/>
      <c r="IW620" s="35"/>
      <c r="IX620" s="35"/>
      <c r="IY620" s="35"/>
      <c r="IZ620" s="35"/>
      <c r="JA620" s="35"/>
      <c r="JB620" s="35"/>
      <c r="JC620" s="35"/>
      <c r="JD620" s="35"/>
      <c r="JE620" s="35"/>
    </row>
    <row r="621">
      <c r="A621" s="42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  <c r="AZ621" s="35"/>
      <c r="BA621" s="35"/>
      <c r="BB621" s="35"/>
      <c r="BC621" s="35"/>
      <c r="BD621" s="35"/>
      <c r="BE621" s="35"/>
      <c r="BF621" s="35"/>
      <c r="BG621" s="35"/>
      <c r="BH621" s="35"/>
      <c r="BI621" s="35"/>
      <c r="BJ621" s="35"/>
      <c r="BK621" s="35"/>
      <c r="BL621" s="35"/>
      <c r="BM621" s="35"/>
      <c r="BN621" s="35"/>
      <c r="BO621" s="35"/>
      <c r="BP621" s="35"/>
      <c r="BQ621" s="35"/>
      <c r="BR621" s="35"/>
      <c r="BS621" s="35"/>
      <c r="BT621" s="35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35"/>
      <c r="CO621" s="35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35"/>
      <c r="DJ621" s="35"/>
      <c r="DK621" s="35"/>
      <c r="DL621" s="35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35"/>
      <c r="EE621" s="35"/>
      <c r="EF621" s="35"/>
      <c r="EG621" s="35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  <c r="ER621" s="35"/>
      <c r="ES621" s="35"/>
      <c r="ET621" s="35"/>
      <c r="EU621" s="35"/>
      <c r="EV621" s="35"/>
      <c r="EW621" s="35"/>
      <c r="EX621" s="35"/>
      <c r="EY621" s="35"/>
      <c r="EZ621" s="35"/>
      <c r="FA621" s="35"/>
      <c r="FB621" s="35"/>
      <c r="FC621" s="35"/>
      <c r="FD621" s="35"/>
      <c r="FE621" s="35"/>
      <c r="FF621" s="35"/>
      <c r="FG621" s="35"/>
      <c r="FH621" s="35"/>
      <c r="FI621" s="35"/>
      <c r="FJ621" s="35"/>
      <c r="FK621" s="35"/>
      <c r="FL621" s="35"/>
      <c r="FM621" s="35"/>
      <c r="FN621" s="35"/>
      <c r="FO621" s="35"/>
      <c r="FP621" s="35"/>
      <c r="FQ621" s="35"/>
      <c r="FR621" s="35"/>
      <c r="FS621" s="35"/>
      <c r="FT621" s="35"/>
      <c r="FU621" s="35"/>
      <c r="FV621" s="35"/>
      <c r="FW621" s="35"/>
      <c r="FX621" s="35"/>
      <c r="FY621" s="35"/>
      <c r="FZ621" s="35"/>
      <c r="GA621" s="35"/>
      <c r="GB621" s="35"/>
      <c r="GC621" s="35"/>
      <c r="GD621" s="35"/>
      <c r="GE621" s="35"/>
      <c r="GF621" s="35"/>
      <c r="GG621" s="35"/>
      <c r="GH621" s="35"/>
      <c r="GI621" s="35"/>
      <c r="GJ621" s="35"/>
      <c r="GK621" s="35"/>
      <c r="GL621" s="35"/>
      <c r="GM621" s="35"/>
      <c r="GN621" s="35"/>
      <c r="GO621" s="35"/>
      <c r="GP621" s="35"/>
      <c r="GQ621" s="35"/>
      <c r="GR621" s="35"/>
      <c r="GS621" s="35"/>
      <c r="GT621" s="35"/>
      <c r="GU621" s="35"/>
      <c r="GV621" s="35"/>
      <c r="GW621" s="35"/>
      <c r="GX621" s="35"/>
      <c r="GY621" s="35"/>
      <c r="GZ621" s="35"/>
      <c r="HA621" s="35"/>
      <c r="HB621" s="35"/>
      <c r="HC621" s="35"/>
      <c r="HD621" s="35"/>
      <c r="HE621" s="35"/>
      <c r="HF621" s="35"/>
      <c r="HG621" s="35"/>
      <c r="HH621" s="35"/>
      <c r="HI621" s="35"/>
      <c r="HJ621" s="35"/>
      <c r="HK621" s="35"/>
      <c r="HL621" s="35"/>
      <c r="HM621" s="35"/>
      <c r="HN621" s="35"/>
      <c r="HO621" s="35"/>
      <c r="HP621" s="35"/>
      <c r="HQ621" s="35"/>
      <c r="HR621" s="35"/>
      <c r="HS621" s="35"/>
      <c r="HT621" s="35"/>
      <c r="HU621" s="35"/>
      <c r="HV621" s="35"/>
      <c r="HW621" s="35"/>
      <c r="HX621" s="35"/>
      <c r="HY621" s="35"/>
      <c r="HZ621" s="35"/>
      <c r="IA621" s="35"/>
      <c r="IB621" s="35"/>
      <c r="IC621" s="35"/>
      <c r="ID621" s="35"/>
      <c r="IE621" s="35"/>
      <c r="IF621" s="35"/>
      <c r="IG621" s="35"/>
      <c r="IH621" s="35"/>
      <c r="II621" s="35"/>
      <c r="IJ621" s="35"/>
      <c r="IK621" s="35"/>
      <c r="IL621" s="35"/>
      <c r="IM621" s="35"/>
      <c r="IN621" s="35"/>
      <c r="IO621" s="35"/>
      <c r="IP621" s="35"/>
      <c r="IQ621" s="35"/>
      <c r="IR621" s="35"/>
      <c r="IS621" s="35"/>
      <c r="IT621" s="35"/>
      <c r="IU621" s="35"/>
      <c r="IV621" s="35"/>
      <c r="IW621" s="35"/>
      <c r="IX621" s="35"/>
      <c r="IY621" s="35"/>
      <c r="IZ621" s="35"/>
      <c r="JA621" s="35"/>
      <c r="JB621" s="35"/>
      <c r="JC621" s="35"/>
      <c r="JD621" s="35"/>
      <c r="JE621" s="35"/>
    </row>
    <row r="622">
      <c r="A622" s="42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  <c r="AZ622" s="35"/>
      <c r="BA622" s="35"/>
      <c r="BB622" s="35"/>
      <c r="BC622" s="35"/>
      <c r="BD622" s="35"/>
      <c r="BE622" s="35"/>
      <c r="BF622" s="35"/>
      <c r="BG622" s="35"/>
      <c r="BH622" s="35"/>
      <c r="BI622" s="35"/>
      <c r="BJ622" s="35"/>
      <c r="BK622" s="35"/>
      <c r="BL622" s="35"/>
      <c r="BM622" s="35"/>
      <c r="BN622" s="35"/>
      <c r="BO622" s="35"/>
      <c r="BP622" s="35"/>
      <c r="BQ622" s="35"/>
      <c r="BR622" s="35"/>
      <c r="BS622" s="35"/>
      <c r="BT622" s="35"/>
      <c r="BU622" s="35"/>
      <c r="BV622" s="35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35"/>
      <c r="CO622" s="35"/>
      <c r="CP622" s="35"/>
      <c r="CQ622" s="35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35"/>
      <c r="DJ622" s="35"/>
      <c r="DK622" s="35"/>
      <c r="DL622" s="35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35"/>
      <c r="EE622" s="35"/>
      <c r="EF622" s="35"/>
      <c r="EG622" s="35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  <c r="ER622" s="35"/>
      <c r="ES622" s="35"/>
      <c r="ET622" s="35"/>
      <c r="EU622" s="35"/>
      <c r="EV622" s="35"/>
      <c r="EW622" s="35"/>
      <c r="EX622" s="35"/>
      <c r="EY622" s="35"/>
      <c r="EZ622" s="35"/>
      <c r="FA622" s="35"/>
      <c r="FB622" s="35"/>
      <c r="FC622" s="35"/>
      <c r="FD622" s="35"/>
      <c r="FE622" s="35"/>
      <c r="FF622" s="35"/>
      <c r="FG622" s="35"/>
      <c r="FH622" s="35"/>
      <c r="FI622" s="35"/>
      <c r="FJ622" s="35"/>
      <c r="FK622" s="35"/>
      <c r="FL622" s="35"/>
      <c r="FM622" s="35"/>
      <c r="FN622" s="35"/>
      <c r="FO622" s="35"/>
      <c r="FP622" s="35"/>
      <c r="FQ622" s="35"/>
      <c r="FR622" s="35"/>
      <c r="FS622" s="35"/>
      <c r="FT622" s="35"/>
      <c r="FU622" s="35"/>
      <c r="FV622" s="35"/>
      <c r="FW622" s="35"/>
      <c r="FX622" s="35"/>
      <c r="FY622" s="35"/>
      <c r="FZ622" s="35"/>
      <c r="GA622" s="35"/>
      <c r="GB622" s="35"/>
      <c r="GC622" s="35"/>
      <c r="GD622" s="35"/>
      <c r="GE622" s="35"/>
      <c r="GF622" s="35"/>
      <c r="GG622" s="35"/>
      <c r="GH622" s="35"/>
      <c r="GI622" s="35"/>
      <c r="GJ622" s="35"/>
      <c r="GK622" s="35"/>
      <c r="GL622" s="35"/>
      <c r="GM622" s="35"/>
      <c r="GN622" s="35"/>
      <c r="GO622" s="35"/>
      <c r="GP622" s="35"/>
      <c r="GQ622" s="35"/>
      <c r="GR622" s="35"/>
      <c r="GS622" s="35"/>
      <c r="GT622" s="35"/>
      <c r="GU622" s="35"/>
      <c r="GV622" s="35"/>
      <c r="GW622" s="35"/>
      <c r="GX622" s="35"/>
      <c r="GY622" s="35"/>
      <c r="GZ622" s="35"/>
      <c r="HA622" s="35"/>
      <c r="HB622" s="35"/>
      <c r="HC622" s="35"/>
      <c r="HD622" s="35"/>
      <c r="HE622" s="35"/>
      <c r="HF622" s="35"/>
      <c r="HG622" s="35"/>
      <c r="HH622" s="35"/>
      <c r="HI622" s="35"/>
      <c r="HJ622" s="35"/>
      <c r="HK622" s="35"/>
      <c r="HL622" s="35"/>
      <c r="HM622" s="35"/>
      <c r="HN622" s="35"/>
      <c r="HO622" s="35"/>
      <c r="HP622" s="35"/>
      <c r="HQ622" s="35"/>
      <c r="HR622" s="35"/>
      <c r="HS622" s="35"/>
      <c r="HT622" s="35"/>
      <c r="HU622" s="35"/>
      <c r="HV622" s="35"/>
      <c r="HW622" s="35"/>
      <c r="HX622" s="35"/>
      <c r="HY622" s="35"/>
      <c r="HZ622" s="35"/>
      <c r="IA622" s="35"/>
      <c r="IB622" s="35"/>
      <c r="IC622" s="35"/>
      <c r="ID622" s="35"/>
      <c r="IE622" s="35"/>
      <c r="IF622" s="35"/>
      <c r="IG622" s="35"/>
      <c r="IH622" s="35"/>
      <c r="II622" s="35"/>
      <c r="IJ622" s="35"/>
      <c r="IK622" s="35"/>
      <c r="IL622" s="35"/>
      <c r="IM622" s="35"/>
      <c r="IN622" s="35"/>
      <c r="IO622" s="35"/>
      <c r="IP622" s="35"/>
      <c r="IQ622" s="35"/>
      <c r="IR622" s="35"/>
      <c r="IS622" s="35"/>
      <c r="IT622" s="35"/>
      <c r="IU622" s="35"/>
      <c r="IV622" s="35"/>
      <c r="IW622" s="35"/>
      <c r="IX622" s="35"/>
      <c r="IY622" s="35"/>
      <c r="IZ622" s="35"/>
      <c r="JA622" s="35"/>
      <c r="JB622" s="35"/>
      <c r="JC622" s="35"/>
      <c r="JD622" s="35"/>
      <c r="JE622" s="35"/>
    </row>
    <row r="623">
      <c r="A623" s="42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  <c r="AZ623" s="35"/>
      <c r="BA623" s="35"/>
      <c r="BB623" s="35"/>
      <c r="BC623" s="35"/>
      <c r="BD623" s="35"/>
      <c r="BE623" s="35"/>
      <c r="BF623" s="35"/>
      <c r="BG623" s="35"/>
      <c r="BH623" s="35"/>
      <c r="BI623" s="35"/>
      <c r="BJ623" s="35"/>
      <c r="BK623" s="35"/>
      <c r="BL623" s="35"/>
      <c r="BM623" s="35"/>
      <c r="BN623" s="35"/>
      <c r="BO623" s="35"/>
      <c r="BP623" s="35"/>
      <c r="BQ623" s="35"/>
      <c r="BR623" s="35"/>
      <c r="BS623" s="35"/>
      <c r="BT623" s="35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35"/>
      <c r="CO623" s="35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35"/>
      <c r="DJ623" s="35"/>
      <c r="DK623" s="35"/>
      <c r="DL623" s="35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35"/>
      <c r="EE623" s="35"/>
      <c r="EF623" s="35"/>
      <c r="EG623" s="35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35"/>
      <c r="EZ623" s="35"/>
      <c r="FA623" s="35"/>
      <c r="FB623" s="35"/>
      <c r="FC623" s="35"/>
      <c r="FD623" s="35"/>
      <c r="FE623" s="35"/>
      <c r="FF623" s="35"/>
      <c r="FG623" s="35"/>
      <c r="FH623" s="35"/>
      <c r="FI623" s="35"/>
      <c r="FJ623" s="35"/>
      <c r="FK623" s="35"/>
      <c r="FL623" s="35"/>
      <c r="FM623" s="35"/>
      <c r="FN623" s="35"/>
      <c r="FO623" s="35"/>
      <c r="FP623" s="35"/>
      <c r="FQ623" s="35"/>
      <c r="FR623" s="35"/>
      <c r="FS623" s="35"/>
      <c r="FT623" s="35"/>
      <c r="FU623" s="35"/>
      <c r="FV623" s="35"/>
      <c r="FW623" s="35"/>
      <c r="FX623" s="35"/>
      <c r="FY623" s="35"/>
      <c r="FZ623" s="35"/>
      <c r="GA623" s="35"/>
      <c r="GB623" s="35"/>
      <c r="GC623" s="35"/>
      <c r="GD623" s="35"/>
      <c r="GE623" s="35"/>
      <c r="GF623" s="35"/>
      <c r="GG623" s="35"/>
      <c r="GH623" s="35"/>
      <c r="GI623" s="35"/>
      <c r="GJ623" s="35"/>
      <c r="GK623" s="35"/>
      <c r="GL623" s="35"/>
      <c r="GM623" s="35"/>
      <c r="GN623" s="35"/>
      <c r="GO623" s="35"/>
      <c r="GP623" s="35"/>
      <c r="GQ623" s="35"/>
      <c r="GR623" s="35"/>
      <c r="GS623" s="35"/>
      <c r="GT623" s="35"/>
      <c r="GU623" s="35"/>
      <c r="GV623" s="35"/>
      <c r="GW623" s="35"/>
      <c r="GX623" s="35"/>
      <c r="GY623" s="35"/>
      <c r="GZ623" s="35"/>
      <c r="HA623" s="35"/>
      <c r="HB623" s="35"/>
      <c r="HC623" s="35"/>
      <c r="HD623" s="35"/>
      <c r="HE623" s="35"/>
      <c r="HF623" s="35"/>
      <c r="HG623" s="35"/>
      <c r="HH623" s="35"/>
      <c r="HI623" s="35"/>
      <c r="HJ623" s="35"/>
      <c r="HK623" s="35"/>
      <c r="HL623" s="35"/>
      <c r="HM623" s="35"/>
      <c r="HN623" s="35"/>
      <c r="HO623" s="35"/>
      <c r="HP623" s="35"/>
      <c r="HQ623" s="35"/>
      <c r="HR623" s="35"/>
      <c r="HS623" s="35"/>
      <c r="HT623" s="35"/>
      <c r="HU623" s="35"/>
      <c r="HV623" s="35"/>
      <c r="HW623" s="35"/>
      <c r="HX623" s="35"/>
      <c r="HY623" s="35"/>
      <c r="HZ623" s="35"/>
      <c r="IA623" s="35"/>
      <c r="IB623" s="35"/>
      <c r="IC623" s="35"/>
      <c r="ID623" s="35"/>
      <c r="IE623" s="35"/>
      <c r="IF623" s="35"/>
      <c r="IG623" s="35"/>
      <c r="IH623" s="35"/>
      <c r="II623" s="35"/>
      <c r="IJ623" s="35"/>
      <c r="IK623" s="35"/>
      <c r="IL623" s="35"/>
      <c r="IM623" s="35"/>
      <c r="IN623" s="35"/>
      <c r="IO623" s="35"/>
      <c r="IP623" s="35"/>
      <c r="IQ623" s="35"/>
      <c r="IR623" s="35"/>
      <c r="IS623" s="35"/>
      <c r="IT623" s="35"/>
      <c r="IU623" s="35"/>
      <c r="IV623" s="35"/>
      <c r="IW623" s="35"/>
      <c r="IX623" s="35"/>
      <c r="IY623" s="35"/>
      <c r="IZ623" s="35"/>
      <c r="JA623" s="35"/>
      <c r="JB623" s="35"/>
      <c r="JC623" s="35"/>
      <c r="JD623" s="35"/>
      <c r="JE623" s="35"/>
    </row>
    <row r="624">
      <c r="A624" s="42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  <c r="AZ624" s="35"/>
      <c r="BA624" s="35"/>
      <c r="BB624" s="35"/>
      <c r="BC624" s="35"/>
      <c r="BD624" s="35"/>
      <c r="BE624" s="35"/>
      <c r="BF624" s="35"/>
      <c r="BG624" s="35"/>
      <c r="BH624" s="35"/>
      <c r="BI624" s="35"/>
      <c r="BJ624" s="35"/>
      <c r="BK624" s="35"/>
      <c r="BL624" s="35"/>
      <c r="BM624" s="35"/>
      <c r="BN624" s="35"/>
      <c r="BO624" s="35"/>
      <c r="BP624" s="35"/>
      <c r="BQ624" s="35"/>
      <c r="BR624" s="35"/>
      <c r="BS624" s="35"/>
      <c r="BT624" s="35"/>
      <c r="BU624" s="35"/>
      <c r="BV624" s="35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35"/>
      <c r="CO624" s="35"/>
      <c r="CP624" s="35"/>
      <c r="CQ624" s="35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35"/>
      <c r="DJ624" s="35"/>
      <c r="DK624" s="35"/>
      <c r="DL624" s="35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35"/>
      <c r="EE624" s="35"/>
      <c r="EF624" s="35"/>
      <c r="EG624" s="35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  <c r="ER624" s="35"/>
      <c r="ES624" s="35"/>
      <c r="ET624" s="35"/>
      <c r="EU624" s="35"/>
      <c r="EV624" s="35"/>
      <c r="EW624" s="35"/>
      <c r="EX624" s="35"/>
      <c r="EY624" s="35"/>
      <c r="EZ624" s="35"/>
      <c r="FA624" s="35"/>
      <c r="FB624" s="35"/>
      <c r="FC624" s="35"/>
      <c r="FD624" s="35"/>
      <c r="FE624" s="35"/>
      <c r="FF624" s="35"/>
      <c r="FG624" s="35"/>
      <c r="FH624" s="35"/>
      <c r="FI624" s="35"/>
      <c r="FJ624" s="35"/>
      <c r="FK624" s="35"/>
      <c r="FL624" s="35"/>
      <c r="FM624" s="35"/>
      <c r="FN624" s="35"/>
      <c r="FO624" s="35"/>
      <c r="FP624" s="35"/>
      <c r="FQ624" s="35"/>
      <c r="FR624" s="35"/>
      <c r="FS624" s="35"/>
      <c r="FT624" s="35"/>
      <c r="FU624" s="35"/>
      <c r="FV624" s="35"/>
      <c r="FW624" s="35"/>
      <c r="FX624" s="35"/>
      <c r="FY624" s="35"/>
      <c r="FZ624" s="35"/>
      <c r="GA624" s="35"/>
      <c r="GB624" s="35"/>
      <c r="GC624" s="35"/>
      <c r="GD624" s="35"/>
      <c r="GE624" s="35"/>
      <c r="GF624" s="35"/>
      <c r="GG624" s="35"/>
      <c r="GH624" s="35"/>
      <c r="GI624" s="35"/>
      <c r="GJ624" s="35"/>
      <c r="GK624" s="35"/>
      <c r="GL624" s="35"/>
      <c r="GM624" s="35"/>
      <c r="GN624" s="35"/>
      <c r="GO624" s="35"/>
      <c r="GP624" s="35"/>
      <c r="GQ624" s="35"/>
      <c r="GR624" s="35"/>
      <c r="GS624" s="35"/>
      <c r="GT624" s="35"/>
      <c r="GU624" s="35"/>
      <c r="GV624" s="35"/>
      <c r="GW624" s="35"/>
      <c r="GX624" s="35"/>
      <c r="GY624" s="35"/>
      <c r="GZ624" s="35"/>
      <c r="HA624" s="35"/>
      <c r="HB624" s="35"/>
      <c r="HC624" s="35"/>
      <c r="HD624" s="35"/>
      <c r="HE624" s="35"/>
      <c r="HF624" s="35"/>
      <c r="HG624" s="35"/>
      <c r="HH624" s="35"/>
      <c r="HI624" s="35"/>
      <c r="HJ624" s="35"/>
      <c r="HK624" s="35"/>
      <c r="HL624" s="35"/>
      <c r="HM624" s="35"/>
      <c r="HN624" s="35"/>
      <c r="HO624" s="35"/>
      <c r="HP624" s="35"/>
      <c r="HQ624" s="35"/>
      <c r="HR624" s="35"/>
      <c r="HS624" s="35"/>
      <c r="HT624" s="35"/>
      <c r="HU624" s="35"/>
      <c r="HV624" s="35"/>
      <c r="HW624" s="35"/>
      <c r="HX624" s="35"/>
      <c r="HY624" s="35"/>
      <c r="HZ624" s="35"/>
      <c r="IA624" s="35"/>
      <c r="IB624" s="35"/>
      <c r="IC624" s="35"/>
      <c r="ID624" s="35"/>
      <c r="IE624" s="35"/>
      <c r="IF624" s="35"/>
      <c r="IG624" s="35"/>
      <c r="IH624" s="35"/>
      <c r="II624" s="35"/>
      <c r="IJ624" s="35"/>
      <c r="IK624" s="35"/>
      <c r="IL624" s="35"/>
      <c r="IM624" s="35"/>
      <c r="IN624" s="35"/>
      <c r="IO624" s="35"/>
      <c r="IP624" s="35"/>
      <c r="IQ624" s="35"/>
      <c r="IR624" s="35"/>
      <c r="IS624" s="35"/>
      <c r="IT624" s="35"/>
      <c r="IU624" s="35"/>
      <c r="IV624" s="35"/>
      <c r="IW624" s="35"/>
      <c r="IX624" s="35"/>
      <c r="IY624" s="35"/>
      <c r="IZ624" s="35"/>
      <c r="JA624" s="35"/>
      <c r="JB624" s="35"/>
      <c r="JC624" s="35"/>
      <c r="JD624" s="35"/>
      <c r="JE624" s="35"/>
    </row>
    <row r="625">
      <c r="A625" s="42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  <c r="BC625" s="35"/>
      <c r="BD625" s="35"/>
      <c r="BE625" s="35"/>
      <c r="BF625" s="35"/>
      <c r="BG625" s="35"/>
      <c r="BH625" s="35"/>
      <c r="BI625" s="35"/>
      <c r="BJ625" s="35"/>
      <c r="BK625" s="35"/>
      <c r="BL625" s="35"/>
      <c r="BM625" s="35"/>
      <c r="BN625" s="35"/>
      <c r="BO625" s="35"/>
      <c r="BP625" s="35"/>
      <c r="BQ625" s="35"/>
      <c r="BR625" s="35"/>
      <c r="BS625" s="35"/>
      <c r="BT625" s="35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35"/>
      <c r="CO625" s="35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35"/>
      <c r="DJ625" s="35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35"/>
      <c r="EE625" s="35"/>
      <c r="EF625" s="35"/>
      <c r="EG625" s="35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5"/>
      <c r="EV625" s="35"/>
      <c r="EW625" s="35"/>
      <c r="EX625" s="35"/>
      <c r="EY625" s="35"/>
      <c r="EZ625" s="35"/>
      <c r="FA625" s="35"/>
      <c r="FB625" s="35"/>
      <c r="FC625" s="35"/>
      <c r="FD625" s="35"/>
      <c r="FE625" s="35"/>
      <c r="FF625" s="35"/>
      <c r="FG625" s="35"/>
      <c r="FH625" s="35"/>
      <c r="FI625" s="35"/>
      <c r="FJ625" s="35"/>
      <c r="FK625" s="35"/>
      <c r="FL625" s="35"/>
      <c r="FM625" s="35"/>
      <c r="FN625" s="35"/>
      <c r="FO625" s="35"/>
      <c r="FP625" s="35"/>
      <c r="FQ625" s="35"/>
      <c r="FR625" s="35"/>
      <c r="FS625" s="35"/>
      <c r="FT625" s="35"/>
      <c r="FU625" s="35"/>
      <c r="FV625" s="35"/>
      <c r="FW625" s="35"/>
      <c r="FX625" s="35"/>
      <c r="FY625" s="35"/>
      <c r="FZ625" s="35"/>
      <c r="GA625" s="35"/>
      <c r="GB625" s="35"/>
      <c r="GC625" s="35"/>
      <c r="GD625" s="35"/>
      <c r="GE625" s="35"/>
      <c r="GF625" s="35"/>
      <c r="GG625" s="35"/>
      <c r="GH625" s="35"/>
      <c r="GI625" s="35"/>
      <c r="GJ625" s="35"/>
      <c r="GK625" s="35"/>
      <c r="GL625" s="35"/>
      <c r="GM625" s="35"/>
      <c r="GN625" s="35"/>
      <c r="GO625" s="35"/>
      <c r="GP625" s="35"/>
      <c r="GQ625" s="35"/>
      <c r="GR625" s="35"/>
      <c r="GS625" s="35"/>
      <c r="GT625" s="35"/>
      <c r="GU625" s="35"/>
      <c r="GV625" s="35"/>
      <c r="GW625" s="35"/>
      <c r="GX625" s="35"/>
      <c r="GY625" s="35"/>
      <c r="GZ625" s="35"/>
      <c r="HA625" s="35"/>
      <c r="HB625" s="35"/>
      <c r="HC625" s="35"/>
      <c r="HD625" s="35"/>
      <c r="HE625" s="35"/>
      <c r="HF625" s="35"/>
      <c r="HG625" s="35"/>
      <c r="HH625" s="35"/>
      <c r="HI625" s="35"/>
      <c r="HJ625" s="35"/>
      <c r="HK625" s="35"/>
      <c r="HL625" s="35"/>
      <c r="HM625" s="35"/>
      <c r="HN625" s="35"/>
      <c r="HO625" s="35"/>
      <c r="HP625" s="35"/>
      <c r="HQ625" s="35"/>
      <c r="HR625" s="35"/>
      <c r="HS625" s="35"/>
      <c r="HT625" s="35"/>
      <c r="HU625" s="35"/>
      <c r="HV625" s="35"/>
      <c r="HW625" s="35"/>
      <c r="HX625" s="35"/>
      <c r="HY625" s="35"/>
      <c r="HZ625" s="35"/>
      <c r="IA625" s="35"/>
      <c r="IB625" s="35"/>
      <c r="IC625" s="35"/>
      <c r="ID625" s="35"/>
      <c r="IE625" s="35"/>
      <c r="IF625" s="35"/>
      <c r="IG625" s="35"/>
      <c r="IH625" s="35"/>
      <c r="II625" s="35"/>
      <c r="IJ625" s="35"/>
      <c r="IK625" s="35"/>
      <c r="IL625" s="35"/>
      <c r="IM625" s="35"/>
      <c r="IN625" s="35"/>
      <c r="IO625" s="35"/>
      <c r="IP625" s="35"/>
      <c r="IQ625" s="35"/>
      <c r="IR625" s="35"/>
      <c r="IS625" s="35"/>
      <c r="IT625" s="35"/>
      <c r="IU625" s="35"/>
      <c r="IV625" s="35"/>
      <c r="IW625" s="35"/>
      <c r="IX625" s="35"/>
      <c r="IY625" s="35"/>
      <c r="IZ625" s="35"/>
      <c r="JA625" s="35"/>
      <c r="JB625" s="35"/>
      <c r="JC625" s="35"/>
      <c r="JD625" s="35"/>
      <c r="JE625" s="35"/>
    </row>
    <row r="626">
      <c r="A626" s="42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35"/>
      <c r="BA626" s="35"/>
      <c r="BB626" s="35"/>
      <c r="BC626" s="35"/>
      <c r="BD626" s="35"/>
      <c r="BE626" s="35"/>
      <c r="BF626" s="35"/>
      <c r="BG626" s="35"/>
      <c r="BH626" s="35"/>
      <c r="BI626" s="35"/>
      <c r="BJ626" s="35"/>
      <c r="BK626" s="35"/>
      <c r="BL626" s="35"/>
      <c r="BM626" s="35"/>
      <c r="BN626" s="35"/>
      <c r="BO626" s="35"/>
      <c r="BP626" s="35"/>
      <c r="BQ626" s="35"/>
      <c r="BR626" s="35"/>
      <c r="BS626" s="35"/>
      <c r="BT626" s="35"/>
      <c r="BU626" s="35"/>
      <c r="BV626" s="35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35"/>
      <c r="CO626" s="35"/>
      <c r="CP626" s="35"/>
      <c r="CQ626" s="35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35"/>
      <c r="DJ626" s="35"/>
      <c r="DK626" s="35"/>
      <c r="DL626" s="35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35"/>
      <c r="EE626" s="35"/>
      <c r="EF626" s="35"/>
      <c r="EG626" s="35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  <c r="ER626" s="35"/>
      <c r="ES626" s="35"/>
      <c r="ET626" s="35"/>
      <c r="EU626" s="35"/>
      <c r="EV626" s="35"/>
      <c r="EW626" s="35"/>
      <c r="EX626" s="35"/>
      <c r="EY626" s="35"/>
      <c r="EZ626" s="35"/>
      <c r="FA626" s="35"/>
      <c r="FB626" s="35"/>
      <c r="FC626" s="35"/>
      <c r="FD626" s="35"/>
      <c r="FE626" s="35"/>
      <c r="FF626" s="35"/>
      <c r="FG626" s="35"/>
      <c r="FH626" s="35"/>
      <c r="FI626" s="35"/>
      <c r="FJ626" s="35"/>
      <c r="FK626" s="35"/>
      <c r="FL626" s="35"/>
      <c r="FM626" s="35"/>
      <c r="FN626" s="35"/>
      <c r="FO626" s="35"/>
      <c r="FP626" s="35"/>
      <c r="FQ626" s="35"/>
      <c r="FR626" s="35"/>
      <c r="FS626" s="35"/>
      <c r="FT626" s="35"/>
      <c r="FU626" s="35"/>
      <c r="FV626" s="35"/>
      <c r="FW626" s="35"/>
      <c r="FX626" s="35"/>
      <c r="FY626" s="35"/>
      <c r="FZ626" s="35"/>
      <c r="GA626" s="35"/>
      <c r="GB626" s="35"/>
      <c r="GC626" s="35"/>
      <c r="GD626" s="35"/>
      <c r="GE626" s="35"/>
      <c r="GF626" s="35"/>
      <c r="GG626" s="35"/>
      <c r="GH626" s="35"/>
      <c r="GI626" s="35"/>
      <c r="GJ626" s="35"/>
      <c r="GK626" s="35"/>
      <c r="GL626" s="35"/>
      <c r="GM626" s="35"/>
      <c r="GN626" s="35"/>
      <c r="GO626" s="35"/>
      <c r="GP626" s="35"/>
      <c r="GQ626" s="35"/>
      <c r="GR626" s="35"/>
      <c r="GS626" s="35"/>
      <c r="GT626" s="35"/>
      <c r="GU626" s="35"/>
      <c r="GV626" s="35"/>
      <c r="GW626" s="35"/>
      <c r="GX626" s="35"/>
      <c r="GY626" s="35"/>
      <c r="GZ626" s="35"/>
      <c r="HA626" s="35"/>
      <c r="HB626" s="35"/>
      <c r="HC626" s="35"/>
      <c r="HD626" s="35"/>
      <c r="HE626" s="35"/>
      <c r="HF626" s="35"/>
      <c r="HG626" s="35"/>
      <c r="HH626" s="35"/>
      <c r="HI626" s="35"/>
      <c r="HJ626" s="35"/>
      <c r="HK626" s="35"/>
      <c r="HL626" s="35"/>
      <c r="HM626" s="35"/>
      <c r="HN626" s="35"/>
      <c r="HO626" s="35"/>
      <c r="HP626" s="35"/>
      <c r="HQ626" s="35"/>
      <c r="HR626" s="35"/>
      <c r="HS626" s="35"/>
      <c r="HT626" s="35"/>
      <c r="HU626" s="35"/>
      <c r="HV626" s="35"/>
      <c r="HW626" s="35"/>
      <c r="HX626" s="35"/>
      <c r="HY626" s="35"/>
      <c r="HZ626" s="35"/>
      <c r="IA626" s="35"/>
      <c r="IB626" s="35"/>
      <c r="IC626" s="35"/>
      <c r="ID626" s="35"/>
      <c r="IE626" s="35"/>
      <c r="IF626" s="35"/>
      <c r="IG626" s="35"/>
      <c r="IH626" s="35"/>
      <c r="II626" s="35"/>
      <c r="IJ626" s="35"/>
      <c r="IK626" s="35"/>
      <c r="IL626" s="35"/>
      <c r="IM626" s="35"/>
      <c r="IN626" s="35"/>
      <c r="IO626" s="35"/>
      <c r="IP626" s="35"/>
      <c r="IQ626" s="35"/>
      <c r="IR626" s="35"/>
      <c r="IS626" s="35"/>
      <c r="IT626" s="35"/>
      <c r="IU626" s="35"/>
      <c r="IV626" s="35"/>
      <c r="IW626" s="35"/>
      <c r="IX626" s="35"/>
      <c r="IY626" s="35"/>
      <c r="IZ626" s="35"/>
      <c r="JA626" s="35"/>
      <c r="JB626" s="35"/>
      <c r="JC626" s="35"/>
      <c r="JD626" s="35"/>
      <c r="JE626" s="35"/>
    </row>
    <row r="627">
      <c r="A627" s="42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  <c r="AZ627" s="35"/>
      <c r="BA627" s="35"/>
      <c r="BB627" s="35"/>
      <c r="BC627" s="35"/>
      <c r="BD627" s="35"/>
      <c r="BE627" s="35"/>
      <c r="BF627" s="35"/>
      <c r="BG627" s="35"/>
      <c r="BH627" s="35"/>
      <c r="BI627" s="35"/>
      <c r="BJ627" s="35"/>
      <c r="BK627" s="35"/>
      <c r="BL627" s="35"/>
      <c r="BM627" s="35"/>
      <c r="BN627" s="35"/>
      <c r="BO627" s="35"/>
      <c r="BP627" s="35"/>
      <c r="BQ627" s="35"/>
      <c r="BR627" s="35"/>
      <c r="BS627" s="35"/>
      <c r="BT627" s="35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35"/>
      <c r="CO627" s="35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35"/>
      <c r="DJ627" s="35"/>
      <c r="DK627" s="35"/>
      <c r="DL627" s="35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35"/>
      <c r="EE627" s="35"/>
      <c r="EF627" s="35"/>
      <c r="EG627" s="35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  <c r="ER627" s="35"/>
      <c r="ES627" s="35"/>
      <c r="ET627" s="35"/>
      <c r="EU627" s="35"/>
      <c r="EV627" s="35"/>
      <c r="EW627" s="35"/>
      <c r="EX627" s="35"/>
      <c r="EY627" s="35"/>
      <c r="EZ627" s="35"/>
      <c r="FA627" s="35"/>
      <c r="FB627" s="35"/>
      <c r="FC627" s="35"/>
      <c r="FD627" s="35"/>
      <c r="FE627" s="35"/>
      <c r="FF627" s="35"/>
      <c r="FG627" s="35"/>
      <c r="FH627" s="35"/>
      <c r="FI627" s="35"/>
      <c r="FJ627" s="35"/>
      <c r="FK627" s="35"/>
      <c r="FL627" s="35"/>
      <c r="FM627" s="35"/>
      <c r="FN627" s="35"/>
      <c r="FO627" s="35"/>
      <c r="FP627" s="35"/>
      <c r="FQ627" s="35"/>
      <c r="FR627" s="35"/>
      <c r="FS627" s="35"/>
      <c r="FT627" s="35"/>
      <c r="FU627" s="35"/>
      <c r="FV627" s="35"/>
      <c r="FW627" s="35"/>
      <c r="FX627" s="35"/>
      <c r="FY627" s="35"/>
      <c r="FZ627" s="35"/>
      <c r="GA627" s="35"/>
      <c r="GB627" s="35"/>
      <c r="GC627" s="35"/>
      <c r="GD627" s="35"/>
      <c r="GE627" s="35"/>
      <c r="GF627" s="35"/>
      <c r="GG627" s="35"/>
      <c r="GH627" s="35"/>
      <c r="GI627" s="35"/>
      <c r="GJ627" s="35"/>
      <c r="GK627" s="35"/>
      <c r="GL627" s="35"/>
      <c r="GM627" s="35"/>
      <c r="GN627" s="35"/>
      <c r="GO627" s="35"/>
      <c r="GP627" s="35"/>
      <c r="GQ627" s="35"/>
      <c r="GR627" s="35"/>
      <c r="GS627" s="35"/>
      <c r="GT627" s="35"/>
      <c r="GU627" s="35"/>
      <c r="GV627" s="35"/>
      <c r="GW627" s="35"/>
      <c r="GX627" s="35"/>
      <c r="GY627" s="35"/>
      <c r="GZ627" s="35"/>
      <c r="HA627" s="35"/>
      <c r="HB627" s="35"/>
      <c r="HC627" s="35"/>
      <c r="HD627" s="35"/>
      <c r="HE627" s="35"/>
      <c r="HF627" s="35"/>
      <c r="HG627" s="35"/>
      <c r="HH627" s="35"/>
      <c r="HI627" s="35"/>
      <c r="HJ627" s="35"/>
      <c r="HK627" s="35"/>
      <c r="HL627" s="35"/>
      <c r="HM627" s="35"/>
      <c r="HN627" s="35"/>
      <c r="HO627" s="35"/>
      <c r="HP627" s="35"/>
      <c r="HQ627" s="35"/>
      <c r="HR627" s="35"/>
      <c r="HS627" s="35"/>
      <c r="HT627" s="35"/>
      <c r="HU627" s="35"/>
      <c r="HV627" s="35"/>
      <c r="HW627" s="35"/>
      <c r="HX627" s="35"/>
      <c r="HY627" s="35"/>
      <c r="HZ627" s="35"/>
      <c r="IA627" s="35"/>
      <c r="IB627" s="35"/>
      <c r="IC627" s="35"/>
      <c r="ID627" s="35"/>
      <c r="IE627" s="35"/>
      <c r="IF627" s="35"/>
      <c r="IG627" s="35"/>
      <c r="IH627" s="35"/>
      <c r="II627" s="35"/>
      <c r="IJ627" s="35"/>
      <c r="IK627" s="35"/>
      <c r="IL627" s="35"/>
      <c r="IM627" s="35"/>
      <c r="IN627" s="35"/>
      <c r="IO627" s="35"/>
      <c r="IP627" s="35"/>
      <c r="IQ627" s="35"/>
      <c r="IR627" s="35"/>
      <c r="IS627" s="35"/>
      <c r="IT627" s="35"/>
      <c r="IU627" s="35"/>
      <c r="IV627" s="35"/>
      <c r="IW627" s="35"/>
      <c r="IX627" s="35"/>
      <c r="IY627" s="35"/>
      <c r="IZ627" s="35"/>
      <c r="JA627" s="35"/>
      <c r="JB627" s="35"/>
      <c r="JC627" s="35"/>
      <c r="JD627" s="35"/>
      <c r="JE627" s="35"/>
    </row>
    <row r="628">
      <c r="A628" s="42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  <c r="AZ628" s="35"/>
      <c r="BA628" s="35"/>
      <c r="BB628" s="35"/>
      <c r="BC628" s="35"/>
      <c r="BD628" s="35"/>
      <c r="BE628" s="35"/>
      <c r="BF628" s="35"/>
      <c r="BG628" s="35"/>
      <c r="BH628" s="35"/>
      <c r="BI628" s="35"/>
      <c r="BJ628" s="35"/>
      <c r="BK628" s="35"/>
      <c r="BL628" s="35"/>
      <c r="BM628" s="35"/>
      <c r="BN628" s="35"/>
      <c r="BO628" s="35"/>
      <c r="BP628" s="35"/>
      <c r="BQ628" s="35"/>
      <c r="BR628" s="35"/>
      <c r="BS628" s="35"/>
      <c r="BT628" s="35"/>
      <c r="BU628" s="35"/>
      <c r="BV628" s="35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35"/>
      <c r="CO628" s="35"/>
      <c r="CP628" s="35"/>
      <c r="CQ628" s="35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35"/>
      <c r="DJ628" s="35"/>
      <c r="DK628" s="35"/>
      <c r="DL628" s="35"/>
      <c r="DM628" s="35"/>
      <c r="DN628" s="35"/>
      <c r="DO628" s="35"/>
      <c r="DP628" s="35"/>
      <c r="DQ628" s="35"/>
      <c r="DR628" s="35"/>
      <c r="DS628" s="35"/>
      <c r="DT628" s="35"/>
      <c r="DU628" s="35"/>
      <c r="DV628" s="35"/>
      <c r="DW628" s="35"/>
      <c r="DX628" s="35"/>
      <c r="DY628" s="35"/>
      <c r="DZ628" s="35"/>
      <c r="EA628" s="35"/>
      <c r="EB628" s="35"/>
      <c r="EC628" s="35"/>
      <c r="ED628" s="35"/>
      <c r="EE628" s="35"/>
      <c r="EF628" s="35"/>
      <c r="EG628" s="35"/>
      <c r="EH628" s="35"/>
      <c r="EI628" s="35"/>
      <c r="EJ628" s="35"/>
      <c r="EK628" s="35"/>
      <c r="EL628" s="35"/>
      <c r="EM628" s="35"/>
      <c r="EN628" s="35"/>
      <c r="EO628" s="35"/>
      <c r="EP628" s="35"/>
      <c r="EQ628" s="35"/>
      <c r="ER628" s="35"/>
      <c r="ES628" s="35"/>
      <c r="ET628" s="35"/>
      <c r="EU628" s="35"/>
      <c r="EV628" s="35"/>
      <c r="EW628" s="35"/>
      <c r="EX628" s="35"/>
      <c r="EY628" s="35"/>
      <c r="EZ628" s="35"/>
      <c r="FA628" s="35"/>
      <c r="FB628" s="35"/>
      <c r="FC628" s="35"/>
      <c r="FD628" s="35"/>
      <c r="FE628" s="35"/>
      <c r="FF628" s="35"/>
      <c r="FG628" s="35"/>
      <c r="FH628" s="35"/>
      <c r="FI628" s="35"/>
      <c r="FJ628" s="35"/>
      <c r="FK628" s="35"/>
      <c r="FL628" s="35"/>
      <c r="FM628" s="35"/>
      <c r="FN628" s="35"/>
      <c r="FO628" s="35"/>
      <c r="FP628" s="35"/>
      <c r="FQ628" s="35"/>
      <c r="FR628" s="35"/>
      <c r="FS628" s="35"/>
      <c r="FT628" s="35"/>
      <c r="FU628" s="35"/>
      <c r="FV628" s="35"/>
      <c r="FW628" s="35"/>
      <c r="FX628" s="35"/>
      <c r="FY628" s="35"/>
      <c r="FZ628" s="35"/>
      <c r="GA628" s="35"/>
      <c r="GB628" s="35"/>
      <c r="GC628" s="35"/>
      <c r="GD628" s="35"/>
      <c r="GE628" s="35"/>
      <c r="GF628" s="35"/>
      <c r="GG628" s="35"/>
      <c r="GH628" s="35"/>
      <c r="GI628" s="35"/>
      <c r="GJ628" s="35"/>
      <c r="GK628" s="35"/>
      <c r="GL628" s="35"/>
      <c r="GM628" s="35"/>
      <c r="GN628" s="35"/>
      <c r="GO628" s="35"/>
      <c r="GP628" s="35"/>
      <c r="GQ628" s="35"/>
      <c r="GR628" s="35"/>
      <c r="GS628" s="35"/>
      <c r="GT628" s="35"/>
      <c r="GU628" s="35"/>
      <c r="GV628" s="35"/>
      <c r="GW628" s="35"/>
      <c r="GX628" s="35"/>
      <c r="GY628" s="35"/>
      <c r="GZ628" s="35"/>
      <c r="HA628" s="35"/>
      <c r="HB628" s="35"/>
      <c r="HC628" s="35"/>
      <c r="HD628" s="35"/>
      <c r="HE628" s="35"/>
      <c r="HF628" s="35"/>
      <c r="HG628" s="35"/>
      <c r="HH628" s="35"/>
      <c r="HI628" s="35"/>
      <c r="HJ628" s="35"/>
      <c r="HK628" s="35"/>
      <c r="HL628" s="35"/>
      <c r="HM628" s="35"/>
      <c r="HN628" s="35"/>
      <c r="HO628" s="35"/>
      <c r="HP628" s="35"/>
      <c r="HQ628" s="35"/>
      <c r="HR628" s="35"/>
      <c r="HS628" s="35"/>
      <c r="HT628" s="35"/>
      <c r="HU628" s="35"/>
      <c r="HV628" s="35"/>
      <c r="HW628" s="35"/>
      <c r="HX628" s="35"/>
      <c r="HY628" s="35"/>
      <c r="HZ628" s="35"/>
      <c r="IA628" s="35"/>
      <c r="IB628" s="35"/>
      <c r="IC628" s="35"/>
      <c r="ID628" s="35"/>
      <c r="IE628" s="35"/>
      <c r="IF628" s="35"/>
      <c r="IG628" s="35"/>
      <c r="IH628" s="35"/>
      <c r="II628" s="35"/>
      <c r="IJ628" s="35"/>
      <c r="IK628" s="35"/>
      <c r="IL628" s="35"/>
      <c r="IM628" s="35"/>
      <c r="IN628" s="35"/>
      <c r="IO628" s="35"/>
      <c r="IP628" s="35"/>
      <c r="IQ628" s="35"/>
      <c r="IR628" s="35"/>
      <c r="IS628" s="35"/>
      <c r="IT628" s="35"/>
      <c r="IU628" s="35"/>
      <c r="IV628" s="35"/>
      <c r="IW628" s="35"/>
      <c r="IX628" s="35"/>
      <c r="IY628" s="35"/>
      <c r="IZ628" s="35"/>
      <c r="JA628" s="35"/>
      <c r="JB628" s="35"/>
      <c r="JC628" s="35"/>
      <c r="JD628" s="35"/>
      <c r="JE628" s="35"/>
    </row>
    <row r="629">
      <c r="A629" s="42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  <c r="AZ629" s="35"/>
      <c r="BA629" s="35"/>
      <c r="BB629" s="35"/>
      <c r="BC629" s="35"/>
      <c r="BD629" s="35"/>
      <c r="BE629" s="35"/>
      <c r="BF629" s="35"/>
      <c r="BG629" s="35"/>
      <c r="BH629" s="35"/>
      <c r="BI629" s="35"/>
      <c r="BJ629" s="35"/>
      <c r="BK629" s="35"/>
      <c r="BL629" s="35"/>
      <c r="BM629" s="35"/>
      <c r="BN629" s="35"/>
      <c r="BO629" s="35"/>
      <c r="BP629" s="35"/>
      <c r="BQ629" s="35"/>
      <c r="BR629" s="35"/>
      <c r="BS629" s="35"/>
      <c r="BT629" s="35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35"/>
      <c r="CO629" s="35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35"/>
      <c r="DJ629" s="35"/>
      <c r="DK629" s="35"/>
      <c r="DL629" s="35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35"/>
      <c r="EE629" s="35"/>
      <c r="EF629" s="35"/>
      <c r="EG629" s="35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35"/>
      <c r="EZ629" s="35"/>
      <c r="FA629" s="35"/>
      <c r="FB629" s="35"/>
      <c r="FC629" s="35"/>
      <c r="FD629" s="35"/>
      <c r="FE629" s="35"/>
      <c r="FF629" s="35"/>
      <c r="FG629" s="35"/>
      <c r="FH629" s="35"/>
      <c r="FI629" s="35"/>
      <c r="FJ629" s="35"/>
      <c r="FK629" s="35"/>
      <c r="FL629" s="35"/>
      <c r="FM629" s="35"/>
      <c r="FN629" s="35"/>
      <c r="FO629" s="35"/>
      <c r="FP629" s="35"/>
      <c r="FQ629" s="35"/>
      <c r="FR629" s="35"/>
      <c r="FS629" s="35"/>
      <c r="FT629" s="35"/>
      <c r="FU629" s="35"/>
      <c r="FV629" s="35"/>
      <c r="FW629" s="35"/>
      <c r="FX629" s="35"/>
      <c r="FY629" s="35"/>
      <c r="FZ629" s="35"/>
      <c r="GA629" s="35"/>
      <c r="GB629" s="35"/>
      <c r="GC629" s="35"/>
      <c r="GD629" s="35"/>
      <c r="GE629" s="35"/>
      <c r="GF629" s="35"/>
      <c r="GG629" s="35"/>
      <c r="GH629" s="35"/>
      <c r="GI629" s="35"/>
      <c r="GJ629" s="35"/>
      <c r="GK629" s="35"/>
      <c r="GL629" s="35"/>
      <c r="GM629" s="35"/>
      <c r="GN629" s="35"/>
      <c r="GO629" s="35"/>
      <c r="GP629" s="35"/>
      <c r="GQ629" s="35"/>
      <c r="GR629" s="35"/>
      <c r="GS629" s="35"/>
      <c r="GT629" s="35"/>
      <c r="GU629" s="35"/>
      <c r="GV629" s="35"/>
      <c r="GW629" s="35"/>
      <c r="GX629" s="35"/>
      <c r="GY629" s="35"/>
      <c r="GZ629" s="35"/>
      <c r="HA629" s="35"/>
      <c r="HB629" s="35"/>
      <c r="HC629" s="35"/>
      <c r="HD629" s="35"/>
      <c r="HE629" s="35"/>
      <c r="HF629" s="35"/>
      <c r="HG629" s="35"/>
      <c r="HH629" s="35"/>
      <c r="HI629" s="35"/>
      <c r="HJ629" s="35"/>
      <c r="HK629" s="35"/>
      <c r="HL629" s="35"/>
      <c r="HM629" s="35"/>
      <c r="HN629" s="35"/>
      <c r="HO629" s="35"/>
      <c r="HP629" s="35"/>
      <c r="HQ629" s="35"/>
      <c r="HR629" s="35"/>
      <c r="HS629" s="35"/>
      <c r="HT629" s="35"/>
      <c r="HU629" s="35"/>
      <c r="HV629" s="35"/>
      <c r="HW629" s="35"/>
      <c r="HX629" s="35"/>
      <c r="HY629" s="35"/>
      <c r="HZ629" s="35"/>
      <c r="IA629" s="35"/>
      <c r="IB629" s="35"/>
      <c r="IC629" s="35"/>
      <c r="ID629" s="35"/>
      <c r="IE629" s="35"/>
      <c r="IF629" s="35"/>
      <c r="IG629" s="35"/>
      <c r="IH629" s="35"/>
      <c r="II629" s="35"/>
      <c r="IJ629" s="35"/>
      <c r="IK629" s="35"/>
      <c r="IL629" s="35"/>
      <c r="IM629" s="35"/>
      <c r="IN629" s="35"/>
      <c r="IO629" s="35"/>
      <c r="IP629" s="35"/>
      <c r="IQ629" s="35"/>
      <c r="IR629" s="35"/>
      <c r="IS629" s="35"/>
      <c r="IT629" s="35"/>
      <c r="IU629" s="35"/>
      <c r="IV629" s="35"/>
      <c r="IW629" s="35"/>
      <c r="IX629" s="35"/>
      <c r="IY629" s="35"/>
      <c r="IZ629" s="35"/>
      <c r="JA629" s="35"/>
      <c r="JB629" s="35"/>
      <c r="JC629" s="35"/>
      <c r="JD629" s="35"/>
      <c r="JE629" s="35"/>
    </row>
    <row r="630">
      <c r="A630" s="42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35"/>
      <c r="BA630" s="35"/>
      <c r="BB630" s="35"/>
      <c r="BC630" s="35"/>
      <c r="BD630" s="35"/>
      <c r="BE630" s="35"/>
      <c r="BF630" s="35"/>
      <c r="BG630" s="35"/>
      <c r="BH630" s="35"/>
      <c r="BI630" s="35"/>
      <c r="BJ630" s="35"/>
      <c r="BK630" s="35"/>
      <c r="BL630" s="35"/>
      <c r="BM630" s="35"/>
      <c r="BN630" s="35"/>
      <c r="BO630" s="35"/>
      <c r="BP630" s="35"/>
      <c r="BQ630" s="35"/>
      <c r="BR630" s="35"/>
      <c r="BS630" s="35"/>
      <c r="BT630" s="35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35"/>
      <c r="CO630" s="35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35"/>
      <c r="DJ630" s="35"/>
      <c r="DK630" s="35"/>
      <c r="DL630" s="35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35"/>
      <c r="EE630" s="35"/>
      <c r="EF630" s="35"/>
      <c r="EG630" s="35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35"/>
      <c r="EZ630" s="35"/>
      <c r="FA630" s="35"/>
      <c r="FB630" s="35"/>
      <c r="FC630" s="35"/>
      <c r="FD630" s="35"/>
      <c r="FE630" s="35"/>
      <c r="FF630" s="35"/>
      <c r="FG630" s="35"/>
      <c r="FH630" s="35"/>
      <c r="FI630" s="35"/>
      <c r="FJ630" s="35"/>
      <c r="FK630" s="35"/>
      <c r="FL630" s="35"/>
      <c r="FM630" s="35"/>
      <c r="FN630" s="35"/>
      <c r="FO630" s="35"/>
      <c r="FP630" s="35"/>
      <c r="FQ630" s="35"/>
      <c r="FR630" s="35"/>
      <c r="FS630" s="35"/>
      <c r="FT630" s="35"/>
      <c r="FU630" s="35"/>
      <c r="FV630" s="35"/>
      <c r="FW630" s="35"/>
      <c r="FX630" s="35"/>
      <c r="FY630" s="35"/>
      <c r="FZ630" s="35"/>
      <c r="GA630" s="35"/>
      <c r="GB630" s="35"/>
      <c r="GC630" s="35"/>
      <c r="GD630" s="35"/>
      <c r="GE630" s="35"/>
      <c r="GF630" s="35"/>
      <c r="GG630" s="35"/>
      <c r="GH630" s="35"/>
      <c r="GI630" s="35"/>
      <c r="GJ630" s="35"/>
      <c r="GK630" s="35"/>
      <c r="GL630" s="35"/>
      <c r="GM630" s="35"/>
      <c r="GN630" s="35"/>
      <c r="GO630" s="35"/>
      <c r="GP630" s="35"/>
      <c r="GQ630" s="35"/>
      <c r="GR630" s="35"/>
      <c r="GS630" s="35"/>
      <c r="GT630" s="35"/>
      <c r="GU630" s="35"/>
      <c r="GV630" s="35"/>
      <c r="GW630" s="35"/>
      <c r="GX630" s="35"/>
      <c r="GY630" s="35"/>
      <c r="GZ630" s="35"/>
      <c r="HA630" s="35"/>
      <c r="HB630" s="35"/>
      <c r="HC630" s="35"/>
      <c r="HD630" s="35"/>
      <c r="HE630" s="35"/>
      <c r="HF630" s="35"/>
      <c r="HG630" s="35"/>
      <c r="HH630" s="35"/>
      <c r="HI630" s="35"/>
      <c r="HJ630" s="35"/>
      <c r="HK630" s="35"/>
      <c r="HL630" s="35"/>
      <c r="HM630" s="35"/>
      <c r="HN630" s="35"/>
      <c r="HO630" s="35"/>
      <c r="HP630" s="35"/>
      <c r="HQ630" s="35"/>
      <c r="HR630" s="35"/>
      <c r="HS630" s="35"/>
      <c r="HT630" s="35"/>
      <c r="HU630" s="35"/>
      <c r="HV630" s="35"/>
      <c r="HW630" s="35"/>
      <c r="HX630" s="35"/>
      <c r="HY630" s="35"/>
      <c r="HZ630" s="35"/>
      <c r="IA630" s="35"/>
      <c r="IB630" s="35"/>
      <c r="IC630" s="35"/>
      <c r="ID630" s="35"/>
      <c r="IE630" s="35"/>
      <c r="IF630" s="35"/>
      <c r="IG630" s="35"/>
      <c r="IH630" s="35"/>
      <c r="II630" s="35"/>
      <c r="IJ630" s="35"/>
      <c r="IK630" s="35"/>
      <c r="IL630" s="35"/>
      <c r="IM630" s="35"/>
      <c r="IN630" s="35"/>
      <c r="IO630" s="35"/>
      <c r="IP630" s="35"/>
      <c r="IQ630" s="35"/>
      <c r="IR630" s="35"/>
      <c r="IS630" s="35"/>
      <c r="IT630" s="35"/>
      <c r="IU630" s="35"/>
      <c r="IV630" s="35"/>
      <c r="IW630" s="35"/>
      <c r="IX630" s="35"/>
      <c r="IY630" s="35"/>
      <c r="IZ630" s="35"/>
      <c r="JA630" s="35"/>
      <c r="JB630" s="35"/>
      <c r="JC630" s="35"/>
      <c r="JD630" s="35"/>
      <c r="JE630" s="35"/>
    </row>
    <row r="631">
      <c r="A631" s="42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  <c r="AZ631" s="35"/>
      <c r="BA631" s="35"/>
      <c r="BB631" s="35"/>
      <c r="BC631" s="35"/>
      <c r="BD631" s="35"/>
      <c r="BE631" s="35"/>
      <c r="BF631" s="35"/>
      <c r="BG631" s="35"/>
      <c r="BH631" s="35"/>
      <c r="BI631" s="35"/>
      <c r="BJ631" s="35"/>
      <c r="BK631" s="35"/>
      <c r="BL631" s="35"/>
      <c r="BM631" s="35"/>
      <c r="BN631" s="35"/>
      <c r="BO631" s="35"/>
      <c r="BP631" s="35"/>
      <c r="BQ631" s="35"/>
      <c r="BR631" s="35"/>
      <c r="BS631" s="35"/>
      <c r="BT631" s="35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35"/>
      <c r="CO631" s="35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35"/>
      <c r="DJ631" s="35"/>
      <c r="DK631" s="35"/>
      <c r="DL631" s="35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35"/>
      <c r="EE631" s="35"/>
      <c r="EF631" s="35"/>
      <c r="EG631" s="35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35"/>
      <c r="EZ631" s="35"/>
      <c r="FA631" s="35"/>
      <c r="FB631" s="35"/>
      <c r="FC631" s="35"/>
      <c r="FD631" s="35"/>
      <c r="FE631" s="35"/>
      <c r="FF631" s="35"/>
      <c r="FG631" s="35"/>
      <c r="FH631" s="35"/>
      <c r="FI631" s="35"/>
      <c r="FJ631" s="35"/>
      <c r="FK631" s="35"/>
      <c r="FL631" s="35"/>
      <c r="FM631" s="35"/>
      <c r="FN631" s="35"/>
      <c r="FO631" s="35"/>
      <c r="FP631" s="35"/>
      <c r="FQ631" s="35"/>
      <c r="FR631" s="35"/>
      <c r="FS631" s="35"/>
      <c r="FT631" s="35"/>
      <c r="FU631" s="35"/>
      <c r="FV631" s="35"/>
      <c r="FW631" s="35"/>
      <c r="FX631" s="35"/>
      <c r="FY631" s="35"/>
      <c r="FZ631" s="35"/>
      <c r="GA631" s="35"/>
      <c r="GB631" s="35"/>
      <c r="GC631" s="35"/>
      <c r="GD631" s="35"/>
      <c r="GE631" s="35"/>
      <c r="GF631" s="35"/>
      <c r="GG631" s="35"/>
      <c r="GH631" s="35"/>
      <c r="GI631" s="35"/>
      <c r="GJ631" s="35"/>
      <c r="GK631" s="35"/>
      <c r="GL631" s="35"/>
      <c r="GM631" s="35"/>
      <c r="GN631" s="35"/>
      <c r="GO631" s="35"/>
      <c r="GP631" s="35"/>
      <c r="GQ631" s="35"/>
      <c r="GR631" s="35"/>
      <c r="GS631" s="35"/>
      <c r="GT631" s="35"/>
      <c r="GU631" s="35"/>
      <c r="GV631" s="35"/>
      <c r="GW631" s="35"/>
      <c r="GX631" s="35"/>
      <c r="GY631" s="35"/>
      <c r="GZ631" s="35"/>
      <c r="HA631" s="35"/>
      <c r="HB631" s="35"/>
      <c r="HC631" s="35"/>
      <c r="HD631" s="35"/>
      <c r="HE631" s="35"/>
      <c r="HF631" s="35"/>
      <c r="HG631" s="35"/>
      <c r="HH631" s="35"/>
      <c r="HI631" s="35"/>
      <c r="HJ631" s="35"/>
      <c r="HK631" s="35"/>
      <c r="HL631" s="35"/>
      <c r="HM631" s="35"/>
      <c r="HN631" s="35"/>
      <c r="HO631" s="35"/>
      <c r="HP631" s="35"/>
      <c r="HQ631" s="35"/>
      <c r="HR631" s="35"/>
      <c r="HS631" s="35"/>
      <c r="HT631" s="35"/>
      <c r="HU631" s="35"/>
      <c r="HV631" s="35"/>
      <c r="HW631" s="35"/>
      <c r="HX631" s="35"/>
      <c r="HY631" s="35"/>
      <c r="HZ631" s="35"/>
      <c r="IA631" s="35"/>
      <c r="IB631" s="35"/>
      <c r="IC631" s="35"/>
      <c r="ID631" s="35"/>
      <c r="IE631" s="35"/>
      <c r="IF631" s="35"/>
      <c r="IG631" s="35"/>
      <c r="IH631" s="35"/>
      <c r="II631" s="35"/>
      <c r="IJ631" s="35"/>
      <c r="IK631" s="35"/>
      <c r="IL631" s="35"/>
      <c r="IM631" s="35"/>
      <c r="IN631" s="35"/>
      <c r="IO631" s="35"/>
      <c r="IP631" s="35"/>
      <c r="IQ631" s="35"/>
      <c r="IR631" s="35"/>
      <c r="IS631" s="35"/>
      <c r="IT631" s="35"/>
      <c r="IU631" s="35"/>
      <c r="IV631" s="35"/>
      <c r="IW631" s="35"/>
      <c r="IX631" s="35"/>
      <c r="IY631" s="35"/>
      <c r="IZ631" s="35"/>
      <c r="JA631" s="35"/>
      <c r="JB631" s="35"/>
      <c r="JC631" s="35"/>
      <c r="JD631" s="35"/>
      <c r="JE631" s="35"/>
    </row>
    <row r="632">
      <c r="A632" s="42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  <c r="AZ632" s="35"/>
      <c r="BA632" s="35"/>
      <c r="BB632" s="35"/>
      <c r="BC632" s="35"/>
      <c r="BD632" s="35"/>
      <c r="BE632" s="35"/>
      <c r="BF632" s="35"/>
      <c r="BG632" s="35"/>
      <c r="BH632" s="35"/>
      <c r="BI632" s="35"/>
      <c r="BJ632" s="35"/>
      <c r="BK632" s="35"/>
      <c r="BL632" s="35"/>
      <c r="BM632" s="35"/>
      <c r="BN632" s="35"/>
      <c r="BO632" s="35"/>
      <c r="BP632" s="35"/>
      <c r="BQ632" s="35"/>
      <c r="BR632" s="35"/>
      <c r="BS632" s="35"/>
      <c r="BT632" s="35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35"/>
      <c r="CO632" s="35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35"/>
      <c r="DJ632" s="35"/>
      <c r="DK632" s="35"/>
      <c r="DL632" s="35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35"/>
      <c r="EE632" s="35"/>
      <c r="EF632" s="35"/>
      <c r="EG632" s="35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35"/>
      <c r="EZ632" s="35"/>
      <c r="FA632" s="35"/>
      <c r="FB632" s="35"/>
      <c r="FC632" s="35"/>
      <c r="FD632" s="35"/>
      <c r="FE632" s="35"/>
      <c r="FF632" s="35"/>
      <c r="FG632" s="35"/>
      <c r="FH632" s="35"/>
      <c r="FI632" s="35"/>
      <c r="FJ632" s="35"/>
      <c r="FK632" s="35"/>
      <c r="FL632" s="35"/>
      <c r="FM632" s="35"/>
      <c r="FN632" s="35"/>
      <c r="FO632" s="35"/>
      <c r="FP632" s="35"/>
      <c r="FQ632" s="35"/>
      <c r="FR632" s="35"/>
      <c r="FS632" s="35"/>
      <c r="FT632" s="35"/>
      <c r="FU632" s="35"/>
      <c r="FV632" s="35"/>
      <c r="FW632" s="35"/>
      <c r="FX632" s="35"/>
      <c r="FY632" s="35"/>
      <c r="FZ632" s="35"/>
      <c r="GA632" s="35"/>
      <c r="GB632" s="35"/>
      <c r="GC632" s="35"/>
      <c r="GD632" s="35"/>
      <c r="GE632" s="35"/>
      <c r="GF632" s="35"/>
      <c r="GG632" s="35"/>
      <c r="GH632" s="35"/>
      <c r="GI632" s="35"/>
      <c r="GJ632" s="35"/>
      <c r="GK632" s="35"/>
      <c r="GL632" s="35"/>
      <c r="GM632" s="35"/>
      <c r="GN632" s="35"/>
      <c r="GO632" s="35"/>
      <c r="GP632" s="35"/>
      <c r="GQ632" s="35"/>
      <c r="GR632" s="35"/>
      <c r="GS632" s="35"/>
      <c r="GT632" s="35"/>
      <c r="GU632" s="35"/>
      <c r="GV632" s="35"/>
      <c r="GW632" s="35"/>
      <c r="GX632" s="35"/>
      <c r="GY632" s="35"/>
      <c r="GZ632" s="35"/>
      <c r="HA632" s="35"/>
      <c r="HB632" s="35"/>
      <c r="HC632" s="35"/>
      <c r="HD632" s="35"/>
      <c r="HE632" s="35"/>
      <c r="HF632" s="35"/>
      <c r="HG632" s="35"/>
      <c r="HH632" s="35"/>
      <c r="HI632" s="35"/>
      <c r="HJ632" s="35"/>
      <c r="HK632" s="35"/>
      <c r="HL632" s="35"/>
      <c r="HM632" s="35"/>
      <c r="HN632" s="35"/>
      <c r="HO632" s="35"/>
      <c r="HP632" s="35"/>
      <c r="HQ632" s="35"/>
      <c r="HR632" s="35"/>
      <c r="HS632" s="35"/>
      <c r="HT632" s="35"/>
      <c r="HU632" s="35"/>
      <c r="HV632" s="35"/>
      <c r="HW632" s="35"/>
      <c r="HX632" s="35"/>
      <c r="HY632" s="35"/>
      <c r="HZ632" s="35"/>
      <c r="IA632" s="35"/>
      <c r="IB632" s="35"/>
      <c r="IC632" s="35"/>
      <c r="ID632" s="35"/>
      <c r="IE632" s="35"/>
      <c r="IF632" s="35"/>
      <c r="IG632" s="35"/>
      <c r="IH632" s="35"/>
      <c r="II632" s="35"/>
      <c r="IJ632" s="35"/>
      <c r="IK632" s="35"/>
      <c r="IL632" s="35"/>
      <c r="IM632" s="35"/>
      <c r="IN632" s="35"/>
      <c r="IO632" s="35"/>
      <c r="IP632" s="35"/>
      <c r="IQ632" s="35"/>
      <c r="IR632" s="35"/>
      <c r="IS632" s="35"/>
      <c r="IT632" s="35"/>
      <c r="IU632" s="35"/>
      <c r="IV632" s="35"/>
      <c r="IW632" s="35"/>
      <c r="IX632" s="35"/>
      <c r="IY632" s="35"/>
      <c r="IZ632" s="35"/>
      <c r="JA632" s="35"/>
      <c r="JB632" s="35"/>
      <c r="JC632" s="35"/>
      <c r="JD632" s="35"/>
      <c r="JE632" s="35"/>
    </row>
    <row r="633">
      <c r="A633" s="42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35"/>
      <c r="BA633" s="35"/>
      <c r="BB633" s="35"/>
      <c r="BC633" s="35"/>
      <c r="BD633" s="35"/>
      <c r="BE633" s="35"/>
      <c r="BF633" s="35"/>
      <c r="BG633" s="35"/>
      <c r="BH633" s="35"/>
      <c r="BI633" s="35"/>
      <c r="BJ633" s="35"/>
      <c r="BK633" s="35"/>
      <c r="BL633" s="35"/>
      <c r="BM633" s="35"/>
      <c r="BN633" s="35"/>
      <c r="BO633" s="35"/>
      <c r="BP633" s="35"/>
      <c r="BQ633" s="35"/>
      <c r="BR633" s="35"/>
      <c r="BS633" s="35"/>
      <c r="BT633" s="35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35"/>
      <c r="CO633" s="35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35"/>
      <c r="DJ633" s="35"/>
      <c r="DK633" s="35"/>
      <c r="DL633" s="35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35"/>
      <c r="EE633" s="35"/>
      <c r="EF633" s="35"/>
      <c r="EG633" s="35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35"/>
      <c r="EZ633" s="35"/>
      <c r="FA633" s="35"/>
      <c r="FB633" s="35"/>
      <c r="FC633" s="35"/>
      <c r="FD633" s="35"/>
      <c r="FE633" s="35"/>
      <c r="FF633" s="35"/>
      <c r="FG633" s="35"/>
      <c r="FH633" s="35"/>
      <c r="FI633" s="35"/>
      <c r="FJ633" s="35"/>
      <c r="FK633" s="35"/>
      <c r="FL633" s="35"/>
      <c r="FM633" s="35"/>
      <c r="FN633" s="35"/>
      <c r="FO633" s="35"/>
      <c r="FP633" s="35"/>
      <c r="FQ633" s="35"/>
      <c r="FR633" s="35"/>
      <c r="FS633" s="35"/>
      <c r="FT633" s="35"/>
      <c r="FU633" s="35"/>
      <c r="FV633" s="35"/>
      <c r="FW633" s="35"/>
      <c r="FX633" s="35"/>
      <c r="FY633" s="35"/>
      <c r="FZ633" s="35"/>
      <c r="GA633" s="35"/>
      <c r="GB633" s="35"/>
      <c r="GC633" s="35"/>
      <c r="GD633" s="35"/>
      <c r="GE633" s="35"/>
      <c r="GF633" s="35"/>
      <c r="GG633" s="35"/>
      <c r="GH633" s="35"/>
      <c r="GI633" s="35"/>
      <c r="GJ633" s="35"/>
      <c r="GK633" s="35"/>
      <c r="GL633" s="35"/>
      <c r="GM633" s="35"/>
      <c r="GN633" s="35"/>
      <c r="GO633" s="35"/>
      <c r="GP633" s="35"/>
      <c r="GQ633" s="35"/>
      <c r="GR633" s="35"/>
      <c r="GS633" s="35"/>
      <c r="GT633" s="35"/>
      <c r="GU633" s="35"/>
      <c r="GV633" s="35"/>
      <c r="GW633" s="35"/>
      <c r="GX633" s="35"/>
      <c r="GY633" s="35"/>
      <c r="GZ633" s="35"/>
      <c r="HA633" s="35"/>
      <c r="HB633" s="35"/>
      <c r="HC633" s="35"/>
      <c r="HD633" s="35"/>
      <c r="HE633" s="35"/>
      <c r="HF633" s="35"/>
      <c r="HG633" s="35"/>
      <c r="HH633" s="35"/>
      <c r="HI633" s="35"/>
      <c r="HJ633" s="35"/>
      <c r="HK633" s="35"/>
      <c r="HL633" s="35"/>
      <c r="HM633" s="35"/>
      <c r="HN633" s="35"/>
      <c r="HO633" s="35"/>
      <c r="HP633" s="35"/>
      <c r="HQ633" s="35"/>
      <c r="HR633" s="35"/>
      <c r="HS633" s="35"/>
      <c r="HT633" s="35"/>
      <c r="HU633" s="35"/>
      <c r="HV633" s="35"/>
      <c r="HW633" s="35"/>
      <c r="HX633" s="35"/>
      <c r="HY633" s="35"/>
      <c r="HZ633" s="35"/>
      <c r="IA633" s="35"/>
      <c r="IB633" s="35"/>
      <c r="IC633" s="35"/>
      <c r="ID633" s="35"/>
      <c r="IE633" s="35"/>
      <c r="IF633" s="35"/>
      <c r="IG633" s="35"/>
      <c r="IH633" s="35"/>
      <c r="II633" s="35"/>
      <c r="IJ633" s="35"/>
      <c r="IK633" s="35"/>
      <c r="IL633" s="35"/>
      <c r="IM633" s="35"/>
      <c r="IN633" s="35"/>
      <c r="IO633" s="35"/>
      <c r="IP633" s="35"/>
      <c r="IQ633" s="35"/>
      <c r="IR633" s="35"/>
      <c r="IS633" s="35"/>
      <c r="IT633" s="35"/>
      <c r="IU633" s="35"/>
      <c r="IV633" s="35"/>
      <c r="IW633" s="35"/>
      <c r="IX633" s="35"/>
      <c r="IY633" s="35"/>
      <c r="IZ633" s="35"/>
      <c r="JA633" s="35"/>
      <c r="JB633" s="35"/>
      <c r="JC633" s="35"/>
      <c r="JD633" s="35"/>
      <c r="JE633" s="35"/>
    </row>
    <row r="634">
      <c r="A634" s="42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  <c r="AZ634" s="35"/>
      <c r="BA634" s="35"/>
      <c r="BB634" s="35"/>
      <c r="BC634" s="35"/>
      <c r="BD634" s="35"/>
      <c r="BE634" s="35"/>
      <c r="BF634" s="35"/>
      <c r="BG634" s="35"/>
      <c r="BH634" s="35"/>
      <c r="BI634" s="35"/>
      <c r="BJ634" s="35"/>
      <c r="BK634" s="35"/>
      <c r="BL634" s="35"/>
      <c r="BM634" s="35"/>
      <c r="BN634" s="35"/>
      <c r="BO634" s="35"/>
      <c r="BP634" s="35"/>
      <c r="BQ634" s="35"/>
      <c r="BR634" s="35"/>
      <c r="BS634" s="35"/>
      <c r="BT634" s="35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35"/>
      <c r="CO634" s="35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35"/>
      <c r="DJ634" s="35"/>
      <c r="DK634" s="35"/>
      <c r="DL634" s="35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35"/>
      <c r="EE634" s="35"/>
      <c r="EF634" s="35"/>
      <c r="EG634" s="35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35"/>
      <c r="EZ634" s="35"/>
      <c r="FA634" s="35"/>
      <c r="FB634" s="35"/>
      <c r="FC634" s="35"/>
      <c r="FD634" s="35"/>
      <c r="FE634" s="35"/>
      <c r="FF634" s="35"/>
      <c r="FG634" s="35"/>
      <c r="FH634" s="35"/>
      <c r="FI634" s="35"/>
      <c r="FJ634" s="35"/>
      <c r="FK634" s="35"/>
      <c r="FL634" s="35"/>
      <c r="FM634" s="35"/>
      <c r="FN634" s="35"/>
      <c r="FO634" s="35"/>
      <c r="FP634" s="35"/>
      <c r="FQ634" s="35"/>
      <c r="FR634" s="35"/>
      <c r="FS634" s="35"/>
      <c r="FT634" s="35"/>
      <c r="FU634" s="35"/>
      <c r="FV634" s="35"/>
      <c r="FW634" s="35"/>
      <c r="FX634" s="35"/>
      <c r="FY634" s="35"/>
      <c r="FZ634" s="35"/>
      <c r="GA634" s="35"/>
      <c r="GB634" s="35"/>
      <c r="GC634" s="35"/>
      <c r="GD634" s="35"/>
      <c r="GE634" s="35"/>
      <c r="GF634" s="35"/>
      <c r="GG634" s="35"/>
      <c r="GH634" s="35"/>
      <c r="GI634" s="35"/>
      <c r="GJ634" s="35"/>
      <c r="GK634" s="35"/>
      <c r="GL634" s="35"/>
      <c r="GM634" s="35"/>
      <c r="GN634" s="35"/>
      <c r="GO634" s="35"/>
      <c r="GP634" s="35"/>
      <c r="GQ634" s="35"/>
      <c r="GR634" s="35"/>
      <c r="GS634" s="35"/>
      <c r="GT634" s="35"/>
      <c r="GU634" s="35"/>
      <c r="GV634" s="35"/>
      <c r="GW634" s="35"/>
      <c r="GX634" s="35"/>
      <c r="GY634" s="35"/>
      <c r="GZ634" s="35"/>
      <c r="HA634" s="35"/>
      <c r="HB634" s="35"/>
      <c r="HC634" s="35"/>
      <c r="HD634" s="35"/>
      <c r="HE634" s="35"/>
      <c r="HF634" s="35"/>
      <c r="HG634" s="35"/>
      <c r="HH634" s="35"/>
      <c r="HI634" s="35"/>
      <c r="HJ634" s="35"/>
      <c r="HK634" s="35"/>
      <c r="HL634" s="35"/>
      <c r="HM634" s="35"/>
      <c r="HN634" s="35"/>
      <c r="HO634" s="35"/>
      <c r="HP634" s="35"/>
      <c r="HQ634" s="35"/>
      <c r="HR634" s="35"/>
      <c r="HS634" s="35"/>
      <c r="HT634" s="35"/>
      <c r="HU634" s="35"/>
      <c r="HV634" s="35"/>
      <c r="HW634" s="35"/>
      <c r="HX634" s="35"/>
      <c r="HY634" s="35"/>
      <c r="HZ634" s="35"/>
      <c r="IA634" s="35"/>
      <c r="IB634" s="35"/>
      <c r="IC634" s="35"/>
      <c r="ID634" s="35"/>
      <c r="IE634" s="35"/>
      <c r="IF634" s="35"/>
      <c r="IG634" s="35"/>
      <c r="IH634" s="35"/>
      <c r="II634" s="35"/>
      <c r="IJ634" s="35"/>
      <c r="IK634" s="35"/>
      <c r="IL634" s="35"/>
      <c r="IM634" s="35"/>
      <c r="IN634" s="35"/>
      <c r="IO634" s="35"/>
      <c r="IP634" s="35"/>
      <c r="IQ634" s="35"/>
      <c r="IR634" s="35"/>
      <c r="IS634" s="35"/>
      <c r="IT634" s="35"/>
      <c r="IU634" s="35"/>
      <c r="IV634" s="35"/>
      <c r="IW634" s="35"/>
      <c r="IX634" s="35"/>
      <c r="IY634" s="35"/>
      <c r="IZ634" s="35"/>
      <c r="JA634" s="35"/>
      <c r="JB634" s="35"/>
      <c r="JC634" s="35"/>
      <c r="JD634" s="35"/>
      <c r="JE634" s="35"/>
    </row>
    <row r="635">
      <c r="A635" s="42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35"/>
      <c r="BA635" s="35"/>
      <c r="BB635" s="35"/>
      <c r="BC635" s="35"/>
      <c r="BD635" s="35"/>
      <c r="BE635" s="35"/>
      <c r="BF635" s="35"/>
      <c r="BG635" s="35"/>
      <c r="BH635" s="35"/>
      <c r="BI635" s="35"/>
      <c r="BJ635" s="35"/>
      <c r="BK635" s="35"/>
      <c r="BL635" s="35"/>
      <c r="BM635" s="35"/>
      <c r="BN635" s="35"/>
      <c r="BO635" s="35"/>
      <c r="BP635" s="35"/>
      <c r="BQ635" s="35"/>
      <c r="BR635" s="35"/>
      <c r="BS635" s="35"/>
      <c r="BT635" s="35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35"/>
      <c r="CO635" s="35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35"/>
      <c r="DJ635" s="35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35"/>
      <c r="EE635" s="35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35"/>
      <c r="EZ635" s="35"/>
      <c r="FA635" s="35"/>
      <c r="FB635" s="35"/>
      <c r="FC635" s="35"/>
      <c r="FD635" s="35"/>
      <c r="FE635" s="35"/>
      <c r="FF635" s="35"/>
      <c r="FG635" s="35"/>
      <c r="FH635" s="35"/>
      <c r="FI635" s="35"/>
      <c r="FJ635" s="35"/>
      <c r="FK635" s="35"/>
      <c r="FL635" s="35"/>
      <c r="FM635" s="35"/>
      <c r="FN635" s="35"/>
      <c r="FO635" s="35"/>
      <c r="FP635" s="35"/>
      <c r="FQ635" s="35"/>
      <c r="FR635" s="35"/>
      <c r="FS635" s="35"/>
      <c r="FT635" s="35"/>
      <c r="FU635" s="35"/>
      <c r="FV635" s="35"/>
      <c r="FW635" s="35"/>
      <c r="FX635" s="35"/>
      <c r="FY635" s="35"/>
      <c r="FZ635" s="35"/>
      <c r="GA635" s="35"/>
      <c r="GB635" s="35"/>
      <c r="GC635" s="35"/>
      <c r="GD635" s="35"/>
      <c r="GE635" s="35"/>
      <c r="GF635" s="35"/>
      <c r="GG635" s="35"/>
      <c r="GH635" s="35"/>
      <c r="GI635" s="35"/>
      <c r="GJ635" s="35"/>
      <c r="GK635" s="35"/>
      <c r="GL635" s="35"/>
      <c r="GM635" s="35"/>
      <c r="GN635" s="35"/>
      <c r="GO635" s="35"/>
      <c r="GP635" s="35"/>
      <c r="GQ635" s="35"/>
      <c r="GR635" s="35"/>
      <c r="GS635" s="35"/>
      <c r="GT635" s="35"/>
      <c r="GU635" s="35"/>
      <c r="GV635" s="35"/>
      <c r="GW635" s="35"/>
      <c r="GX635" s="35"/>
      <c r="GY635" s="35"/>
      <c r="GZ635" s="35"/>
      <c r="HA635" s="35"/>
      <c r="HB635" s="35"/>
      <c r="HC635" s="35"/>
      <c r="HD635" s="35"/>
      <c r="HE635" s="35"/>
      <c r="HF635" s="35"/>
      <c r="HG635" s="35"/>
      <c r="HH635" s="35"/>
      <c r="HI635" s="35"/>
      <c r="HJ635" s="35"/>
      <c r="HK635" s="35"/>
      <c r="HL635" s="35"/>
      <c r="HM635" s="35"/>
      <c r="HN635" s="35"/>
      <c r="HO635" s="35"/>
      <c r="HP635" s="35"/>
      <c r="HQ635" s="35"/>
      <c r="HR635" s="35"/>
      <c r="HS635" s="35"/>
      <c r="HT635" s="35"/>
      <c r="HU635" s="35"/>
      <c r="HV635" s="35"/>
      <c r="HW635" s="35"/>
      <c r="HX635" s="35"/>
      <c r="HY635" s="35"/>
      <c r="HZ635" s="35"/>
      <c r="IA635" s="35"/>
      <c r="IB635" s="35"/>
      <c r="IC635" s="35"/>
      <c r="ID635" s="35"/>
      <c r="IE635" s="35"/>
      <c r="IF635" s="35"/>
      <c r="IG635" s="35"/>
      <c r="IH635" s="35"/>
      <c r="II635" s="35"/>
      <c r="IJ635" s="35"/>
      <c r="IK635" s="35"/>
      <c r="IL635" s="35"/>
      <c r="IM635" s="35"/>
      <c r="IN635" s="35"/>
      <c r="IO635" s="35"/>
      <c r="IP635" s="35"/>
      <c r="IQ635" s="35"/>
      <c r="IR635" s="35"/>
      <c r="IS635" s="35"/>
      <c r="IT635" s="35"/>
      <c r="IU635" s="35"/>
      <c r="IV635" s="35"/>
      <c r="IW635" s="35"/>
      <c r="IX635" s="35"/>
      <c r="IY635" s="35"/>
      <c r="IZ635" s="35"/>
      <c r="JA635" s="35"/>
      <c r="JB635" s="35"/>
      <c r="JC635" s="35"/>
      <c r="JD635" s="35"/>
      <c r="JE635" s="35"/>
    </row>
    <row r="636">
      <c r="A636" s="42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  <c r="AZ636" s="35"/>
      <c r="BA636" s="35"/>
      <c r="BB636" s="35"/>
      <c r="BC636" s="35"/>
      <c r="BD636" s="35"/>
      <c r="BE636" s="35"/>
      <c r="BF636" s="35"/>
      <c r="BG636" s="35"/>
      <c r="BH636" s="35"/>
      <c r="BI636" s="35"/>
      <c r="BJ636" s="35"/>
      <c r="BK636" s="35"/>
      <c r="BL636" s="35"/>
      <c r="BM636" s="35"/>
      <c r="BN636" s="35"/>
      <c r="BO636" s="35"/>
      <c r="BP636" s="35"/>
      <c r="BQ636" s="35"/>
      <c r="BR636" s="35"/>
      <c r="BS636" s="35"/>
      <c r="BT636" s="35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35"/>
      <c r="CO636" s="35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35"/>
      <c r="DJ636" s="35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35"/>
      <c r="EE636" s="35"/>
      <c r="EF636" s="35"/>
      <c r="EG636" s="35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35"/>
      <c r="EZ636" s="35"/>
      <c r="FA636" s="35"/>
      <c r="FB636" s="35"/>
      <c r="FC636" s="35"/>
      <c r="FD636" s="35"/>
      <c r="FE636" s="35"/>
      <c r="FF636" s="35"/>
      <c r="FG636" s="35"/>
      <c r="FH636" s="35"/>
      <c r="FI636" s="35"/>
      <c r="FJ636" s="35"/>
      <c r="FK636" s="35"/>
      <c r="FL636" s="35"/>
      <c r="FM636" s="35"/>
      <c r="FN636" s="35"/>
      <c r="FO636" s="35"/>
      <c r="FP636" s="35"/>
      <c r="FQ636" s="35"/>
      <c r="FR636" s="35"/>
      <c r="FS636" s="35"/>
      <c r="FT636" s="35"/>
      <c r="FU636" s="35"/>
      <c r="FV636" s="35"/>
      <c r="FW636" s="35"/>
      <c r="FX636" s="35"/>
      <c r="FY636" s="35"/>
      <c r="FZ636" s="35"/>
      <c r="GA636" s="35"/>
      <c r="GB636" s="35"/>
      <c r="GC636" s="35"/>
      <c r="GD636" s="35"/>
      <c r="GE636" s="35"/>
      <c r="GF636" s="35"/>
      <c r="GG636" s="35"/>
      <c r="GH636" s="35"/>
      <c r="GI636" s="35"/>
      <c r="GJ636" s="35"/>
      <c r="GK636" s="35"/>
      <c r="GL636" s="35"/>
      <c r="GM636" s="35"/>
      <c r="GN636" s="35"/>
      <c r="GO636" s="35"/>
      <c r="GP636" s="35"/>
      <c r="GQ636" s="35"/>
      <c r="GR636" s="35"/>
      <c r="GS636" s="35"/>
      <c r="GT636" s="35"/>
      <c r="GU636" s="35"/>
      <c r="GV636" s="35"/>
      <c r="GW636" s="35"/>
      <c r="GX636" s="35"/>
      <c r="GY636" s="35"/>
      <c r="GZ636" s="35"/>
      <c r="HA636" s="35"/>
      <c r="HB636" s="35"/>
      <c r="HC636" s="35"/>
      <c r="HD636" s="35"/>
      <c r="HE636" s="35"/>
      <c r="HF636" s="35"/>
      <c r="HG636" s="35"/>
      <c r="HH636" s="35"/>
      <c r="HI636" s="35"/>
      <c r="HJ636" s="35"/>
      <c r="HK636" s="35"/>
      <c r="HL636" s="35"/>
      <c r="HM636" s="35"/>
      <c r="HN636" s="35"/>
      <c r="HO636" s="35"/>
      <c r="HP636" s="35"/>
      <c r="HQ636" s="35"/>
      <c r="HR636" s="35"/>
      <c r="HS636" s="35"/>
      <c r="HT636" s="35"/>
      <c r="HU636" s="35"/>
      <c r="HV636" s="35"/>
      <c r="HW636" s="35"/>
      <c r="HX636" s="35"/>
      <c r="HY636" s="35"/>
      <c r="HZ636" s="35"/>
      <c r="IA636" s="35"/>
      <c r="IB636" s="35"/>
      <c r="IC636" s="35"/>
      <c r="ID636" s="35"/>
      <c r="IE636" s="35"/>
      <c r="IF636" s="35"/>
      <c r="IG636" s="35"/>
      <c r="IH636" s="35"/>
      <c r="II636" s="35"/>
      <c r="IJ636" s="35"/>
      <c r="IK636" s="35"/>
      <c r="IL636" s="35"/>
      <c r="IM636" s="35"/>
      <c r="IN636" s="35"/>
      <c r="IO636" s="35"/>
      <c r="IP636" s="35"/>
      <c r="IQ636" s="35"/>
      <c r="IR636" s="35"/>
      <c r="IS636" s="35"/>
      <c r="IT636" s="35"/>
      <c r="IU636" s="35"/>
      <c r="IV636" s="35"/>
      <c r="IW636" s="35"/>
      <c r="IX636" s="35"/>
      <c r="IY636" s="35"/>
      <c r="IZ636" s="35"/>
      <c r="JA636" s="35"/>
      <c r="JB636" s="35"/>
      <c r="JC636" s="35"/>
      <c r="JD636" s="35"/>
      <c r="JE636" s="35"/>
    </row>
    <row r="637">
      <c r="A637" s="42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  <c r="AZ637" s="35"/>
      <c r="BA637" s="35"/>
      <c r="BB637" s="35"/>
      <c r="BC637" s="35"/>
      <c r="BD637" s="35"/>
      <c r="BE637" s="35"/>
      <c r="BF637" s="35"/>
      <c r="BG637" s="35"/>
      <c r="BH637" s="35"/>
      <c r="BI637" s="35"/>
      <c r="BJ637" s="35"/>
      <c r="BK637" s="35"/>
      <c r="BL637" s="35"/>
      <c r="BM637" s="35"/>
      <c r="BN637" s="35"/>
      <c r="BO637" s="35"/>
      <c r="BP637" s="35"/>
      <c r="BQ637" s="35"/>
      <c r="BR637" s="35"/>
      <c r="BS637" s="35"/>
      <c r="BT637" s="35"/>
      <c r="BU637" s="35"/>
      <c r="BV637" s="35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35"/>
      <c r="CO637" s="35"/>
      <c r="CP637" s="35"/>
      <c r="CQ637" s="35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35"/>
      <c r="DJ637" s="35"/>
      <c r="DK637" s="35"/>
      <c r="DL637" s="35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35"/>
      <c r="EE637" s="35"/>
      <c r="EF637" s="35"/>
      <c r="EG637" s="35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35"/>
      <c r="EZ637" s="35"/>
      <c r="FA637" s="35"/>
      <c r="FB637" s="35"/>
      <c r="FC637" s="35"/>
      <c r="FD637" s="35"/>
      <c r="FE637" s="35"/>
      <c r="FF637" s="35"/>
      <c r="FG637" s="35"/>
      <c r="FH637" s="35"/>
      <c r="FI637" s="35"/>
      <c r="FJ637" s="35"/>
      <c r="FK637" s="35"/>
      <c r="FL637" s="35"/>
      <c r="FM637" s="35"/>
      <c r="FN637" s="35"/>
      <c r="FO637" s="35"/>
      <c r="FP637" s="35"/>
      <c r="FQ637" s="35"/>
      <c r="FR637" s="35"/>
      <c r="FS637" s="35"/>
      <c r="FT637" s="35"/>
      <c r="FU637" s="35"/>
      <c r="FV637" s="35"/>
      <c r="FW637" s="35"/>
      <c r="FX637" s="35"/>
      <c r="FY637" s="35"/>
      <c r="FZ637" s="35"/>
      <c r="GA637" s="35"/>
      <c r="GB637" s="35"/>
      <c r="GC637" s="35"/>
      <c r="GD637" s="35"/>
      <c r="GE637" s="35"/>
      <c r="GF637" s="35"/>
      <c r="GG637" s="35"/>
      <c r="GH637" s="35"/>
      <c r="GI637" s="35"/>
      <c r="GJ637" s="35"/>
      <c r="GK637" s="35"/>
      <c r="GL637" s="35"/>
      <c r="GM637" s="35"/>
      <c r="GN637" s="35"/>
      <c r="GO637" s="35"/>
      <c r="GP637" s="35"/>
      <c r="GQ637" s="35"/>
      <c r="GR637" s="35"/>
      <c r="GS637" s="35"/>
      <c r="GT637" s="35"/>
      <c r="GU637" s="35"/>
      <c r="GV637" s="35"/>
      <c r="GW637" s="35"/>
      <c r="GX637" s="35"/>
      <c r="GY637" s="35"/>
      <c r="GZ637" s="35"/>
      <c r="HA637" s="35"/>
      <c r="HB637" s="35"/>
      <c r="HC637" s="35"/>
      <c r="HD637" s="35"/>
      <c r="HE637" s="35"/>
      <c r="HF637" s="35"/>
      <c r="HG637" s="35"/>
      <c r="HH637" s="35"/>
      <c r="HI637" s="35"/>
      <c r="HJ637" s="35"/>
      <c r="HK637" s="35"/>
      <c r="HL637" s="35"/>
      <c r="HM637" s="35"/>
      <c r="HN637" s="35"/>
      <c r="HO637" s="35"/>
      <c r="HP637" s="35"/>
      <c r="HQ637" s="35"/>
      <c r="HR637" s="35"/>
      <c r="HS637" s="35"/>
      <c r="HT637" s="35"/>
      <c r="HU637" s="35"/>
      <c r="HV637" s="35"/>
      <c r="HW637" s="35"/>
      <c r="HX637" s="35"/>
      <c r="HY637" s="35"/>
      <c r="HZ637" s="35"/>
      <c r="IA637" s="35"/>
      <c r="IB637" s="35"/>
      <c r="IC637" s="35"/>
      <c r="ID637" s="35"/>
      <c r="IE637" s="35"/>
      <c r="IF637" s="35"/>
      <c r="IG637" s="35"/>
      <c r="IH637" s="35"/>
      <c r="II637" s="35"/>
      <c r="IJ637" s="35"/>
      <c r="IK637" s="35"/>
      <c r="IL637" s="35"/>
      <c r="IM637" s="35"/>
      <c r="IN637" s="35"/>
      <c r="IO637" s="35"/>
      <c r="IP637" s="35"/>
      <c r="IQ637" s="35"/>
      <c r="IR637" s="35"/>
      <c r="IS637" s="35"/>
      <c r="IT637" s="35"/>
      <c r="IU637" s="35"/>
      <c r="IV637" s="35"/>
      <c r="IW637" s="35"/>
      <c r="IX637" s="35"/>
      <c r="IY637" s="35"/>
      <c r="IZ637" s="35"/>
      <c r="JA637" s="35"/>
      <c r="JB637" s="35"/>
      <c r="JC637" s="35"/>
      <c r="JD637" s="35"/>
      <c r="JE637" s="35"/>
    </row>
    <row r="638">
      <c r="A638" s="42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  <c r="AZ638" s="35"/>
      <c r="BA638" s="35"/>
      <c r="BB638" s="35"/>
      <c r="BC638" s="35"/>
      <c r="BD638" s="35"/>
      <c r="BE638" s="35"/>
      <c r="BF638" s="35"/>
      <c r="BG638" s="35"/>
      <c r="BH638" s="35"/>
      <c r="BI638" s="35"/>
      <c r="BJ638" s="35"/>
      <c r="BK638" s="35"/>
      <c r="BL638" s="35"/>
      <c r="BM638" s="35"/>
      <c r="BN638" s="35"/>
      <c r="BO638" s="35"/>
      <c r="BP638" s="35"/>
      <c r="BQ638" s="35"/>
      <c r="BR638" s="35"/>
      <c r="BS638" s="35"/>
      <c r="BT638" s="35"/>
      <c r="BU638" s="35"/>
      <c r="BV638" s="35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35"/>
      <c r="CO638" s="35"/>
      <c r="CP638" s="35"/>
      <c r="CQ638" s="35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35"/>
      <c r="DJ638" s="35"/>
      <c r="DK638" s="35"/>
      <c r="DL638" s="35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35"/>
      <c r="EE638" s="35"/>
      <c r="EF638" s="35"/>
      <c r="EG638" s="35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35"/>
      <c r="EZ638" s="35"/>
      <c r="FA638" s="35"/>
      <c r="FB638" s="35"/>
      <c r="FC638" s="35"/>
      <c r="FD638" s="35"/>
      <c r="FE638" s="35"/>
      <c r="FF638" s="35"/>
      <c r="FG638" s="35"/>
      <c r="FH638" s="35"/>
      <c r="FI638" s="35"/>
      <c r="FJ638" s="35"/>
      <c r="FK638" s="35"/>
      <c r="FL638" s="35"/>
      <c r="FM638" s="35"/>
      <c r="FN638" s="35"/>
      <c r="FO638" s="35"/>
      <c r="FP638" s="35"/>
      <c r="FQ638" s="35"/>
      <c r="FR638" s="35"/>
      <c r="FS638" s="35"/>
      <c r="FT638" s="35"/>
      <c r="FU638" s="35"/>
      <c r="FV638" s="35"/>
      <c r="FW638" s="35"/>
      <c r="FX638" s="35"/>
      <c r="FY638" s="35"/>
      <c r="FZ638" s="35"/>
      <c r="GA638" s="35"/>
      <c r="GB638" s="35"/>
      <c r="GC638" s="35"/>
      <c r="GD638" s="35"/>
      <c r="GE638" s="35"/>
      <c r="GF638" s="35"/>
      <c r="GG638" s="35"/>
      <c r="GH638" s="35"/>
      <c r="GI638" s="35"/>
      <c r="GJ638" s="35"/>
      <c r="GK638" s="35"/>
      <c r="GL638" s="35"/>
      <c r="GM638" s="35"/>
      <c r="GN638" s="35"/>
      <c r="GO638" s="35"/>
      <c r="GP638" s="35"/>
      <c r="GQ638" s="35"/>
      <c r="GR638" s="35"/>
      <c r="GS638" s="35"/>
      <c r="GT638" s="35"/>
      <c r="GU638" s="35"/>
      <c r="GV638" s="35"/>
      <c r="GW638" s="35"/>
      <c r="GX638" s="35"/>
      <c r="GY638" s="35"/>
      <c r="GZ638" s="35"/>
      <c r="HA638" s="35"/>
      <c r="HB638" s="35"/>
      <c r="HC638" s="35"/>
      <c r="HD638" s="35"/>
      <c r="HE638" s="35"/>
      <c r="HF638" s="35"/>
      <c r="HG638" s="35"/>
      <c r="HH638" s="35"/>
      <c r="HI638" s="35"/>
      <c r="HJ638" s="35"/>
      <c r="HK638" s="35"/>
      <c r="HL638" s="35"/>
      <c r="HM638" s="35"/>
      <c r="HN638" s="35"/>
      <c r="HO638" s="35"/>
      <c r="HP638" s="35"/>
      <c r="HQ638" s="35"/>
      <c r="HR638" s="35"/>
      <c r="HS638" s="35"/>
      <c r="HT638" s="35"/>
      <c r="HU638" s="35"/>
      <c r="HV638" s="35"/>
      <c r="HW638" s="35"/>
      <c r="HX638" s="35"/>
      <c r="HY638" s="35"/>
      <c r="HZ638" s="35"/>
      <c r="IA638" s="35"/>
      <c r="IB638" s="35"/>
      <c r="IC638" s="35"/>
      <c r="ID638" s="35"/>
      <c r="IE638" s="35"/>
      <c r="IF638" s="35"/>
      <c r="IG638" s="35"/>
      <c r="IH638" s="35"/>
      <c r="II638" s="35"/>
      <c r="IJ638" s="35"/>
      <c r="IK638" s="35"/>
      <c r="IL638" s="35"/>
      <c r="IM638" s="35"/>
      <c r="IN638" s="35"/>
      <c r="IO638" s="35"/>
      <c r="IP638" s="35"/>
      <c r="IQ638" s="35"/>
      <c r="IR638" s="35"/>
      <c r="IS638" s="35"/>
      <c r="IT638" s="35"/>
      <c r="IU638" s="35"/>
      <c r="IV638" s="35"/>
      <c r="IW638" s="35"/>
      <c r="IX638" s="35"/>
      <c r="IY638" s="35"/>
      <c r="IZ638" s="35"/>
      <c r="JA638" s="35"/>
      <c r="JB638" s="35"/>
      <c r="JC638" s="35"/>
      <c r="JD638" s="35"/>
      <c r="JE638" s="35"/>
    </row>
    <row r="639">
      <c r="A639" s="42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  <c r="AZ639" s="35"/>
      <c r="BA639" s="35"/>
      <c r="BB639" s="35"/>
      <c r="BC639" s="35"/>
      <c r="BD639" s="35"/>
      <c r="BE639" s="35"/>
      <c r="BF639" s="35"/>
      <c r="BG639" s="35"/>
      <c r="BH639" s="35"/>
      <c r="BI639" s="35"/>
      <c r="BJ639" s="35"/>
      <c r="BK639" s="35"/>
      <c r="BL639" s="35"/>
      <c r="BM639" s="35"/>
      <c r="BN639" s="35"/>
      <c r="BO639" s="35"/>
      <c r="BP639" s="35"/>
      <c r="BQ639" s="35"/>
      <c r="BR639" s="35"/>
      <c r="BS639" s="35"/>
      <c r="BT639" s="35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35"/>
      <c r="CO639" s="35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35"/>
      <c r="DJ639" s="35"/>
      <c r="DK639" s="35"/>
      <c r="DL639" s="35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35"/>
      <c r="EE639" s="35"/>
      <c r="EF639" s="35"/>
      <c r="EG639" s="35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35"/>
      <c r="EZ639" s="35"/>
      <c r="FA639" s="35"/>
      <c r="FB639" s="35"/>
      <c r="FC639" s="35"/>
      <c r="FD639" s="35"/>
      <c r="FE639" s="35"/>
      <c r="FF639" s="35"/>
      <c r="FG639" s="35"/>
      <c r="FH639" s="35"/>
      <c r="FI639" s="35"/>
      <c r="FJ639" s="35"/>
      <c r="FK639" s="35"/>
      <c r="FL639" s="35"/>
      <c r="FM639" s="35"/>
      <c r="FN639" s="35"/>
      <c r="FO639" s="35"/>
      <c r="FP639" s="35"/>
      <c r="FQ639" s="35"/>
      <c r="FR639" s="35"/>
      <c r="FS639" s="35"/>
      <c r="FT639" s="35"/>
      <c r="FU639" s="35"/>
      <c r="FV639" s="35"/>
      <c r="FW639" s="35"/>
      <c r="FX639" s="35"/>
      <c r="FY639" s="35"/>
      <c r="FZ639" s="35"/>
      <c r="GA639" s="35"/>
      <c r="GB639" s="35"/>
      <c r="GC639" s="35"/>
      <c r="GD639" s="35"/>
      <c r="GE639" s="35"/>
      <c r="GF639" s="35"/>
      <c r="GG639" s="35"/>
      <c r="GH639" s="35"/>
      <c r="GI639" s="35"/>
      <c r="GJ639" s="35"/>
      <c r="GK639" s="35"/>
      <c r="GL639" s="35"/>
      <c r="GM639" s="35"/>
      <c r="GN639" s="35"/>
      <c r="GO639" s="35"/>
      <c r="GP639" s="35"/>
      <c r="GQ639" s="35"/>
      <c r="GR639" s="35"/>
      <c r="GS639" s="35"/>
      <c r="GT639" s="35"/>
      <c r="GU639" s="35"/>
      <c r="GV639" s="35"/>
      <c r="GW639" s="35"/>
      <c r="GX639" s="35"/>
      <c r="GY639" s="35"/>
      <c r="GZ639" s="35"/>
      <c r="HA639" s="35"/>
      <c r="HB639" s="35"/>
      <c r="HC639" s="35"/>
      <c r="HD639" s="35"/>
      <c r="HE639" s="35"/>
      <c r="HF639" s="35"/>
      <c r="HG639" s="35"/>
      <c r="HH639" s="35"/>
      <c r="HI639" s="35"/>
      <c r="HJ639" s="35"/>
      <c r="HK639" s="35"/>
      <c r="HL639" s="35"/>
      <c r="HM639" s="35"/>
      <c r="HN639" s="35"/>
      <c r="HO639" s="35"/>
      <c r="HP639" s="35"/>
      <c r="HQ639" s="35"/>
      <c r="HR639" s="35"/>
      <c r="HS639" s="35"/>
      <c r="HT639" s="35"/>
      <c r="HU639" s="35"/>
      <c r="HV639" s="35"/>
      <c r="HW639" s="35"/>
      <c r="HX639" s="35"/>
      <c r="HY639" s="35"/>
      <c r="HZ639" s="35"/>
      <c r="IA639" s="35"/>
      <c r="IB639" s="35"/>
      <c r="IC639" s="35"/>
      <c r="ID639" s="35"/>
      <c r="IE639" s="35"/>
      <c r="IF639" s="35"/>
      <c r="IG639" s="35"/>
      <c r="IH639" s="35"/>
      <c r="II639" s="35"/>
      <c r="IJ639" s="35"/>
      <c r="IK639" s="35"/>
      <c r="IL639" s="35"/>
      <c r="IM639" s="35"/>
      <c r="IN639" s="35"/>
      <c r="IO639" s="35"/>
      <c r="IP639" s="35"/>
      <c r="IQ639" s="35"/>
      <c r="IR639" s="35"/>
      <c r="IS639" s="35"/>
      <c r="IT639" s="35"/>
      <c r="IU639" s="35"/>
      <c r="IV639" s="35"/>
      <c r="IW639" s="35"/>
      <c r="IX639" s="35"/>
      <c r="IY639" s="35"/>
      <c r="IZ639" s="35"/>
      <c r="JA639" s="35"/>
      <c r="JB639" s="35"/>
      <c r="JC639" s="35"/>
      <c r="JD639" s="35"/>
      <c r="JE639" s="35"/>
    </row>
    <row r="640">
      <c r="A640" s="42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  <c r="AZ640" s="35"/>
      <c r="BA640" s="35"/>
      <c r="BB640" s="35"/>
      <c r="BC640" s="35"/>
      <c r="BD640" s="35"/>
      <c r="BE640" s="35"/>
      <c r="BF640" s="35"/>
      <c r="BG640" s="35"/>
      <c r="BH640" s="35"/>
      <c r="BI640" s="35"/>
      <c r="BJ640" s="35"/>
      <c r="BK640" s="35"/>
      <c r="BL640" s="35"/>
      <c r="BM640" s="35"/>
      <c r="BN640" s="35"/>
      <c r="BO640" s="35"/>
      <c r="BP640" s="35"/>
      <c r="BQ640" s="35"/>
      <c r="BR640" s="35"/>
      <c r="BS640" s="35"/>
      <c r="BT640" s="35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35"/>
      <c r="CO640" s="35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35"/>
      <c r="DJ640" s="35"/>
      <c r="DK640" s="35"/>
      <c r="DL640" s="35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35"/>
      <c r="EE640" s="35"/>
      <c r="EF640" s="35"/>
      <c r="EG640" s="35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35"/>
      <c r="EZ640" s="35"/>
      <c r="FA640" s="35"/>
      <c r="FB640" s="35"/>
      <c r="FC640" s="35"/>
      <c r="FD640" s="35"/>
      <c r="FE640" s="35"/>
      <c r="FF640" s="35"/>
      <c r="FG640" s="35"/>
      <c r="FH640" s="35"/>
      <c r="FI640" s="35"/>
      <c r="FJ640" s="35"/>
      <c r="FK640" s="35"/>
      <c r="FL640" s="35"/>
      <c r="FM640" s="35"/>
      <c r="FN640" s="35"/>
      <c r="FO640" s="35"/>
      <c r="FP640" s="35"/>
      <c r="FQ640" s="35"/>
      <c r="FR640" s="35"/>
      <c r="FS640" s="35"/>
      <c r="FT640" s="35"/>
      <c r="FU640" s="35"/>
      <c r="FV640" s="35"/>
      <c r="FW640" s="35"/>
      <c r="FX640" s="35"/>
      <c r="FY640" s="35"/>
      <c r="FZ640" s="35"/>
      <c r="GA640" s="35"/>
      <c r="GB640" s="35"/>
      <c r="GC640" s="35"/>
      <c r="GD640" s="35"/>
      <c r="GE640" s="35"/>
      <c r="GF640" s="35"/>
      <c r="GG640" s="35"/>
      <c r="GH640" s="35"/>
      <c r="GI640" s="35"/>
      <c r="GJ640" s="35"/>
      <c r="GK640" s="35"/>
      <c r="GL640" s="35"/>
      <c r="GM640" s="35"/>
      <c r="GN640" s="35"/>
      <c r="GO640" s="35"/>
      <c r="GP640" s="35"/>
      <c r="GQ640" s="35"/>
      <c r="GR640" s="35"/>
      <c r="GS640" s="35"/>
      <c r="GT640" s="35"/>
      <c r="GU640" s="35"/>
      <c r="GV640" s="35"/>
      <c r="GW640" s="35"/>
      <c r="GX640" s="35"/>
      <c r="GY640" s="35"/>
      <c r="GZ640" s="35"/>
      <c r="HA640" s="35"/>
      <c r="HB640" s="35"/>
      <c r="HC640" s="35"/>
      <c r="HD640" s="35"/>
      <c r="HE640" s="35"/>
      <c r="HF640" s="35"/>
      <c r="HG640" s="35"/>
      <c r="HH640" s="35"/>
      <c r="HI640" s="35"/>
      <c r="HJ640" s="35"/>
      <c r="HK640" s="35"/>
      <c r="HL640" s="35"/>
      <c r="HM640" s="35"/>
      <c r="HN640" s="35"/>
      <c r="HO640" s="35"/>
      <c r="HP640" s="35"/>
      <c r="HQ640" s="35"/>
      <c r="HR640" s="35"/>
      <c r="HS640" s="35"/>
      <c r="HT640" s="35"/>
      <c r="HU640" s="35"/>
      <c r="HV640" s="35"/>
      <c r="HW640" s="35"/>
      <c r="HX640" s="35"/>
      <c r="HY640" s="35"/>
      <c r="HZ640" s="35"/>
      <c r="IA640" s="35"/>
      <c r="IB640" s="35"/>
      <c r="IC640" s="35"/>
      <c r="ID640" s="35"/>
      <c r="IE640" s="35"/>
      <c r="IF640" s="35"/>
      <c r="IG640" s="35"/>
      <c r="IH640" s="35"/>
      <c r="II640" s="35"/>
      <c r="IJ640" s="35"/>
      <c r="IK640" s="35"/>
      <c r="IL640" s="35"/>
      <c r="IM640" s="35"/>
      <c r="IN640" s="35"/>
      <c r="IO640" s="35"/>
      <c r="IP640" s="35"/>
      <c r="IQ640" s="35"/>
      <c r="IR640" s="35"/>
      <c r="IS640" s="35"/>
      <c r="IT640" s="35"/>
      <c r="IU640" s="35"/>
      <c r="IV640" s="35"/>
      <c r="IW640" s="35"/>
      <c r="IX640" s="35"/>
      <c r="IY640" s="35"/>
      <c r="IZ640" s="35"/>
      <c r="JA640" s="35"/>
      <c r="JB640" s="35"/>
      <c r="JC640" s="35"/>
      <c r="JD640" s="35"/>
      <c r="JE640" s="35"/>
    </row>
    <row r="641">
      <c r="A641" s="42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  <c r="AZ641" s="35"/>
      <c r="BA641" s="35"/>
      <c r="BB641" s="35"/>
      <c r="BC641" s="35"/>
      <c r="BD641" s="35"/>
      <c r="BE641" s="35"/>
      <c r="BF641" s="35"/>
      <c r="BG641" s="35"/>
      <c r="BH641" s="35"/>
      <c r="BI641" s="35"/>
      <c r="BJ641" s="35"/>
      <c r="BK641" s="35"/>
      <c r="BL641" s="35"/>
      <c r="BM641" s="35"/>
      <c r="BN641" s="35"/>
      <c r="BO641" s="35"/>
      <c r="BP641" s="35"/>
      <c r="BQ641" s="35"/>
      <c r="BR641" s="35"/>
      <c r="BS641" s="35"/>
      <c r="BT641" s="35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35"/>
      <c r="CO641" s="35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35"/>
      <c r="DJ641" s="35"/>
      <c r="DK641" s="35"/>
      <c r="DL641" s="35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35"/>
      <c r="EE641" s="35"/>
      <c r="EF641" s="35"/>
      <c r="EG641" s="35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35"/>
      <c r="EZ641" s="35"/>
      <c r="FA641" s="35"/>
      <c r="FB641" s="35"/>
      <c r="FC641" s="35"/>
      <c r="FD641" s="35"/>
      <c r="FE641" s="35"/>
      <c r="FF641" s="35"/>
      <c r="FG641" s="35"/>
      <c r="FH641" s="35"/>
      <c r="FI641" s="35"/>
      <c r="FJ641" s="35"/>
      <c r="FK641" s="35"/>
      <c r="FL641" s="35"/>
      <c r="FM641" s="35"/>
      <c r="FN641" s="35"/>
      <c r="FO641" s="35"/>
      <c r="FP641" s="35"/>
      <c r="FQ641" s="35"/>
      <c r="FR641" s="35"/>
      <c r="FS641" s="35"/>
      <c r="FT641" s="35"/>
      <c r="FU641" s="35"/>
      <c r="FV641" s="35"/>
      <c r="FW641" s="35"/>
      <c r="FX641" s="35"/>
      <c r="FY641" s="35"/>
      <c r="FZ641" s="35"/>
      <c r="GA641" s="35"/>
      <c r="GB641" s="35"/>
      <c r="GC641" s="35"/>
      <c r="GD641" s="35"/>
      <c r="GE641" s="35"/>
      <c r="GF641" s="35"/>
      <c r="GG641" s="35"/>
      <c r="GH641" s="35"/>
      <c r="GI641" s="35"/>
      <c r="GJ641" s="35"/>
      <c r="GK641" s="35"/>
      <c r="GL641" s="35"/>
      <c r="GM641" s="35"/>
      <c r="GN641" s="35"/>
      <c r="GO641" s="35"/>
      <c r="GP641" s="35"/>
      <c r="GQ641" s="35"/>
      <c r="GR641" s="35"/>
      <c r="GS641" s="35"/>
      <c r="GT641" s="35"/>
      <c r="GU641" s="35"/>
      <c r="GV641" s="35"/>
      <c r="GW641" s="35"/>
      <c r="GX641" s="35"/>
      <c r="GY641" s="35"/>
      <c r="GZ641" s="35"/>
      <c r="HA641" s="35"/>
      <c r="HB641" s="35"/>
      <c r="HC641" s="35"/>
      <c r="HD641" s="35"/>
      <c r="HE641" s="35"/>
      <c r="HF641" s="35"/>
      <c r="HG641" s="35"/>
      <c r="HH641" s="35"/>
      <c r="HI641" s="35"/>
      <c r="HJ641" s="35"/>
      <c r="HK641" s="35"/>
      <c r="HL641" s="35"/>
      <c r="HM641" s="35"/>
      <c r="HN641" s="35"/>
      <c r="HO641" s="35"/>
      <c r="HP641" s="35"/>
      <c r="HQ641" s="35"/>
      <c r="HR641" s="35"/>
      <c r="HS641" s="35"/>
      <c r="HT641" s="35"/>
      <c r="HU641" s="35"/>
      <c r="HV641" s="35"/>
      <c r="HW641" s="35"/>
      <c r="HX641" s="35"/>
      <c r="HY641" s="35"/>
      <c r="HZ641" s="35"/>
      <c r="IA641" s="35"/>
      <c r="IB641" s="35"/>
      <c r="IC641" s="35"/>
      <c r="ID641" s="35"/>
      <c r="IE641" s="35"/>
      <c r="IF641" s="35"/>
      <c r="IG641" s="35"/>
      <c r="IH641" s="35"/>
      <c r="II641" s="35"/>
      <c r="IJ641" s="35"/>
      <c r="IK641" s="35"/>
      <c r="IL641" s="35"/>
      <c r="IM641" s="35"/>
      <c r="IN641" s="35"/>
      <c r="IO641" s="35"/>
      <c r="IP641" s="35"/>
      <c r="IQ641" s="35"/>
      <c r="IR641" s="35"/>
      <c r="IS641" s="35"/>
      <c r="IT641" s="35"/>
      <c r="IU641" s="35"/>
      <c r="IV641" s="35"/>
      <c r="IW641" s="35"/>
      <c r="IX641" s="35"/>
      <c r="IY641" s="35"/>
      <c r="IZ641" s="35"/>
      <c r="JA641" s="35"/>
      <c r="JB641" s="35"/>
      <c r="JC641" s="35"/>
      <c r="JD641" s="35"/>
      <c r="JE641" s="35"/>
    </row>
    <row r="642">
      <c r="A642" s="42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35"/>
      <c r="BA642" s="35"/>
      <c r="BB642" s="35"/>
      <c r="BC642" s="35"/>
      <c r="BD642" s="35"/>
      <c r="BE642" s="35"/>
      <c r="BF642" s="35"/>
      <c r="BG642" s="35"/>
      <c r="BH642" s="35"/>
      <c r="BI642" s="35"/>
      <c r="BJ642" s="35"/>
      <c r="BK642" s="35"/>
      <c r="BL642" s="35"/>
      <c r="BM642" s="35"/>
      <c r="BN642" s="35"/>
      <c r="BO642" s="35"/>
      <c r="BP642" s="35"/>
      <c r="BQ642" s="35"/>
      <c r="BR642" s="35"/>
      <c r="BS642" s="35"/>
      <c r="BT642" s="35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35"/>
      <c r="CO642" s="35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35"/>
      <c r="DJ642" s="35"/>
      <c r="DK642" s="35"/>
      <c r="DL642" s="35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35"/>
      <c r="EE642" s="35"/>
      <c r="EF642" s="35"/>
      <c r="EG642" s="35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35"/>
      <c r="EZ642" s="35"/>
      <c r="FA642" s="35"/>
      <c r="FB642" s="35"/>
      <c r="FC642" s="35"/>
      <c r="FD642" s="35"/>
      <c r="FE642" s="35"/>
      <c r="FF642" s="35"/>
      <c r="FG642" s="35"/>
      <c r="FH642" s="35"/>
      <c r="FI642" s="35"/>
      <c r="FJ642" s="35"/>
      <c r="FK642" s="35"/>
      <c r="FL642" s="35"/>
      <c r="FM642" s="35"/>
      <c r="FN642" s="35"/>
      <c r="FO642" s="35"/>
      <c r="FP642" s="35"/>
      <c r="FQ642" s="35"/>
      <c r="FR642" s="35"/>
      <c r="FS642" s="35"/>
      <c r="FT642" s="35"/>
      <c r="FU642" s="35"/>
      <c r="FV642" s="35"/>
      <c r="FW642" s="35"/>
      <c r="FX642" s="35"/>
      <c r="FY642" s="35"/>
      <c r="FZ642" s="35"/>
      <c r="GA642" s="35"/>
      <c r="GB642" s="35"/>
      <c r="GC642" s="35"/>
      <c r="GD642" s="35"/>
      <c r="GE642" s="35"/>
      <c r="GF642" s="35"/>
      <c r="GG642" s="35"/>
      <c r="GH642" s="35"/>
      <c r="GI642" s="35"/>
      <c r="GJ642" s="35"/>
      <c r="GK642" s="35"/>
      <c r="GL642" s="35"/>
      <c r="GM642" s="35"/>
      <c r="GN642" s="35"/>
      <c r="GO642" s="35"/>
      <c r="GP642" s="35"/>
      <c r="GQ642" s="35"/>
      <c r="GR642" s="35"/>
      <c r="GS642" s="35"/>
      <c r="GT642" s="35"/>
      <c r="GU642" s="35"/>
      <c r="GV642" s="35"/>
      <c r="GW642" s="35"/>
      <c r="GX642" s="35"/>
      <c r="GY642" s="35"/>
      <c r="GZ642" s="35"/>
      <c r="HA642" s="35"/>
      <c r="HB642" s="35"/>
      <c r="HC642" s="35"/>
      <c r="HD642" s="35"/>
      <c r="HE642" s="35"/>
      <c r="HF642" s="35"/>
      <c r="HG642" s="35"/>
      <c r="HH642" s="35"/>
      <c r="HI642" s="35"/>
      <c r="HJ642" s="35"/>
      <c r="HK642" s="35"/>
      <c r="HL642" s="35"/>
      <c r="HM642" s="35"/>
      <c r="HN642" s="35"/>
      <c r="HO642" s="35"/>
      <c r="HP642" s="35"/>
      <c r="HQ642" s="35"/>
      <c r="HR642" s="35"/>
      <c r="HS642" s="35"/>
      <c r="HT642" s="35"/>
      <c r="HU642" s="35"/>
      <c r="HV642" s="35"/>
      <c r="HW642" s="35"/>
      <c r="HX642" s="35"/>
      <c r="HY642" s="35"/>
      <c r="HZ642" s="35"/>
      <c r="IA642" s="35"/>
      <c r="IB642" s="35"/>
      <c r="IC642" s="35"/>
      <c r="ID642" s="35"/>
      <c r="IE642" s="35"/>
      <c r="IF642" s="35"/>
      <c r="IG642" s="35"/>
      <c r="IH642" s="35"/>
      <c r="II642" s="35"/>
      <c r="IJ642" s="35"/>
      <c r="IK642" s="35"/>
      <c r="IL642" s="35"/>
      <c r="IM642" s="35"/>
      <c r="IN642" s="35"/>
      <c r="IO642" s="35"/>
      <c r="IP642" s="35"/>
      <c r="IQ642" s="35"/>
      <c r="IR642" s="35"/>
      <c r="IS642" s="35"/>
      <c r="IT642" s="35"/>
      <c r="IU642" s="35"/>
      <c r="IV642" s="35"/>
      <c r="IW642" s="35"/>
      <c r="IX642" s="35"/>
      <c r="IY642" s="35"/>
      <c r="IZ642" s="35"/>
      <c r="JA642" s="35"/>
      <c r="JB642" s="35"/>
      <c r="JC642" s="35"/>
      <c r="JD642" s="35"/>
      <c r="JE642" s="35"/>
    </row>
    <row r="643">
      <c r="A643" s="42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  <c r="BA643" s="35"/>
      <c r="BB643" s="35"/>
      <c r="BC643" s="35"/>
      <c r="BD643" s="35"/>
      <c r="BE643" s="35"/>
      <c r="BF643" s="35"/>
      <c r="BG643" s="35"/>
      <c r="BH643" s="35"/>
      <c r="BI643" s="35"/>
      <c r="BJ643" s="35"/>
      <c r="BK643" s="35"/>
      <c r="BL643" s="35"/>
      <c r="BM643" s="35"/>
      <c r="BN643" s="35"/>
      <c r="BO643" s="35"/>
      <c r="BP643" s="35"/>
      <c r="BQ643" s="35"/>
      <c r="BR643" s="35"/>
      <c r="BS643" s="35"/>
      <c r="BT643" s="35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35"/>
      <c r="CO643" s="35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35"/>
      <c r="DJ643" s="35"/>
      <c r="DK643" s="35"/>
      <c r="DL643" s="35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35"/>
      <c r="EE643" s="35"/>
      <c r="EF643" s="35"/>
      <c r="EG643" s="35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35"/>
      <c r="EZ643" s="35"/>
      <c r="FA643" s="35"/>
      <c r="FB643" s="35"/>
      <c r="FC643" s="35"/>
      <c r="FD643" s="35"/>
      <c r="FE643" s="35"/>
      <c r="FF643" s="35"/>
      <c r="FG643" s="35"/>
      <c r="FH643" s="35"/>
      <c r="FI643" s="35"/>
      <c r="FJ643" s="35"/>
      <c r="FK643" s="35"/>
      <c r="FL643" s="35"/>
      <c r="FM643" s="35"/>
      <c r="FN643" s="35"/>
      <c r="FO643" s="35"/>
      <c r="FP643" s="35"/>
      <c r="FQ643" s="35"/>
      <c r="FR643" s="35"/>
      <c r="FS643" s="35"/>
      <c r="FT643" s="35"/>
      <c r="FU643" s="35"/>
      <c r="FV643" s="35"/>
      <c r="FW643" s="35"/>
      <c r="FX643" s="35"/>
      <c r="FY643" s="35"/>
      <c r="FZ643" s="35"/>
      <c r="GA643" s="35"/>
      <c r="GB643" s="35"/>
      <c r="GC643" s="35"/>
      <c r="GD643" s="35"/>
      <c r="GE643" s="35"/>
      <c r="GF643" s="35"/>
      <c r="GG643" s="35"/>
      <c r="GH643" s="35"/>
      <c r="GI643" s="35"/>
      <c r="GJ643" s="35"/>
      <c r="GK643" s="35"/>
      <c r="GL643" s="35"/>
      <c r="GM643" s="35"/>
      <c r="GN643" s="35"/>
      <c r="GO643" s="35"/>
      <c r="GP643" s="35"/>
      <c r="GQ643" s="35"/>
      <c r="GR643" s="35"/>
      <c r="GS643" s="35"/>
      <c r="GT643" s="35"/>
      <c r="GU643" s="35"/>
      <c r="GV643" s="35"/>
      <c r="GW643" s="35"/>
      <c r="GX643" s="35"/>
      <c r="GY643" s="35"/>
      <c r="GZ643" s="35"/>
      <c r="HA643" s="35"/>
      <c r="HB643" s="35"/>
      <c r="HC643" s="35"/>
      <c r="HD643" s="35"/>
      <c r="HE643" s="35"/>
      <c r="HF643" s="35"/>
      <c r="HG643" s="35"/>
      <c r="HH643" s="35"/>
      <c r="HI643" s="35"/>
      <c r="HJ643" s="35"/>
      <c r="HK643" s="35"/>
      <c r="HL643" s="35"/>
      <c r="HM643" s="35"/>
      <c r="HN643" s="35"/>
      <c r="HO643" s="35"/>
      <c r="HP643" s="35"/>
      <c r="HQ643" s="35"/>
      <c r="HR643" s="35"/>
      <c r="HS643" s="35"/>
      <c r="HT643" s="35"/>
      <c r="HU643" s="35"/>
      <c r="HV643" s="35"/>
      <c r="HW643" s="35"/>
      <c r="HX643" s="35"/>
      <c r="HY643" s="35"/>
      <c r="HZ643" s="35"/>
      <c r="IA643" s="35"/>
      <c r="IB643" s="35"/>
      <c r="IC643" s="35"/>
      <c r="ID643" s="35"/>
      <c r="IE643" s="35"/>
      <c r="IF643" s="35"/>
      <c r="IG643" s="35"/>
      <c r="IH643" s="35"/>
      <c r="II643" s="35"/>
      <c r="IJ643" s="35"/>
      <c r="IK643" s="35"/>
      <c r="IL643" s="35"/>
      <c r="IM643" s="35"/>
      <c r="IN643" s="35"/>
      <c r="IO643" s="35"/>
      <c r="IP643" s="35"/>
      <c r="IQ643" s="35"/>
      <c r="IR643" s="35"/>
      <c r="IS643" s="35"/>
      <c r="IT643" s="35"/>
      <c r="IU643" s="35"/>
      <c r="IV643" s="35"/>
      <c r="IW643" s="35"/>
      <c r="IX643" s="35"/>
      <c r="IY643" s="35"/>
      <c r="IZ643" s="35"/>
      <c r="JA643" s="35"/>
      <c r="JB643" s="35"/>
      <c r="JC643" s="35"/>
      <c r="JD643" s="35"/>
      <c r="JE643" s="35"/>
    </row>
    <row r="644">
      <c r="A644" s="42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  <c r="BA644" s="35"/>
      <c r="BB644" s="35"/>
      <c r="BC644" s="35"/>
      <c r="BD644" s="35"/>
      <c r="BE644" s="35"/>
      <c r="BF644" s="35"/>
      <c r="BG644" s="35"/>
      <c r="BH644" s="35"/>
      <c r="BI644" s="35"/>
      <c r="BJ644" s="35"/>
      <c r="BK644" s="35"/>
      <c r="BL644" s="35"/>
      <c r="BM644" s="35"/>
      <c r="BN644" s="35"/>
      <c r="BO644" s="35"/>
      <c r="BP644" s="35"/>
      <c r="BQ644" s="35"/>
      <c r="BR644" s="35"/>
      <c r="BS644" s="35"/>
      <c r="BT644" s="35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35"/>
      <c r="CO644" s="35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35"/>
      <c r="DJ644" s="35"/>
      <c r="DK644" s="35"/>
      <c r="DL644" s="35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35"/>
      <c r="EE644" s="35"/>
      <c r="EF644" s="35"/>
      <c r="EG644" s="35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35"/>
      <c r="EZ644" s="35"/>
      <c r="FA644" s="35"/>
      <c r="FB644" s="35"/>
      <c r="FC644" s="35"/>
      <c r="FD644" s="35"/>
      <c r="FE644" s="35"/>
      <c r="FF644" s="35"/>
      <c r="FG644" s="35"/>
      <c r="FH644" s="35"/>
      <c r="FI644" s="35"/>
      <c r="FJ644" s="35"/>
      <c r="FK644" s="35"/>
      <c r="FL644" s="35"/>
      <c r="FM644" s="35"/>
      <c r="FN644" s="35"/>
      <c r="FO644" s="35"/>
      <c r="FP644" s="35"/>
      <c r="FQ644" s="35"/>
      <c r="FR644" s="35"/>
      <c r="FS644" s="35"/>
      <c r="FT644" s="35"/>
      <c r="FU644" s="35"/>
      <c r="FV644" s="35"/>
      <c r="FW644" s="35"/>
      <c r="FX644" s="35"/>
      <c r="FY644" s="35"/>
      <c r="FZ644" s="35"/>
      <c r="GA644" s="35"/>
      <c r="GB644" s="35"/>
      <c r="GC644" s="35"/>
      <c r="GD644" s="35"/>
      <c r="GE644" s="35"/>
      <c r="GF644" s="35"/>
      <c r="GG644" s="35"/>
      <c r="GH644" s="35"/>
      <c r="GI644" s="35"/>
      <c r="GJ644" s="35"/>
      <c r="GK644" s="35"/>
      <c r="GL644" s="35"/>
      <c r="GM644" s="35"/>
      <c r="GN644" s="35"/>
      <c r="GO644" s="35"/>
      <c r="GP644" s="35"/>
      <c r="GQ644" s="35"/>
      <c r="GR644" s="35"/>
      <c r="GS644" s="35"/>
      <c r="GT644" s="35"/>
      <c r="GU644" s="35"/>
      <c r="GV644" s="35"/>
      <c r="GW644" s="35"/>
      <c r="GX644" s="35"/>
      <c r="GY644" s="35"/>
      <c r="GZ644" s="35"/>
      <c r="HA644" s="35"/>
      <c r="HB644" s="35"/>
      <c r="HC644" s="35"/>
      <c r="HD644" s="35"/>
      <c r="HE644" s="35"/>
      <c r="HF644" s="35"/>
      <c r="HG644" s="35"/>
      <c r="HH644" s="35"/>
      <c r="HI644" s="35"/>
      <c r="HJ644" s="35"/>
      <c r="HK644" s="35"/>
      <c r="HL644" s="35"/>
      <c r="HM644" s="35"/>
      <c r="HN644" s="35"/>
      <c r="HO644" s="35"/>
      <c r="HP644" s="35"/>
      <c r="HQ644" s="35"/>
      <c r="HR644" s="35"/>
      <c r="HS644" s="35"/>
      <c r="HT644" s="35"/>
      <c r="HU644" s="35"/>
      <c r="HV644" s="35"/>
      <c r="HW644" s="35"/>
      <c r="HX644" s="35"/>
      <c r="HY644" s="35"/>
      <c r="HZ644" s="35"/>
      <c r="IA644" s="35"/>
      <c r="IB644" s="35"/>
      <c r="IC644" s="35"/>
      <c r="ID644" s="35"/>
      <c r="IE644" s="35"/>
      <c r="IF644" s="35"/>
      <c r="IG644" s="35"/>
      <c r="IH644" s="35"/>
      <c r="II644" s="35"/>
      <c r="IJ644" s="35"/>
      <c r="IK644" s="35"/>
      <c r="IL644" s="35"/>
      <c r="IM644" s="35"/>
      <c r="IN644" s="35"/>
      <c r="IO644" s="35"/>
      <c r="IP644" s="35"/>
      <c r="IQ644" s="35"/>
      <c r="IR644" s="35"/>
      <c r="IS644" s="35"/>
      <c r="IT644" s="35"/>
      <c r="IU644" s="35"/>
      <c r="IV644" s="35"/>
      <c r="IW644" s="35"/>
      <c r="IX644" s="35"/>
      <c r="IY644" s="35"/>
      <c r="IZ644" s="35"/>
      <c r="JA644" s="35"/>
      <c r="JB644" s="35"/>
      <c r="JC644" s="35"/>
      <c r="JD644" s="35"/>
      <c r="JE644" s="35"/>
    </row>
    <row r="645">
      <c r="A645" s="42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  <c r="AZ645" s="35"/>
      <c r="BA645" s="35"/>
      <c r="BB645" s="35"/>
      <c r="BC645" s="35"/>
      <c r="BD645" s="35"/>
      <c r="BE645" s="35"/>
      <c r="BF645" s="35"/>
      <c r="BG645" s="35"/>
      <c r="BH645" s="35"/>
      <c r="BI645" s="35"/>
      <c r="BJ645" s="35"/>
      <c r="BK645" s="35"/>
      <c r="BL645" s="35"/>
      <c r="BM645" s="35"/>
      <c r="BN645" s="35"/>
      <c r="BO645" s="35"/>
      <c r="BP645" s="35"/>
      <c r="BQ645" s="35"/>
      <c r="BR645" s="35"/>
      <c r="BS645" s="35"/>
      <c r="BT645" s="35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35"/>
      <c r="CO645" s="35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35"/>
      <c r="DJ645" s="35"/>
      <c r="DK645" s="35"/>
      <c r="DL645" s="35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35"/>
      <c r="EE645" s="35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35"/>
      <c r="EZ645" s="35"/>
      <c r="FA645" s="35"/>
      <c r="FB645" s="35"/>
      <c r="FC645" s="35"/>
      <c r="FD645" s="35"/>
      <c r="FE645" s="35"/>
      <c r="FF645" s="35"/>
      <c r="FG645" s="35"/>
      <c r="FH645" s="35"/>
      <c r="FI645" s="35"/>
      <c r="FJ645" s="35"/>
      <c r="FK645" s="35"/>
      <c r="FL645" s="35"/>
      <c r="FM645" s="35"/>
      <c r="FN645" s="35"/>
      <c r="FO645" s="35"/>
      <c r="FP645" s="35"/>
      <c r="FQ645" s="35"/>
      <c r="FR645" s="35"/>
      <c r="FS645" s="35"/>
      <c r="FT645" s="35"/>
      <c r="FU645" s="35"/>
      <c r="FV645" s="35"/>
      <c r="FW645" s="35"/>
      <c r="FX645" s="35"/>
      <c r="FY645" s="35"/>
      <c r="FZ645" s="35"/>
      <c r="GA645" s="35"/>
      <c r="GB645" s="35"/>
      <c r="GC645" s="35"/>
      <c r="GD645" s="35"/>
      <c r="GE645" s="35"/>
      <c r="GF645" s="35"/>
      <c r="GG645" s="35"/>
      <c r="GH645" s="35"/>
      <c r="GI645" s="35"/>
      <c r="GJ645" s="35"/>
      <c r="GK645" s="35"/>
      <c r="GL645" s="35"/>
      <c r="GM645" s="35"/>
      <c r="GN645" s="35"/>
      <c r="GO645" s="35"/>
      <c r="GP645" s="35"/>
      <c r="GQ645" s="35"/>
      <c r="GR645" s="35"/>
      <c r="GS645" s="35"/>
      <c r="GT645" s="35"/>
      <c r="GU645" s="35"/>
      <c r="GV645" s="35"/>
      <c r="GW645" s="35"/>
      <c r="GX645" s="35"/>
      <c r="GY645" s="35"/>
      <c r="GZ645" s="35"/>
      <c r="HA645" s="35"/>
      <c r="HB645" s="35"/>
      <c r="HC645" s="35"/>
      <c r="HD645" s="35"/>
      <c r="HE645" s="35"/>
      <c r="HF645" s="35"/>
      <c r="HG645" s="35"/>
      <c r="HH645" s="35"/>
      <c r="HI645" s="35"/>
      <c r="HJ645" s="35"/>
      <c r="HK645" s="35"/>
      <c r="HL645" s="35"/>
      <c r="HM645" s="35"/>
      <c r="HN645" s="35"/>
      <c r="HO645" s="35"/>
      <c r="HP645" s="35"/>
      <c r="HQ645" s="35"/>
      <c r="HR645" s="35"/>
      <c r="HS645" s="35"/>
      <c r="HT645" s="35"/>
      <c r="HU645" s="35"/>
      <c r="HV645" s="35"/>
      <c r="HW645" s="35"/>
      <c r="HX645" s="35"/>
      <c r="HY645" s="35"/>
      <c r="HZ645" s="35"/>
      <c r="IA645" s="35"/>
      <c r="IB645" s="35"/>
      <c r="IC645" s="35"/>
      <c r="ID645" s="35"/>
      <c r="IE645" s="35"/>
      <c r="IF645" s="35"/>
      <c r="IG645" s="35"/>
      <c r="IH645" s="35"/>
      <c r="II645" s="35"/>
      <c r="IJ645" s="35"/>
      <c r="IK645" s="35"/>
      <c r="IL645" s="35"/>
      <c r="IM645" s="35"/>
      <c r="IN645" s="35"/>
      <c r="IO645" s="35"/>
      <c r="IP645" s="35"/>
      <c r="IQ645" s="35"/>
      <c r="IR645" s="35"/>
      <c r="IS645" s="35"/>
      <c r="IT645" s="35"/>
      <c r="IU645" s="35"/>
      <c r="IV645" s="35"/>
      <c r="IW645" s="35"/>
      <c r="IX645" s="35"/>
      <c r="IY645" s="35"/>
      <c r="IZ645" s="35"/>
      <c r="JA645" s="35"/>
      <c r="JB645" s="35"/>
      <c r="JC645" s="35"/>
      <c r="JD645" s="35"/>
      <c r="JE645" s="35"/>
    </row>
    <row r="646">
      <c r="A646" s="42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35"/>
      <c r="BA646" s="35"/>
      <c r="BB646" s="35"/>
      <c r="BC646" s="35"/>
      <c r="BD646" s="35"/>
      <c r="BE646" s="35"/>
      <c r="BF646" s="35"/>
      <c r="BG646" s="35"/>
      <c r="BH646" s="35"/>
      <c r="BI646" s="35"/>
      <c r="BJ646" s="35"/>
      <c r="BK646" s="35"/>
      <c r="BL646" s="35"/>
      <c r="BM646" s="35"/>
      <c r="BN646" s="35"/>
      <c r="BO646" s="35"/>
      <c r="BP646" s="35"/>
      <c r="BQ646" s="35"/>
      <c r="BR646" s="35"/>
      <c r="BS646" s="35"/>
      <c r="BT646" s="35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35"/>
      <c r="CO646" s="35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35"/>
      <c r="DJ646" s="35"/>
      <c r="DK646" s="35"/>
      <c r="DL646" s="35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35"/>
      <c r="EE646" s="35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35"/>
      <c r="EZ646" s="35"/>
      <c r="FA646" s="35"/>
      <c r="FB646" s="35"/>
      <c r="FC646" s="35"/>
      <c r="FD646" s="35"/>
      <c r="FE646" s="35"/>
      <c r="FF646" s="35"/>
      <c r="FG646" s="35"/>
      <c r="FH646" s="35"/>
      <c r="FI646" s="35"/>
      <c r="FJ646" s="35"/>
      <c r="FK646" s="35"/>
      <c r="FL646" s="35"/>
      <c r="FM646" s="35"/>
      <c r="FN646" s="35"/>
      <c r="FO646" s="35"/>
      <c r="FP646" s="35"/>
      <c r="FQ646" s="35"/>
      <c r="FR646" s="35"/>
      <c r="FS646" s="35"/>
      <c r="FT646" s="35"/>
      <c r="FU646" s="35"/>
      <c r="FV646" s="35"/>
      <c r="FW646" s="35"/>
      <c r="FX646" s="35"/>
      <c r="FY646" s="35"/>
      <c r="FZ646" s="35"/>
      <c r="GA646" s="35"/>
      <c r="GB646" s="35"/>
      <c r="GC646" s="35"/>
      <c r="GD646" s="35"/>
      <c r="GE646" s="35"/>
      <c r="GF646" s="35"/>
      <c r="GG646" s="35"/>
      <c r="GH646" s="35"/>
      <c r="GI646" s="35"/>
      <c r="GJ646" s="35"/>
      <c r="GK646" s="35"/>
      <c r="GL646" s="35"/>
      <c r="GM646" s="35"/>
      <c r="GN646" s="35"/>
      <c r="GO646" s="35"/>
      <c r="GP646" s="35"/>
      <c r="GQ646" s="35"/>
      <c r="GR646" s="35"/>
      <c r="GS646" s="35"/>
      <c r="GT646" s="35"/>
      <c r="GU646" s="35"/>
      <c r="GV646" s="35"/>
      <c r="GW646" s="35"/>
      <c r="GX646" s="35"/>
      <c r="GY646" s="35"/>
      <c r="GZ646" s="35"/>
      <c r="HA646" s="35"/>
      <c r="HB646" s="35"/>
      <c r="HC646" s="35"/>
      <c r="HD646" s="35"/>
      <c r="HE646" s="35"/>
      <c r="HF646" s="35"/>
      <c r="HG646" s="35"/>
      <c r="HH646" s="35"/>
      <c r="HI646" s="35"/>
      <c r="HJ646" s="35"/>
      <c r="HK646" s="35"/>
      <c r="HL646" s="35"/>
      <c r="HM646" s="35"/>
      <c r="HN646" s="35"/>
      <c r="HO646" s="35"/>
      <c r="HP646" s="35"/>
      <c r="HQ646" s="35"/>
      <c r="HR646" s="35"/>
      <c r="HS646" s="35"/>
      <c r="HT646" s="35"/>
      <c r="HU646" s="35"/>
      <c r="HV646" s="35"/>
      <c r="HW646" s="35"/>
      <c r="HX646" s="35"/>
      <c r="HY646" s="35"/>
      <c r="HZ646" s="35"/>
      <c r="IA646" s="35"/>
      <c r="IB646" s="35"/>
      <c r="IC646" s="35"/>
      <c r="ID646" s="35"/>
      <c r="IE646" s="35"/>
      <c r="IF646" s="35"/>
      <c r="IG646" s="35"/>
      <c r="IH646" s="35"/>
      <c r="II646" s="35"/>
      <c r="IJ646" s="35"/>
      <c r="IK646" s="35"/>
      <c r="IL646" s="35"/>
      <c r="IM646" s="35"/>
      <c r="IN646" s="35"/>
      <c r="IO646" s="35"/>
      <c r="IP646" s="35"/>
      <c r="IQ646" s="35"/>
      <c r="IR646" s="35"/>
      <c r="IS646" s="35"/>
      <c r="IT646" s="35"/>
      <c r="IU646" s="35"/>
      <c r="IV646" s="35"/>
      <c r="IW646" s="35"/>
      <c r="IX646" s="35"/>
      <c r="IY646" s="35"/>
      <c r="IZ646" s="35"/>
      <c r="JA646" s="35"/>
      <c r="JB646" s="35"/>
      <c r="JC646" s="35"/>
      <c r="JD646" s="35"/>
      <c r="JE646" s="35"/>
    </row>
    <row r="647">
      <c r="A647" s="42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  <c r="AZ647" s="35"/>
      <c r="BA647" s="35"/>
      <c r="BB647" s="35"/>
      <c r="BC647" s="35"/>
      <c r="BD647" s="35"/>
      <c r="BE647" s="35"/>
      <c r="BF647" s="35"/>
      <c r="BG647" s="35"/>
      <c r="BH647" s="35"/>
      <c r="BI647" s="35"/>
      <c r="BJ647" s="35"/>
      <c r="BK647" s="35"/>
      <c r="BL647" s="35"/>
      <c r="BM647" s="35"/>
      <c r="BN647" s="35"/>
      <c r="BO647" s="35"/>
      <c r="BP647" s="35"/>
      <c r="BQ647" s="35"/>
      <c r="BR647" s="35"/>
      <c r="BS647" s="35"/>
      <c r="BT647" s="35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35"/>
      <c r="CO647" s="35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35"/>
      <c r="DJ647" s="35"/>
      <c r="DK647" s="35"/>
      <c r="DL647" s="35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35"/>
      <c r="EE647" s="35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35"/>
      <c r="EZ647" s="35"/>
      <c r="FA647" s="35"/>
      <c r="FB647" s="35"/>
      <c r="FC647" s="35"/>
      <c r="FD647" s="35"/>
      <c r="FE647" s="35"/>
      <c r="FF647" s="35"/>
      <c r="FG647" s="35"/>
      <c r="FH647" s="35"/>
      <c r="FI647" s="35"/>
      <c r="FJ647" s="35"/>
      <c r="FK647" s="35"/>
      <c r="FL647" s="35"/>
      <c r="FM647" s="35"/>
      <c r="FN647" s="35"/>
      <c r="FO647" s="35"/>
      <c r="FP647" s="35"/>
      <c r="FQ647" s="35"/>
      <c r="FR647" s="35"/>
      <c r="FS647" s="35"/>
      <c r="FT647" s="35"/>
      <c r="FU647" s="35"/>
      <c r="FV647" s="35"/>
      <c r="FW647" s="35"/>
      <c r="FX647" s="35"/>
      <c r="FY647" s="35"/>
      <c r="FZ647" s="35"/>
      <c r="GA647" s="35"/>
      <c r="GB647" s="35"/>
      <c r="GC647" s="35"/>
      <c r="GD647" s="35"/>
      <c r="GE647" s="35"/>
      <c r="GF647" s="35"/>
      <c r="GG647" s="35"/>
      <c r="GH647" s="35"/>
      <c r="GI647" s="35"/>
      <c r="GJ647" s="35"/>
      <c r="GK647" s="35"/>
      <c r="GL647" s="35"/>
      <c r="GM647" s="35"/>
      <c r="GN647" s="35"/>
      <c r="GO647" s="35"/>
      <c r="GP647" s="35"/>
      <c r="GQ647" s="35"/>
      <c r="GR647" s="35"/>
      <c r="GS647" s="35"/>
      <c r="GT647" s="35"/>
      <c r="GU647" s="35"/>
      <c r="GV647" s="35"/>
      <c r="GW647" s="35"/>
      <c r="GX647" s="35"/>
      <c r="GY647" s="35"/>
      <c r="GZ647" s="35"/>
      <c r="HA647" s="35"/>
      <c r="HB647" s="35"/>
      <c r="HC647" s="35"/>
      <c r="HD647" s="35"/>
      <c r="HE647" s="35"/>
      <c r="HF647" s="35"/>
      <c r="HG647" s="35"/>
      <c r="HH647" s="35"/>
      <c r="HI647" s="35"/>
      <c r="HJ647" s="35"/>
      <c r="HK647" s="35"/>
      <c r="HL647" s="35"/>
      <c r="HM647" s="35"/>
      <c r="HN647" s="35"/>
      <c r="HO647" s="35"/>
      <c r="HP647" s="35"/>
      <c r="HQ647" s="35"/>
      <c r="HR647" s="35"/>
      <c r="HS647" s="35"/>
      <c r="HT647" s="35"/>
      <c r="HU647" s="35"/>
      <c r="HV647" s="35"/>
      <c r="HW647" s="35"/>
      <c r="HX647" s="35"/>
      <c r="HY647" s="35"/>
      <c r="HZ647" s="35"/>
      <c r="IA647" s="35"/>
      <c r="IB647" s="35"/>
      <c r="IC647" s="35"/>
      <c r="ID647" s="35"/>
      <c r="IE647" s="35"/>
      <c r="IF647" s="35"/>
      <c r="IG647" s="35"/>
      <c r="IH647" s="35"/>
      <c r="II647" s="35"/>
      <c r="IJ647" s="35"/>
      <c r="IK647" s="35"/>
      <c r="IL647" s="35"/>
      <c r="IM647" s="35"/>
      <c r="IN647" s="35"/>
      <c r="IO647" s="35"/>
      <c r="IP647" s="35"/>
      <c r="IQ647" s="35"/>
      <c r="IR647" s="35"/>
      <c r="IS647" s="35"/>
      <c r="IT647" s="35"/>
      <c r="IU647" s="35"/>
      <c r="IV647" s="35"/>
      <c r="IW647" s="35"/>
      <c r="IX647" s="35"/>
      <c r="IY647" s="35"/>
      <c r="IZ647" s="35"/>
      <c r="JA647" s="35"/>
      <c r="JB647" s="35"/>
      <c r="JC647" s="35"/>
      <c r="JD647" s="35"/>
      <c r="JE647" s="35"/>
    </row>
    <row r="648">
      <c r="A648" s="42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  <c r="AZ648" s="35"/>
      <c r="BA648" s="35"/>
      <c r="BB648" s="35"/>
      <c r="BC648" s="35"/>
      <c r="BD648" s="35"/>
      <c r="BE648" s="35"/>
      <c r="BF648" s="35"/>
      <c r="BG648" s="35"/>
      <c r="BH648" s="35"/>
      <c r="BI648" s="35"/>
      <c r="BJ648" s="35"/>
      <c r="BK648" s="35"/>
      <c r="BL648" s="35"/>
      <c r="BM648" s="35"/>
      <c r="BN648" s="35"/>
      <c r="BO648" s="35"/>
      <c r="BP648" s="35"/>
      <c r="BQ648" s="35"/>
      <c r="BR648" s="35"/>
      <c r="BS648" s="35"/>
      <c r="BT648" s="35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35"/>
      <c r="CO648" s="35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35"/>
      <c r="DJ648" s="35"/>
      <c r="DK648" s="35"/>
      <c r="DL648" s="35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35"/>
      <c r="EE648" s="35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35"/>
      <c r="EZ648" s="35"/>
      <c r="FA648" s="35"/>
      <c r="FB648" s="35"/>
      <c r="FC648" s="35"/>
      <c r="FD648" s="35"/>
      <c r="FE648" s="35"/>
      <c r="FF648" s="35"/>
      <c r="FG648" s="35"/>
      <c r="FH648" s="35"/>
      <c r="FI648" s="35"/>
      <c r="FJ648" s="35"/>
      <c r="FK648" s="35"/>
      <c r="FL648" s="35"/>
      <c r="FM648" s="35"/>
      <c r="FN648" s="35"/>
      <c r="FO648" s="35"/>
      <c r="FP648" s="35"/>
      <c r="FQ648" s="35"/>
      <c r="FR648" s="35"/>
      <c r="FS648" s="35"/>
      <c r="FT648" s="35"/>
      <c r="FU648" s="35"/>
      <c r="FV648" s="35"/>
      <c r="FW648" s="35"/>
      <c r="FX648" s="35"/>
      <c r="FY648" s="35"/>
      <c r="FZ648" s="35"/>
      <c r="GA648" s="35"/>
      <c r="GB648" s="35"/>
      <c r="GC648" s="35"/>
      <c r="GD648" s="35"/>
      <c r="GE648" s="35"/>
      <c r="GF648" s="35"/>
      <c r="GG648" s="35"/>
      <c r="GH648" s="35"/>
      <c r="GI648" s="35"/>
      <c r="GJ648" s="35"/>
      <c r="GK648" s="35"/>
      <c r="GL648" s="35"/>
      <c r="GM648" s="35"/>
      <c r="GN648" s="35"/>
      <c r="GO648" s="35"/>
      <c r="GP648" s="35"/>
      <c r="GQ648" s="35"/>
      <c r="GR648" s="35"/>
      <c r="GS648" s="35"/>
      <c r="GT648" s="35"/>
      <c r="GU648" s="35"/>
      <c r="GV648" s="35"/>
      <c r="GW648" s="35"/>
      <c r="GX648" s="35"/>
      <c r="GY648" s="35"/>
      <c r="GZ648" s="35"/>
      <c r="HA648" s="35"/>
      <c r="HB648" s="35"/>
      <c r="HC648" s="35"/>
      <c r="HD648" s="35"/>
      <c r="HE648" s="35"/>
      <c r="HF648" s="35"/>
      <c r="HG648" s="35"/>
      <c r="HH648" s="35"/>
      <c r="HI648" s="35"/>
      <c r="HJ648" s="35"/>
      <c r="HK648" s="35"/>
      <c r="HL648" s="35"/>
      <c r="HM648" s="35"/>
      <c r="HN648" s="35"/>
      <c r="HO648" s="35"/>
      <c r="HP648" s="35"/>
      <c r="HQ648" s="35"/>
      <c r="HR648" s="35"/>
      <c r="HS648" s="35"/>
      <c r="HT648" s="35"/>
      <c r="HU648" s="35"/>
      <c r="HV648" s="35"/>
      <c r="HW648" s="35"/>
      <c r="HX648" s="35"/>
      <c r="HY648" s="35"/>
      <c r="HZ648" s="35"/>
      <c r="IA648" s="35"/>
      <c r="IB648" s="35"/>
      <c r="IC648" s="35"/>
      <c r="ID648" s="35"/>
      <c r="IE648" s="35"/>
      <c r="IF648" s="35"/>
      <c r="IG648" s="35"/>
      <c r="IH648" s="35"/>
      <c r="II648" s="35"/>
      <c r="IJ648" s="35"/>
      <c r="IK648" s="35"/>
      <c r="IL648" s="35"/>
      <c r="IM648" s="35"/>
      <c r="IN648" s="35"/>
      <c r="IO648" s="35"/>
      <c r="IP648" s="35"/>
      <c r="IQ648" s="35"/>
      <c r="IR648" s="35"/>
      <c r="IS648" s="35"/>
      <c r="IT648" s="35"/>
      <c r="IU648" s="35"/>
      <c r="IV648" s="35"/>
      <c r="IW648" s="35"/>
      <c r="IX648" s="35"/>
      <c r="IY648" s="35"/>
      <c r="IZ648" s="35"/>
      <c r="JA648" s="35"/>
      <c r="JB648" s="35"/>
      <c r="JC648" s="35"/>
      <c r="JD648" s="35"/>
      <c r="JE648" s="35"/>
    </row>
    <row r="649">
      <c r="A649" s="42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  <c r="AZ649" s="35"/>
      <c r="BA649" s="35"/>
      <c r="BB649" s="35"/>
      <c r="BC649" s="35"/>
      <c r="BD649" s="35"/>
      <c r="BE649" s="35"/>
      <c r="BF649" s="35"/>
      <c r="BG649" s="35"/>
      <c r="BH649" s="35"/>
      <c r="BI649" s="35"/>
      <c r="BJ649" s="35"/>
      <c r="BK649" s="35"/>
      <c r="BL649" s="35"/>
      <c r="BM649" s="35"/>
      <c r="BN649" s="35"/>
      <c r="BO649" s="35"/>
      <c r="BP649" s="35"/>
      <c r="BQ649" s="35"/>
      <c r="BR649" s="35"/>
      <c r="BS649" s="35"/>
      <c r="BT649" s="35"/>
      <c r="BU649" s="35"/>
      <c r="BV649" s="35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35"/>
      <c r="CO649" s="35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35"/>
      <c r="DJ649" s="35"/>
      <c r="DK649" s="35"/>
      <c r="DL649" s="35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35"/>
      <c r="EE649" s="35"/>
      <c r="EF649" s="35"/>
      <c r="EG649" s="35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35"/>
      <c r="EZ649" s="35"/>
      <c r="FA649" s="35"/>
      <c r="FB649" s="35"/>
      <c r="FC649" s="35"/>
      <c r="FD649" s="35"/>
      <c r="FE649" s="35"/>
      <c r="FF649" s="35"/>
      <c r="FG649" s="35"/>
      <c r="FH649" s="35"/>
      <c r="FI649" s="35"/>
      <c r="FJ649" s="35"/>
      <c r="FK649" s="35"/>
      <c r="FL649" s="35"/>
      <c r="FM649" s="35"/>
      <c r="FN649" s="35"/>
      <c r="FO649" s="35"/>
      <c r="FP649" s="35"/>
      <c r="FQ649" s="35"/>
      <c r="FR649" s="35"/>
      <c r="FS649" s="35"/>
      <c r="FT649" s="35"/>
      <c r="FU649" s="35"/>
      <c r="FV649" s="35"/>
      <c r="FW649" s="35"/>
      <c r="FX649" s="35"/>
      <c r="FY649" s="35"/>
      <c r="FZ649" s="35"/>
      <c r="GA649" s="35"/>
      <c r="GB649" s="35"/>
      <c r="GC649" s="35"/>
      <c r="GD649" s="35"/>
      <c r="GE649" s="35"/>
      <c r="GF649" s="35"/>
      <c r="GG649" s="35"/>
      <c r="GH649" s="35"/>
      <c r="GI649" s="35"/>
      <c r="GJ649" s="35"/>
      <c r="GK649" s="35"/>
      <c r="GL649" s="35"/>
      <c r="GM649" s="35"/>
      <c r="GN649" s="35"/>
      <c r="GO649" s="35"/>
      <c r="GP649" s="35"/>
      <c r="GQ649" s="35"/>
      <c r="GR649" s="35"/>
      <c r="GS649" s="35"/>
      <c r="GT649" s="35"/>
      <c r="GU649" s="35"/>
      <c r="GV649" s="35"/>
      <c r="GW649" s="35"/>
      <c r="GX649" s="35"/>
      <c r="GY649" s="35"/>
      <c r="GZ649" s="35"/>
      <c r="HA649" s="35"/>
      <c r="HB649" s="35"/>
      <c r="HC649" s="35"/>
      <c r="HD649" s="35"/>
      <c r="HE649" s="35"/>
      <c r="HF649" s="35"/>
      <c r="HG649" s="35"/>
      <c r="HH649" s="35"/>
      <c r="HI649" s="35"/>
      <c r="HJ649" s="35"/>
      <c r="HK649" s="35"/>
      <c r="HL649" s="35"/>
      <c r="HM649" s="35"/>
      <c r="HN649" s="35"/>
      <c r="HO649" s="35"/>
      <c r="HP649" s="35"/>
      <c r="HQ649" s="35"/>
      <c r="HR649" s="35"/>
      <c r="HS649" s="35"/>
      <c r="HT649" s="35"/>
      <c r="HU649" s="35"/>
      <c r="HV649" s="35"/>
      <c r="HW649" s="35"/>
      <c r="HX649" s="35"/>
      <c r="HY649" s="35"/>
      <c r="HZ649" s="35"/>
      <c r="IA649" s="35"/>
      <c r="IB649" s="35"/>
      <c r="IC649" s="35"/>
      <c r="ID649" s="35"/>
      <c r="IE649" s="35"/>
      <c r="IF649" s="35"/>
      <c r="IG649" s="35"/>
      <c r="IH649" s="35"/>
      <c r="II649" s="35"/>
      <c r="IJ649" s="35"/>
      <c r="IK649" s="35"/>
      <c r="IL649" s="35"/>
      <c r="IM649" s="35"/>
      <c r="IN649" s="35"/>
      <c r="IO649" s="35"/>
      <c r="IP649" s="35"/>
      <c r="IQ649" s="35"/>
      <c r="IR649" s="35"/>
      <c r="IS649" s="35"/>
      <c r="IT649" s="35"/>
      <c r="IU649" s="35"/>
      <c r="IV649" s="35"/>
      <c r="IW649" s="35"/>
      <c r="IX649" s="35"/>
      <c r="IY649" s="35"/>
      <c r="IZ649" s="35"/>
      <c r="JA649" s="35"/>
      <c r="JB649" s="35"/>
      <c r="JC649" s="35"/>
      <c r="JD649" s="35"/>
      <c r="JE649" s="35"/>
    </row>
    <row r="650">
      <c r="A650" s="42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35"/>
      <c r="BA650" s="35"/>
      <c r="BB650" s="35"/>
      <c r="BC650" s="35"/>
      <c r="BD650" s="35"/>
      <c r="BE650" s="35"/>
      <c r="BF650" s="35"/>
      <c r="BG650" s="35"/>
      <c r="BH650" s="35"/>
      <c r="BI650" s="35"/>
      <c r="BJ650" s="35"/>
      <c r="BK650" s="35"/>
      <c r="BL650" s="35"/>
      <c r="BM650" s="35"/>
      <c r="BN650" s="35"/>
      <c r="BO650" s="35"/>
      <c r="BP650" s="35"/>
      <c r="BQ650" s="35"/>
      <c r="BR650" s="35"/>
      <c r="BS650" s="35"/>
      <c r="BT650" s="35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35"/>
      <c r="CO650" s="35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35"/>
      <c r="DJ650" s="35"/>
      <c r="DK650" s="35"/>
      <c r="DL650" s="35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35"/>
      <c r="EE650" s="35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35"/>
      <c r="EZ650" s="35"/>
      <c r="FA650" s="35"/>
      <c r="FB650" s="35"/>
      <c r="FC650" s="35"/>
      <c r="FD650" s="35"/>
      <c r="FE650" s="35"/>
      <c r="FF650" s="35"/>
      <c r="FG650" s="35"/>
      <c r="FH650" s="35"/>
      <c r="FI650" s="35"/>
      <c r="FJ650" s="35"/>
      <c r="FK650" s="35"/>
      <c r="FL650" s="35"/>
      <c r="FM650" s="35"/>
      <c r="FN650" s="35"/>
      <c r="FO650" s="35"/>
      <c r="FP650" s="35"/>
      <c r="FQ650" s="35"/>
      <c r="FR650" s="35"/>
      <c r="FS650" s="35"/>
      <c r="FT650" s="35"/>
      <c r="FU650" s="35"/>
      <c r="FV650" s="35"/>
      <c r="FW650" s="35"/>
      <c r="FX650" s="35"/>
      <c r="FY650" s="35"/>
      <c r="FZ650" s="35"/>
      <c r="GA650" s="35"/>
      <c r="GB650" s="35"/>
      <c r="GC650" s="35"/>
      <c r="GD650" s="35"/>
      <c r="GE650" s="35"/>
      <c r="GF650" s="35"/>
      <c r="GG650" s="35"/>
      <c r="GH650" s="35"/>
      <c r="GI650" s="35"/>
      <c r="GJ650" s="35"/>
      <c r="GK650" s="35"/>
      <c r="GL650" s="35"/>
      <c r="GM650" s="35"/>
      <c r="GN650" s="35"/>
      <c r="GO650" s="35"/>
      <c r="GP650" s="35"/>
      <c r="GQ650" s="35"/>
      <c r="GR650" s="35"/>
      <c r="GS650" s="35"/>
      <c r="GT650" s="35"/>
      <c r="GU650" s="35"/>
      <c r="GV650" s="35"/>
      <c r="GW650" s="35"/>
      <c r="GX650" s="35"/>
      <c r="GY650" s="35"/>
      <c r="GZ650" s="35"/>
      <c r="HA650" s="35"/>
      <c r="HB650" s="35"/>
      <c r="HC650" s="35"/>
      <c r="HD650" s="35"/>
      <c r="HE650" s="35"/>
      <c r="HF650" s="35"/>
      <c r="HG650" s="35"/>
      <c r="HH650" s="35"/>
      <c r="HI650" s="35"/>
      <c r="HJ650" s="35"/>
      <c r="HK650" s="35"/>
      <c r="HL650" s="35"/>
      <c r="HM650" s="35"/>
      <c r="HN650" s="35"/>
      <c r="HO650" s="35"/>
      <c r="HP650" s="35"/>
      <c r="HQ650" s="35"/>
      <c r="HR650" s="35"/>
      <c r="HS650" s="35"/>
      <c r="HT650" s="35"/>
      <c r="HU650" s="35"/>
      <c r="HV650" s="35"/>
      <c r="HW650" s="35"/>
      <c r="HX650" s="35"/>
      <c r="HY650" s="35"/>
      <c r="HZ650" s="35"/>
      <c r="IA650" s="35"/>
      <c r="IB650" s="35"/>
      <c r="IC650" s="35"/>
      <c r="ID650" s="35"/>
      <c r="IE650" s="35"/>
      <c r="IF650" s="35"/>
      <c r="IG650" s="35"/>
      <c r="IH650" s="35"/>
      <c r="II650" s="35"/>
      <c r="IJ650" s="35"/>
      <c r="IK650" s="35"/>
      <c r="IL650" s="35"/>
      <c r="IM650" s="35"/>
      <c r="IN650" s="35"/>
      <c r="IO650" s="35"/>
      <c r="IP650" s="35"/>
      <c r="IQ650" s="35"/>
      <c r="IR650" s="35"/>
      <c r="IS650" s="35"/>
      <c r="IT650" s="35"/>
      <c r="IU650" s="35"/>
      <c r="IV650" s="35"/>
      <c r="IW650" s="35"/>
      <c r="IX650" s="35"/>
      <c r="IY650" s="35"/>
      <c r="IZ650" s="35"/>
      <c r="JA650" s="35"/>
      <c r="JB650" s="35"/>
      <c r="JC650" s="35"/>
      <c r="JD650" s="35"/>
      <c r="JE650" s="35"/>
    </row>
    <row r="651">
      <c r="A651" s="42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  <c r="AZ651" s="35"/>
      <c r="BA651" s="35"/>
      <c r="BB651" s="35"/>
      <c r="BC651" s="35"/>
      <c r="BD651" s="35"/>
      <c r="BE651" s="35"/>
      <c r="BF651" s="35"/>
      <c r="BG651" s="35"/>
      <c r="BH651" s="35"/>
      <c r="BI651" s="35"/>
      <c r="BJ651" s="35"/>
      <c r="BK651" s="35"/>
      <c r="BL651" s="35"/>
      <c r="BM651" s="35"/>
      <c r="BN651" s="35"/>
      <c r="BO651" s="35"/>
      <c r="BP651" s="35"/>
      <c r="BQ651" s="35"/>
      <c r="BR651" s="35"/>
      <c r="BS651" s="35"/>
      <c r="BT651" s="35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35"/>
      <c r="CO651" s="35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35"/>
      <c r="DJ651" s="35"/>
      <c r="DK651" s="35"/>
      <c r="DL651" s="35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35"/>
      <c r="EE651" s="35"/>
      <c r="EF651" s="35"/>
      <c r="EG651" s="35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35"/>
      <c r="EZ651" s="35"/>
      <c r="FA651" s="35"/>
      <c r="FB651" s="35"/>
      <c r="FC651" s="35"/>
      <c r="FD651" s="35"/>
      <c r="FE651" s="35"/>
      <c r="FF651" s="35"/>
      <c r="FG651" s="35"/>
      <c r="FH651" s="35"/>
      <c r="FI651" s="35"/>
      <c r="FJ651" s="35"/>
      <c r="FK651" s="35"/>
      <c r="FL651" s="35"/>
      <c r="FM651" s="35"/>
      <c r="FN651" s="35"/>
      <c r="FO651" s="35"/>
      <c r="FP651" s="35"/>
      <c r="FQ651" s="35"/>
      <c r="FR651" s="35"/>
      <c r="FS651" s="35"/>
      <c r="FT651" s="35"/>
      <c r="FU651" s="35"/>
      <c r="FV651" s="35"/>
      <c r="FW651" s="35"/>
      <c r="FX651" s="35"/>
      <c r="FY651" s="35"/>
      <c r="FZ651" s="35"/>
      <c r="GA651" s="35"/>
      <c r="GB651" s="35"/>
      <c r="GC651" s="35"/>
      <c r="GD651" s="35"/>
      <c r="GE651" s="35"/>
      <c r="GF651" s="35"/>
      <c r="GG651" s="35"/>
      <c r="GH651" s="35"/>
      <c r="GI651" s="35"/>
      <c r="GJ651" s="35"/>
      <c r="GK651" s="35"/>
      <c r="GL651" s="35"/>
      <c r="GM651" s="35"/>
      <c r="GN651" s="35"/>
      <c r="GO651" s="35"/>
      <c r="GP651" s="35"/>
      <c r="GQ651" s="35"/>
      <c r="GR651" s="35"/>
      <c r="GS651" s="35"/>
      <c r="GT651" s="35"/>
      <c r="GU651" s="35"/>
      <c r="GV651" s="35"/>
      <c r="GW651" s="35"/>
      <c r="GX651" s="35"/>
      <c r="GY651" s="35"/>
      <c r="GZ651" s="35"/>
      <c r="HA651" s="35"/>
      <c r="HB651" s="35"/>
      <c r="HC651" s="35"/>
      <c r="HD651" s="35"/>
      <c r="HE651" s="35"/>
      <c r="HF651" s="35"/>
      <c r="HG651" s="35"/>
      <c r="HH651" s="35"/>
      <c r="HI651" s="35"/>
      <c r="HJ651" s="35"/>
      <c r="HK651" s="35"/>
      <c r="HL651" s="35"/>
      <c r="HM651" s="35"/>
      <c r="HN651" s="35"/>
      <c r="HO651" s="35"/>
      <c r="HP651" s="35"/>
      <c r="HQ651" s="35"/>
      <c r="HR651" s="35"/>
      <c r="HS651" s="35"/>
      <c r="HT651" s="35"/>
      <c r="HU651" s="35"/>
      <c r="HV651" s="35"/>
      <c r="HW651" s="35"/>
      <c r="HX651" s="35"/>
      <c r="HY651" s="35"/>
      <c r="HZ651" s="35"/>
      <c r="IA651" s="35"/>
      <c r="IB651" s="35"/>
      <c r="IC651" s="35"/>
      <c r="ID651" s="35"/>
      <c r="IE651" s="35"/>
      <c r="IF651" s="35"/>
      <c r="IG651" s="35"/>
      <c r="IH651" s="35"/>
      <c r="II651" s="35"/>
      <c r="IJ651" s="35"/>
      <c r="IK651" s="35"/>
      <c r="IL651" s="35"/>
      <c r="IM651" s="35"/>
      <c r="IN651" s="35"/>
      <c r="IO651" s="35"/>
      <c r="IP651" s="35"/>
      <c r="IQ651" s="35"/>
      <c r="IR651" s="35"/>
      <c r="IS651" s="35"/>
      <c r="IT651" s="35"/>
      <c r="IU651" s="35"/>
      <c r="IV651" s="35"/>
      <c r="IW651" s="35"/>
      <c r="IX651" s="35"/>
      <c r="IY651" s="35"/>
      <c r="IZ651" s="35"/>
      <c r="JA651" s="35"/>
      <c r="JB651" s="35"/>
      <c r="JC651" s="35"/>
      <c r="JD651" s="35"/>
      <c r="JE651" s="35"/>
    </row>
    <row r="652">
      <c r="A652" s="42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  <c r="AZ652" s="35"/>
      <c r="BA652" s="35"/>
      <c r="BB652" s="35"/>
      <c r="BC652" s="35"/>
      <c r="BD652" s="35"/>
      <c r="BE652" s="35"/>
      <c r="BF652" s="35"/>
      <c r="BG652" s="35"/>
      <c r="BH652" s="35"/>
      <c r="BI652" s="35"/>
      <c r="BJ652" s="35"/>
      <c r="BK652" s="35"/>
      <c r="BL652" s="35"/>
      <c r="BM652" s="35"/>
      <c r="BN652" s="35"/>
      <c r="BO652" s="35"/>
      <c r="BP652" s="35"/>
      <c r="BQ652" s="35"/>
      <c r="BR652" s="35"/>
      <c r="BS652" s="35"/>
      <c r="BT652" s="35"/>
      <c r="BU652" s="35"/>
      <c r="BV652" s="35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35"/>
      <c r="CO652" s="35"/>
      <c r="CP652" s="35"/>
      <c r="CQ652" s="35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35"/>
      <c r="DJ652" s="35"/>
      <c r="DK652" s="35"/>
      <c r="DL652" s="35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35"/>
      <c r="EE652" s="35"/>
      <c r="EF652" s="35"/>
      <c r="EG652" s="35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35"/>
      <c r="EZ652" s="35"/>
      <c r="FA652" s="35"/>
      <c r="FB652" s="35"/>
      <c r="FC652" s="35"/>
      <c r="FD652" s="35"/>
      <c r="FE652" s="35"/>
      <c r="FF652" s="35"/>
      <c r="FG652" s="35"/>
      <c r="FH652" s="35"/>
      <c r="FI652" s="35"/>
      <c r="FJ652" s="35"/>
      <c r="FK652" s="35"/>
      <c r="FL652" s="35"/>
      <c r="FM652" s="35"/>
      <c r="FN652" s="35"/>
      <c r="FO652" s="35"/>
      <c r="FP652" s="35"/>
      <c r="FQ652" s="35"/>
      <c r="FR652" s="35"/>
      <c r="FS652" s="35"/>
      <c r="FT652" s="35"/>
      <c r="FU652" s="35"/>
      <c r="FV652" s="35"/>
      <c r="FW652" s="35"/>
      <c r="FX652" s="35"/>
      <c r="FY652" s="35"/>
      <c r="FZ652" s="35"/>
      <c r="GA652" s="35"/>
      <c r="GB652" s="35"/>
      <c r="GC652" s="35"/>
      <c r="GD652" s="35"/>
      <c r="GE652" s="35"/>
      <c r="GF652" s="35"/>
      <c r="GG652" s="35"/>
      <c r="GH652" s="35"/>
      <c r="GI652" s="35"/>
      <c r="GJ652" s="35"/>
      <c r="GK652" s="35"/>
      <c r="GL652" s="35"/>
      <c r="GM652" s="35"/>
      <c r="GN652" s="35"/>
      <c r="GO652" s="35"/>
      <c r="GP652" s="35"/>
      <c r="GQ652" s="35"/>
      <c r="GR652" s="35"/>
      <c r="GS652" s="35"/>
      <c r="GT652" s="35"/>
      <c r="GU652" s="35"/>
      <c r="GV652" s="35"/>
      <c r="GW652" s="35"/>
      <c r="GX652" s="35"/>
      <c r="GY652" s="35"/>
      <c r="GZ652" s="35"/>
      <c r="HA652" s="35"/>
      <c r="HB652" s="35"/>
      <c r="HC652" s="35"/>
      <c r="HD652" s="35"/>
      <c r="HE652" s="35"/>
      <c r="HF652" s="35"/>
      <c r="HG652" s="35"/>
      <c r="HH652" s="35"/>
      <c r="HI652" s="35"/>
      <c r="HJ652" s="35"/>
      <c r="HK652" s="35"/>
      <c r="HL652" s="35"/>
      <c r="HM652" s="35"/>
      <c r="HN652" s="35"/>
      <c r="HO652" s="35"/>
      <c r="HP652" s="35"/>
      <c r="HQ652" s="35"/>
      <c r="HR652" s="35"/>
      <c r="HS652" s="35"/>
      <c r="HT652" s="35"/>
      <c r="HU652" s="35"/>
      <c r="HV652" s="35"/>
      <c r="HW652" s="35"/>
      <c r="HX652" s="35"/>
      <c r="HY652" s="35"/>
      <c r="HZ652" s="35"/>
      <c r="IA652" s="35"/>
      <c r="IB652" s="35"/>
      <c r="IC652" s="35"/>
      <c r="ID652" s="35"/>
      <c r="IE652" s="35"/>
      <c r="IF652" s="35"/>
      <c r="IG652" s="35"/>
      <c r="IH652" s="35"/>
      <c r="II652" s="35"/>
      <c r="IJ652" s="35"/>
      <c r="IK652" s="35"/>
      <c r="IL652" s="35"/>
      <c r="IM652" s="35"/>
      <c r="IN652" s="35"/>
      <c r="IO652" s="35"/>
      <c r="IP652" s="35"/>
      <c r="IQ652" s="35"/>
      <c r="IR652" s="35"/>
      <c r="IS652" s="35"/>
      <c r="IT652" s="35"/>
      <c r="IU652" s="35"/>
      <c r="IV652" s="35"/>
      <c r="IW652" s="35"/>
      <c r="IX652" s="35"/>
      <c r="IY652" s="35"/>
      <c r="IZ652" s="35"/>
      <c r="JA652" s="35"/>
      <c r="JB652" s="35"/>
      <c r="JC652" s="35"/>
      <c r="JD652" s="35"/>
      <c r="JE652" s="35"/>
    </row>
    <row r="653">
      <c r="A653" s="42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  <c r="AZ653" s="35"/>
      <c r="BA653" s="35"/>
      <c r="BB653" s="35"/>
      <c r="BC653" s="35"/>
      <c r="BD653" s="35"/>
      <c r="BE653" s="35"/>
      <c r="BF653" s="35"/>
      <c r="BG653" s="35"/>
      <c r="BH653" s="35"/>
      <c r="BI653" s="35"/>
      <c r="BJ653" s="35"/>
      <c r="BK653" s="35"/>
      <c r="BL653" s="35"/>
      <c r="BM653" s="35"/>
      <c r="BN653" s="35"/>
      <c r="BO653" s="35"/>
      <c r="BP653" s="35"/>
      <c r="BQ653" s="35"/>
      <c r="BR653" s="35"/>
      <c r="BS653" s="35"/>
      <c r="BT653" s="35"/>
      <c r="BU653" s="35"/>
      <c r="BV653" s="35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35"/>
      <c r="CO653" s="35"/>
      <c r="CP653" s="35"/>
      <c r="CQ653" s="35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35"/>
      <c r="DJ653" s="35"/>
      <c r="DK653" s="35"/>
      <c r="DL653" s="35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35"/>
      <c r="EE653" s="35"/>
      <c r="EF653" s="35"/>
      <c r="EG653" s="35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35"/>
      <c r="EZ653" s="35"/>
      <c r="FA653" s="35"/>
      <c r="FB653" s="35"/>
      <c r="FC653" s="35"/>
      <c r="FD653" s="35"/>
      <c r="FE653" s="35"/>
      <c r="FF653" s="35"/>
      <c r="FG653" s="35"/>
      <c r="FH653" s="35"/>
      <c r="FI653" s="35"/>
      <c r="FJ653" s="35"/>
      <c r="FK653" s="35"/>
      <c r="FL653" s="35"/>
      <c r="FM653" s="35"/>
      <c r="FN653" s="35"/>
      <c r="FO653" s="35"/>
      <c r="FP653" s="35"/>
      <c r="FQ653" s="35"/>
      <c r="FR653" s="35"/>
      <c r="FS653" s="35"/>
      <c r="FT653" s="35"/>
      <c r="FU653" s="35"/>
      <c r="FV653" s="35"/>
      <c r="FW653" s="35"/>
      <c r="FX653" s="35"/>
      <c r="FY653" s="35"/>
      <c r="FZ653" s="35"/>
      <c r="GA653" s="35"/>
      <c r="GB653" s="35"/>
      <c r="GC653" s="35"/>
      <c r="GD653" s="35"/>
      <c r="GE653" s="35"/>
      <c r="GF653" s="35"/>
      <c r="GG653" s="35"/>
      <c r="GH653" s="35"/>
      <c r="GI653" s="35"/>
      <c r="GJ653" s="35"/>
      <c r="GK653" s="35"/>
      <c r="GL653" s="35"/>
      <c r="GM653" s="35"/>
      <c r="GN653" s="35"/>
      <c r="GO653" s="35"/>
      <c r="GP653" s="35"/>
      <c r="GQ653" s="35"/>
      <c r="GR653" s="35"/>
      <c r="GS653" s="35"/>
      <c r="GT653" s="35"/>
      <c r="GU653" s="35"/>
      <c r="GV653" s="35"/>
      <c r="GW653" s="35"/>
      <c r="GX653" s="35"/>
      <c r="GY653" s="35"/>
      <c r="GZ653" s="35"/>
      <c r="HA653" s="35"/>
      <c r="HB653" s="35"/>
      <c r="HC653" s="35"/>
      <c r="HD653" s="35"/>
      <c r="HE653" s="35"/>
      <c r="HF653" s="35"/>
      <c r="HG653" s="35"/>
      <c r="HH653" s="35"/>
      <c r="HI653" s="35"/>
      <c r="HJ653" s="35"/>
      <c r="HK653" s="35"/>
      <c r="HL653" s="35"/>
      <c r="HM653" s="35"/>
      <c r="HN653" s="35"/>
      <c r="HO653" s="35"/>
      <c r="HP653" s="35"/>
      <c r="HQ653" s="35"/>
      <c r="HR653" s="35"/>
      <c r="HS653" s="35"/>
      <c r="HT653" s="35"/>
      <c r="HU653" s="35"/>
      <c r="HV653" s="35"/>
      <c r="HW653" s="35"/>
      <c r="HX653" s="35"/>
      <c r="HY653" s="35"/>
      <c r="HZ653" s="35"/>
      <c r="IA653" s="35"/>
      <c r="IB653" s="35"/>
      <c r="IC653" s="35"/>
      <c r="ID653" s="35"/>
      <c r="IE653" s="35"/>
      <c r="IF653" s="35"/>
      <c r="IG653" s="35"/>
      <c r="IH653" s="35"/>
      <c r="II653" s="35"/>
      <c r="IJ653" s="35"/>
      <c r="IK653" s="35"/>
      <c r="IL653" s="35"/>
      <c r="IM653" s="35"/>
      <c r="IN653" s="35"/>
      <c r="IO653" s="35"/>
      <c r="IP653" s="35"/>
      <c r="IQ653" s="35"/>
      <c r="IR653" s="35"/>
      <c r="IS653" s="35"/>
      <c r="IT653" s="35"/>
      <c r="IU653" s="35"/>
      <c r="IV653" s="35"/>
      <c r="IW653" s="35"/>
      <c r="IX653" s="35"/>
      <c r="IY653" s="35"/>
      <c r="IZ653" s="35"/>
      <c r="JA653" s="35"/>
      <c r="JB653" s="35"/>
      <c r="JC653" s="35"/>
      <c r="JD653" s="35"/>
      <c r="JE653" s="35"/>
    </row>
    <row r="654">
      <c r="A654" s="42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  <c r="AZ654" s="35"/>
      <c r="BA654" s="35"/>
      <c r="BB654" s="35"/>
      <c r="BC654" s="35"/>
      <c r="BD654" s="35"/>
      <c r="BE654" s="35"/>
      <c r="BF654" s="35"/>
      <c r="BG654" s="35"/>
      <c r="BH654" s="35"/>
      <c r="BI654" s="35"/>
      <c r="BJ654" s="35"/>
      <c r="BK654" s="35"/>
      <c r="BL654" s="35"/>
      <c r="BM654" s="35"/>
      <c r="BN654" s="35"/>
      <c r="BO654" s="35"/>
      <c r="BP654" s="35"/>
      <c r="BQ654" s="35"/>
      <c r="BR654" s="35"/>
      <c r="BS654" s="35"/>
      <c r="BT654" s="35"/>
      <c r="BU654" s="35"/>
      <c r="BV654" s="35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35"/>
      <c r="CO654" s="35"/>
      <c r="CP654" s="35"/>
      <c r="CQ654" s="35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35"/>
      <c r="DJ654" s="35"/>
      <c r="DK654" s="35"/>
      <c r="DL654" s="35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35"/>
      <c r="EE654" s="35"/>
      <c r="EF654" s="35"/>
      <c r="EG654" s="35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35"/>
      <c r="EZ654" s="35"/>
      <c r="FA654" s="35"/>
      <c r="FB654" s="35"/>
      <c r="FC654" s="35"/>
      <c r="FD654" s="35"/>
      <c r="FE654" s="35"/>
      <c r="FF654" s="35"/>
      <c r="FG654" s="35"/>
      <c r="FH654" s="35"/>
      <c r="FI654" s="35"/>
      <c r="FJ654" s="35"/>
      <c r="FK654" s="35"/>
      <c r="FL654" s="35"/>
      <c r="FM654" s="35"/>
      <c r="FN654" s="35"/>
      <c r="FO654" s="35"/>
      <c r="FP654" s="35"/>
      <c r="FQ654" s="35"/>
      <c r="FR654" s="35"/>
      <c r="FS654" s="35"/>
      <c r="FT654" s="35"/>
      <c r="FU654" s="35"/>
      <c r="FV654" s="35"/>
      <c r="FW654" s="35"/>
      <c r="FX654" s="35"/>
      <c r="FY654" s="35"/>
      <c r="FZ654" s="35"/>
      <c r="GA654" s="35"/>
      <c r="GB654" s="35"/>
      <c r="GC654" s="35"/>
      <c r="GD654" s="35"/>
      <c r="GE654" s="35"/>
      <c r="GF654" s="35"/>
      <c r="GG654" s="35"/>
      <c r="GH654" s="35"/>
      <c r="GI654" s="35"/>
      <c r="GJ654" s="35"/>
      <c r="GK654" s="35"/>
      <c r="GL654" s="35"/>
      <c r="GM654" s="35"/>
      <c r="GN654" s="35"/>
      <c r="GO654" s="35"/>
      <c r="GP654" s="35"/>
      <c r="GQ654" s="35"/>
      <c r="GR654" s="35"/>
      <c r="GS654" s="35"/>
      <c r="GT654" s="35"/>
      <c r="GU654" s="35"/>
      <c r="GV654" s="35"/>
      <c r="GW654" s="35"/>
      <c r="GX654" s="35"/>
      <c r="GY654" s="35"/>
      <c r="GZ654" s="35"/>
      <c r="HA654" s="35"/>
      <c r="HB654" s="35"/>
      <c r="HC654" s="35"/>
      <c r="HD654" s="35"/>
      <c r="HE654" s="35"/>
      <c r="HF654" s="35"/>
      <c r="HG654" s="35"/>
      <c r="HH654" s="35"/>
      <c r="HI654" s="35"/>
      <c r="HJ654" s="35"/>
      <c r="HK654" s="35"/>
      <c r="HL654" s="35"/>
      <c r="HM654" s="35"/>
      <c r="HN654" s="35"/>
      <c r="HO654" s="35"/>
      <c r="HP654" s="35"/>
      <c r="HQ654" s="35"/>
      <c r="HR654" s="35"/>
      <c r="HS654" s="35"/>
      <c r="HT654" s="35"/>
      <c r="HU654" s="35"/>
      <c r="HV654" s="35"/>
      <c r="HW654" s="35"/>
      <c r="HX654" s="35"/>
      <c r="HY654" s="35"/>
      <c r="HZ654" s="35"/>
      <c r="IA654" s="35"/>
      <c r="IB654" s="35"/>
      <c r="IC654" s="35"/>
      <c r="ID654" s="35"/>
      <c r="IE654" s="35"/>
      <c r="IF654" s="35"/>
      <c r="IG654" s="35"/>
      <c r="IH654" s="35"/>
      <c r="II654" s="35"/>
      <c r="IJ654" s="35"/>
      <c r="IK654" s="35"/>
      <c r="IL654" s="35"/>
      <c r="IM654" s="35"/>
      <c r="IN654" s="35"/>
      <c r="IO654" s="35"/>
      <c r="IP654" s="35"/>
      <c r="IQ654" s="35"/>
      <c r="IR654" s="35"/>
      <c r="IS654" s="35"/>
      <c r="IT654" s="35"/>
      <c r="IU654" s="35"/>
      <c r="IV654" s="35"/>
      <c r="IW654" s="35"/>
      <c r="IX654" s="35"/>
      <c r="IY654" s="35"/>
      <c r="IZ654" s="35"/>
      <c r="JA654" s="35"/>
      <c r="JB654" s="35"/>
      <c r="JC654" s="35"/>
      <c r="JD654" s="35"/>
      <c r="JE654" s="35"/>
    </row>
    <row r="655">
      <c r="A655" s="42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  <c r="AZ655" s="35"/>
      <c r="BA655" s="35"/>
      <c r="BB655" s="35"/>
      <c r="BC655" s="35"/>
      <c r="BD655" s="35"/>
      <c r="BE655" s="35"/>
      <c r="BF655" s="35"/>
      <c r="BG655" s="35"/>
      <c r="BH655" s="35"/>
      <c r="BI655" s="35"/>
      <c r="BJ655" s="35"/>
      <c r="BK655" s="35"/>
      <c r="BL655" s="35"/>
      <c r="BM655" s="35"/>
      <c r="BN655" s="35"/>
      <c r="BO655" s="35"/>
      <c r="BP655" s="35"/>
      <c r="BQ655" s="35"/>
      <c r="BR655" s="35"/>
      <c r="BS655" s="35"/>
      <c r="BT655" s="35"/>
      <c r="BU655" s="35"/>
      <c r="BV655" s="35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35"/>
      <c r="CO655" s="35"/>
      <c r="CP655" s="35"/>
      <c r="CQ655" s="35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35"/>
      <c r="DJ655" s="35"/>
      <c r="DK655" s="35"/>
      <c r="DL655" s="35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35"/>
      <c r="EE655" s="35"/>
      <c r="EF655" s="35"/>
      <c r="EG655" s="35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35"/>
      <c r="EZ655" s="35"/>
      <c r="FA655" s="35"/>
      <c r="FB655" s="35"/>
      <c r="FC655" s="35"/>
      <c r="FD655" s="35"/>
      <c r="FE655" s="35"/>
      <c r="FF655" s="35"/>
      <c r="FG655" s="35"/>
      <c r="FH655" s="35"/>
      <c r="FI655" s="35"/>
      <c r="FJ655" s="35"/>
      <c r="FK655" s="35"/>
      <c r="FL655" s="35"/>
      <c r="FM655" s="35"/>
      <c r="FN655" s="35"/>
      <c r="FO655" s="35"/>
      <c r="FP655" s="35"/>
      <c r="FQ655" s="35"/>
      <c r="FR655" s="35"/>
      <c r="FS655" s="35"/>
      <c r="FT655" s="35"/>
      <c r="FU655" s="35"/>
      <c r="FV655" s="35"/>
      <c r="FW655" s="35"/>
      <c r="FX655" s="35"/>
      <c r="FY655" s="35"/>
      <c r="FZ655" s="35"/>
      <c r="GA655" s="35"/>
      <c r="GB655" s="35"/>
      <c r="GC655" s="35"/>
      <c r="GD655" s="35"/>
      <c r="GE655" s="35"/>
      <c r="GF655" s="35"/>
      <c r="GG655" s="35"/>
      <c r="GH655" s="35"/>
      <c r="GI655" s="35"/>
      <c r="GJ655" s="35"/>
      <c r="GK655" s="35"/>
      <c r="GL655" s="35"/>
      <c r="GM655" s="35"/>
      <c r="GN655" s="35"/>
      <c r="GO655" s="35"/>
      <c r="GP655" s="35"/>
      <c r="GQ655" s="35"/>
      <c r="GR655" s="35"/>
      <c r="GS655" s="35"/>
      <c r="GT655" s="35"/>
      <c r="GU655" s="35"/>
      <c r="GV655" s="35"/>
      <c r="GW655" s="35"/>
      <c r="GX655" s="35"/>
      <c r="GY655" s="35"/>
      <c r="GZ655" s="35"/>
      <c r="HA655" s="35"/>
      <c r="HB655" s="35"/>
      <c r="HC655" s="35"/>
      <c r="HD655" s="35"/>
      <c r="HE655" s="35"/>
      <c r="HF655" s="35"/>
      <c r="HG655" s="35"/>
      <c r="HH655" s="35"/>
      <c r="HI655" s="35"/>
      <c r="HJ655" s="35"/>
      <c r="HK655" s="35"/>
      <c r="HL655" s="35"/>
      <c r="HM655" s="35"/>
      <c r="HN655" s="35"/>
      <c r="HO655" s="35"/>
      <c r="HP655" s="35"/>
      <c r="HQ655" s="35"/>
      <c r="HR655" s="35"/>
      <c r="HS655" s="35"/>
      <c r="HT655" s="35"/>
      <c r="HU655" s="35"/>
      <c r="HV655" s="35"/>
      <c r="HW655" s="35"/>
      <c r="HX655" s="35"/>
      <c r="HY655" s="35"/>
      <c r="HZ655" s="35"/>
      <c r="IA655" s="35"/>
      <c r="IB655" s="35"/>
      <c r="IC655" s="35"/>
      <c r="ID655" s="35"/>
      <c r="IE655" s="35"/>
      <c r="IF655" s="35"/>
      <c r="IG655" s="35"/>
      <c r="IH655" s="35"/>
      <c r="II655" s="35"/>
      <c r="IJ655" s="35"/>
      <c r="IK655" s="35"/>
      <c r="IL655" s="35"/>
      <c r="IM655" s="35"/>
      <c r="IN655" s="35"/>
      <c r="IO655" s="35"/>
      <c r="IP655" s="35"/>
      <c r="IQ655" s="35"/>
      <c r="IR655" s="35"/>
      <c r="IS655" s="35"/>
      <c r="IT655" s="35"/>
      <c r="IU655" s="35"/>
      <c r="IV655" s="35"/>
      <c r="IW655" s="35"/>
      <c r="IX655" s="35"/>
      <c r="IY655" s="35"/>
      <c r="IZ655" s="35"/>
      <c r="JA655" s="35"/>
      <c r="JB655" s="35"/>
      <c r="JC655" s="35"/>
      <c r="JD655" s="35"/>
      <c r="JE655" s="35"/>
    </row>
    <row r="656">
      <c r="A656" s="42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  <c r="AZ656" s="35"/>
      <c r="BA656" s="35"/>
      <c r="BB656" s="35"/>
      <c r="BC656" s="35"/>
      <c r="BD656" s="35"/>
      <c r="BE656" s="35"/>
      <c r="BF656" s="35"/>
      <c r="BG656" s="35"/>
      <c r="BH656" s="35"/>
      <c r="BI656" s="35"/>
      <c r="BJ656" s="35"/>
      <c r="BK656" s="35"/>
      <c r="BL656" s="35"/>
      <c r="BM656" s="35"/>
      <c r="BN656" s="35"/>
      <c r="BO656" s="35"/>
      <c r="BP656" s="35"/>
      <c r="BQ656" s="35"/>
      <c r="BR656" s="35"/>
      <c r="BS656" s="35"/>
      <c r="BT656" s="35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35"/>
      <c r="CO656" s="35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35"/>
      <c r="DJ656" s="35"/>
      <c r="DK656" s="35"/>
      <c r="DL656" s="35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35"/>
      <c r="EE656" s="35"/>
      <c r="EF656" s="35"/>
      <c r="EG656" s="35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35"/>
      <c r="EZ656" s="35"/>
      <c r="FA656" s="35"/>
      <c r="FB656" s="35"/>
      <c r="FC656" s="35"/>
      <c r="FD656" s="35"/>
      <c r="FE656" s="35"/>
      <c r="FF656" s="35"/>
      <c r="FG656" s="35"/>
      <c r="FH656" s="35"/>
      <c r="FI656" s="35"/>
      <c r="FJ656" s="35"/>
      <c r="FK656" s="35"/>
      <c r="FL656" s="35"/>
      <c r="FM656" s="35"/>
      <c r="FN656" s="35"/>
      <c r="FO656" s="35"/>
      <c r="FP656" s="35"/>
      <c r="FQ656" s="35"/>
      <c r="FR656" s="35"/>
      <c r="FS656" s="35"/>
      <c r="FT656" s="35"/>
      <c r="FU656" s="35"/>
      <c r="FV656" s="35"/>
      <c r="FW656" s="35"/>
      <c r="FX656" s="35"/>
      <c r="FY656" s="35"/>
      <c r="FZ656" s="35"/>
      <c r="GA656" s="35"/>
      <c r="GB656" s="35"/>
      <c r="GC656" s="35"/>
      <c r="GD656" s="35"/>
      <c r="GE656" s="35"/>
      <c r="GF656" s="35"/>
      <c r="GG656" s="35"/>
      <c r="GH656" s="35"/>
      <c r="GI656" s="35"/>
      <c r="GJ656" s="35"/>
      <c r="GK656" s="35"/>
      <c r="GL656" s="35"/>
      <c r="GM656" s="35"/>
      <c r="GN656" s="35"/>
      <c r="GO656" s="35"/>
      <c r="GP656" s="35"/>
      <c r="GQ656" s="35"/>
      <c r="GR656" s="35"/>
      <c r="GS656" s="35"/>
      <c r="GT656" s="35"/>
      <c r="GU656" s="35"/>
      <c r="GV656" s="35"/>
      <c r="GW656" s="35"/>
      <c r="GX656" s="35"/>
      <c r="GY656" s="35"/>
      <c r="GZ656" s="35"/>
      <c r="HA656" s="35"/>
      <c r="HB656" s="35"/>
      <c r="HC656" s="35"/>
      <c r="HD656" s="35"/>
      <c r="HE656" s="35"/>
      <c r="HF656" s="35"/>
      <c r="HG656" s="35"/>
      <c r="HH656" s="35"/>
      <c r="HI656" s="35"/>
      <c r="HJ656" s="35"/>
      <c r="HK656" s="35"/>
      <c r="HL656" s="35"/>
      <c r="HM656" s="35"/>
      <c r="HN656" s="35"/>
      <c r="HO656" s="35"/>
      <c r="HP656" s="35"/>
      <c r="HQ656" s="35"/>
      <c r="HR656" s="35"/>
      <c r="HS656" s="35"/>
      <c r="HT656" s="35"/>
      <c r="HU656" s="35"/>
      <c r="HV656" s="35"/>
      <c r="HW656" s="35"/>
      <c r="HX656" s="35"/>
      <c r="HY656" s="35"/>
      <c r="HZ656" s="35"/>
      <c r="IA656" s="35"/>
      <c r="IB656" s="35"/>
      <c r="IC656" s="35"/>
      <c r="ID656" s="35"/>
      <c r="IE656" s="35"/>
      <c r="IF656" s="35"/>
      <c r="IG656" s="35"/>
      <c r="IH656" s="35"/>
      <c r="II656" s="35"/>
      <c r="IJ656" s="35"/>
      <c r="IK656" s="35"/>
      <c r="IL656" s="35"/>
      <c r="IM656" s="35"/>
      <c r="IN656" s="35"/>
      <c r="IO656" s="35"/>
      <c r="IP656" s="35"/>
      <c r="IQ656" s="35"/>
      <c r="IR656" s="35"/>
      <c r="IS656" s="35"/>
      <c r="IT656" s="35"/>
      <c r="IU656" s="35"/>
      <c r="IV656" s="35"/>
      <c r="IW656" s="35"/>
      <c r="IX656" s="35"/>
      <c r="IY656" s="35"/>
      <c r="IZ656" s="35"/>
      <c r="JA656" s="35"/>
      <c r="JB656" s="35"/>
      <c r="JC656" s="35"/>
      <c r="JD656" s="35"/>
      <c r="JE656" s="35"/>
    </row>
    <row r="657">
      <c r="A657" s="42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  <c r="AZ657" s="35"/>
      <c r="BA657" s="35"/>
      <c r="BB657" s="35"/>
      <c r="BC657" s="35"/>
      <c r="BD657" s="35"/>
      <c r="BE657" s="35"/>
      <c r="BF657" s="35"/>
      <c r="BG657" s="35"/>
      <c r="BH657" s="35"/>
      <c r="BI657" s="35"/>
      <c r="BJ657" s="35"/>
      <c r="BK657" s="35"/>
      <c r="BL657" s="35"/>
      <c r="BM657" s="35"/>
      <c r="BN657" s="35"/>
      <c r="BO657" s="35"/>
      <c r="BP657" s="35"/>
      <c r="BQ657" s="35"/>
      <c r="BR657" s="35"/>
      <c r="BS657" s="35"/>
      <c r="BT657" s="35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35"/>
      <c r="CO657" s="35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35"/>
      <c r="DJ657" s="35"/>
      <c r="DK657" s="35"/>
      <c r="DL657" s="35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35"/>
      <c r="EE657" s="35"/>
      <c r="EF657" s="35"/>
      <c r="EG657" s="35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35"/>
      <c r="EZ657" s="35"/>
      <c r="FA657" s="35"/>
      <c r="FB657" s="35"/>
      <c r="FC657" s="35"/>
      <c r="FD657" s="35"/>
      <c r="FE657" s="35"/>
      <c r="FF657" s="35"/>
      <c r="FG657" s="35"/>
      <c r="FH657" s="35"/>
      <c r="FI657" s="35"/>
      <c r="FJ657" s="35"/>
      <c r="FK657" s="35"/>
      <c r="FL657" s="35"/>
      <c r="FM657" s="35"/>
      <c r="FN657" s="35"/>
      <c r="FO657" s="35"/>
      <c r="FP657" s="35"/>
      <c r="FQ657" s="35"/>
      <c r="FR657" s="35"/>
      <c r="FS657" s="35"/>
      <c r="FT657" s="35"/>
      <c r="FU657" s="35"/>
      <c r="FV657" s="35"/>
      <c r="FW657" s="35"/>
      <c r="FX657" s="35"/>
      <c r="FY657" s="35"/>
      <c r="FZ657" s="35"/>
      <c r="GA657" s="35"/>
      <c r="GB657" s="35"/>
      <c r="GC657" s="35"/>
      <c r="GD657" s="35"/>
      <c r="GE657" s="35"/>
      <c r="GF657" s="35"/>
      <c r="GG657" s="35"/>
      <c r="GH657" s="35"/>
      <c r="GI657" s="35"/>
      <c r="GJ657" s="35"/>
      <c r="GK657" s="35"/>
      <c r="GL657" s="35"/>
      <c r="GM657" s="35"/>
      <c r="GN657" s="35"/>
      <c r="GO657" s="35"/>
      <c r="GP657" s="35"/>
      <c r="GQ657" s="35"/>
      <c r="GR657" s="35"/>
      <c r="GS657" s="35"/>
      <c r="GT657" s="35"/>
      <c r="GU657" s="35"/>
      <c r="GV657" s="35"/>
      <c r="GW657" s="35"/>
      <c r="GX657" s="35"/>
      <c r="GY657" s="35"/>
      <c r="GZ657" s="35"/>
      <c r="HA657" s="35"/>
      <c r="HB657" s="35"/>
      <c r="HC657" s="35"/>
      <c r="HD657" s="35"/>
      <c r="HE657" s="35"/>
      <c r="HF657" s="35"/>
      <c r="HG657" s="35"/>
      <c r="HH657" s="35"/>
      <c r="HI657" s="35"/>
      <c r="HJ657" s="35"/>
      <c r="HK657" s="35"/>
      <c r="HL657" s="35"/>
      <c r="HM657" s="35"/>
      <c r="HN657" s="35"/>
      <c r="HO657" s="35"/>
      <c r="HP657" s="35"/>
      <c r="HQ657" s="35"/>
      <c r="HR657" s="35"/>
      <c r="HS657" s="35"/>
      <c r="HT657" s="35"/>
      <c r="HU657" s="35"/>
      <c r="HV657" s="35"/>
      <c r="HW657" s="35"/>
      <c r="HX657" s="35"/>
      <c r="HY657" s="35"/>
      <c r="HZ657" s="35"/>
      <c r="IA657" s="35"/>
      <c r="IB657" s="35"/>
      <c r="IC657" s="35"/>
      <c r="ID657" s="35"/>
      <c r="IE657" s="35"/>
      <c r="IF657" s="35"/>
      <c r="IG657" s="35"/>
      <c r="IH657" s="35"/>
      <c r="II657" s="35"/>
      <c r="IJ657" s="35"/>
      <c r="IK657" s="35"/>
      <c r="IL657" s="35"/>
      <c r="IM657" s="35"/>
      <c r="IN657" s="35"/>
      <c r="IO657" s="35"/>
      <c r="IP657" s="35"/>
      <c r="IQ657" s="35"/>
      <c r="IR657" s="35"/>
      <c r="IS657" s="35"/>
      <c r="IT657" s="35"/>
      <c r="IU657" s="35"/>
      <c r="IV657" s="35"/>
      <c r="IW657" s="35"/>
      <c r="IX657" s="35"/>
      <c r="IY657" s="35"/>
      <c r="IZ657" s="35"/>
      <c r="JA657" s="35"/>
      <c r="JB657" s="35"/>
      <c r="JC657" s="35"/>
      <c r="JD657" s="35"/>
      <c r="JE657" s="35"/>
    </row>
    <row r="658">
      <c r="A658" s="42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  <c r="AZ658" s="35"/>
      <c r="BA658" s="35"/>
      <c r="BB658" s="35"/>
      <c r="BC658" s="35"/>
      <c r="BD658" s="35"/>
      <c r="BE658" s="35"/>
      <c r="BF658" s="35"/>
      <c r="BG658" s="35"/>
      <c r="BH658" s="35"/>
      <c r="BI658" s="35"/>
      <c r="BJ658" s="35"/>
      <c r="BK658" s="35"/>
      <c r="BL658" s="35"/>
      <c r="BM658" s="35"/>
      <c r="BN658" s="35"/>
      <c r="BO658" s="35"/>
      <c r="BP658" s="35"/>
      <c r="BQ658" s="35"/>
      <c r="BR658" s="35"/>
      <c r="BS658" s="35"/>
      <c r="BT658" s="35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35"/>
      <c r="CO658" s="35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35"/>
      <c r="DJ658" s="35"/>
      <c r="DK658" s="35"/>
      <c r="DL658" s="35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35"/>
      <c r="EE658" s="35"/>
      <c r="EF658" s="35"/>
      <c r="EG658" s="35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35"/>
      <c r="EZ658" s="35"/>
      <c r="FA658" s="35"/>
      <c r="FB658" s="35"/>
      <c r="FC658" s="35"/>
      <c r="FD658" s="35"/>
      <c r="FE658" s="35"/>
      <c r="FF658" s="35"/>
      <c r="FG658" s="35"/>
      <c r="FH658" s="35"/>
      <c r="FI658" s="35"/>
      <c r="FJ658" s="35"/>
      <c r="FK658" s="35"/>
      <c r="FL658" s="35"/>
      <c r="FM658" s="35"/>
      <c r="FN658" s="35"/>
      <c r="FO658" s="35"/>
      <c r="FP658" s="35"/>
      <c r="FQ658" s="35"/>
      <c r="FR658" s="35"/>
      <c r="FS658" s="35"/>
      <c r="FT658" s="35"/>
      <c r="FU658" s="35"/>
      <c r="FV658" s="35"/>
      <c r="FW658" s="35"/>
      <c r="FX658" s="35"/>
      <c r="FY658" s="35"/>
      <c r="FZ658" s="35"/>
      <c r="GA658" s="35"/>
      <c r="GB658" s="35"/>
      <c r="GC658" s="35"/>
      <c r="GD658" s="35"/>
      <c r="GE658" s="35"/>
      <c r="GF658" s="35"/>
      <c r="GG658" s="35"/>
      <c r="GH658" s="35"/>
      <c r="GI658" s="35"/>
      <c r="GJ658" s="35"/>
      <c r="GK658" s="35"/>
      <c r="GL658" s="35"/>
      <c r="GM658" s="35"/>
      <c r="GN658" s="35"/>
      <c r="GO658" s="35"/>
      <c r="GP658" s="35"/>
      <c r="GQ658" s="35"/>
      <c r="GR658" s="35"/>
      <c r="GS658" s="35"/>
      <c r="GT658" s="35"/>
      <c r="GU658" s="35"/>
      <c r="GV658" s="35"/>
      <c r="GW658" s="35"/>
      <c r="GX658" s="35"/>
      <c r="GY658" s="35"/>
      <c r="GZ658" s="35"/>
      <c r="HA658" s="35"/>
      <c r="HB658" s="35"/>
      <c r="HC658" s="35"/>
      <c r="HD658" s="35"/>
      <c r="HE658" s="35"/>
      <c r="HF658" s="35"/>
      <c r="HG658" s="35"/>
      <c r="HH658" s="35"/>
      <c r="HI658" s="35"/>
      <c r="HJ658" s="35"/>
      <c r="HK658" s="35"/>
      <c r="HL658" s="35"/>
      <c r="HM658" s="35"/>
      <c r="HN658" s="35"/>
      <c r="HO658" s="35"/>
      <c r="HP658" s="35"/>
      <c r="HQ658" s="35"/>
      <c r="HR658" s="35"/>
      <c r="HS658" s="35"/>
      <c r="HT658" s="35"/>
      <c r="HU658" s="35"/>
      <c r="HV658" s="35"/>
      <c r="HW658" s="35"/>
      <c r="HX658" s="35"/>
      <c r="HY658" s="35"/>
      <c r="HZ658" s="35"/>
      <c r="IA658" s="35"/>
      <c r="IB658" s="35"/>
      <c r="IC658" s="35"/>
      <c r="ID658" s="35"/>
      <c r="IE658" s="35"/>
      <c r="IF658" s="35"/>
      <c r="IG658" s="35"/>
      <c r="IH658" s="35"/>
      <c r="II658" s="35"/>
      <c r="IJ658" s="35"/>
      <c r="IK658" s="35"/>
      <c r="IL658" s="35"/>
      <c r="IM658" s="35"/>
      <c r="IN658" s="35"/>
      <c r="IO658" s="35"/>
      <c r="IP658" s="35"/>
      <c r="IQ658" s="35"/>
      <c r="IR658" s="35"/>
      <c r="IS658" s="35"/>
      <c r="IT658" s="35"/>
      <c r="IU658" s="35"/>
      <c r="IV658" s="35"/>
      <c r="IW658" s="35"/>
      <c r="IX658" s="35"/>
      <c r="IY658" s="35"/>
      <c r="IZ658" s="35"/>
      <c r="JA658" s="35"/>
      <c r="JB658" s="35"/>
      <c r="JC658" s="35"/>
      <c r="JD658" s="35"/>
      <c r="JE658" s="35"/>
    </row>
    <row r="659">
      <c r="A659" s="42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  <c r="AZ659" s="35"/>
      <c r="BA659" s="35"/>
      <c r="BB659" s="35"/>
      <c r="BC659" s="35"/>
      <c r="BD659" s="35"/>
      <c r="BE659" s="35"/>
      <c r="BF659" s="35"/>
      <c r="BG659" s="35"/>
      <c r="BH659" s="35"/>
      <c r="BI659" s="35"/>
      <c r="BJ659" s="35"/>
      <c r="BK659" s="35"/>
      <c r="BL659" s="35"/>
      <c r="BM659" s="35"/>
      <c r="BN659" s="35"/>
      <c r="BO659" s="35"/>
      <c r="BP659" s="35"/>
      <c r="BQ659" s="35"/>
      <c r="BR659" s="35"/>
      <c r="BS659" s="35"/>
      <c r="BT659" s="35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35"/>
      <c r="CO659" s="35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35"/>
      <c r="DJ659" s="35"/>
      <c r="DK659" s="35"/>
      <c r="DL659" s="35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35"/>
      <c r="EE659" s="35"/>
      <c r="EF659" s="35"/>
      <c r="EG659" s="35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35"/>
      <c r="EZ659" s="35"/>
      <c r="FA659" s="35"/>
      <c r="FB659" s="35"/>
      <c r="FC659" s="35"/>
      <c r="FD659" s="35"/>
      <c r="FE659" s="35"/>
      <c r="FF659" s="35"/>
      <c r="FG659" s="35"/>
      <c r="FH659" s="35"/>
      <c r="FI659" s="35"/>
      <c r="FJ659" s="35"/>
      <c r="FK659" s="35"/>
      <c r="FL659" s="35"/>
      <c r="FM659" s="35"/>
      <c r="FN659" s="35"/>
      <c r="FO659" s="35"/>
      <c r="FP659" s="35"/>
      <c r="FQ659" s="35"/>
      <c r="FR659" s="35"/>
      <c r="FS659" s="35"/>
      <c r="FT659" s="35"/>
      <c r="FU659" s="35"/>
      <c r="FV659" s="35"/>
      <c r="FW659" s="35"/>
      <c r="FX659" s="35"/>
      <c r="FY659" s="35"/>
      <c r="FZ659" s="35"/>
      <c r="GA659" s="35"/>
      <c r="GB659" s="35"/>
      <c r="GC659" s="35"/>
      <c r="GD659" s="35"/>
      <c r="GE659" s="35"/>
      <c r="GF659" s="35"/>
      <c r="GG659" s="35"/>
      <c r="GH659" s="35"/>
      <c r="GI659" s="35"/>
      <c r="GJ659" s="35"/>
      <c r="GK659" s="35"/>
      <c r="GL659" s="35"/>
      <c r="GM659" s="35"/>
      <c r="GN659" s="35"/>
      <c r="GO659" s="35"/>
      <c r="GP659" s="35"/>
      <c r="GQ659" s="35"/>
      <c r="GR659" s="35"/>
      <c r="GS659" s="35"/>
      <c r="GT659" s="35"/>
      <c r="GU659" s="35"/>
      <c r="GV659" s="35"/>
      <c r="GW659" s="35"/>
      <c r="GX659" s="35"/>
      <c r="GY659" s="35"/>
      <c r="GZ659" s="35"/>
      <c r="HA659" s="35"/>
      <c r="HB659" s="35"/>
      <c r="HC659" s="35"/>
      <c r="HD659" s="35"/>
      <c r="HE659" s="35"/>
      <c r="HF659" s="35"/>
      <c r="HG659" s="35"/>
      <c r="HH659" s="35"/>
      <c r="HI659" s="35"/>
      <c r="HJ659" s="35"/>
      <c r="HK659" s="35"/>
      <c r="HL659" s="35"/>
      <c r="HM659" s="35"/>
      <c r="HN659" s="35"/>
      <c r="HO659" s="35"/>
      <c r="HP659" s="35"/>
      <c r="HQ659" s="35"/>
      <c r="HR659" s="35"/>
      <c r="HS659" s="35"/>
      <c r="HT659" s="35"/>
      <c r="HU659" s="35"/>
      <c r="HV659" s="35"/>
      <c r="HW659" s="35"/>
      <c r="HX659" s="35"/>
      <c r="HY659" s="35"/>
      <c r="HZ659" s="35"/>
      <c r="IA659" s="35"/>
      <c r="IB659" s="35"/>
      <c r="IC659" s="35"/>
      <c r="ID659" s="35"/>
      <c r="IE659" s="35"/>
      <c r="IF659" s="35"/>
      <c r="IG659" s="35"/>
      <c r="IH659" s="35"/>
      <c r="II659" s="35"/>
      <c r="IJ659" s="35"/>
      <c r="IK659" s="35"/>
      <c r="IL659" s="35"/>
      <c r="IM659" s="35"/>
      <c r="IN659" s="35"/>
      <c r="IO659" s="35"/>
      <c r="IP659" s="35"/>
      <c r="IQ659" s="35"/>
      <c r="IR659" s="35"/>
      <c r="IS659" s="35"/>
      <c r="IT659" s="35"/>
      <c r="IU659" s="35"/>
      <c r="IV659" s="35"/>
      <c r="IW659" s="35"/>
      <c r="IX659" s="35"/>
      <c r="IY659" s="35"/>
      <c r="IZ659" s="35"/>
      <c r="JA659" s="35"/>
      <c r="JB659" s="35"/>
      <c r="JC659" s="35"/>
      <c r="JD659" s="35"/>
      <c r="JE659" s="35"/>
    </row>
    <row r="660">
      <c r="A660" s="42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  <c r="AZ660" s="35"/>
      <c r="BA660" s="35"/>
      <c r="BB660" s="35"/>
      <c r="BC660" s="35"/>
      <c r="BD660" s="35"/>
      <c r="BE660" s="35"/>
      <c r="BF660" s="35"/>
      <c r="BG660" s="35"/>
      <c r="BH660" s="35"/>
      <c r="BI660" s="35"/>
      <c r="BJ660" s="35"/>
      <c r="BK660" s="35"/>
      <c r="BL660" s="35"/>
      <c r="BM660" s="35"/>
      <c r="BN660" s="35"/>
      <c r="BO660" s="35"/>
      <c r="BP660" s="35"/>
      <c r="BQ660" s="35"/>
      <c r="BR660" s="35"/>
      <c r="BS660" s="35"/>
      <c r="BT660" s="35"/>
      <c r="BU660" s="35"/>
      <c r="BV660" s="35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35"/>
      <c r="CO660" s="35"/>
      <c r="CP660" s="35"/>
      <c r="CQ660" s="35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35"/>
      <c r="DJ660" s="35"/>
      <c r="DK660" s="35"/>
      <c r="DL660" s="35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35"/>
      <c r="EE660" s="35"/>
      <c r="EF660" s="35"/>
      <c r="EG660" s="35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35"/>
      <c r="EZ660" s="35"/>
      <c r="FA660" s="35"/>
      <c r="FB660" s="35"/>
      <c r="FC660" s="35"/>
      <c r="FD660" s="35"/>
      <c r="FE660" s="35"/>
      <c r="FF660" s="35"/>
      <c r="FG660" s="35"/>
      <c r="FH660" s="35"/>
      <c r="FI660" s="35"/>
      <c r="FJ660" s="35"/>
      <c r="FK660" s="35"/>
      <c r="FL660" s="35"/>
      <c r="FM660" s="35"/>
      <c r="FN660" s="35"/>
      <c r="FO660" s="35"/>
      <c r="FP660" s="35"/>
      <c r="FQ660" s="35"/>
      <c r="FR660" s="35"/>
      <c r="FS660" s="35"/>
      <c r="FT660" s="35"/>
      <c r="FU660" s="35"/>
      <c r="FV660" s="35"/>
      <c r="FW660" s="35"/>
      <c r="FX660" s="35"/>
      <c r="FY660" s="35"/>
      <c r="FZ660" s="35"/>
      <c r="GA660" s="35"/>
      <c r="GB660" s="35"/>
      <c r="GC660" s="35"/>
      <c r="GD660" s="35"/>
      <c r="GE660" s="35"/>
      <c r="GF660" s="35"/>
      <c r="GG660" s="35"/>
      <c r="GH660" s="35"/>
      <c r="GI660" s="35"/>
      <c r="GJ660" s="35"/>
      <c r="GK660" s="35"/>
      <c r="GL660" s="35"/>
      <c r="GM660" s="35"/>
      <c r="GN660" s="35"/>
      <c r="GO660" s="35"/>
      <c r="GP660" s="35"/>
      <c r="GQ660" s="35"/>
      <c r="GR660" s="35"/>
      <c r="GS660" s="35"/>
      <c r="GT660" s="35"/>
      <c r="GU660" s="35"/>
      <c r="GV660" s="35"/>
      <c r="GW660" s="35"/>
      <c r="GX660" s="35"/>
      <c r="GY660" s="35"/>
      <c r="GZ660" s="35"/>
      <c r="HA660" s="35"/>
      <c r="HB660" s="35"/>
      <c r="HC660" s="35"/>
      <c r="HD660" s="35"/>
      <c r="HE660" s="35"/>
      <c r="HF660" s="35"/>
      <c r="HG660" s="35"/>
      <c r="HH660" s="35"/>
      <c r="HI660" s="35"/>
      <c r="HJ660" s="35"/>
      <c r="HK660" s="35"/>
      <c r="HL660" s="35"/>
      <c r="HM660" s="35"/>
      <c r="HN660" s="35"/>
      <c r="HO660" s="35"/>
      <c r="HP660" s="35"/>
      <c r="HQ660" s="35"/>
      <c r="HR660" s="35"/>
      <c r="HS660" s="35"/>
      <c r="HT660" s="35"/>
      <c r="HU660" s="35"/>
      <c r="HV660" s="35"/>
      <c r="HW660" s="35"/>
      <c r="HX660" s="35"/>
      <c r="HY660" s="35"/>
      <c r="HZ660" s="35"/>
      <c r="IA660" s="35"/>
      <c r="IB660" s="35"/>
      <c r="IC660" s="35"/>
      <c r="ID660" s="35"/>
      <c r="IE660" s="35"/>
      <c r="IF660" s="35"/>
      <c r="IG660" s="35"/>
      <c r="IH660" s="35"/>
      <c r="II660" s="35"/>
      <c r="IJ660" s="35"/>
      <c r="IK660" s="35"/>
      <c r="IL660" s="35"/>
      <c r="IM660" s="35"/>
      <c r="IN660" s="35"/>
      <c r="IO660" s="35"/>
      <c r="IP660" s="35"/>
      <c r="IQ660" s="35"/>
      <c r="IR660" s="35"/>
      <c r="IS660" s="35"/>
      <c r="IT660" s="35"/>
      <c r="IU660" s="35"/>
      <c r="IV660" s="35"/>
      <c r="IW660" s="35"/>
      <c r="IX660" s="35"/>
      <c r="IY660" s="35"/>
      <c r="IZ660" s="35"/>
      <c r="JA660" s="35"/>
      <c r="JB660" s="35"/>
      <c r="JC660" s="35"/>
      <c r="JD660" s="35"/>
      <c r="JE660" s="35"/>
    </row>
    <row r="661">
      <c r="A661" s="42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  <c r="AZ661" s="35"/>
      <c r="BA661" s="35"/>
      <c r="BB661" s="35"/>
      <c r="BC661" s="35"/>
      <c r="BD661" s="35"/>
      <c r="BE661" s="35"/>
      <c r="BF661" s="35"/>
      <c r="BG661" s="35"/>
      <c r="BH661" s="35"/>
      <c r="BI661" s="35"/>
      <c r="BJ661" s="35"/>
      <c r="BK661" s="35"/>
      <c r="BL661" s="35"/>
      <c r="BM661" s="35"/>
      <c r="BN661" s="35"/>
      <c r="BO661" s="35"/>
      <c r="BP661" s="35"/>
      <c r="BQ661" s="35"/>
      <c r="BR661" s="35"/>
      <c r="BS661" s="35"/>
      <c r="BT661" s="35"/>
      <c r="BU661" s="35"/>
      <c r="BV661" s="35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35"/>
      <c r="CO661" s="35"/>
      <c r="CP661" s="35"/>
      <c r="CQ661" s="35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35"/>
      <c r="DJ661" s="35"/>
      <c r="DK661" s="35"/>
      <c r="DL661" s="35"/>
      <c r="DM661" s="35"/>
      <c r="DN661" s="35"/>
      <c r="DO661" s="35"/>
      <c r="DP661" s="35"/>
      <c r="DQ661" s="35"/>
      <c r="DR661" s="35"/>
      <c r="DS661" s="35"/>
      <c r="DT661" s="35"/>
      <c r="DU661" s="35"/>
      <c r="DV661" s="35"/>
      <c r="DW661" s="35"/>
      <c r="DX661" s="35"/>
      <c r="DY661" s="35"/>
      <c r="DZ661" s="35"/>
      <c r="EA661" s="35"/>
      <c r="EB661" s="35"/>
      <c r="EC661" s="35"/>
      <c r="ED661" s="35"/>
      <c r="EE661" s="35"/>
      <c r="EF661" s="35"/>
      <c r="EG661" s="35"/>
      <c r="EH661" s="35"/>
      <c r="EI661" s="35"/>
      <c r="EJ661" s="35"/>
      <c r="EK661" s="35"/>
      <c r="EL661" s="35"/>
      <c r="EM661" s="35"/>
      <c r="EN661" s="35"/>
      <c r="EO661" s="35"/>
      <c r="EP661" s="35"/>
      <c r="EQ661" s="35"/>
      <c r="ER661" s="35"/>
      <c r="ES661" s="35"/>
      <c r="ET661" s="35"/>
      <c r="EU661" s="35"/>
      <c r="EV661" s="35"/>
      <c r="EW661" s="35"/>
      <c r="EX661" s="35"/>
      <c r="EY661" s="35"/>
      <c r="EZ661" s="35"/>
      <c r="FA661" s="35"/>
      <c r="FB661" s="35"/>
      <c r="FC661" s="35"/>
      <c r="FD661" s="35"/>
      <c r="FE661" s="35"/>
      <c r="FF661" s="35"/>
      <c r="FG661" s="35"/>
      <c r="FH661" s="35"/>
      <c r="FI661" s="35"/>
      <c r="FJ661" s="35"/>
      <c r="FK661" s="35"/>
      <c r="FL661" s="35"/>
      <c r="FM661" s="35"/>
      <c r="FN661" s="35"/>
      <c r="FO661" s="35"/>
      <c r="FP661" s="35"/>
      <c r="FQ661" s="35"/>
      <c r="FR661" s="35"/>
      <c r="FS661" s="35"/>
      <c r="FT661" s="35"/>
      <c r="FU661" s="35"/>
      <c r="FV661" s="35"/>
      <c r="FW661" s="35"/>
      <c r="FX661" s="35"/>
      <c r="FY661" s="35"/>
      <c r="FZ661" s="35"/>
      <c r="GA661" s="35"/>
      <c r="GB661" s="35"/>
      <c r="GC661" s="35"/>
      <c r="GD661" s="35"/>
      <c r="GE661" s="35"/>
      <c r="GF661" s="35"/>
      <c r="GG661" s="35"/>
      <c r="GH661" s="35"/>
      <c r="GI661" s="35"/>
      <c r="GJ661" s="35"/>
      <c r="GK661" s="35"/>
      <c r="GL661" s="35"/>
      <c r="GM661" s="35"/>
      <c r="GN661" s="35"/>
      <c r="GO661" s="35"/>
      <c r="GP661" s="35"/>
      <c r="GQ661" s="35"/>
      <c r="GR661" s="35"/>
      <c r="GS661" s="35"/>
      <c r="GT661" s="35"/>
      <c r="GU661" s="35"/>
      <c r="GV661" s="35"/>
      <c r="GW661" s="35"/>
      <c r="GX661" s="35"/>
      <c r="GY661" s="35"/>
      <c r="GZ661" s="35"/>
      <c r="HA661" s="35"/>
      <c r="HB661" s="35"/>
      <c r="HC661" s="35"/>
      <c r="HD661" s="35"/>
      <c r="HE661" s="35"/>
      <c r="HF661" s="35"/>
      <c r="HG661" s="35"/>
      <c r="HH661" s="35"/>
      <c r="HI661" s="35"/>
      <c r="HJ661" s="35"/>
      <c r="HK661" s="35"/>
      <c r="HL661" s="35"/>
      <c r="HM661" s="35"/>
      <c r="HN661" s="35"/>
      <c r="HO661" s="35"/>
      <c r="HP661" s="35"/>
      <c r="HQ661" s="35"/>
      <c r="HR661" s="35"/>
      <c r="HS661" s="35"/>
      <c r="HT661" s="35"/>
      <c r="HU661" s="35"/>
      <c r="HV661" s="35"/>
      <c r="HW661" s="35"/>
      <c r="HX661" s="35"/>
      <c r="HY661" s="35"/>
      <c r="HZ661" s="35"/>
      <c r="IA661" s="35"/>
      <c r="IB661" s="35"/>
      <c r="IC661" s="35"/>
      <c r="ID661" s="35"/>
      <c r="IE661" s="35"/>
      <c r="IF661" s="35"/>
      <c r="IG661" s="35"/>
      <c r="IH661" s="35"/>
      <c r="II661" s="35"/>
      <c r="IJ661" s="35"/>
      <c r="IK661" s="35"/>
      <c r="IL661" s="35"/>
      <c r="IM661" s="35"/>
      <c r="IN661" s="35"/>
      <c r="IO661" s="35"/>
      <c r="IP661" s="35"/>
      <c r="IQ661" s="35"/>
      <c r="IR661" s="35"/>
      <c r="IS661" s="35"/>
      <c r="IT661" s="35"/>
      <c r="IU661" s="35"/>
      <c r="IV661" s="35"/>
      <c r="IW661" s="35"/>
      <c r="IX661" s="35"/>
      <c r="IY661" s="35"/>
      <c r="IZ661" s="35"/>
      <c r="JA661" s="35"/>
      <c r="JB661" s="35"/>
      <c r="JC661" s="35"/>
      <c r="JD661" s="35"/>
      <c r="JE661" s="35"/>
    </row>
    <row r="662">
      <c r="A662" s="42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  <c r="AZ662" s="35"/>
      <c r="BA662" s="35"/>
      <c r="BB662" s="35"/>
      <c r="BC662" s="35"/>
      <c r="BD662" s="35"/>
      <c r="BE662" s="35"/>
      <c r="BF662" s="35"/>
      <c r="BG662" s="35"/>
      <c r="BH662" s="35"/>
      <c r="BI662" s="35"/>
      <c r="BJ662" s="35"/>
      <c r="BK662" s="35"/>
      <c r="BL662" s="35"/>
      <c r="BM662" s="35"/>
      <c r="BN662" s="35"/>
      <c r="BO662" s="35"/>
      <c r="BP662" s="35"/>
      <c r="BQ662" s="35"/>
      <c r="BR662" s="35"/>
      <c r="BS662" s="35"/>
      <c r="BT662" s="35"/>
      <c r="BU662" s="35"/>
      <c r="BV662" s="35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35"/>
      <c r="CO662" s="35"/>
      <c r="CP662" s="35"/>
      <c r="CQ662" s="35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35"/>
      <c r="DJ662" s="35"/>
      <c r="DK662" s="35"/>
      <c r="DL662" s="35"/>
      <c r="DM662" s="35"/>
      <c r="DN662" s="35"/>
      <c r="DO662" s="35"/>
      <c r="DP662" s="35"/>
      <c r="DQ662" s="35"/>
      <c r="DR662" s="35"/>
      <c r="DS662" s="35"/>
      <c r="DT662" s="35"/>
      <c r="DU662" s="35"/>
      <c r="DV662" s="35"/>
      <c r="DW662" s="35"/>
      <c r="DX662" s="35"/>
      <c r="DY662" s="35"/>
      <c r="DZ662" s="35"/>
      <c r="EA662" s="35"/>
      <c r="EB662" s="35"/>
      <c r="EC662" s="35"/>
      <c r="ED662" s="35"/>
      <c r="EE662" s="35"/>
      <c r="EF662" s="35"/>
      <c r="EG662" s="35"/>
      <c r="EH662" s="35"/>
      <c r="EI662" s="35"/>
      <c r="EJ662" s="35"/>
      <c r="EK662" s="35"/>
      <c r="EL662" s="35"/>
      <c r="EM662" s="35"/>
      <c r="EN662" s="35"/>
      <c r="EO662" s="35"/>
      <c r="EP662" s="35"/>
      <c r="EQ662" s="35"/>
      <c r="ER662" s="35"/>
      <c r="ES662" s="35"/>
      <c r="ET662" s="35"/>
      <c r="EU662" s="35"/>
      <c r="EV662" s="35"/>
      <c r="EW662" s="35"/>
      <c r="EX662" s="35"/>
      <c r="EY662" s="35"/>
      <c r="EZ662" s="35"/>
      <c r="FA662" s="35"/>
      <c r="FB662" s="35"/>
      <c r="FC662" s="35"/>
      <c r="FD662" s="35"/>
      <c r="FE662" s="35"/>
      <c r="FF662" s="35"/>
      <c r="FG662" s="35"/>
      <c r="FH662" s="35"/>
      <c r="FI662" s="35"/>
      <c r="FJ662" s="35"/>
      <c r="FK662" s="35"/>
      <c r="FL662" s="35"/>
      <c r="FM662" s="35"/>
      <c r="FN662" s="35"/>
      <c r="FO662" s="35"/>
      <c r="FP662" s="35"/>
      <c r="FQ662" s="35"/>
      <c r="FR662" s="35"/>
      <c r="FS662" s="35"/>
      <c r="FT662" s="35"/>
      <c r="FU662" s="35"/>
      <c r="FV662" s="35"/>
      <c r="FW662" s="35"/>
      <c r="FX662" s="35"/>
      <c r="FY662" s="35"/>
      <c r="FZ662" s="35"/>
      <c r="GA662" s="35"/>
      <c r="GB662" s="35"/>
      <c r="GC662" s="35"/>
      <c r="GD662" s="35"/>
      <c r="GE662" s="35"/>
      <c r="GF662" s="35"/>
      <c r="GG662" s="35"/>
      <c r="GH662" s="35"/>
      <c r="GI662" s="35"/>
      <c r="GJ662" s="35"/>
      <c r="GK662" s="35"/>
      <c r="GL662" s="35"/>
      <c r="GM662" s="35"/>
      <c r="GN662" s="35"/>
      <c r="GO662" s="35"/>
      <c r="GP662" s="35"/>
      <c r="GQ662" s="35"/>
      <c r="GR662" s="35"/>
      <c r="GS662" s="35"/>
      <c r="GT662" s="35"/>
      <c r="GU662" s="35"/>
      <c r="GV662" s="35"/>
      <c r="GW662" s="35"/>
      <c r="GX662" s="35"/>
      <c r="GY662" s="35"/>
      <c r="GZ662" s="35"/>
      <c r="HA662" s="35"/>
      <c r="HB662" s="35"/>
      <c r="HC662" s="35"/>
      <c r="HD662" s="35"/>
      <c r="HE662" s="35"/>
      <c r="HF662" s="35"/>
      <c r="HG662" s="35"/>
      <c r="HH662" s="35"/>
      <c r="HI662" s="35"/>
      <c r="HJ662" s="35"/>
      <c r="HK662" s="35"/>
      <c r="HL662" s="35"/>
      <c r="HM662" s="35"/>
      <c r="HN662" s="35"/>
      <c r="HO662" s="35"/>
      <c r="HP662" s="35"/>
      <c r="HQ662" s="35"/>
      <c r="HR662" s="35"/>
      <c r="HS662" s="35"/>
      <c r="HT662" s="35"/>
      <c r="HU662" s="35"/>
      <c r="HV662" s="35"/>
      <c r="HW662" s="35"/>
      <c r="HX662" s="35"/>
      <c r="HY662" s="35"/>
      <c r="HZ662" s="35"/>
      <c r="IA662" s="35"/>
      <c r="IB662" s="35"/>
      <c r="IC662" s="35"/>
      <c r="ID662" s="35"/>
      <c r="IE662" s="35"/>
      <c r="IF662" s="35"/>
      <c r="IG662" s="35"/>
      <c r="IH662" s="35"/>
      <c r="II662" s="35"/>
      <c r="IJ662" s="35"/>
      <c r="IK662" s="35"/>
      <c r="IL662" s="35"/>
      <c r="IM662" s="35"/>
      <c r="IN662" s="35"/>
      <c r="IO662" s="35"/>
      <c r="IP662" s="35"/>
      <c r="IQ662" s="35"/>
      <c r="IR662" s="35"/>
      <c r="IS662" s="35"/>
      <c r="IT662" s="35"/>
      <c r="IU662" s="35"/>
      <c r="IV662" s="35"/>
      <c r="IW662" s="35"/>
      <c r="IX662" s="35"/>
      <c r="IY662" s="35"/>
      <c r="IZ662" s="35"/>
      <c r="JA662" s="35"/>
      <c r="JB662" s="35"/>
      <c r="JC662" s="35"/>
      <c r="JD662" s="35"/>
      <c r="JE662" s="35"/>
    </row>
    <row r="663">
      <c r="A663" s="42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  <c r="AZ663" s="35"/>
      <c r="BA663" s="35"/>
      <c r="BB663" s="35"/>
      <c r="BC663" s="35"/>
      <c r="BD663" s="35"/>
      <c r="BE663" s="35"/>
      <c r="BF663" s="35"/>
      <c r="BG663" s="35"/>
      <c r="BH663" s="35"/>
      <c r="BI663" s="35"/>
      <c r="BJ663" s="35"/>
      <c r="BK663" s="35"/>
      <c r="BL663" s="35"/>
      <c r="BM663" s="35"/>
      <c r="BN663" s="35"/>
      <c r="BO663" s="35"/>
      <c r="BP663" s="35"/>
      <c r="BQ663" s="35"/>
      <c r="BR663" s="35"/>
      <c r="BS663" s="35"/>
      <c r="BT663" s="35"/>
      <c r="BU663" s="35"/>
      <c r="BV663" s="35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35"/>
      <c r="CO663" s="35"/>
      <c r="CP663" s="35"/>
      <c r="CQ663" s="35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35"/>
      <c r="DJ663" s="35"/>
      <c r="DK663" s="35"/>
      <c r="DL663" s="35"/>
      <c r="DM663" s="35"/>
      <c r="DN663" s="35"/>
      <c r="DO663" s="35"/>
      <c r="DP663" s="35"/>
      <c r="DQ663" s="35"/>
      <c r="DR663" s="35"/>
      <c r="DS663" s="35"/>
      <c r="DT663" s="35"/>
      <c r="DU663" s="35"/>
      <c r="DV663" s="35"/>
      <c r="DW663" s="35"/>
      <c r="DX663" s="35"/>
      <c r="DY663" s="35"/>
      <c r="DZ663" s="35"/>
      <c r="EA663" s="35"/>
      <c r="EB663" s="35"/>
      <c r="EC663" s="35"/>
      <c r="ED663" s="35"/>
      <c r="EE663" s="35"/>
      <c r="EF663" s="35"/>
      <c r="EG663" s="35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35"/>
      <c r="EZ663" s="35"/>
      <c r="FA663" s="35"/>
      <c r="FB663" s="35"/>
      <c r="FC663" s="35"/>
      <c r="FD663" s="35"/>
      <c r="FE663" s="35"/>
      <c r="FF663" s="35"/>
      <c r="FG663" s="35"/>
      <c r="FH663" s="35"/>
      <c r="FI663" s="35"/>
      <c r="FJ663" s="35"/>
      <c r="FK663" s="35"/>
      <c r="FL663" s="35"/>
      <c r="FM663" s="35"/>
      <c r="FN663" s="35"/>
      <c r="FO663" s="35"/>
      <c r="FP663" s="35"/>
      <c r="FQ663" s="35"/>
      <c r="FR663" s="35"/>
      <c r="FS663" s="35"/>
      <c r="FT663" s="35"/>
      <c r="FU663" s="35"/>
      <c r="FV663" s="35"/>
      <c r="FW663" s="35"/>
      <c r="FX663" s="35"/>
      <c r="FY663" s="35"/>
      <c r="FZ663" s="35"/>
      <c r="GA663" s="35"/>
      <c r="GB663" s="35"/>
      <c r="GC663" s="35"/>
      <c r="GD663" s="35"/>
      <c r="GE663" s="35"/>
      <c r="GF663" s="35"/>
      <c r="GG663" s="35"/>
      <c r="GH663" s="35"/>
      <c r="GI663" s="35"/>
      <c r="GJ663" s="35"/>
      <c r="GK663" s="35"/>
      <c r="GL663" s="35"/>
      <c r="GM663" s="35"/>
      <c r="GN663" s="35"/>
      <c r="GO663" s="35"/>
      <c r="GP663" s="35"/>
      <c r="GQ663" s="35"/>
      <c r="GR663" s="35"/>
      <c r="GS663" s="35"/>
      <c r="GT663" s="35"/>
      <c r="GU663" s="35"/>
      <c r="GV663" s="35"/>
      <c r="GW663" s="35"/>
      <c r="GX663" s="35"/>
      <c r="GY663" s="35"/>
      <c r="GZ663" s="35"/>
      <c r="HA663" s="35"/>
      <c r="HB663" s="35"/>
      <c r="HC663" s="35"/>
      <c r="HD663" s="35"/>
      <c r="HE663" s="35"/>
      <c r="HF663" s="35"/>
      <c r="HG663" s="35"/>
      <c r="HH663" s="35"/>
      <c r="HI663" s="35"/>
      <c r="HJ663" s="35"/>
      <c r="HK663" s="35"/>
      <c r="HL663" s="35"/>
      <c r="HM663" s="35"/>
      <c r="HN663" s="35"/>
      <c r="HO663" s="35"/>
      <c r="HP663" s="35"/>
      <c r="HQ663" s="35"/>
      <c r="HR663" s="35"/>
      <c r="HS663" s="35"/>
      <c r="HT663" s="35"/>
      <c r="HU663" s="35"/>
      <c r="HV663" s="35"/>
      <c r="HW663" s="35"/>
      <c r="HX663" s="35"/>
      <c r="HY663" s="35"/>
      <c r="HZ663" s="35"/>
      <c r="IA663" s="35"/>
      <c r="IB663" s="35"/>
      <c r="IC663" s="35"/>
      <c r="ID663" s="35"/>
      <c r="IE663" s="35"/>
      <c r="IF663" s="35"/>
      <c r="IG663" s="35"/>
      <c r="IH663" s="35"/>
      <c r="II663" s="35"/>
      <c r="IJ663" s="35"/>
      <c r="IK663" s="35"/>
      <c r="IL663" s="35"/>
      <c r="IM663" s="35"/>
      <c r="IN663" s="35"/>
      <c r="IO663" s="35"/>
      <c r="IP663" s="35"/>
      <c r="IQ663" s="35"/>
      <c r="IR663" s="35"/>
      <c r="IS663" s="35"/>
      <c r="IT663" s="35"/>
      <c r="IU663" s="35"/>
      <c r="IV663" s="35"/>
      <c r="IW663" s="35"/>
      <c r="IX663" s="35"/>
      <c r="IY663" s="35"/>
      <c r="IZ663" s="35"/>
      <c r="JA663" s="35"/>
      <c r="JB663" s="35"/>
      <c r="JC663" s="35"/>
      <c r="JD663" s="35"/>
      <c r="JE663" s="35"/>
    </row>
    <row r="664">
      <c r="A664" s="42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  <c r="AZ664" s="35"/>
      <c r="BA664" s="35"/>
      <c r="BB664" s="35"/>
      <c r="BC664" s="35"/>
      <c r="BD664" s="35"/>
      <c r="BE664" s="35"/>
      <c r="BF664" s="35"/>
      <c r="BG664" s="35"/>
      <c r="BH664" s="35"/>
      <c r="BI664" s="35"/>
      <c r="BJ664" s="35"/>
      <c r="BK664" s="35"/>
      <c r="BL664" s="35"/>
      <c r="BM664" s="35"/>
      <c r="BN664" s="35"/>
      <c r="BO664" s="35"/>
      <c r="BP664" s="35"/>
      <c r="BQ664" s="35"/>
      <c r="BR664" s="35"/>
      <c r="BS664" s="35"/>
      <c r="BT664" s="35"/>
      <c r="BU664" s="35"/>
      <c r="BV664" s="35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35"/>
      <c r="CO664" s="35"/>
      <c r="CP664" s="35"/>
      <c r="CQ664" s="35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35"/>
      <c r="DJ664" s="35"/>
      <c r="DK664" s="35"/>
      <c r="DL664" s="35"/>
      <c r="DM664" s="35"/>
      <c r="DN664" s="35"/>
      <c r="DO664" s="35"/>
      <c r="DP664" s="35"/>
      <c r="DQ664" s="35"/>
      <c r="DR664" s="35"/>
      <c r="DS664" s="35"/>
      <c r="DT664" s="35"/>
      <c r="DU664" s="35"/>
      <c r="DV664" s="35"/>
      <c r="DW664" s="35"/>
      <c r="DX664" s="35"/>
      <c r="DY664" s="35"/>
      <c r="DZ664" s="35"/>
      <c r="EA664" s="35"/>
      <c r="EB664" s="35"/>
      <c r="EC664" s="35"/>
      <c r="ED664" s="35"/>
      <c r="EE664" s="35"/>
      <c r="EF664" s="35"/>
      <c r="EG664" s="35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35"/>
      <c r="EZ664" s="35"/>
      <c r="FA664" s="35"/>
      <c r="FB664" s="35"/>
      <c r="FC664" s="35"/>
      <c r="FD664" s="35"/>
      <c r="FE664" s="35"/>
      <c r="FF664" s="35"/>
      <c r="FG664" s="35"/>
      <c r="FH664" s="35"/>
      <c r="FI664" s="35"/>
      <c r="FJ664" s="35"/>
      <c r="FK664" s="35"/>
      <c r="FL664" s="35"/>
      <c r="FM664" s="35"/>
      <c r="FN664" s="35"/>
      <c r="FO664" s="35"/>
      <c r="FP664" s="35"/>
      <c r="FQ664" s="35"/>
      <c r="FR664" s="35"/>
      <c r="FS664" s="35"/>
      <c r="FT664" s="35"/>
      <c r="FU664" s="35"/>
      <c r="FV664" s="35"/>
      <c r="FW664" s="35"/>
      <c r="FX664" s="35"/>
      <c r="FY664" s="35"/>
      <c r="FZ664" s="35"/>
      <c r="GA664" s="35"/>
      <c r="GB664" s="35"/>
      <c r="GC664" s="35"/>
      <c r="GD664" s="35"/>
      <c r="GE664" s="35"/>
      <c r="GF664" s="35"/>
      <c r="GG664" s="35"/>
      <c r="GH664" s="35"/>
      <c r="GI664" s="35"/>
      <c r="GJ664" s="35"/>
      <c r="GK664" s="35"/>
      <c r="GL664" s="35"/>
      <c r="GM664" s="35"/>
      <c r="GN664" s="35"/>
      <c r="GO664" s="35"/>
      <c r="GP664" s="35"/>
      <c r="GQ664" s="35"/>
      <c r="GR664" s="35"/>
      <c r="GS664" s="35"/>
      <c r="GT664" s="35"/>
      <c r="GU664" s="35"/>
      <c r="GV664" s="35"/>
      <c r="GW664" s="35"/>
      <c r="GX664" s="35"/>
      <c r="GY664" s="35"/>
      <c r="GZ664" s="35"/>
      <c r="HA664" s="35"/>
      <c r="HB664" s="35"/>
      <c r="HC664" s="35"/>
      <c r="HD664" s="35"/>
      <c r="HE664" s="35"/>
      <c r="HF664" s="35"/>
      <c r="HG664" s="35"/>
      <c r="HH664" s="35"/>
      <c r="HI664" s="35"/>
      <c r="HJ664" s="35"/>
      <c r="HK664" s="35"/>
      <c r="HL664" s="35"/>
      <c r="HM664" s="35"/>
      <c r="HN664" s="35"/>
      <c r="HO664" s="35"/>
      <c r="HP664" s="35"/>
      <c r="HQ664" s="35"/>
      <c r="HR664" s="35"/>
      <c r="HS664" s="35"/>
      <c r="HT664" s="35"/>
      <c r="HU664" s="35"/>
      <c r="HV664" s="35"/>
      <c r="HW664" s="35"/>
      <c r="HX664" s="35"/>
      <c r="HY664" s="35"/>
      <c r="HZ664" s="35"/>
      <c r="IA664" s="35"/>
      <c r="IB664" s="35"/>
      <c r="IC664" s="35"/>
      <c r="ID664" s="35"/>
      <c r="IE664" s="35"/>
      <c r="IF664" s="35"/>
      <c r="IG664" s="35"/>
      <c r="IH664" s="35"/>
      <c r="II664" s="35"/>
      <c r="IJ664" s="35"/>
      <c r="IK664" s="35"/>
      <c r="IL664" s="35"/>
      <c r="IM664" s="35"/>
      <c r="IN664" s="35"/>
      <c r="IO664" s="35"/>
      <c r="IP664" s="35"/>
      <c r="IQ664" s="35"/>
      <c r="IR664" s="35"/>
      <c r="IS664" s="35"/>
      <c r="IT664" s="35"/>
      <c r="IU664" s="35"/>
      <c r="IV664" s="35"/>
      <c r="IW664" s="35"/>
      <c r="IX664" s="35"/>
      <c r="IY664" s="35"/>
      <c r="IZ664" s="35"/>
      <c r="JA664" s="35"/>
      <c r="JB664" s="35"/>
      <c r="JC664" s="35"/>
      <c r="JD664" s="35"/>
      <c r="JE664" s="35"/>
    </row>
    <row r="665">
      <c r="A665" s="42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  <c r="AZ665" s="35"/>
      <c r="BA665" s="35"/>
      <c r="BB665" s="35"/>
      <c r="BC665" s="35"/>
      <c r="BD665" s="35"/>
      <c r="BE665" s="35"/>
      <c r="BF665" s="35"/>
      <c r="BG665" s="35"/>
      <c r="BH665" s="35"/>
      <c r="BI665" s="35"/>
      <c r="BJ665" s="35"/>
      <c r="BK665" s="35"/>
      <c r="BL665" s="35"/>
      <c r="BM665" s="35"/>
      <c r="BN665" s="35"/>
      <c r="BO665" s="35"/>
      <c r="BP665" s="35"/>
      <c r="BQ665" s="35"/>
      <c r="BR665" s="35"/>
      <c r="BS665" s="35"/>
      <c r="BT665" s="35"/>
      <c r="BU665" s="35"/>
      <c r="BV665" s="35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35"/>
      <c r="CO665" s="35"/>
      <c r="CP665" s="35"/>
      <c r="CQ665" s="35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35"/>
      <c r="DJ665" s="35"/>
      <c r="DK665" s="35"/>
      <c r="DL665" s="35"/>
      <c r="DM665" s="35"/>
      <c r="DN665" s="35"/>
      <c r="DO665" s="35"/>
      <c r="DP665" s="35"/>
      <c r="DQ665" s="35"/>
      <c r="DR665" s="35"/>
      <c r="DS665" s="35"/>
      <c r="DT665" s="35"/>
      <c r="DU665" s="35"/>
      <c r="DV665" s="35"/>
      <c r="DW665" s="35"/>
      <c r="DX665" s="35"/>
      <c r="DY665" s="35"/>
      <c r="DZ665" s="35"/>
      <c r="EA665" s="35"/>
      <c r="EB665" s="35"/>
      <c r="EC665" s="35"/>
      <c r="ED665" s="35"/>
      <c r="EE665" s="35"/>
      <c r="EF665" s="35"/>
      <c r="EG665" s="35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35"/>
      <c r="EZ665" s="35"/>
      <c r="FA665" s="35"/>
      <c r="FB665" s="35"/>
      <c r="FC665" s="35"/>
      <c r="FD665" s="35"/>
      <c r="FE665" s="35"/>
      <c r="FF665" s="35"/>
      <c r="FG665" s="35"/>
      <c r="FH665" s="35"/>
      <c r="FI665" s="35"/>
      <c r="FJ665" s="35"/>
      <c r="FK665" s="35"/>
      <c r="FL665" s="35"/>
      <c r="FM665" s="35"/>
      <c r="FN665" s="35"/>
      <c r="FO665" s="35"/>
      <c r="FP665" s="35"/>
      <c r="FQ665" s="35"/>
      <c r="FR665" s="35"/>
      <c r="FS665" s="35"/>
      <c r="FT665" s="35"/>
      <c r="FU665" s="35"/>
      <c r="FV665" s="35"/>
      <c r="FW665" s="35"/>
      <c r="FX665" s="35"/>
      <c r="FY665" s="35"/>
      <c r="FZ665" s="35"/>
      <c r="GA665" s="35"/>
      <c r="GB665" s="35"/>
      <c r="GC665" s="35"/>
      <c r="GD665" s="35"/>
      <c r="GE665" s="35"/>
      <c r="GF665" s="35"/>
      <c r="GG665" s="35"/>
      <c r="GH665" s="35"/>
      <c r="GI665" s="35"/>
      <c r="GJ665" s="35"/>
      <c r="GK665" s="35"/>
      <c r="GL665" s="35"/>
      <c r="GM665" s="35"/>
      <c r="GN665" s="35"/>
      <c r="GO665" s="35"/>
      <c r="GP665" s="35"/>
      <c r="GQ665" s="35"/>
      <c r="GR665" s="35"/>
      <c r="GS665" s="35"/>
      <c r="GT665" s="35"/>
      <c r="GU665" s="35"/>
      <c r="GV665" s="35"/>
      <c r="GW665" s="35"/>
      <c r="GX665" s="35"/>
      <c r="GY665" s="35"/>
      <c r="GZ665" s="35"/>
      <c r="HA665" s="35"/>
      <c r="HB665" s="35"/>
      <c r="HC665" s="35"/>
      <c r="HD665" s="35"/>
      <c r="HE665" s="35"/>
      <c r="HF665" s="35"/>
      <c r="HG665" s="35"/>
      <c r="HH665" s="35"/>
      <c r="HI665" s="35"/>
      <c r="HJ665" s="35"/>
      <c r="HK665" s="35"/>
      <c r="HL665" s="35"/>
      <c r="HM665" s="35"/>
      <c r="HN665" s="35"/>
      <c r="HO665" s="35"/>
      <c r="HP665" s="35"/>
      <c r="HQ665" s="35"/>
      <c r="HR665" s="35"/>
      <c r="HS665" s="35"/>
      <c r="HT665" s="35"/>
      <c r="HU665" s="35"/>
      <c r="HV665" s="35"/>
      <c r="HW665" s="35"/>
      <c r="HX665" s="35"/>
      <c r="HY665" s="35"/>
      <c r="HZ665" s="35"/>
      <c r="IA665" s="35"/>
      <c r="IB665" s="35"/>
      <c r="IC665" s="35"/>
      <c r="ID665" s="35"/>
      <c r="IE665" s="35"/>
      <c r="IF665" s="35"/>
      <c r="IG665" s="35"/>
      <c r="IH665" s="35"/>
      <c r="II665" s="35"/>
      <c r="IJ665" s="35"/>
      <c r="IK665" s="35"/>
      <c r="IL665" s="35"/>
      <c r="IM665" s="35"/>
      <c r="IN665" s="35"/>
      <c r="IO665" s="35"/>
      <c r="IP665" s="35"/>
      <c r="IQ665" s="35"/>
      <c r="IR665" s="35"/>
      <c r="IS665" s="35"/>
      <c r="IT665" s="35"/>
      <c r="IU665" s="35"/>
      <c r="IV665" s="35"/>
      <c r="IW665" s="35"/>
      <c r="IX665" s="35"/>
      <c r="IY665" s="35"/>
      <c r="IZ665" s="35"/>
      <c r="JA665" s="35"/>
      <c r="JB665" s="35"/>
      <c r="JC665" s="35"/>
      <c r="JD665" s="35"/>
      <c r="JE665" s="35"/>
    </row>
    <row r="666">
      <c r="A666" s="42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  <c r="AZ666" s="35"/>
      <c r="BA666" s="35"/>
      <c r="BB666" s="35"/>
      <c r="BC666" s="35"/>
      <c r="BD666" s="35"/>
      <c r="BE666" s="35"/>
      <c r="BF666" s="35"/>
      <c r="BG666" s="35"/>
      <c r="BH666" s="35"/>
      <c r="BI666" s="35"/>
      <c r="BJ666" s="35"/>
      <c r="BK666" s="35"/>
      <c r="BL666" s="35"/>
      <c r="BM666" s="35"/>
      <c r="BN666" s="35"/>
      <c r="BO666" s="35"/>
      <c r="BP666" s="35"/>
      <c r="BQ666" s="35"/>
      <c r="BR666" s="35"/>
      <c r="BS666" s="35"/>
      <c r="BT666" s="35"/>
      <c r="BU666" s="35"/>
      <c r="BV666" s="35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35"/>
      <c r="CO666" s="35"/>
      <c r="CP666" s="35"/>
      <c r="CQ666" s="35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35"/>
      <c r="DJ666" s="35"/>
      <c r="DK666" s="35"/>
      <c r="DL666" s="35"/>
      <c r="DM666" s="35"/>
      <c r="DN666" s="35"/>
      <c r="DO666" s="35"/>
      <c r="DP666" s="35"/>
      <c r="DQ666" s="35"/>
      <c r="DR666" s="35"/>
      <c r="DS666" s="35"/>
      <c r="DT666" s="35"/>
      <c r="DU666" s="35"/>
      <c r="DV666" s="35"/>
      <c r="DW666" s="35"/>
      <c r="DX666" s="35"/>
      <c r="DY666" s="35"/>
      <c r="DZ666" s="35"/>
      <c r="EA666" s="35"/>
      <c r="EB666" s="35"/>
      <c r="EC666" s="35"/>
      <c r="ED666" s="35"/>
      <c r="EE666" s="35"/>
      <c r="EF666" s="35"/>
      <c r="EG666" s="35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35"/>
      <c r="EZ666" s="35"/>
      <c r="FA666" s="35"/>
      <c r="FB666" s="35"/>
      <c r="FC666" s="35"/>
      <c r="FD666" s="35"/>
      <c r="FE666" s="35"/>
      <c r="FF666" s="35"/>
      <c r="FG666" s="35"/>
      <c r="FH666" s="35"/>
      <c r="FI666" s="35"/>
      <c r="FJ666" s="35"/>
      <c r="FK666" s="35"/>
      <c r="FL666" s="35"/>
      <c r="FM666" s="35"/>
      <c r="FN666" s="35"/>
      <c r="FO666" s="35"/>
      <c r="FP666" s="35"/>
      <c r="FQ666" s="35"/>
      <c r="FR666" s="35"/>
      <c r="FS666" s="35"/>
      <c r="FT666" s="35"/>
      <c r="FU666" s="35"/>
      <c r="FV666" s="35"/>
      <c r="FW666" s="35"/>
      <c r="FX666" s="35"/>
      <c r="FY666" s="35"/>
      <c r="FZ666" s="35"/>
      <c r="GA666" s="35"/>
      <c r="GB666" s="35"/>
      <c r="GC666" s="35"/>
      <c r="GD666" s="35"/>
      <c r="GE666" s="35"/>
      <c r="GF666" s="35"/>
      <c r="GG666" s="35"/>
      <c r="GH666" s="35"/>
      <c r="GI666" s="35"/>
      <c r="GJ666" s="35"/>
      <c r="GK666" s="35"/>
      <c r="GL666" s="35"/>
      <c r="GM666" s="35"/>
      <c r="GN666" s="35"/>
      <c r="GO666" s="35"/>
      <c r="GP666" s="35"/>
      <c r="GQ666" s="35"/>
      <c r="GR666" s="35"/>
      <c r="GS666" s="35"/>
      <c r="GT666" s="35"/>
      <c r="GU666" s="35"/>
      <c r="GV666" s="35"/>
      <c r="GW666" s="35"/>
      <c r="GX666" s="35"/>
      <c r="GY666" s="35"/>
      <c r="GZ666" s="35"/>
      <c r="HA666" s="35"/>
      <c r="HB666" s="35"/>
      <c r="HC666" s="35"/>
      <c r="HD666" s="35"/>
      <c r="HE666" s="35"/>
      <c r="HF666" s="35"/>
      <c r="HG666" s="35"/>
      <c r="HH666" s="35"/>
      <c r="HI666" s="35"/>
      <c r="HJ666" s="35"/>
      <c r="HK666" s="35"/>
      <c r="HL666" s="35"/>
      <c r="HM666" s="35"/>
      <c r="HN666" s="35"/>
      <c r="HO666" s="35"/>
      <c r="HP666" s="35"/>
      <c r="HQ666" s="35"/>
      <c r="HR666" s="35"/>
      <c r="HS666" s="35"/>
      <c r="HT666" s="35"/>
      <c r="HU666" s="35"/>
      <c r="HV666" s="35"/>
      <c r="HW666" s="35"/>
      <c r="HX666" s="35"/>
      <c r="HY666" s="35"/>
      <c r="HZ666" s="35"/>
      <c r="IA666" s="35"/>
      <c r="IB666" s="35"/>
      <c r="IC666" s="35"/>
      <c r="ID666" s="35"/>
      <c r="IE666" s="35"/>
      <c r="IF666" s="35"/>
      <c r="IG666" s="35"/>
      <c r="IH666" s="35"/>
      <c r="II666" s="35"/>
      <c r="IJ666" s="35"/>
      <c r="IK666" s="35"/>
      <c r="IL666" s="35"/>
      <c r="IM666" s="35"/>
      <c r="IN666" s="35"/>
      <c r="IO666" s="35"/>
      <c r="IP666" s="35"/>
      <c r="IQ666" s="35"/>
      <c r="IR666" s="35"/>
      <c r="IS666" s="35"/>
      <c r="IT666" s="35"/>
      <c r="IU666" s="35"/>
      <c r="IV666" s="35"/>
      <c r="IW666" s="35"/>
      <c r="IX666" s="35"/>
      <c r="IY666" s="35"/>
      <c r="IZ666" s="35"/>
      <c r="JA666" s="35"/>
      <c r="JB666" s="35"/>
      <c r="JC666" s="35"/>
      <c r="JD666" s="35"/>
      <c r="JE666" s="35"/>
    </row>
    <row r="667">
      <c r="A667" s="42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  <c r="AZ667" s="35"/>
      <c r="BA667" s="35"/>
      <c r="BB667" s="35"/>
      <c r="BC667" s="35"/>
      <c r="BD667" s="35"/>
      <c r="BE667" s="35"/>
      <c r="BF667" s="35"/>
      <c r="BG667" s="35"/>
      <c r="BH667" s="35"/>
      <c r="BI667" s="35"/>
      <c r="BJ667" s="35"/>
      <c r="BK667" s="35"/>
      <c r="BL667" s="35"/>
      <c r="BM667" s="35"/>
      <c r="BN667" s="35"/>
      <c r="BO667" s="35"/>
      <c r="BP667" s="35"/>
      <c r="BQ667" s="35"/>
      <c r="BR667" s="35"/>
      <c r="BS667" s="35"/>
      <c r="BT667" s="35"/>
      <c r="BU667" s="35"/>
      <c r="BV667" s="35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35"/>
      <c r="CO667" s="35"/>
      <c r="CP667" s="35"/>
      <c r="CQ667" s="35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35"/>
      <c r="DJ667" s="35"/>
      <c r="DK667" s="35"/>
      <c r="DL667" s="35"/>
      <c r="DM667" s="35"/>
      <c r="DN667" s="35"/>
      <c r="DO667" s="35"/>
      <c r="DP667" s="35"/>
      <c r="DQ667" s="35"/>
      <c r="DR667" s="35"/>
      <c r="DS667" s="35"/>
      <c r="DT667" s="35"/>
      <c r="DU667" s="35"/>
      <c r="DV667" s="35"/>
      <c r="DW667" s="35"/>
      <c r="DX667" s="35"/>
      <c r="DY667" s="35"/>
      <c r="DZ667" s="35"/>
      <c r="EA667" s="35"/>
      <c r="EB667" s="35"/>
      <c r="EC667" s="35"/>
      <c r="ED667" s="35"/>
      <c r="EE667" s="35"/>
      <c r="EF667" s="35"/>
      <c r="EG667" s="35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35"/>
      <c r="EZ667" s="35"/>
      <c r="FA667" s="35"/>
      <c r="FB667" s="35"/>
      <c r="FC667" s="35"/>
      <c r="FD667" s="35"/>
      <c r="FE667" s="35"/>
      <c r="FF667" s="35"/>
      <c r="FG667" s="35"/>
      <c r="FH667" s="35"/>
      <c r="FI667" s="35"/>
      <c r="FJ667" s="35"/>
      <c r="FK667" s="35"/>
      <c r="FL667" s="35"/>
      <c r="FM667" s="35"/>
      <c r="FN667" s="35"/>
      <c r="FO667" s="35"/>
      <c r="FP667" s="35"/>
      <c r="FQ667" s="35"/>
      <c r="FR667" s="35"/>
      <c r="FS667" s="35"/>
      <c r="FT667" s="35"/>
      <c r="FU667" s="35"/>
      <c r="FV667" s="35"/>
      <c r="FW667" s="35"/>
      <c r="FX667" s="35"/>
      <c r="FY667" s="35"/>
      <c r="FZ667" s="35"/>
      <c r="GA667" s="35"/>
      <c r="GB667" s="35"/>
      <c r="GC667" s="35"/>
      <c r="GD667" s="35"/>
      <c r="GE667" s="35"/>
      <c r="GF667" s="35"/>
      <c r="GG667" s="35"/>
      <c r="GH667" s="35"/>
      <c r="GI667" s="35"/>
      <c r="GJ667" s="35"/>
      <c r="GK667" s="35"/>
      <c r="GL667" s="35"/>
      <c r="GM667" s="35"/>
      <c r="GN667" s="35"/>
      <c r="GO667" s="35"/>
      <c r="GP667" s="35"/>
      <c r="GQ667" s="35"/>
      <c r="GR667" s="35"/>
      <c r="GS667" s="35"/>
      <c r="GT667" s="35"/>
      <c r="GU667" s="35"/>
      <c r="GV667" s="35"/>
      <c r="GW667" s="35"/>
      <c r="GX667" s="35"/>
      <c r="GY667" s="35"/>
      <c r="GZ667" s="35"/>
      <c r="HA667" s="35"/>
      <c r="HB667" s="35"/>
      <c r="HC667" s="35"/>
      <c r="HD667" s="35"/>
      <c r="HE667" s="35"/>
      <c r="HF667" s="35"/>
      <c r="HG667" s="35"/>
      <c r="HH667" s="35"/>
      <c r="HI667" s="35"/>
      <c r="HJ667" s="35"/>
      <c r="HK667" s="35"/>
      <c r="HL667" s="35"/>
      <c r="HM667" s="35"/>
      <c r="HN667" s="35"/>
      <c r="HO667" s="35"/>
      <c r="HP667" s="35"/>
      <c r="HQ667" s="35"/>
      <c r="HR667" s="35"/>
      <c r="HS667" s="35"/>
      <c r="HT667" s="35"/>
      <c r="HU667" s="35"/>
      <c r="HV667" s="35"/>
      <c r="HW667" s="35"/>
      <c r="HX667" s="35"/>
      <c r="HY667" s="35"/>
      <c r="HZ667" s="35"/>
      <c r="IA667" s="35"/>
      <c r="IB667" s="35"/>
      <c r="IC667" s="35"/>
      <c r="ID667" s="35"/>
      <c r="IE667" s="35"/>
      <c r="IF667" s="35"/>
      <c r="IG667" s="35"/>
      <c r="IH667" s="35"/>
      <c r="II667" s="35"/>
      <c r="IJ667" s="35"/>
      <c r="IK667" s="35"/>
      <c r="IL667" s="35"/>
      <c r="IM667" s="35"/>
      <c r="IN667" s="35"/>
      <c r="IO667" s="35"/>
      <c r="IP667" s="35"/>
      <c r="IQ667" s="35"/>
      <c r="IR667" s="35"/>
      <c r="IS667" s="35"/>
      <c r="IT667" s="35"/>
      <c r="IU667" s="35"/>
      <c r="IV667" s="35"/>
      <c r="IW667" s="35"/>
      <c r="IX667" s="35"/>
      <c r="IY667" s="35"/>
      <c r="IZ667" s="35"/>
      <c r="JA667" s="35"/>
      <c r="JB667" s="35"/>
      <c r="JC667" s="35"/>
      <c r="JD667" s="35"/>
      <c r="JE667" s="35"/>
    </row>
    <row r="668">
      <c r="A668" s="42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  <c r="AZ668" s="35"/>
      <c r="BA668" s="35"/>
      <c r="BB668" s="35"/>
      <c r="BC668" s="35"/>
      <c r="BD668" s="35"/>
      <c r="BE668" s="35"/>
      <c r="BF668" s="35"/>
      <c r="BG668" s="35"/>
      <c r="BH668" s="35"/>
      <c r="BI668" s="35"/>
      <c r="BJ668" s="35"/>
      <c r="BK668" s="35"/>
      <c r="BL668" s="35"/>
      <c r="BM668" s="35"/>
      <c r="BN668" s="35"/>
      <c r="BO668" s="35"/>
      <c r="BP668" s="35"/>
      <c r="BQ668" s="35"/>
      <c r="BR668" s="35"/>
      <c r="BS668" s="35"/>
      <c r="BT668" s="35"/>
      <c r="BU668" s="35"/>
      <c r="BV668" s="35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35"/>
      <c r="CO668" s="35"/>
      <c r="CP668" s="35"/>
      <c r="CQ668" s="35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35"/>
      <c r="DJ668" s="35"/>
      <c r="DK668" s="35"/>
      <c r="DL668" s="35"/>
      <c r="DM668" s="35"/>
      <c r="DN668" s="35"/>
      <c r="DO668" s="35"/>
      <c r="DP668" s="35"/>
      <c r="DQ668" s="35"/>
      <c r="DR668" s="35"/>
      <c r="DS668" s="35"/>
      <c r="DT668" s="35"/>
      <c r="DU668" s="35"/>
      <c r="DV668" s="35"/>
      <c r="DW668" s="35"/>
      <c r="DX668" s="35"/>
      <c r="DY668" s="35"/>
      <c r="DZ668" s="35"/>
      <c r="EA668" s="35"/>
      <c r="EB668" s="35"/>
      <c r="EC668" s="35"/>
      <c r="ED668" s="35"/>
      <c r="EE668" s="35"/>
      <c r="EF668" s="35"/>
      <c r="EG668" s="35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35"/>
      <c r="EZ668" s="35"/>
      <c r="FA668" s="35"/>
      <c r="FB668" s="35"/>
      <c r="FC668" s="35"/>
      <c r="FD668" s="35"/>
      <c r="FE668" s="35"/>
      <c r="FF668" s="35"/>
      <c r="FG668" s="35"/>
      <c r="FH668" s="35"/>
      <c r="FI668" s="35"/>
      <c r="FJ668" s="35"/>
      <c r="FK668" s="35"/>
      <c r="FL668" s="35"/>
      <c r="FM668" s="35"/>
      <c r="FN668" s="35"/>
      <c r="FO668" s="35"/>
      <c r="FP668" s="35"/>
      <c r="FQ668" s="35"/>
      <c r="FR668" s="35"/>
      <c r="FS668" s="35"/>
      <c r="FT668" s="35"/>
      <c r="FU668" s="35"/>
      <c r="FV668" s="35"/>
      <c r="FW668" s="35"/>
      <c r="FX668" s="35"/>
      <c r="FY668" s="35"/>
      <c r="FZ668" s="35"/>
      <c r="GA668" s="35"/>
      <c r="GB668" s="35"/>
      <c r="GC668" s="35"/>
      <c r="GD668" s="35"/>
      <c r="GE668" s="35"/>
      <c r="GF668" s="35"/>
      <c r="GG668" s="35"/>
      <c r="GH668" s="35"/>
      <c r="GI668" s="35"/>
      <c r="GJ668" s="35"/>
      <c r="GK668" s="35"/>
      <c r="GL668" s="35"/>
      <c r="GM668" s="35"/>
      <c r="GN668" s="35"/>
      <c r="GO668" s="35"/>
      <c r="GP668" s="35"/>
      <c r="GQ668" s="35"/>
      <c r="GR668" s="35"/>
      <c r="GS668" s="35"/>
      <c r="GT668" s="35"/>
      <c r="GU668" s="35"/>
      <c r="GV668" s="35"/>
      <c r="GW668" s="35"/>
      <c r="GX668" s="35"/>
      <c r="GY668" s="35"/>
      <c r="GZ668" s="35"/>
      <c r="HA668" s="35"/>
      <c r="HB668" s="35"/>
      <c r="HC668" s="35"/>
      <c r="HD668" s="35"/>
      <c r="HE668" s="35"/>
      <c r="HF668" s="35"/>
      <c r="HG668" s="35"/>
      <c r="HH668" s="35"/>
      <c r="HI668" s="35"/>
      <c r="HJ668" s="35"/>
      <c r="HK668" s="35"/>
      <c r="HL668" s="35"/>
      <c r="HM668" s="35"/>
      <c r="HN668" s="35"/>
      <c r="HO668" s="35"/>
      <c r="HP668" s="35"/>
      <c r="HQ668" s="35"/>
      <c r="HR668" s="35"/>
      <c r="HS668" s="35"/>
      <c r="HT668" s="35"/>
      <c r="HU668" s="35"/>
      <c r="HV668" s="35"/>
      <c r="HW668" s="35"/>
      <c r="HX668" s="35"/>
      <c r="HY668" s="35"/>
      <c r="HZ668" s="35"/>
      <c r="IA668" s="35"/>
      <c r="IB668" s="35"/>
      <c r="IC668" s="35"/>
      <c r="ID668" s="35"/>
      <c r="IE668" s="35"/>
      <c r="IF668" s="35"/>
      <c r="IG668" s="35"/>
      <c r="IH668" s="35"/>
      <c r="II668" s="35"/>
      <c r="IJ668" s="35"/>
      <c r="IK668" s="35"/>
      <c r="IL668" s="35"/>
      <c r="IM668" s="35"/>
      <c r="IN668" s="35"/>
      <c r="IO668" s="35"/>
      <c r="IP668" s="35"/>
      <c r="IQ668" s="35"/>
      <c r="IR668" s="35"/>
      <c r="IS668" s="35"/>
      <c r="IT668" s="35"/>
      <c r="IU668" s="35"/>
      <c r="IV668" s="35"/>
      <c r="IW668" s="35"/>
      <c r="IX668" s="35"/>
      <c r="IY668" s="35"/>
      <c r="IZ668" s="35"/>
      <c r="JA668" s="35"/>
      <c r="JB668" s="35"/>
      <c r="JC668" s="35"/>
      <c r="JD668" s="35"/>
      <c r="JE668" s="35"/>
    </row>
    <row r="669">
      <c r="A669" s="42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35"/>
      <c r="BA669" s="35"/>
      <c r="BB669" s="35"/>
      <c r="BC669" s="35"/>
      <c r="BD669" s="35"/>
      <c r="BE669" s="35"/>
      <c r="BF669" s="35"/>
      <c r="BG669" s="35"/>
      <c r="BH669" s="35"/>
      <c r="BI669" s="35"/>
      <c r="BJ669" s="35"/>
      <c r="BK669" s="35"/>
      <c r="BL669" s="35"/>
      <c r="BM669" s="35"/>
      <c r="BN669" s="35"/>
      <c r="BO669" s="35"/>
      <c r="BP669" s="35"/>
      <c r="BQ669" s="35"/>
      <c r="BR669" s="35"/>
      <c r="BS669" s="35"/>
      <c r="BT669" s="35"/>
      <c r="BU669" s="35"/>
      <c r="BV669" s="35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35"/>
      <c r="CO669" s="35"/>
      <c r="CP669" s="35"/>
      <c r="CQ669" s="35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35"/>
      <c r="DJ669" s="35"/>
      <c r="DK669" s="35"/>
      <c r="DL669" s="35"/>
      <c r="DM669" s="35"/>
      <c r="DN669" s="35"/>
      <c r="DO669" s="35"/>
      <c r="DP669" s="35"/>
      <c r="DQ669" s="35"/>
      <c r="DR669" s="35"/>
      <c r="DS669" s="35"/>
      <c r="DT669" s="35"/>
      <c r="DU669" s="35"/>
      <c r="DV669" s="35"/>
      <c r="DW669" s="35"/>
      <c r="DX669" s="35"/>
      <c r="DY669" s="35"/>
      <c r="DZ669" s="35"/>
      <c r="EA669" s="35"/>
      <c r="EB669" s="35"/>
      <c r="EC669" s="35"/>
      <c r="ED669" s="35"/>
      <c r="EE669" s="35"/>
      <c r="EF669" s="35"/>
      <c r="EG669" s="35"/>
      <c r="EH669" s="35"/>
      <c r="EI669" s="35"/>
      <c r="EJ669" s="35"/>
      <c r="EK669" s="35"/>
      <c r="EL669" s="35"/>
      <c r="EM669" s="35"/>
      <c r="EN669" s="35"/>
      <c r="EO669" s="35"/>
      <c r="EP669" s="35"/>
      <c r="EQ669" s="35"/>
      <c r="ER669" s="35"/>
      <c r="ES669" s="35"/>
      <c r="ET669" s="35"/>
      <c r="EU669" s="35"/>
      <c r="EV669" s="35"/>
      <c r="EW669" s="35"/>
      <c r="EX669" s="35"/>
      <c r="EY669" s="35"/>
      <c r="EZ669" s="35"/>
      <c r="FA669" s="35"/>
      <c r="FB669" s="35"/>
      <c r="FC669" s="35"/>
      <c r="FD669" s="35"/>
      <c r="FE669" s="35"/>
      <c r="FF669" s="35"/>
      <c r="FG669" s="35"/>
      <c r="FH669" s="35"/>
      <c r="FI669" s="35"/>
      <c r="FJ669" s="35"/>
      <c r="FK669" s="35"/>
      <c r="FL669" s="35"/>
      <c r="FM669" s="35"/>
      <c r="FN669" s="35"/>
      <c r="FO669" s="35"/>
      <c r="FP669" s="35"/>
      <c r="FQ669" s="35"/>
      <c r="FR669" s="35"/>
      <c r="FS669" s="35"/>
      <c r="FT669" s="35"/>
      <c r="FU669" s="35"/>
      <c r="FV669" s="35"/>
      <c r="FW669" s="35"/>
      <c r="FX669" s="35"/>
      <c r="FY669" s="35"/>
      <c r="FZ669" s="35"/>
      <c r="GA669" s="35"/>
      <c r="GB669" s="35"/>
      <c r="GC669" s="35"/>
      <c r="GD669" s="35"/>
      <c r="GE669" s="35"/>
      <c r="GF669" s="35"/>
      <c r="GG669" s="35"/>
      <c r="GH669" s="35"/>
      <c r="GI669" s="35"/>
      <c r="GJ669" s="35"/>
      <c r="GK669" s="35"/>
      <c r="GL669" s="35"/>
      <c r="GM669" s="35"/>
      <c r="GN669" s="35"/>
      <c r="GO669" s="35"/>
      <c r="GP669" s="35"/>
      <c r="GQ669" s="35"/>
      <c r="GR669" s="35"/>
      <c r="GS669" s="35"/>
      <c r="GT669" s="35"/>
      <c r="GU669" s="35"/>
      <c r="GV669" s="35"/>
      <c r="GW669" s="35"/>
      <c r="GX669" s="35"/>
      <c r="GY669" s="35"/>
      <c r="GZ669" s="35"/>
      <c r="HA669" s="35"/>
      <c r="HB669" s="35"/>
      <c r="HC669" s="35"/>
      <c r="HD669" s="35"/>
      <c r="HE669" s="35"/>
      <c r="HF669" s="35"/>
      <c r="HG669" s="35"/>
      <c r="HH669" s="35"/>
      <c r="HI669" s="35"/>
      <c r="HJ669" s="35"/>
      <c r="HK669" s="35"/>
      <c r="HL669" s="35"/>
      <c r="HM669" s="35"/>
      <c r="HN669" s="35"/>
      <c r="HO669" s="35"/>
      <c r="HP669" s="35"/>
      <c r="HQ669" s="35"/>
      <c r="HR669" s="35"/>
      <c r="HS669" s="35"/>
      <c r="HT669" s="35"/>
      <c r="HU669" s="35"/>
      <c r="HV669" s="35"/>
      <c r="HW669" s="35"/>
      <c r="HX669" s="35"/>
      <c r="HY669" s="35"/>
      <c r="HZ669" s="35"/>
      <c r="IA669" s="35"/>
      <c r="IB669" s="35"/>
      <c r="IC669" s="35"/>
      <c r="ID669" s="35"/>
      <c r="IE669" s="35"/>
      <c r="IF669" s="35"/>
      <c r="IG669" s="35"/>
      <c r="IH669" s="35"/>
      <c r="II669" s="35"/>
      <c r="IJ669" s="35"/>
      <c r="IK669" s="35"/>
      <c r="IL669" s="35"/>
      <c r="IM669" s="35"/>
      <c r="IN669" s="35"/>
      <c r="IO669" s="35"/>
      <c r="IP669" s="35"/>
      <c r="IQ669" s="35"/>
      <c r="IR669" s="35"/>
      <c r="IS669" s="35"/>
      <c r="IT669" s="35"/>
      <c r="IU669" s="35"/>
      <c r="IV669" s="35"/>
      <c r="IW669" s="35"/>
      <c r="IX669" s="35"/>
      <c r="IY669" s="35"/>
      <c r="IZ669" s="35"/>
      <c r="JA669" s="35"/>
      <c r="JB669" s="35"/>
      <c r="JC669" s="35"/>
      <c r="JD669" s="35"/>
      <c r="JE669" s="35"/>
    </row>
    <row r="670">
      <c r="A670" s="42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  <c r="AZ670" s="35"/>
      <c r="BA670" s="35"/>
      <c r="BB670" s="35"/>
      <c r="BC670" s="35"/>
      <c r="BD670" s="35"/>
      <c r="BE670" s="35"/>
      <c r="BF670" s="35"/>
      <c r="BG670" s="35"/>
      <c r="BH670" s="35"/>
      <c r="BI670" s="35"/>
      <c r="BJ670" s="35"/>
      <c r="BK670" s="35"/>
      <c r="BL670" s="35"/>
      <c r="BM670" s="35"/>
      <c r="BN670" s="35"/>
      <c r="BO670" s="35"/>
      <c r="BP670" s="35"/>
      <c r="BQ670" s="35"/>
      <c r="BR670" s="35"/>
      <c r="BS670" s="35"/>
      <c r="BT670" s="35"/>
      <c r="BU670" s="35"/>
      <c r="BV670" s="35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35"/>
      <c r="CO670" s="35"/>
      <c r="CP670" s="35"/>
      <c r="CQ670" s="35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35"/>
      <c r="DJ670" s="35"/>
      <c r="DK670" s="35"/>
      <c r="DL670" s="35"/>
      <c r="DM670" s="35"/>
      <c r="DN670" s="35"/>
      <c r="DO670" s="35"/>
      <c r="DP670" s="35"/>
      <c r="DQ670" s="35"/>
      <c r="DR670" s="35"/>
      <c r="DS670" s="35"/>
      <c r="DT670" s="35"/>
      <c r="DU670" s="35"/>
      <c r="DV670" s="35"/>
      <c r="DW670" s="35"/>
      <c r="DX670" s="35"/>
      <c r="DY670" s="35"/>
      <c r="DZ670" s="35"/>
      <c r="EA670" s="35"/>
      <c r="EB670" s="35"/>
      <c r="EC670" s="35"/>
      <c r="ED670" s="35"/>
      <c r="EE670" s="35"/>
      <c r="EF670" s="35"/>
      <c r="EG670" s="35"/>
      <c r="EH670" s="35"/>
      <c r="EI670" s="35"/>
      <c r="EJ670" s="35"/>
      <c r="EK670" s="35"/>
      <c r="EL670" s="35"/>
      <c r="EM670" s="35"/>
      <c r="EN670" s="35"/>
      <c r="EO670" s="35"/>
      <c r="EP670" s="35"/>
      <c r="EQ670" s="35"/>
      <c r="ER670" s="35"/>
      <c r="ES670" s="35"/>
      <c r="ET670" s="35"/>
      <c r="EU670" s="35"/>
      <c r="EV670" s="35"/>
      <c r="EW670" s="35"/>
      <c r="EX670" s="35"/>
      <c r="EY670" s="35"/>
      <c r="EZ670" s="35"/>
      <c r="FA670" s="35"/>
      <c r="FB670" s="35"/>
      <c r="FC670" s="35"/>
      <c r="FD670" s="35"/>
      <c r="FE670" s="35"/>
      <c r="FF670" s="35"/>
      <c r="FG670" s="35"/>
      <c r="FH670" s="35"/>
      <c r="FI670" s="35"/>
      <c r="FJ670" s="35"/>
      <c r="FK670" s="35"/>
      <c r="FL670" s="35"/>
      <c r="FM670" s="35"/>
      <c r="FN670" s="35"/>
      <c r="FO670" s="35"/>
      <c r="FP670" s="35"/>
      <c r="FQ670" s="35"/>
      <c r="FR670" s="35"/>
      <c r="FS670" s="35"/>
      <c r="FT670" s="35"/>
      <c r="FU670" s="35"/>
      <c r="FV670" s="35"/>
      <c r="FW670" s="35"/>
      <c r="FX670" s="35"/>
      <c r="FY670" s="35"/>
      <c r="FZ670" s="35"/>
      <c r="GA670" s="35"/>
      <c r="GB670" s="35"/>
      <c r="GC670" s="35"/>
      <c r="GD670" s="35"/>
      <c r="GE670" s="35"/>
      <c r="GF670" s="35"/>
      <c r="GG670" s="35"/>
      <c r="GH670" s="35"/>
      <c r="GI670" s="35"/>
      <c r="GJ670" s="35"/>
      <c r="GK670" s="35"/>
      <c r="GL670" s="35"/>
      <c r="GM670" s="35"/>
      <c r="GN670" s="35"/>
      <c r="GO670" s="35"/>
      <c r="GP670" s="35"/>
      <c r="GQ670" s="35"/>
      <c r="GR670" s="35"/>
      <c r="GS670" s="35"/>
      <c r="GT670" s="35"/>
      <c r="GU670" s="35"/>
      <c r="GV670" s="35"/>
      <c r="GW670" s="35"/>
      <c r="GX670" s="35"/>
      <c r="GY670" s="35"/>
      <c r="GZ670" s="35"/>
      <c r="HA670" s="35"/>
      <c r="HB670" s="35"/>
      <c r="HC670" s="35"/>
      <c r="HD670" s="35"/>
      <c r="HE670" s="35"/>
      <c r="HF670" s="35"/>
      <c r="HG670" s="35"/>
      <c r="HH670" s="35"/>
      <c r="HI670" s="35"/>
      <c r="HJ670" s="35"/>
      <c r="HK670" s="35"/>
      <c r="HL670" s="35"/>
      <c r="HM670" s="35"/>
      <c r="HN670" s="35"/>
      <c r="HO670" s="35"/>
      <c r="HP670" s="35"/>
      <c r="HQ670" s="35"/>
      <c r="HR670" s="35"/>
      <c r="HS670" s="35"/>
      <c r="HT670" s="35"/>
      <c r="HU670" s="35"/>
      <c r="HV670" s="35"/>
      <c r="HW670" s="35"/>
      <c r="HX670" s="35"/>
      <c r="HY670" s="35"/>
      <c r="HZ670" s="35"/>
      <c r="IA670" s="35"/>
      <c r="IB670" s="35"/>
      <c r="IC670" s="35"/>
      <c r="ID670" s="35"/>
      <c r="IE670" s="35"/>
      <c r="IF670" s="35"/>
      <c r="IG670" s="35"/>
      <c r="IH670" s="35"/>
      <c r="II670" s="35"/>
      <c r="IJ670" s="35"/>
      <c r="IK670" s="35"/>
      <c r="IL670" s="35"/>
      <c r="IM670" s="35"/>
      <c r="IN670" s="35"/>
      <c r="IO670" s="35"/>
      <c r="IP670" s="35"/>
      <c r="IQ670" s="35"/>
      <c r="IR670" s="35"/>
      <c r="IS670" s="35"/>
      <c r="IT670" s="35"/>
      <c r="IU670" s="35"/>
      <c r="IV670" s="35"/>
      <c r="IW670" s="35"/>
      <c r="IX670" s="35"/>
      <c r="IY670" s="35"/>
      <c r="IZ670" s="35"/>
      <c r="JA670" s="35"/>
      <c r="JB670" s="35"/>
      <c r="JC670" s="35"/>
      <c r="JD670" s="35"/>
      <c r="JE670" s="35"/>
    </row>
    <row r="671">
      <c r="A671" s="42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  <c r="AZ671" s="35"/>
      <c r="BA671" s="35"/>
      <c r="BB671" s="35"/>
      <c r="BC671" s="35"/>
      <c r="BD671" s="35"/>
      <c r="BE671" s="35"/>
      <c r="BF671" s="35"/>
      <c r="BG671" s="35"/>
      <c r="BH671" s="35"/>
      <c r="BI671" s="35"/>
      <c r="BJ671" s="35"/>
      <c r="BK671" s="35"/>
      <c r="BL671" s="35"/>
      <c r="BM671" s="35"/>
      <c r="BN671" s="35"/>
      <c r="BO671" s="35"/>
      <c r="BP671" s="35"/>
      <c r="BQ671" s="35"/>
      <c r="BR671" s="35"/>
      <c r="BS671" s="35"/>
      <c r="BT671" s="35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35"/>
      <c r="CO671" s="35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35"/>
      <c r="DJ671" s="35"/>
      <c r="DK671" s="35"/>
      <c r="DL671" s="35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35"/>
      <c r="EE671" s="35"/>
      <c r="EF671" s="35"/>
      <c r="EG671" s="35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  <c r="ER671" s="35"/>
      <c r="ES671" s="35"/>
      <c r="ET671" s="35"/>
      <c r="EU671" s="35"/>
      <c r="EV671" s="35"/>
      <c r="EW671" s="35"/>
      <c r="EX671" s="35"/>
      <c r="EY671" s="35"/>
      <c r="EZ671" s="35"/>
      <c r="FA671" s="35"/>
      <c r="FB671" s="35"/>
      <c r="FC671" s="35"/>
      <c r="FD671" s="35"/>
      <c r="FE671" s="35"/>
      <c r="FF671" s="35"/>
      <c r="FG671" s="35"/>
      <c r="FH671" s="35"/>
      <c r="FI671" s="35"/>
      <c r="FJ671" s="35"/>
      <c r="FK671" s="35"/>
      <c r="FL671" s="35"/>
      <c r="FM671" s="35"/>
      <c r="FN671" s="35"/>
      <c r="FO671" s="35"/>
      <c r="FP671" s="35"/>
      <c r="FQ671" s="35"/>
      <c r="FR671" s="35"/>
      <c r="FS671" s="35"/>
      <c r="FT671" s="35"/>
      <c r="FU671" s="35"/>
      <c r="FV671" s="35"/>
      <c r="FW671" s="35"/>
      <c r="FX671" s="35"/>
      <c r="FY671" s="35"/>
      <c r="FZ671" s="35"/>
      <c r="GA671" s="35"/>
      <c r="GB671" s="35"/>
      <c r="GC671" s="35"/>
      <c r="GD671" s="35"/>
      <c r="GE671" s="35"/>
      <c r="GF671" s="35"/>
      <c r="GG671" s="35"/>
      <c r="GH671" s="35"/>
      <c r="GI671" s="35"/>
      <c r="GJ671" s="35"/>
      <c r="GK671" s="35"/>
      <c r="GL671" s="35"/>
      <c r="GM671" s="35"/>
      <c r="GN671" s="35"/>
      <c r="GO671" s="35"/>
      <c r="GP671" s="35"/>
      <c r="GQ671" s="35"/>
      <c r="GR671" s="35"/>
      <c r="GS671" s="35"/>
      <c r="GT671" s="35"/>
      <c r="GU671" s="35"/>
      <c r="GV671" s="35"/>
      <c r="GW671" s="35"/>
      <c r="GX671" s="35"/>
      <c r="GY671" s="35"/>
      <c r="GZ671" s="35"/>
      <c r="HA671" s="35"/>
      <c r="HB671" s="35"/>
      <c r="HC671" s="35"/>
      <c r="HD671" s="35"/>
      <c r="HE671" s="35"/>
      <c r="HF671" s="35"/>
      <c r="HG671" s="35"/>
      <c r="HH671" s="35"/>
      <c r="HI671" s="35"/>
      <c r="HJ671" s="35"/>
      <c r="HK671" s="35"/>
      <c r="HL671" s="35"/>
      <c r="HM671" s="35"/>
      <c r="HN671" s="35"/>
      <c r="HO671" s="35"/>
      <c r="HP671" s="35"/>
      <c r="HQ671" s="35"/>
      <c r="HR671" s="35"/>
      <c r="HS671" s="35"/>
      <c r="HT671" s="35"/>
      <c r="HU671" s="35"/>
      <c r="HV671" s="35"/>
      <c r="HW671" s="35"/>
      <c r="HX671" s="35"/>
      <c r="HY671" s="35"/>
      <c r="HZ671" s="35"/>
      <c r="IA671" s="35"/>
      <c r="IB671" s="35"/>
      <c r="IC671" s="35"/>
      <c r="ID671" s="35"/>
      <c r="IE671" s="35"/>
      <c r="IF671" s="35"/>
      <c r="IG671" s="35"/>
      <c r="IH671" s="35"/>
      <c r="II671" s="35"/>
      <c r="IJ671" s="35"/>
      <c r="IK671" s="35"/>
      <c r="IL671" s="35"/>
      <c r="IM671" s="35"/>
      <c r="IN671" s="35"/>
      <c r="IO671" s="35"/>
      <c r="IP671" s="35"/>
      <c r="IQ671" s="35"/>
      <c r="IR671" s="35"/>
      <c r="IS671" s="35"/>
      <c r="IT671" s="35"/>
      <c r="IU671" s="35"/>
      <c r="IV671" s="35"/>
      <c r="IW671" s="35"/>
      <c r="IX671" s="35"/>
      <c r="IY671" s="35"/>
      <c r="IZ671" s="35"/>
      <c r="JA671" s="35"/>
      <c r="JB671" s="35"/>
      <c r="JC671" s="35"/>
      <c r="JD671" s="35"/>
      <c r="JE671" s="35"/>
    </row>
    <row r="672">
      <c r="A672" s="42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  <c r="AZ672" s="35"/>
      <c r="BA672" s="35"/>
      <c r="BB672" s="35"/>
      <c r="BC672" s="35"/>
      <c r="BD672" s="35"/>
      <c r="BE672" s="35"/>
      <c r="BF672" s="35"/>
      <c r="BG672" s="35"/>
      <c r="BH672" s="35"/>
      <c r="BI672" s="35"/>
      <c r="BJ672" s="35"/>
      <c r="BK672" s="35"/>
      <c r="BL672" s="35"/>
      <c r="BM672" s="35"/>
      <c r="BN672" s="35"/>
      <c r="BO672" s="35"/>
      <c r="BP672" s="35"/>
      <c r="BQ672" s="35"/>
      <c r="BR672" s="35"/>
      <c r="BS672" s="35"/>
      <c r="BT672" s="35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35"/>
      <c r="CO672" s="35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35"/>
      <c r="DJ672" s="35"/>
      <c r="DK672" s="35"/>
      <c r="DL672" s="35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35"/>
      <c r="EE672" s="35"/>
      <c r="EF672" s="35"/>
      <c r="EG672" s="35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  <c r="ER672" s="35"/>
      <c r="ES672" s="35"/>
      <c r="ET672" s="35"/>
      <c r="EU672" s="35"/>
      <c r="EV672" s="35"/>
      <c r="EW672" s="35"/>
      <c r="EX672" s="35"/>
      <c r="EY672" s="35"/>
      <c r="EZ672" s="35"/>
      <c r="FA672" s="35"/>
      <c r="FB672" s="35"/>
      <c r="FC672" s="35"/>
      <c r="FD672" s="35"/>
      <c r="FE672" s="35"/>
      <c r="FF672" s="35"/>
      <c r="FG672" s="35"/>
      <c r="FH672" s="35"/>
      <c r="FI672" s="35"/>
      <c r="FJ672" s="35"/>
      <c r="FK672" s="35"/>
      <c r="FL672" s="35"/>
      <c r="FM672" s="35"/>
      <c r="FN672" s="35"/>
      <c r="FO672" s="35"/>
      <c r="FP672" s="35"/>
      <c r="FQ672" s="35"/>
      <c r="FR672" s="35"/>
      <c r="FS672" s="35"/>
      <c r="FT672" s="35"/>
      <c r="FU672" s="35"/>
      <c r="FV672" s="35"/>
      <c r="FW672" s="35"/>
      <c r="FX672" s="35"/>
      <c r="FY672" s="35"/>
      <c r="FZ672" s="35"/>
      <c r="GA672" s="35"/>
      <c r="GB672" s="35"/>
      <c r="GC672" s="35"/>
      <c r="GD672" s="35"/>
      <c r="GE672" s="35"/>
      <c r="GF672" s="35"/>
      <c r="GG672" s="35"/>
      <c r="GH672" s="35"/>
      <c r="GI672" s="35"/>
      <c r="GJ672" s="35"/>
      <c r="GK672" s="35"/>
      <c r="GL672" s="35"/>
      <c r="GM672" s="35"/>
      <c r="GN672" s="35"/>
      <c r="GO672" s="35"/>
      <c r="GP672" s="35"/>
      <c r="GQ672" s="35"/>
      <c r="GR672" s="35"/>
      <c r="GS672" s="35"/>
      <c r="GT672" s="35"/>
      <c r="GU672" s="35"/>
      <c r="GV672" s="35"/>
      <c r="GW672" s="35"/>
      <c r="GX672" s="35"/>
      <c r="GY672" s="35"/>
      <c r="GZ672" s="35"/>
      <c r="HA672" s="35"/>
      <c r="HB672" s="35"/>
      <c r="HC672" s="35"/>
      <c r="HD672" s="35"/>
      <c r="HE672" s="35"/>
      <c r="HF672" s="35"/>
      <c r="HG672" s="35"/>
      <c r="HH672" s="35"/>
      <c r="HI672" s="35"/>
      <c r="HJ672" s="35"/>
      <c r="HK672" s="35"/>
      <c r="HL672" s="35"/>
      <c r="HM672" s="35"/>
      <c r="HN672" s="35"/>
      <c r="HO672" s="35"/>
      <c r="HP672" s="35"/>
      <c r="HQ672" s="35"/>
      <c r="HR672" s="35"/>
      <c r="HS672" s="35"/>
      <c r="HT672" s="35"/>
      <c r="HU672" s="35"/>
      <c r="HV672" s="35"/>
      <c r="HW672" s="35"/>
      <c r="HX672" s="35"/>
      <c r="HY672" s="35"/>
      <c r="HZ672" s="35"/>
      <c r="IA672" s="35"/>
      <c r="IB672" s="35"/>
      <c r="IC672" s="35"/>
      <c r="ID672" s="35"/>
      <c r="IE672" s="35"/>
      <c r="IF672" s="35"/>
      <c r="IG672" s="35"/>
      <c r="IH672" s="35"/>
      <c r="II672" s="35"/>
      <c r="IJ672" s="35"/>
      <c r="IK672" s="35"/>
      <c r="IL672" s="35"/>
      <c r="IM672" s="35"/>
      <c r="IN672" s="35"/>
      <c r="IO672" s="35"/>
      <c r="IP672" s="35"/>
      <c r="IQ672" s="35"/>
      <c r="IR672" s="35"/>
      <c r="IS672" s="35"/>
      <c r="IT672" s="35"/>
      <c r="IU672" s="35"/>
      <c r="IV672" s="35"/>
      <c r="IW672" s="35"/>
      <c r="IX672" s="35"/>
      <c r="IY672" s="35"/>
      <c r="IZ672" s="35"/>
      <c r="JA672" s="35"/>
      <c r="JB672" s="35"/>
      <c r="JC672" s="35"/>
      <c r="JD672" s="35"/>
      <c r="JE672" s="35"/>
    </row>
    <row r="673">
      <c r="A673" s="42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  <c r="AZ673" s="35"/>
      <c r="BA673" s="35"/>
      <c r="BB673" s="35"/>
      <c r="BC673" s="35"/>
      <c r="BD673" s="35"/>
      <c r="BE673" s="35"/>
      <c r="BF673" s="35"/>
      <c r="BG673" s="35"/>
      <c r="BH673" s="35"/>
      <c r="BI673" s="35"/>
      <c r="BJ673" s="35"/>
      <c r="BK673" s="35"/>
      <c r="BL673" s="35"/>
      <c r="BM673" s="35"/>
      <c r="BN673" s="35"/>
      <c r="BO673" s="35"/>
      <c r="BP673" s="35"/>
      <c r="BQ673" s="35"/>
      <c r="BR673" s="35"/>
      <c r="BS673" s="35"/>
      <c r="BT673" s="35"/>
      <c r="BU673" s="35"/>
      <c r="BV673" s="35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35"/>
      <c r="CO673" s="35"/>
      <c r="CP673" s="35"/>
      <c r="CQ673" s="35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35"/>
      <c r="DJ673" s="35"/>
      <c r="DK673" s="35"/>
      <c r="DL673" s="35"/>
      <c r="DM673" s="35"/>
      <c r="DN673" s="35"/>
      <c r="DO673" s="35"/>
      <c r="DP673" s="35"/>
      <c r="DQ673" s="35"/>
      <c r="DR673" s="35"/>
      <c r="DS673" s="35"/>
      <c r="DT673" s="35"/>
      <c r="DU673" s="35"/>
      <c r="DV673" s="35"/>
      <c r="DW673" s="35"/>
      <c r="DX673" s="35"/>
      <c r="DY673" s="35"/>
      <c r="DZ673" s="35"/>
      <c r="EA673" s="35"/>
      <c r="EB673" s="35"/>
      <c r="EC673" s="35"/>
      <c r="ED673" s="35"/>
      <c r="EE673" s="35"/>
      <c r="EF673" s="35"/>
      <c r="EG673" s="35"/>
      <c r="EH673" s="35"/>
      <c r="EI673" s="35"/>
      <c r="EJ673" s="35"/>
      <c r="EK673" s="35"/>
      <c r="EL673" s="35"/>
      <c r="EM673" s="35"/>
      <c r="EN673" s="35"/>
      <c r="EO673" s="35"/>
      <c r="EP673" s="35"/>
      <c r="EQ673" s="35"/>
      <c r="ER673" s="35"/>
      <c r="ES673" s="35"/>
      <c r="ET673" s="35"/>
      <c r="EU673" s="35"/>
      <c r="EV673" s="35"/>
      <c r="EW673" s="35"/>
      <c r="EX673" s="35"/>
      <c r="EY673" s="35"/>
      <c r="EZ673" s="35"/>
      <c r="FA673" s="35"/>
      <c r="FB673" s="35"/>
      <c r="FC673" s="35"/>
      <c r="FD673" s="35"/>
      <c r="FE673" s="35"/>
      <c r="FF673" s="35"/>
      <c r="FG673" s="35"/>
      <c r="FH673" s="35"/>
      <c r="FI673" s="35"/>
      <c r="FJ673" s="35"/>
      <c r="FK673" s="35"/>
      <c r="FL673" s="35"/>
      <c r="FM673" s="35"/>
      <c r="FN673" s="35"/>
      <c r="FO673" s="35"/>
      <c r="FP673" s="35"/>
      <c r="FQ673" s="35"/>
      <c r="FR673" s="35"/>
      <c r="FS673" s="35"/>
      <c r="FT673" s="35"/>
      <c r="FU673" s="35"/>
      <c r="FV673" s="35"/>
      <c r="FW673" s="35"/>
      <c r="FX673" s="35"/>
      <c r="FY673" s="35"/>
      <c r="FZ673" s="35"/>
      <c r="GA673" s="35"/>
      <c r="GB673" s="35"/>
      <c r="GC673" s="35"/>
      <c r="GD673" s="35"/>
      <c r="GE673" s="35"/>
      <c r="GF673" s="35"/>
      <c r="GG673" s="35"/>
      <c r="GH673" s="35"/>
      <c r="GI673" s="35"/>
      <c r="GJ673" s="35"/>
      <c r="GK673" s="35"/>
      <c r="GL673" s="35"/>
      <c r="GM673" s="35"/>
      <c r="GN673" s="35"/>
      <c r="GO673" s="35"/>
      <c r="GP673" s="35"/>
      <c r="GQ673" s="35"/>
      <c r="GR673" s="35"/>
      <c r="GS673" s="35"/>
      <c r="GT673" s="35"/>
      <c r="GU673" s="35"/>
      <c r="GV673" s="35"/>
      <c r="GW673" s="35"/>
      <c r="GX673" s="35"/>
      <c r="GY673" s="35"/>
      <c r="GZ673" s="35"/>
      <c r="HA673" s="35"/>
      <c r="HB673" s="35"/>
      <c r="HC673" s="35"/>
      <c r="HD673" s="35"/>
      <c r="HE673" s="35"/>
      <c r="HF673" s="35"/>
      <c r="HG673" s="35"/>
      <c r="HH673" s="35"/>
      <c r="HI673" s="35"/>
      <c r="HJ673" s="35"/>
      <c r="HK673" s="35"/>
      <c r="HL673" s="35"/>
      <c r="HM673" s="35"/>
      <c r="HN673" s="35"/>
      <c r="HO673" s="35"/>
      <c r="HP673" s="35"/>
      <c r="HQ673" s="35"/>
      <c r="HR673" s="35"/>
      <c r="HS673" s="35"/>
      <c r="HT673" s="35"/>
      <c r="HU673" s="35"/>
      <c r="HV673" s="35"/>
      <c r="HW673" s="35"/>
      <c r="HX673" s="35"/>
      <c r="HY673" s="35"/>
      <c r="HZ673" s="35"/>
      <c r="IA673" s="35"/>
      <c r="IB673" s="35"/>
      <c r="IC673" s="35"/>
      <c r="ID673" s="35"/>
      <c r="IE673" s="35"/>
      <c r="IF673" s="35"/>
      <c r="IG673" s="35"/>
      <c r="IH673" s="35"/>
      <c r="II673" s="35"/>
      <c r="IJ673" s="35"/>
      <c r="IK673" s="35"/>
      <c r="IL673" s="35"/>
      <c r="IM673" s="35"/>
      <c r="IN673" s="35"/>
      <c r="IO673" s="35"/>
      <c r="IP673" s="35"/>
      <c r="IQ673" s="35"/>
      <c r="IR673" s="35"/>
      <c r="IS673" s="35"/>
      <c r="IT673" s="35"/>
      <c r="IU673" s="35"/>
      <c r="IV673" s="35"/>
      <c r="IW673" s="35"/>
      <c r="IX673" s="35"/>
      <c r="IY673" s="35"/>
      <c r="IZ673" s="35"/>
      <c r="JA673" s="35"/>
      <c r="JB673" s="35"/>
      <c r="JC673" s="35"/>
      <c r="JD673" s="35"/>
      <c r="JE673" s="35"/>
    </row>
    <row r="674">
      <c r="A674" s="42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  <c r="AZ674" s="35"/>
      <c r="BA674" s="35"/>
      <c r="BB674" s="35"/>
      <c r="BC674" s="35"/>
      <c r="BD674" s="35"/>
      <c r="BE674" s="35"/>
      <c r="BF674" s="35"/>
      <c r="BG674" s="35"/>
      <c r="BH674" s="35"/>
      <c r="BI674" s="35"/>
      <c r="BJ674" s="35"/>
      <c r="BK674" s="35"/>
      <c r="BL674" s="35"/>
      <c r="BM674" s="35"/>
      <c r="BN674" s="35"/>
      <c r="BO674" s="35"/>
      <c r="BP674" s="35"/>
      <c r="BQ674" s="35"/>
      <c r="BR674" s="35"/>
      <c r="BS674" s="35"/>
      <c r="BT674" s="35"/>
      <c r="BU674" s="35"/>
      <c r="BV674" s="35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35"/>
      <c r="CO674" s="35"/>
      <c r="CP674" s="35"/>
      <c r="CQ674" s="35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35"/>
      <c r="DJ674" s="35"/>
      <c r="DK674" s="35"/>
      <c r="DL674" s="35"/>
      <c r="DM674" s="35"/>
      <c r="DN674" s="35"/>
      <c r="DO674" s="35"/>
      <c r="DP674" s="35"/>
      <c r="DQ674" s="35"/>
      <c r="DR674" s="35"/>
      <c r="DS674" s="35"/>
      <c r="DT674" s="35"/>
      <c r="DU674" s="35"/>
      <c r="DV674" s="35"/>
      <c r="DW674" s="35"/>
      <c r="DX674" s="35"/>
      <c r="DY674" s="35"/>
      <c r="DZ674" s="35"/>
      <c r="EA674" s="35"/>
      <c r="EB674" s="35"/>
      <c r="EC674" s="35"/>
      <c r="ED674" s="35"/>
      <c r="EE674" s="35"/>
      <c r="EF674" s="35"/>
      <c r="EG674" s="35"/>
      <c r="EH674" s="35"/>
      <c r="EI674" s="35"/>
      <c r="EJ674" s="35"/>
      <c r="EK674" s="35"/>
      <c r="EL674" s="35"/>
      <c r="EM674" s="35"/>
      <c r="EN674" s="35"/>
      <c r="EO674" s="35"/>
      <c r="EP674" s="35"/>
      <c r="EQ674" s="35"/>
      <c r="ER674" s="35"/>
      <c r="ES674" s="35"/>
      <c r="ET674" s="35"/>
      <c r="EU674" s="35"/>
      <c r="EV674" s="35"/>
      <c r="EW674" s="35"/>
      <c r="EX674" s="35"/>
      <c r="EY674" s="35"/>
      <c r="EZ674" s="35"/>
      <c r="FA674" s="35"/>
      <c r="FB674" s="35"/>
      <c r="FC674" s="35"/>
      <c r="FD674" s="35"/>
      <c r="FE674" s="35"/>
      <c r="FF674" s="35"/>
      <c r="FG674" s="35"/>
      <c r="FH674" s="35"/>
      <c r="FI674" s="35"/>
      <c r="FJ674" s="35"/>
      <c r="FK674" s="35"/>
      <c r="FL674" s="35"/>
      <c r="FM674" s="35"/>
      <c r="FN674" s="35"/>
      <c r="FO674" s="35"/>
      <c r="FP674" s="35"/>
      <c r="FQ674" s="35"/>
      <c r="FR674" s="35"/>
      <c r="FS674" s="35"/>
      <c r="FT674" s="35"/>
      <c r="FU674" s="35"/>
      <c r="FV674" s="35"/>
      <c r="FW674" s="35"/>
      <c r="FX674" s="35"/>
      <c r="FY674" s="35"/>
      <c r="FZ674" s="35"/>
      <c r="GA674" s="35"/>
      <c r="GB674" s="35"/>
      <c r="GC674" s="35"/>
      <c r="GD674" s="35"/>
      <c r="GE674" s="35"/>
      <c r="GF674" s="35"/>
      <c r="GG674" s="35"/>
      <c r="GH674" s="35"/>
      <c r="GI674" s="35"/>
      <c r="GJ674" s="35"/>
      <c r="GK674" s="35"/>
      <c r="GL674" s="35"/>
      <c r="GM674" s="35"/>
      <c r="GN674" s="35"/>
      <c r="GO674" s="35"/>
      <c r="GP674" s="35"/>
      <c r="GQ674" s="35"/>
      <c r="GR674" s="35"/>
      <c r="GS674" s="35"/>
      <c r="GT674" s="35"/>
      <c r="GU674" s="35"/>
      <c r="GV674" s="35"/>
      <c r="GW674" s="35"/>
      <c r="GX674" s="35"/>
      <c r="GY674" s="35"/>
      <c r="GZ674" s="35"/>
      <c r="HA674" s="35"/>
      <c r="HB674" s="35"/>
      <c r="HC674" s="35"/>
      <c r="HD674" s="35"/>
      <c r="HE674" s="35"/>
      <c r="HF674" s="35"/>
      <c r="HG674" s="35"/>
      <c r="HH674" s="35"/>
      <c r="HI674" s="35"/>
      <c r="HJ674" s="35"/>
      <c r="HK674" s="35"/>
      <c r="HL674" s="35"/>
      <c r="HM674" s="35"/>
      <c r="HN674" s="35"/>
      <c r="HO674" s="35"/>
      <c r="HP674" s="35"/>
      <c r="HQ674" s="35"/>
      <c r="HR674" s="35"/>
      <c r="HS674" s="35"/>
      <c r="HT674" s="35"/>
      <c r="HU674" s="35"/>
      <c r="HV674" s="35"/>
      <c r="HW674" s="35"/>
      <c r="HX674" s="35"/>
      <c r="HY674" s="35"/>
      <c r="HZ674" s="35"/>
      <c r="IA674" s="35"/>
      <c r="IB674" s="35"/>
      <c r="IC674" s="35"/>
      <c r="ID674" s="35"/>
      <c r="IE674" s="35"/>
      <c r="IF674" s="35"/>
      <c r="IG674" s="35"/>
      <c r="IH674" s="35"/>
      <c r="II674" s="35"/>
      <c r="IJ674" s="35"/>
      <c r="IK674" s="35"/>
      <c r="IL674" s="35"/>
      <c r="IM674" s="35"/>
      <c r="IN674" s="35"/>
      <c r="IO674" s="35"/>
      <c r="IP674" s="35"/>
      <c r="IQ674" s="35"/>
      <c r="IR674" s="35"/>
      <c r="IS674" s="35"/>
      <c r="IT674" s="35"/>
      <c r="IU674" s="35"/>
      <c r="IV674" s="35"/>
      <c r="IW674" s="35"/>
      <c r="IX674" s="35"/>
      <c r="IY674" s="35"/>
      <c r="IZ674" s="35"/>
      <c r="JA674" s="35"/>
      <c r="JB674" s="35"/>
      <c r="JC674" s="35"/>
      <c r="JD674" s="35"/>
      <c r="JE674" s="35"/>
    </row>
    <row r="675">
      <c r="A675" s="42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  <c r="AZ675" s="35"/>
      <c r="BA675" s="35"/>
      <c r="BB675" s="35"/>
      <c r="BC675" s="35"/>
      <c r="BD675" s="35"/>
      <c r="BE675" s="35"/>
      <c r="BF675" s="35"/>
      <c r="BG675" s="35"/>
      <c r="BH675" s="35"/>
      <c r="BI675" s="35"/>
      <c r="BJ675" s="35"/>
      <c r="BK675" s="35"/>
      <c r="BL675" s="35"/>
      <c r="BM675" s="35"/>
      <c r="BN675" s="35"/>
      <c r="BO675" s="35"/>
      <c r="BP675" s="35"/>
      <c r="BQ675" s="35"/>
      <c r="BR675" s="35"/>
      <c r="BS675" s="35"/>
      <c r="BT675" s="35"/>
      <c r="BU675" s="35"/>
      <c r="BV675" s="35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35"/>
      <c r="CO675" s="35"/>
      <c r="CP675" s="35"/>
      <c r="CQ675" s="35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35"/>
      <c r="DJ675" s="35"/>
      <c r="DK675" s="35"/>
      <c r="DL675" s="35"/>
      <c r="DM675" s="35"/>
      <c r="DN675" s="35"/>
      <c r="DO675" s="35"/>
      <c r="DP675" s="35"/>
      <c r="DQ675" s="35"/>
      <c r="DR675" s="35"/>
      <c r="DS675" s="35"/>
      <c r="DT675" s="35"/>
      <c r="DU675" s="35"/>
      <c r="DV675" s="35"/>
      <c r="DW675" s="35"/>
      <c r="DX675" s="35"/>
      <c r="DY675" s="35"/>
      <c r="DZ675" s="35"/>
      <c r="EA675" s="35"/>
      <c r="EB675" s="35"/>
      <c r="EC675" s="35"/>
      <c r="ED675" s="35"/>
      <c r="EE675" s="35"/>
      <c r="EF675" s="35"/>
      <c r="EG675" s="35"/>
      <c r="EH675" s="35"/>
      <c r="EI675" s="35"/>
      <c r="EJ675" s="35"/>
      <c r="EK675" s="35"/>
      <c r="EL675" s="35"/>
      <c r="EM675" s="35"/>
      <c r="EN675" s="35"/>
      <c r="EO675" s="35"/>
      <c r="EP675" s="35"/>
      <c r="EQ675" s="35"/>
      <c r="ER675" s="35"/>
      <c r="ES675" s="35"/>
      <c r="ET675" s="35"/>
      <c r="EU675" s="35"/>
      <c r="EV675" s="35"/>
      <c r="EW675" s="35"/>
      <c r="EX675" s="35"/>
      <c r="EY675" s="35"/>
      <c r="EZ675" s="35"/>
      <c r="FA675" s="35"/>
      <c r="FB675" s="35"/>
      <c r="FC675" s="35"/>
      <c r="FD675" s="35"/>
      <c r="FE675" s="35"/>
      <c r="FF675" s="35"/>
      <c r="FG675" s="35"/>
      <c r="FH675" s="35"/>
      <c r="FI675" s="35"/>
      <c r="FJ675" s="35"/>
      <c r="FK675" s="35"/>
      <c r="FL675" s="35"/>
      <c r="FM675" s="35"/>
      <c r="FN675" s="35"/>
      <c r="FO675" s="35"/>
      <c r="FP675" s="35"/>
      <c r="FQ675" s="35"/>
      <c r="FR675" s="35"/>
      <c r="FS675" s="35"/>
      <c r="FT675" s="35"/>
      <c r="FU675" s="35"/>
      <c r="FV675" s="35"/>
      <c r="FW675" s="35"/>
      <c r="FX675" s="35"/>
      <c r="FY675" s="35"/>
      <c r="FZ675" s="35"/>
      <c r="GA675" s="35"/>
      <c r="GB675" s="35"/>
      <c r="GC675" s="35"/>
      <c r="GD675" s="35"/>
      <c r="GE675" s="35"/>
      <c r="GF675" s="35"/>
      <c r="GG675" s="35"/>
      <c r="GH675" s="35"/>
      <c r="GI675" s="35"/>
      <c r="GJ675" s="35"/>
      <c r="GK675" s="35"/>
      <c r="GL675" s="35"/>
      <c r="GM675" s="35"/>
      <c r="GN675" s="35"/>
      <c r="GO675" s="35"/>
      <c r="GP675" s="35"/>
      <c r="GQ675" s="35"/>
      <c r="GR675" s="35"/>
      <c r="GS675" s="35"/>
      <c r="GT675" s="35"/>
      <c r="GU675" s="35"/>
      <c r="GV675" s="35"/>
      <c r="GW675" s="35"/>
      <c r="GX675" s="35"/>
      <c r="GY675" s="35"/>
      <c r="GZ675" s="35"/>
      <c r="HA675" s="35"/>
      <c r="HB675" s="35"/>
      <c r="HC675" s="35"/>
      <c r="HD675" s="35"/>
      <c r="HE675" s="35"/>
      <c r="HF675" s="35"/>
      <c r="HG675" s="35"/>
      <c r="HH675" s="35"/>
      <c r="HI675" s="35"/>
      <c r="HJ675" s="35"/>
      <c r="HK675" s="35"/>
      <c r="HL675" s="35"/>
      <c r="HM675" s="35"/>
      <c r="HN675" s="35"/>
      <c r="HO675" s="35"/>
      <c r="HP675" s="35"/>
      <c r="HQ675" s="35"/>
      <c r="HR675" s="35"/>
      <c r="HS675" s="35"/>
      <c r="HT675" s="35"/>
      <c r="HU675" s="35"/>
      <c r="HV675" s="35"/>
      <c r="HW675" s="35"/>
      <c r="HX675" s="35"/>
      <c r="HY675" s="35"/>
      <c r="HZ675" s="35"/>
      <c r="IA675" s="35"/>
      <c r="IB675" s="35"/>
      <c r="IC675" s="35"/>
      <c r="ID675" s="35"/>
      <c r="IE675" s="35"/>
      <c r="IF675" s="35"/>
      <c r="IG675" s="35"/>
      <c r="IH675" s="35"/>
      <c r="II675" s="35"/>
      <c r="IJ675" s="35"/>
      <c r="IK675" s="35"/>
      <c r="IL675" s="35"/>
      <c r="IM675" s="35"/>
      <c r="IN675" s="35"/>
      <c r="IO675" s="35"/>
      <c r="IP675" s="35"/>
      <c r="IQ675" s="35"/>
      <c r="IR675" s="35"/>
      <c r="IS675" s="35"/>
      <c r="IT675" s="35"/>
      <c r="IU675" s="35"/>
      <c r="IV675" s="35"/>
      <c r="IW675" s="35"/>
      <c r="IX675" s="35"/>
      <c r="IY675" s="35"/>
      <c r="IZ675" s="35"/>
      <c r="JA675" s="35"/>
      <c r="JB675" s="35"/>
      <c r="JC675" s="35"/>
      <c r="JD675" s="35"/>
      <c r="JE675" s="35"/>
    </row>
    <row r="676">
      <c r="A676" s="42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  <c r="AZ676" s="35"/>
      <c r="BA676" s="35"/>
      <c r="BB676" s="35"/>
      <c r="BC676" s="35"/>
      <c r="BD676" s="35"/>
      <c r="BE676" s="35"/>
      <c r="BF676" s="35"/>
      <c r="BG676" s="35"/>
      <c r="BH676" s="35"/>
      <c r="BI676" s="35"/>
      <c r="BJ676" s="35"/>
      <c r="BK676" s="35"/>
      <c r="BL676" s="35"/>
      <c r="BM676" s="35"/>
      <c r="BN676" s="35"/>
      <c r="BO676" s="35"/>
      <c r="BP676" s="35"/>
      <c r="BQ676" s="35"/>
      <c r="BR676" s="35"/>
      <c r="BS676" s="35"/>
      <c r="BT676" s="35"/>
      <c r="BU676" s="35"/>
      <c r="BV676" s="35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35"/>
      <c r="CO676" s="35"/>
      <c r="CP676" s="35"/>
      <c r="CQ676" s="35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35"/>
      <c r="DJ676" s="35"/>
      <c r="DK676" s="35"/>
      <c r="DL676" s="35"/>
      <c r="DM676" s="35"/>
      <c r="DN676" s="35"/>
      <c r="DO676" s="35"/>
      <c r="DP676" s="35"/>
      <c r="DQ676" s="35"/>
      <c r="DR676" s="35"/>
      <c r="DS676" s="35"/>
      <c r="DT676" s="35"/>
      <c r="DU676" s="35"/>
      <c r="DV676" s="35"/>
      <c r="DW676" s="35"/>
      <c r="DX676" s="35"/>
      <c r="DY676" s="35"/>
      <c r="DZ676" s="35"/>
      <c r="EA676" s="35"/>
      <c r="EB676" s="35"/>
      <c r="EC676" s="35"/>
      <c r="ED676" s="35"/>
      <c r="EE676" s="35"/>
      <c r="EF676" s="35"/>
      <c r="EG676" s="35"/>
      <c r="EH676" s="35"/>
      <c r="EI676" s="35"/>
      <c r="EJ676" s="35"/>
      <c r="EK676" s="35"/>
      <c r="EL676" s="35"/>
      <c r="EM676" s="35"/>
      <c r="EN676" s="35"/>
      <c r="EO676" s="35"/>
      <c r="EP676" s="35"/>
      <c r="EQ676" s="35"/>
      <c r="ER676" s="35"/>
      <c r="ES676" s="35"/>
      <c r="ET676" s="35"/>
      <c r="EU676" s="35"/>
      <c r="EV676" s="35"/>
      <c r="EW676" s="35"/>
      <c r="EX676" s="35"/>
      <c r="EY676" s="35"/>
      <c r="EZ676" s="35"/>
      <c r="FA676" s="35"/>
      <c r="FB676" s="35"/>
      <c r="FC676" s="35"/>
      <c r="FD676" s="35"/>
      <c r="FE676" s="35"/>
      <c r="FF676" s="35"/>
      <c r="FG676" s="35"/>
      <c r="FH676" s="35"/>
      <c r="FI676" s="35"/>
      <c r="FJ676" s="35"/>
      <c r="FK676" s="35"/>
      <c r="FL676" s="35"/>
      <c r="FM676" s="35"/>
      <c r="FN676" s="35"/>
      <c r="FO676" s="35"/>
      <c r="FP676" s="35"/>
      <c r="FQ676" s="35"/>
      <c r="FR676" s="35"/>
      <c r="FS676" s="35"/>
      <c r="FT676" s="35"/>
      <c r="FU676" s="35"/>
      <c r="FV676" s="35"/>
      <c r="FW676" s="35"/>
      <c r="FX676" s="35"/>
      <c r="FY676" s="35"/>
      <c r="FZ676" s="35"/>
      <c r="GA676" s="35"/>
      <c r="GB676" s="35"/>
      <c r="GC676" s="35"/>
      <c r="GD676" s="35"/>
      <c r="GE676" s="35"/>
      <c r="GF676" s="35"/>
      <c r="GG676" s="35"/>
      <c r="GH676" s="35"/>
      <c r="GI676" s="35"/>
      <c r="GJ676" s="35"/>
      <c r="GK676" s="35"/>
      <c r="GL676" s="35"/>
      <c r="GM676" s="35"/>
      <c r="GN676" s="35"/>
      <c r="GO676" s="35"/>
      <c r="GP676" s="35"/>
      <c r="GQ676" s="35"/>
      <c r="GR676" s="35"/>
      <c r="GS676" s="35"/>
      <c r="GT676" s="35"/>
      <c r="GU676" s="35"/>
      <c r="GV676" s="35"/>
      <c r="GW676" s="35"/>
      <c r="GX676" s="35"/>
      <c r="GY676" s="35"/>
      <c r="GZ676" s="35"/>
      <c r="HA676" s="35"/>
      <c r="HB676" s="35"/>
      <c r="HC676" s="35"/>
      <c r="HD676" s="35"/>
      <c r="HE676" s="35"/>
      <c r="HF676" s="35"/>
      <c r="HG676" s="35"/>
      <c r="HH676" s="35"/>
      <c r="HI676" s="35"/>
      <c r="HJ676" s="35"/>
      <c r="HK676" s="35"/>
      <c r="HL676" s="35"/>
      <c r="HM676" s="35"/>
      <c r="HN676" s="35"/>
      <c r="HO676" s="35"/>
      <c r="HP676" s="35"/>
      <c r="HQ676" s="35"/>
      <c r="HR676" s="35"/>
      <c r="HS676" s="35"/>
      <c r="HT676" s="35"/>
      <c r="HU676" s="35"/>
      <c r="HV676" s="35"/>
      <c r="HW676" s="35"/>
      <c r="HX676" s="35"/>
      <c r="HY676" s="35"/>
      <c r="HZ676" s="35"/>
      <c r="IA676" s="35"/>
      <c r="IB676" s="35"/>
      <c r="IC676" s="35"/>
      <c r="ID676" s="35"/>
      <c r="IE676" s="35"/>
      <c r="IF676" s="35"/>
      <c r="IG676" s="35"/>
      <c r="IH676" s="35"/>
      <c r="II676" s="35"/>
      <c r="IJ676" s="35"/>
      <c r="IK676" s="35"/>
      <c r="IL676" s="35"/>
      <c r="IM676" s="35"/>
      <c r="IN676" s="35"/>
      <c r="IO676" s="35"/>
      <c r="IP676" s="35"/>
      <c r="IQ676" s="35"/>
      <c r="IR676" s="35"/>
      <c r="IS676" s="35"/>
      <c r="IT676" s="35"/>
      <c r="IU676" s="35"/>
      <c r="IV676" s="35"/>
      <c r="IW676" s="35"/>
      <c r="IX676" s="35"/>
      <c r="IY676" s="35"/>
      <c r="IZ676" s="35"/>
      <c r="JA676" s="35"/>
      <c r="JB676" s="35"/>
      <c r="JC676" s="35"/>
      <c r="JD676" s="35"/>
      <c r="JE676" s="35"/>
    </row>
    <row r="677">
      <c r="A677" s="42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  <c r="BA677" s="35"/>
      <c r="BB677" s="35"/>
      <c r="BC677" s="35"/>
      <c r="BD677" s="35"/>
      <c r="BE677" s="35"/>
      <c r="BF677" s="35"/>
      <c r="BG677" s="35"/>
      <c r="BH677" s="35"/>
      <c r="BI677" s="35"/>
      <c r="BJ677" s="35"/>
      <c r="BK677" s="35"/>
      <c r="BL677" s="35"/>
      <c r="BM677" s="35"/>
      <c r="BN677" s="35"/>
      <c r="BO677" s="35"/>
      <c r="BP677" s="35"/>
      <c r="BQ677" s="35"/>
      <c r="BR677" s="35"/>
      <c r="BS677" s="35"/>
      <c r="BT677" s="35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35"/>
      <c r="CO677" s="35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35"/>
      <c r="DJ677" s="35"/>
      <c r="DK677" s="35"/>
      <c r="DL677" s="35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35"/>
      <c r="EE677" s="35"/>
      <c r="EF677" s="35"/>
      <c r="EG677" s="35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35"/>
      <c r="EZ677" s="35"/>
      <c r="FA677" s="35"/>
      <c r="FB677" s="35"/>
      <c r="FC677" s="35"/>
      <c r="FD677" s="35"/>
      <c r="FE677" s="35"/>
      <c r="FF677" s="35"/>
      <c r="FG677" s="35"/>
      <c r="FH677" s="35"/>
      <c r="FI677" s="35"/>
      <c r="FJ677" s="35"/>
      <c r="FK677" s="35"/>
      <c r="FL677" s="35"/>
      <c r="FM677" s="35"/>
      <c r="FN677" s="35"/>
      <c r="FO677" s="35"/>
      <c r="FP677" s="35"/>
      <c r="FQ677" s="35"/>
      <c r="FR677" s="35"/>
      <c r="FS677" s="35"/>
      <c r="FT677" s="35"/>
      <c r="FU677" s="35"/>
      <c r="FV677" s="35"/>
      <c r="FW677" s="35"/>
      <c r="FX677" s="35"/>
      <c r="FY677" s="35"/>
      <c r="FZ677" s="35"/>
      <c r="GA677" s="35"/>
      <c r="GB677" s="35"/>
      <c r="GC677" s="35"/>
      <c r="GD677" s="35"/>
      <c r="GE677" s="35"/>
      <c r="GF677" s="35"/>
      <c r="GG677" s="35"/>
      <c r="GH677" s="35"/>
      <c r="GI677" s="35"/>
      <c r="GJ677" s="35"/>
      <c r="GK677" s="35"/>
      <c r="GL677" s="35"/>
      <c r="GM677" s="35"/>
      <c r="GN677" s="35"/>
      <c r="GO677" s="35"/>
      <c r="GP677" s="35"/>
      <c r="GQ677" s="35"/>
      <c r="GR677" s="35"/>
      <c r="GS677" s="35"/>
      <c r="GT677" s="35"/>
      <c r="GU677" s="35"/>
      <c r="GV677" s="35"/>
      <c r="GW677" s="35"/>
      <c r="GX677" s="35"/>
      <c r="GY677" s="35"/>
      <c r="GZ677" s="35"/>
      <c r="HA677" s="35"/>
      <c r="HB677" s="35"/>
      <c r="HC677" s="35"/>
      <c r="HD677" s="35"/>
      <c r="HE677" s="35"/>
      <c r="HF677" s="35"/>
      <c r="HG677" s="35"/>
      <c r="HH677" s="35"/>
      <c r="HI677" s="35"/>
      <c r="HJ677" s="35"/>
      <c r="HK677" s="35"/>
      <c r="HL677" s="35"/>
      <c r="HM677" s="35"/>
      <c r="HN677" s="35"/>
      <c r="HO677" s="35"/>
      <c r="HP677" s="35"/>
      <c r="HQ677" s="35"/>
      <c r="HR677" s="35"/>
      <c r="HS677" s="35"/>
      <c r="HT677" s="35"/>
      <c r="HU677" s="35"/>
      <c r="HV677" s="35"/>
      <c r="HW677" s="35"/>
      <c r="HX677" s="35"/>
      <c r="HY677" s="35"/>
      <c r="HZ677" s="35"/>
      <c r="IA677" s="35"/>
      <c r="IB677" s="35"/>
      <c r="IC677" s="35"/>
      <c r="ID677" s="35"/>
      <c r="IE677" s="35"/>
      <c r="IF677" s="35"/>
      <c r="IG677" s="35"/>
      <c r="IH677" s="35"/>
      <c r="II677" s="35"/>
      <c r="IJ677" s="35"/>
      <c r="IK677" s="35"/>
      <c r="IL677" s="35"/>
      <c r="IM677" s="35"/>
      <c r="IN677" s="35"/>
      <c r="IO677" s="35"/>
      <c r="IP677" s="35"/>
      <c r="IQ677" s="35"/>
      <c r="IR677" s="35"/>
      <c r="IS677" s="35"/>
      <c r="IT677" s="35"/>
      <c r="IU677" s="35"/>
      <c r="IV677" s="35"/>
      <c r="IW677" s="35"/>
      <c r="IX677" s="35"/>
      <c r="IY677" s="35"/>
      <c r="IZ677" s="35"/>
      <c r="JA677" s="35"/>
      <c r="JB677" s="35"/>
      <c r="JC677" s="35"/>
      <c r="JD677" s="35"/>
      <c r="JE677" s="35"/>
    </row>
    <row r="678">
      <c r="A678" s="42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  <c r="BA678" s="35"/>
      <c r="BB678" s="35"/>
      <c r="BC678" s="35"/>
      <c r="BD678" s="35"/>
      <c r="BE678" s="35"/>
      <c r="BF678" s="35"/>
      <c r="BG678" s="35"/>
      <c r="BH678" s="35"/>
      <c r="BI678" s="35"/>
      <c r="BJ678" s="35"/>
      <c r="BK678" s="35"/>
      <c r="BL678" s="35"/>
      <c r="BM678" s="35"/>
      <c r="BN678" s="35"/>
      <c r="BO678" s="35"/>
      <c r="BP678" s="35"/>
      <c r="BQ678" s="35"/>
      <c r="BR678" s="35"/>
      <c r="BS678" s="35"/>
      <c r="BT678" s="35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35"/>
      <c r="CO678" s="35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35"/>
      <c r="DJ678" s="35"/>
      <c r="DK678" s="35"/>
      <c r="DL678" s="35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35"/>
      <c r="EE678" s="35"/>
      <c r="EF678" s="35"/>
      <c r="EG678" s="35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35"/>
      <c r="EZ678" s="35"/>
      <c r="FA678" s="35"/>
      <c r="FB678" s="35"/>
      <c r="FC678" s="35"/>
      <c r="FD678" s="35"/>
      <c r="FE678" s="35"/>
      <c r="FF678" s="35"/>
      <c r="FG678" s="35"/>
      <c r="FH678" s="35"/>
      <c r="FI678" s="35"/>
      <c r="FJ678" s="35"/>
      <c r="FK678" s="35"/>
      <c r="FL678" s="35"/>
      <c r="FM678" s="35"/>
      <c r="FN678" s="35"/>
      <c r="FO678" s="35"/>
      <c r="FP678" s="35"/>
      <c r="FQ678" s="35"/>
      <c r="FR678" s="35"/>
      <c r="FS678" s="35"/>
      <c r="FT678" s="35"/>
      <c r="FU678" s="35"/>
      <c r="FV678" s="35"/>
      <c r="FW678" s="35"/>
      <c r="FX678" s="35"/>
      <c r="FY678" s="35"/>
      <c r="FZ678" s="35"/>
      <c r="GA678" s="35"/>
      <c r="GB678" s="35"/>
      <c r="GC678" s="35"/>
      <c r="GD678" s="35"/>
      <c r="GE678" s="35"/>
      <c r="GF678" s="35"/>
      <c r="GG678" s="35"/>
      <c r="GH678" s="35"/>
      <c r="GI678" s="35"/>
      <c r="GJ678" s="35"/>
      <c r="GK678" s="35"/>
      <c r="GL678" s="35"/>
      <c r="GM678" s="35"/>
      <c r="GN678" s="35"/>
      <c r="GO678" s="35"/>
      <c r="GP678" s="35"/>
      <c r="GQ678" s="35"/>
      <c r="GR678" s="35"/>
      <c r="GS678" s="35"/>
      <c r="GT678" s="35"/>
      <c r="GU678" s="35"/>
      <c r="GV678" s="35"/>
      <c r="GW678" s="35"/>
      <c r="GX678" s="35"/>
      <c r="GY678" s="35"/>
      <c r="GZ678" s="35"/>
      <c r="HA678" s="35"/>
      <c r="HB678" s="35"/>
      <c r="HC678" s="35"/>
      <c r="HD678" s="35"/>
      <c r="HE678" s="35"/>
      <c r="HF678" s="35"/>
      <c r="HG678" s="35"/>
      <c r="HH678" s="35"/>
      <c r="HI678" s="35"/>
      <c r="HJ678" s="35"/>
      <c r="HK678" s="35"/>
      <c r="HL678" s="35"/>
      <c r="HM678" s="35"/>
      <c r="HN678" s="35"/>
      <c r="HO678" s="35"/>
      <c r="HP678" s="35"/>
      <c r="HQ678" s="35"/>
      <c r="HR678" s="35"/>
      <c r="HS678" s="35"/>
      <c r="HT678" s="35"/>
      <c r="HU678" s="35"/>
      <c r="HV678" s="35"/>
      <c r="HW678" s="35"/>
      <c r="HX678" s="35"/>
      <c r="HY678" s="35"/>
      <c r="HZ678" s="35"/>
      <c r="IA678" s="35"/>
      <c r="IB678" s="35"/>
      <c r="IC678" s="35"/>
      <c r="ID678" s="35"/>
      <c r="IE678" s="35"/>
      <c r="IF678" s="35"/>
      <c r="IG678" s="35"/>
      <c r="IH678" s="35"/>
      <c r="II678" s="35"/>
      <c r="IJ678" s="35"/>
      <c r="IK678" s="35"/>
      <c r="IL678" s="35"/>
      <c r="IM678" s="35"/>
      <c r="IN678" s="35"/>
      <c r="IO678" s="35"/>
      <c r="IP678" s="35"/>
      <c r="IQ678" s="35"/>
      <c r="IR678" s="35"/>
      <c r="IS678" s="35"/>
      <c r="IT678" s="35"/>
      <c r="IU678" s="35"/>
      <c r="IV678" s="35"/>
      <c r="IW678" s="35"/>
      <c r="IX678" s="35"/>
      <c r="IY678" s="35"/>
      <c r="IZ678" s="35"/>
      <c r="JA678" s="35"/>
      <c r="JB678" s="35"/>
      <c r="JC678" s="35"/>
      <c r="JD678" s="35"/>
      <c r="JE678" s="35"/>
    </row>
    <row r="679">
      <c r="A679" s="42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  <c r="AZ679" s="35"/>
      <c r="BA679" s="35"/>
      <c r="BB679" s="35"/>
      <c r="BC679" s="35"/>
      <c r="BD679" s="35"/>
      <c r="BE679" s="35"/>
      <c r="BF679" s="35"/>
      <c r="BG679" s="35"/>
      <c r="BH679" s="35"/>
      <c r="BI679" s="35"/>
      <c r="BJ679" s="35"/>
      <c r="BK679" s="35"/>
      <c r="BL679" s="35"/>
      <c r="BM679" s="35"/>
      <c r="BN679" s="35"/>
      <c r="BO679" s="35"/>
      <c r="BP679" s="35"/>
      <c r="BQ679" s="35"/>
      <c r="BR679" s="35"/>
      <c r="BS679" s="35"/>
      <c r="BT679" s="35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35"/>
      <c r="CO679" s="35"/>
      <c r="CP679" s="35"/>
      <c r="CQ679" s="35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35"/>
      <c r="DJ679" s="35"/>
      <c r="DK679" s="35"/>
      <c r="DL679" s="35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35"/>
      <c r="EE679" s="35"/>
      <c r="EF679" s="35"/>
      <c r="EG679" s="35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35"/>
      <c r="EZ679" s="35"/>
      <c r="FA679" s="35"/>
      <c r="FB679" s="35"/>
      <c r="FC679" s="35"/>
      <c r="FD679" s="35"/>
      <c r="FE679" s="35"/>
      <c r="FF679" s="35"/>
      <c r="FG679" s="35"/>
      <c r="FH679" s="35"/>
      <c r="FI679" s="35"/>
      <c r="FJ679" s="35"/>
      <c r="FK679" s="35"/>
      <c r="FL679" s="35"/>
      <c r="FM679" s="35"/>
      <c r="FN679" s="35"/>
      <c r="FO679" s="35"/>
      <c r="FP679" s="35"/>
      <c r="FQ679" s="35"/>
      <c r="FR679" s="35"/>
      <c r="FS679" s="35"/>
      <c r="FT679" s="35"/>
      <c r="FU679" s="35"/>
      <c r="FV679" s="35"/>
      <c r="FW679" s="35"/>
      <c r="FX679" s="35"/>
      <c r="FY679" s="35"/>
      <c r="FZ679" s="35"/>
      <c r="GA679" s="35"/>
      <c r="GB679" s="35"/>
      <c r="GC679" s="35"/>
      <c r="GD679" s="35"/>
      <c r="GE679" s="35"/>
      <c r="GF679" s="35"/>
      <c r="GG679" s="35"/>
      <c r="GH679" s="35"/>
      <c r="GI679" s="35"/>
      <c r="GJ679" s="35"/>
      <c r="GK679" s="35"/>
      <c r="GL679" s="35"/>
      <c r="GM679" s="35"/>
      <c r="GN679" s="35"/>
      <c r="GO679" s="35"/>
      <c r="GP679" s="35"/>
      <c r="GQ679" s="35"/>
      <c r="GR679" s="35"/>
      <c r="GS679" s="35"/>
      <c r="GT679" s="35"/>
      <c r="GU679" s="35"/>
      <c r="GV679" s="35"/>
      <c r="GW679" s="35"/>
      <c r="GX679" s="35"/>
      <c r="GY679" s="35"/>
      <c r="GZ679" s="35"/>
      <c r="HA679" s="35"/>
      <c r="HB679" s="35"/>
      <c r="HC679" s="35"/>
      <c r="HD679" s="35"/>
      <c r="HE679" s="35"/>
      <c r="HF679" s="35"/>
      <c r="HG679" s="35"/>
      <c r="HH679" s="35"/>
      <c r="HI679" s="35"/>
      <c r="HJ679" s="35"/>
      <c r="HK679" s="35"/>
      <c r="HL679" s="35"/>
      <c r="HM679" s="35"/>
      <c r="HN679" s="35"/>
      <c r="HO679" s="35"/>
      <c r="HP679" s="35"/>
      <c r="HQ679" s="35"/>
      <c r="HR679" s="35"/>
      <c r="HS679" s="35"/>
      <c r="HT679" s="35"/>
      <c r="HU679" s="35"/>
      <c r="HV679" s="35"/>
      <c r="HW679" s="35"/>
      <c r="HX679" s="35"/>
      <c r="HY679" s="35"/>
      <c r="HZ679" s="35"/>
      <c r="IA679" s="35"/>
      <c r="IB679" s="35"/>
      <c r="IC679" s="35"/>
      <c r="ID679" s="35"/>
      <c r="IE679" s="35"/>
      <c r="IF679" s="35"/>
      <c r="IG679" s="35"/>
      <c r="IH679" s="35"/>
      <c r="II679" s="35"/>
      <c r="IJ679" s="35"/>
      <c r="IK679" s="35"/>
      <c r="IL679" s="35"/>
      <c r="IM679" s="35"/>
      <c r="IN679" s="35"/>
      <c r="IO679" s="35"/>
      <c r="IP679" s="35"/>
      <c r="IQ679" s="35"/>
      <c r="IR679" s="35"/>
      <c r="IS679" s="35"/>
      <c r="IT679" s="35"/>
      <c r="IU679" s="35"/>
      <c r="IV679" s="35"/>
      <c r="IW679" s="35"/>
      <c r="IX679" s="35"/>
      <c r="IY679" s="35"/>
      <c r="IZ679" s="35"/>
      <c r="JA679" s="35"/>
      <c r="JB679" s="35"/>
      <c r="JC679" s="35"/>
      <c r="JD679" s="35"/>
      <c r="JE679" s="35"/>
    </row>
    <row r="680">
      <c r="A680" s="42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  <c r="AZ680" s="35"/>
      <c r="BA680" s="35"/>
      <c r="BB680" s="35"/>
      <c r="BC680" s="35"/>
      <c r="BD680" s="35"/>
      <c r="BE680" s="35"/>
      <c r="BF680" s="35"/>
      <c r="BG680" s="35"/>
      <c r="BH680" s="35"/>
      <c r="BI680" s="35"/>
      <c r="BJ680" s="35"/>
      <c r="BK680" s="35"/>
      <c r="BL680" s="35"/>
      <c r="BM680" s="35"/>
      <c r="BN680" s="35"/>
      <c r="BO680" s="35"/>
      <c r="BP680" s="35"/>
      <c r="BQ680" s="35"/>
      <c r="BR680" s="35"/>
      <c r="BS680" s="35"/>
      <c r="BT680" s="35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35"/>
      <c r="CO680" s="35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35"/>
      <c r="DJ680" s="35"/>
      <c r="DK680" s="35"/>
      <c r="DL680" s="35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35"/>
      <c r="EE680" s="35"/>
      <c r="EF680" s="35"/>
      <c r="EG680" s="35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35"/>
      <c r="EZ680" s="35"/>
      <c r="FA680" s="35"/>
      <c r="FB680" s="35"/>
      <c r="FC680" s="35"/>
      <c r="FD680" s="35"/>
      <c r="FE680" s="35"/>
      <c r="FF680" s="35"/>
      <c r="FG680" s="35"/>
      <c r="FH680" s="35"/>
      <c r="FI680" s="35"/>
      <c r="FJ680" s="35"/>
      <c r="FK680" s="35"/>
      <c r="FL680" s="35"/>
      <c r="FM680" s="35"/>
      <c r="FN680" s="35"/>
      <c r="FO680" s="35"/>
      <c r="FP680" s="35"/>
      <c r="FQ680" s="35"/>
      <c r="FR680" s="35"/>
      <c r="FS680" s="35"/>
      <c r="FT680" s="35"/>
      <c r="FU680" s="35"/>
      <c r="FV680" s="35"/>
      <c r="FW680" s="35"/>
      <c r="FX680" s="35"/>
      <c r="FY680" s="35"/>
      <c r="FZ680" s="35"/>
      <c r="GA680" s="35"/>
      <c r="GB680" s="35"/>
      <c r="GC680" s="35"/>
      <c r="GD680" s="35"/>
      <c r="GE680" s="35"/>
      <c r="GF680" s="35"/>
      <c r="GG680" s="35"/>
      <c r="GH680" s="35"/>
      <c r="GI680" s="35"/>
      <c r="GJ680" s="35"/>
      <c r="GK680" s="35"/>
      <c r="GL680" s="35"/>
      <c r="GM680" s="35"/>
      <c r="GN680" s="35"/>
      <c r="GO680" s="35"/>
      <c r="GP680" s="35"/>
      <c r="GQ680" s="35"/>
      <c r="GR680" s="35"/>
      <c r="GS680" s="35"/>
      <c r="GT680" s="35"/>
      <c r="GU680" s="35"/>
      <c r="GV680" s="35"/>
      <c r="GW680" s="35"/>
      <c r="GX680" s="35"/>
      <c r="GY680" s="35"/>
      <c r="GZ680" s="35"/>
      <c r="HA680" s="35"/>
      <c r="HB680" s="35"/>
      <c r="HC680" s="35"/>
      <c r="HD680" s="35"/>
      <c r="HE680" s="35"/>
      <c r="HF680" s="35"/>
      <c r="HG680" s="35"/>
      <c r="HH680" s="35"/>
      <c r="HI680" s="35"/>
      <c r="HJ680" s="35"/>
      <c r="HK680" s="35"/>
      <c r="HL680" s="35"/>
      <c r="HM680" s="35"/>
      <c r="HN680" s="35"/>
      <c r="HO680" s="35"/>
      <c r="HP680" s="35"/>
      <c r="HQ680" s="35"/>
      <c r="HR680" s="35"/>
      <c r="HS680" s="35"/>
      <c r="HT680" s="35"/>
      <c r="HU680" s="35"/>
      <c r="HV680" s="35"/>
      <c r="HW680" s="35"/>
      <c r="HX680" s="35"/>
      <c r="HY680" s="35"/>
      <c r="HZ680" s="35"/>
      <c r="IA680" s="35"/>
      <c r="IB680" s="35"/>
      <c r="IC680" s="35"/>
      <c r="ID680" s="35"/>
      <c r="IE680" s="35"/>
      <c r="IF680" s="35"/>
      <c r="IG680" s="35"/>
      <c r="IH680" s="35"/>
      <c r="II680" s="35"/>
      <c r="IJ680" s="35"/>
      <c r="IK680" s="35"/>
      <c r="IL680" s="35"/>
      <c r="IM680" s="35"/>
      <c r="IN680" s="35"/>
      <c r="IO680" s="35"/>
      <c r="IP680" s="35"/>
      <c r="IQ680" s="35"/>
      <c r="IR680" s="35"/>
      <c r="IS680" s="35"/>
      <c r="IT680" s="35"/>
      <c r="IU680" s="35"/>
      <c r="IV680" s="35"/>
      <c r="IW680" s="35"/>
      <c r="IX680" s="35"/>
      <c r="IY680" s="35"/>
      <c r="IZ680" s="35"/>
      <c r="JA680" s="35"/>
      <c r="JB680" s="35"/>
      <c r="JC680" s="35"/>
      <c r="JD680" s="35"/>
      <c r="JE680" s="35"/>
    </row>
    <row r="681">
      <c r="A681" s="42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  <c r="AZ681" s="35"/>
      <c r="BA681" s="35"/>
      <c r="BB681" s="35"/>
      <c r="BC681" s="35"/>
      <c r="BD681" s="35"/>
      <c r="BE681" s="35"/>
      <c r="BF681" s="35"/>
      <c r="BG681" s="35"/>
      <c r="BH681" s="35"/>
      <c r="BI681" s="35"/>
      <c r="BJ681" s="35"/>
      <c r="BK681" s="35"/>
      <c r="BL681" s="35"/>
      <c r="BM681" s="35"/>
      <c r="BN681" s="35"/>
      <c r="BO681" s="35"/>
      <c r="BP681" s="35"/>
      <c r="BQ681" s="35"/>
      <c r="BR681" s="35"/>
      <c r="BS681" s="35"/>
      <c r="BT681" s="35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35"/>
      <c r="CO681" s="35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35"/>
      <c r="DJ681" s="35"/>
      <c r="DK681" s="35"/>
      <c r="DL681" s="35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35"/>
      <c r="EE681" s="35"/>
      <c r="EF681" s="35"/>
      <c r="EG681" s="35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35"/>
      <c r="EZ681" s="35"/>
      <c r="FA681" s="35"/>
      <c r="FB681" s="35"/>
      <c r="FC681" s="35"/>
      <c r="FD681" s="35"/>
      <c r="FE681" s="35"/>
      <c r="FF681" s="35"/>
      <c r="FG681" s="35"/>
      <c r="FH681" s="35"/>
      <c r="FI681" s="35"/>
      <c r="FJ681" s="35"/>
      <c r="FK681" s="35"/>
      <c r="FL681" s="35"/>
      <c r="FM681" s="35"/>
      <c r="FN681" s="35"/>
      <c r="FO681" s="35"/>
      <c r="FP681" s="35"/>
      <c r="FQ681" s="35"/>
      <c r="FR681" s="35"/>
      <c r="FS681" s="35"/>
      <c r="FT681" s="35"/>
      <c r="FU681" s="35"/>
      <c r="FV681" s="35"/>
      <c r="FW681" s="35"/>
      <c r="FX681" s="35"/>
      <c r="FY681" s="35"/>
      <c r="FZ681" s="35"/>
      <c r="GA681" s="35"/>
      <c r="GB681" s="35"/>
      <c r="GC681" s="35"/>
      <c r="GD681" s="35"/>
      <c r="GE681" s="35"/>
      <c r="GF681" s="35"/>
      <c r="GG681" s="35"/>
      <c r="GH681" s="35"/>
      <c r="GI681" s="35"/>
      <c r="GJ681" s="35"/>
      <c r="GK681" s="35"/>
      <c r="GL681" s="35"/>
      <c r="GM681" s="35"/>
      <c r="GN681" s="35"/>
      <c r="GO681" s="35"/>
      <c r="GP681" s="35"/>
      <c r="GQ681" s="35"/>
      <c r="GR681" s="35"/>
      <c r="GS681" s="35"/>
      <c r="GT681" s="35"/>
      <c r="GU681" s="35"/>
      <c r="GV681" s="35"/>
      <c r="GW681" s="35"/>
      <c r="GX681" s="35"/>
      <c r="GY681" s="35"/>
      <c r="GZ681" s="35"/>
      <c r="HA681" s="35"/>
      <c r="HB681" s="35"/>
      <c r="HC681" s="35"/>
      <c r="HD681" s="35"/>
      <c r="HE681" s="35"/>
      <c r="HF681" s="35"/>
      <c r="HG681" s="35"/>
      <c r="HH681" s="35"/>
      <c r="HI681" s="35"/>
      <c r="HJ681" s="35"/>
      <c r="HK681" s="35"/>
      <c r="HL681" s="35"/>
      <c r="HM681" s="35"/>
      <c r="HN681" s="35"/>
      <c r="HO681" s="35"/>
      <c r="HP681" s="35"/>
      <c r="HQ681" s="35"/>
      <c r="HR681" s="35"/>
      <c r="HS681" s="35"/>
      <c r="HT681" s="35"/>
      <c r="HU681" s="35"/>
      <c r="HV681" s="35"/>
      <c r="HW681" s="35"/>
      <c r="HX681" s="35"/>
      <c r="HY681" s="35"/>
      <c r="HZ681" s="35"/>
      <c r="IA681" s="35"/>
      <c r="IB681" s="35"/>
      <c r="IC681" s="35"/>
      <c r="ID681" s="35"/>
      <c r="IE681" s="35"/>
      <c r="IF681" s="35"/>
      <c r="IG681" s="35"/>
      <c r="IH681" s="35"/>
      <c r="II681" s="35"/>
      <c r="IJ681" s="35"/>
      <c r="IK681" s="35"/>
      <c r="IL681" s="35"/>
      <c r="IM681" s="35"/>
      <c r="IN681" s="35"/>
      <c r="IO681" s="35"/>
      <c r="IP681" s="35"/>
      <c r="IQ681" s="35"/>
      <c r="IR681" s="35"/>
      <c r="IS681" s="35"/>
      <c r="IT681" s="35"/>
      <c r="IU681" s="35"/>
      <c r="IV681" s="35"/>
      <c r="IW681" s="35"/>
      <c r="IX681" s="35"/>
      <c r="IY681" s="35"/>
      <c r="IZ681" s="35"/>
      <c r="JA681" s="35"/>
      <c r="JB681" s="35"/>
      <c r="JC681" s="35"/>
      <c r="JD681" s="35"/>
      <c r="JE681" s="35"/>
    </row>
    <row r="682">
      <c r="A682" s="42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  <c r="AZ682" s="35"/>
      <c r="BA682" s="35"/>
      <c r="BB682" s="35"/>
      <c r="BC682" s="35"/>
      <c r="BD682" s="35"/>
      <c r="BE682" s="35"/>
      <c r="BF682" s="35"/>
      <c r="BG682" s="35"/>
      <c r="BH682" s="35"/>
      <c r="BI682" s="35"/>
      <c r="BJ682" s="35"/>
      <c r="BK682" s="35"/>
      <c r="BL682" s="35"/>
      <c r="BM682" s="35"/>
      <c r="BN682" s="35"/>
      <c r="BO682" s="35"/>
      <c r="BP682" s="35"/>
      <c r="BQ682" s="35"/>
      <c r="BR682" s="35"/>
      <c r="BS682" s="35"/>
      <c r="BT682" s="35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35"/>
      <c r="CO682" s="35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35"/>
      <c r="DJ682" s="35"/>
      <c r="DK682" s="35"/>
      <c r="DL682" s="35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35"/>
      <c r="EE682" s="35"/>
      <c r="EF682" s="35"/>
      <c r="EG682" s="35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35"/>
      <c r="EZ682" s="35"/>
      <c r="FA682" s="35"/>
      <c r="FB682" s="35"/>
      <c r="FC682" s="35"/>
      <c r="FD682" s="35"/>
      <c r="FE682" s="35"/>
      <c r="FF682" s="35"/>
      <c r="FG682" s="35"/>
      <c r="FH682" s="35"/>
      <c r="FI682" s="35"/>
      <c r="FJ682" s="35"/>
      <c r="FK682" s="35"/>
      <c r="FL682" s="35"/>
      <c r="FM682" s="35"/>
      <c r="FN682" s="35"/>
      <c r="FO682" s="35"/>
      <c r="FP682" s="35"/>
      <c r="FQ682" s="35"/>
      <c r="FR682" s="35"/>
      <c r="FS682" s="35"/>
      <c r="FT682" s="35"/>
      <c r="FU682" s="35"/>
      <c r="FV682" s="35"/>
      <c r="FW682" s="35"/>
      <c r="FX682" s="35"/>
      <c r="FY682" s="35"/>
      <c r="FZ682" s="35"/>
      <c r="GA682" s="35"/>
      <c r="GB682" s="35"/>
      <c r="GC682" s="35"/>
      <c r="GD682" s="35"/>
      <c r="GE682" s="35"/>
      <c r="GF682" s="35"/>
      <c r="GG682" s="35"/>
      <c r="GH682" s="35"/>
      <c r="GI682" s="35"/>
      <c r="GJ682" s="35"/>
      <c r="GK682" s="35"/>
      <c r="GL682" s="35"/>
      <c r="GM682" s="35"/>
      <c r="GN682" s="35"/>
      <c r="GO682" s="35"/>
      <c r="GP682" s="35"/>
      <c r="GQ682" s="35"/>
      <c r="GR682" s="35"/>
      <c r="GS682" s="35"/>
      <c r="GT682" s="35"/>
      <c r="GU682" s="35"/>
      <c r="GV682" s="35"/>
      <c r="GW682" s="35"/>
      <c r="GX682" s="35"/>
      <c r="GY682" s="35"/>
      <c r="GZ682" s="35"/>
      <c r="HA682" s="35"/>
      <c r="HB682" s="35"/>
      <c r="HC682" s="35"/>
      <c r="HD682" s="35"/>
      <c r="HE682" s="35"/>
      <c r="HF682" s="35"/>
      <c r="HG682" s="35"/>
      <c r="HH682" s="35"/>
      <c r="HI682" s="35"/>
      <c r="HJ682" s="35"/>
      <c r="HK682" s="35"/>
      <c r="HL682" s="35"/>
      <c r="HM682" s="35"/>
      <c r="HN682" s="35"/>
      <c r="HO682" s="35"/>
      <c r="HP682" s="35"/>
      <c r="HQ682" s="35"/>
      <c r="HR682" s="35"/>
      <c r="HS682" s="35"/>
      <c r="HT682" s="35"/>
      <c r="HU682" s="35"/>
      <c r="HV682" s="35"/>
      <c r="HW682" s="35"/>
      <c r="HX682" s="35"/>
      <c r="HY682" s="35"/>
      <c r="HZ682" s="35"/>
      <c r="IA682" s="35"/>
      <c r="IB682" s="35"/>
      <c r="IC682" s="35"/>
      <c r="ID682" s="35"/>
      <c r="IE682" s="35"/>
      <c r="IF682" s="35"/>
      <c r="IG682" s="35"/>
      <c r="IH682" s="35"/>
      <c r="II682" s="35"/>
      <c r="IJ682" s="35"/>
      <c r="IK682" s="35"/>
      <c r="IL682" s="35"/>
      <c r="IM682" s="35"/>
      <c r="IN682" s="35"/>
      <c r="IO682" s="35"/>
      <c r="IP682" s="35"/>
      <c r="IQ682" s="35"/>
      <c r="IR682" s="35"/>
      <c r="IS682" s="35"/>
      <c r="IT682" s="35"/>
      <c r="IU682" s="35"/>
      <c r="IV682" s="35"/>
      <c r="IW682" s="35"/>
      <c r="IX682" s="35"/>
      <c r="IY682" s="35"/>
      <c r="IZ682" s="35"/>
      <c r="JA682" s="35"/>
      <c r="JB682" s="35"/>
      <c r="JC682" s="35"/>
      <c r="JD682" s="35"/>
      <c r="JE682" s="35"/>
    </row>
    <row r="683">
      <c r="A683" s="42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  <c r="AZ683" s="35"/>
      <c r="BA683" s="35"/>
      <c r="BB683" s="35"/>
      <c r="BC683" s="35"/>
      <c r="BD683" s="35"/>
      <c r="BE683" s="35"/>
      <c r="BF683" s="35"/>
      <c r="BG683" s="35"/>
      <c r="BH683" s="35"/>
      <c r="BI683" s="35"/>
      <c r="BJ683" s="35"/>
      <c r="BK683" s="35"/>
      <c r="BL683" s="35"/>
      <c r="BM683" s="35"/>
      <c r="BN683" s="35"/>
      <c r="BO683" s="35"/>
      <c r="BP683" s="35"/>
      <c r="BQ683" s="35"/>
      <c r="BR683" s="35"/>
      <c r="BS683" s="35"/>
      <c r="BT683" s="35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35"/>
      <c r="CO683" s="35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35"/>
      <c r="DJ683" s="35"/>
      <c r="DK683" s="35"/>
      <c r="DL683" s="35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35"/>
      <c r="EE683" s="35"/>
      <c r="EF683" s="35"/>
      <c r="EG683" s="35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35"/>
      <c r="EZ683" s="35"/>
      <c r="FA683" s="35"/>
      <c r="FB683" s="35"/>
      <c r="FC683" s="35"/>
      <c r="FD683" s="35"/>
      <c r="FE683" s="35"/>
      <c r="FF683" s="35"/>
      <c r="FG683" s="35"/>
      <c r="FH683" s="35"/>
      <c r="FI683" s="35"/>
      <c r="FJ683" s="35"/>
      <c r="FK683" s="35"/>
      <c r="FL683" s="35"/>
      <c r="FM683" s="35"/>
      <c r="FN683" s="35"/>
      <c r="FO683" s="35"/>
      <c r="FP683" s="35"/>
      <c r="FQ683" s="35"/>
      <c r="FR683" s="35"/>
      <c r="FS683" s="35"/>
      <c r="FT683" s="35"/>
      <c r="FU683" s="35"/>
      <c r="FV683" s="35"/>
      <c r="FW683" s="35"/>
      <c r="FX683" s="35"/>
      <c r="FY683" s="35"/>
      <c r="FZ683" s="35"/>
      <c r="GA683" s="35"/>
      <c r="GB683" s="35"/>
      <c r="GC683" s="35"/>
      <c r="GD683" s="35"/>
      <c r="GE683" s="35"/>
      <c r="GF683" s="35"/>
      <c r="GG683" s="35"/>
      <c r="GH683" s="35"/>
      <c r="GI683" s="35"/>
      <c r="GJ683" s="35"/>
      <c r="GK683" s="35"/>
      <c r="GL683" s="35"/>
      <c r="GM683" s="35"/>
      <c r="GN683" s="35"/>
      <c r="GO683" s="35"/>
      <c r="GP683" s="35"/>
      <c r="GQ683" s="35"/>
      <c r="GR683" s="35"/>
      <c r="GS683" s="35"/>
      <c r="GT683" s="35"/>
      <c r="GU683" s="35"/>
      <c r="GV683" s="35"/>
      <c r="GW683" s="35"/>
      <c r="GX683" s="35"/>
      <c r="GY683" s="35"/>
      <c r="GZ683" s="35"/>
      <c r="HA683" s="35"/>
      <c r="HB683" s="35"/>
      <c r="HC683" s="35"/>
      <c r="HD683" s="35"/>
      <c r="HE683" s="35"/>
      <c r="HF683" s="35"/>
      <c r="HG683" s="35"/>
      <c r="HH683" s="35"/>
      <c r="HI683" s="35"/>
      <c r="HJ683" s="35"/>
      <c r="HK683" s="35"/>
      <c r="HL683" s="35"/>
      <c r="HM683" s="35"/>
      <c r="HN683" s="35"/>
      <c r="HO683" s="35"/>
      <c r="HP683" s="35"/>
      <c r="HQ683" s="35"/>
      <c r="HR683" s="35"/>
      <c r="HS683" s="35"/>
      <c r="HT683" s="35"/>
      <c r="HU683" s="35"/>
      <c r="HV683" s="35"/>
      <c r="HW683" s="35"/>
      <c r="HX683" s="35"/>
      <c r="HY683" s="35"/>
      <c r="HZ683" s="35"/>
      <c r="IA683" s="35"/>
      <c r="IB683" s="35"/>
      <c r="IC683" s="35"/>
      <c r="ID683" s="35"/>
      <c r="IE683" s="35"/>
      <c r="IF683" s="35"/>
      <c r="IG683" s="35"/>
      <c r="IH683" s="35"/>
      <c r="II683" s="35"/>
      <c r="IJ683" s="35"/>
      <c r="IK683" s="35"/>
      <c r="IL683" s="35"/>
      <c r="IM683" s="35"/>
      <c r="IN683" s="35"/>
      <c r="IO683" s="35"/>
      <c r="IP683" s="35"/>
      <c r="IQ683" s="35"/>
      <c r="IR683" s="35"/>
      <c r="IS683" s="35"/>
      <c r="IT683" s="35"/>
      <c r="IU683" s="35"/>
      <c r="IV683" s="35"/>
      <c r="IW683" s="35"/>
      <c r="IX683" s="35"/>
      <c r="IY683" s="35"/>
      <c r="IZ683" s="35"/>
      <c r="JA683" s="35"/>
      <c r="JB683" s="35"/>
      <c r="JC683" s="35"/>
      <c r="JD683" s="35"/>
      <c r="JE683" s="35"/>
    </row>
    <row r="684">
      <c r="A684" s="42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  <c r="AZ684" s="35"/>
      <c r="BA684" s="35"/>
      <c r="BB684" s="35"/>
      <c r="BC684" s="35"/>
      <c r="BD684" s="35"/>
      <c r="BE684" s="35"/>
      <c r="BF684" s="35"/>
      <c r="BG684" s="35"/>
      <c r="BH684" s="35"/>
      <c r="BI684" s="35"/>
      <c r="BJ684" s="35"/>
      <c r="BK684" s="35"/>
      <c r="BL684" s="35"/>
      <c r="BM684" s="35"/>
      <c r="BN684" s="35"/>
      <c r="BO684" s="35"/>
      <c r="BP684" s="35"/>
      <c r="BQ684" s="35"/>
      <c r="BR684" s="35"/>
      <c r="BS684" s="35"/>
      <c r="BT684" s="35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35"/>
      <c r="CO684" s="35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35"/>
      <c r="DJ684" s="35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35"/>
      <c r="EE684" s="35"/>
      <c r="EF684" s="35"/>
      <c r="EG684" s="35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35"/>
      <c r="EZ684" s="35"/>
      <c r="FA684" s="35"/>
      <c r="FB684" s="35"/>
      <c r="FC684" s="35"/>
      <c r="FD684" s="35"/>
      <c r="FE684" s="35"/>
      <c r="FF684" s="35"/>
      <c r="FG684" s="35"/>
      <c r="FH684" s="35"/>
      <c r="FI684" s="35"/>
      <c r="FJ684" s="35"/>
      <c r="FK684" s="35"/>
      <c r="FL684" s="35"/>
      <c r="FM684" s="35"/>
      <c r="FN684" s="35"/>
      <c r="FO684" s="35"/>
      <c r="FP684" s="35"/>
      <c r="FQ684" s="35"/>
      <c r="FR684" s="35"/>
      <c r="FS684" s="35"/>
      <c r="FT684" s="35"/>
      <c r="FU684" s="35"/>
      <c r="FV684" s="35"/>
      <c r="FW684" s="35"/>
      <c r="FX684" s="35"/>
      <c r="FY684" s="35"/>
      <c r="FZ684" s="35"/>
      <c r="GA684" s="35"/>
      <c r="GB684" s="35"/>
      <c r="GC684" s="35"/>
      <c r="GD684" s="35"/>
      <c r="GE684" s="35"/>
      <c r="GF684" s="35"/>
      <c r="GG684" s="35"/>
      <c r="GH684" s="35"/>
      <c r="GI684" s="35"/>
      <c r="GJ684" s="35"/>
      <c r="GK684" s="35"/>
      <c r="GL684" s="35"/>
      <c r="GM684" s="35"/>
      <c r="GN684" s="35"/>
      <c r="GO684" s="35"/>
      <c r="GP684" s="35"/>
      <c r="GQ684" s="35"/>
      <c r="GR684" s="35"/>
      <c r="GS684" s="35"/>
      <c r="GT684" s="35"/>
      <c r="GU684" s="35"/>
      <c r="GV684" s="35"/>
      <c r="GW684" s="35"/>
      <c r="GX684" s="35"/>
      <c r="GY684" s="35"/>
      <c r="GZ684" s="35"/>
      <c r="HA684" s="35"/>
      <c r="HB684" s="35"/>
      <c r="HC684" s="35"/>
      <c r="HD684" s="35"/>
      <c r="HE684" s="35"/>
      <c r="HF684" s="35"/>
      <c r="HG684" s="35"/>
      <c r="HH684" s="35"/>
      <c r="HI684" s="35"/>
      <c r="HJ684" s="35"/>
      <c r="HK684" s="35"/>
      <c r="HL684" s="35"/>
      <c r="HM684" s="35"/>
      <c r="HN684" s="35"/>
      <c r="HO684" s="35"/>
      <c r="HP684" s="35"/>
      <c r="HQ684" s="35"/>
      <c r="HR684" s="35"/>
      <c r="HS684" s="35"/>
      <c r="HT684" s="35"/>
      <c r="HU684" s="35"/>
      <c r="HV684" s="35"/>
      <c r="HW684" s="35"/>
      <c r="HX684" s="35"/>
      <c r="HY684" s="35"/>
      <c r="HZ684" s="35"/>
      <c r="IA684" s="35"/>
      <c r="IB684" s="35"/>
      <c r="IC684" s="35"/>
      <c r="ID684" s="35"/>
      <c r="IE684" s="35"/>
      <c r="IF684" s="35"/>
      <c r="IG684" s="35"/>
      <c r="IH684" s="35"/>
      <c r="II684" s="35"/>
      <c r="IJ684" s="35"/>
      <c r="IK684" s="35"/>
      <c r="IL684" s="35"/>
      <c r="IM684" s="35"/>
      <c r="IN684" s="35"/>
      <c r="IO684" s="35"/>
      <c r="IP684" s="35"/>
      <c r="IQ684" s="35"/>
      <c r="IR684" s="35"/>
      <c r="IS684" s="35"/>
      <c r="IT684" s="35"/>
      <c r="IU684" s="35"/>
      <c r="IV684" s="35"/>
      <c r="IW684" s="35"/>
      <c r="IX684" s="35"/>
      <c r="IY684" s="35"/>
      <c r="IZ684" s="35"/>
      <c r="JA684" s="35"/>
      <c r="JB684" s="35"/>
      <c r="JC684" s="35"/>
      <c r="JD684" s="35"/>
      <c r="JE684" s="35"/>
    </row>
    <row r="685">
      <c r="A685" s="42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  <c r="AZ685" s="35"/>
      <c r="BA685" s="35"/>
      <c r="BB685" s="35"/>
      <c r="BC685" s="35"/>
      <c r="BD685" s="35"/>
      <c r="BE685" s="35"/>
      <c r="BF685" s="35"/>
      <c r="BG685" s="35"/>
      <c r="BH685" s="35"/>
      <c r="BI685" s="35"/>
      <c r="BJ685" s="35"/>
      <c r="BK685" s="35"/>
      <c r="BL685" s="35"/>
      <c r="BM685" s="35"/>
      <c r="BN685" s="35"/>
      <c r="BO685" s="35"/>
      <c r="BP685" s="35"/>
      <c r="BQ685" s="35"/>
      <c r="BR685" s="35"/>
      <c r="BS685" s="35"/>
      <c r="BT685" s="35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35"/>
      <c r="CO685" s="35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35"/>
      <c r="DJ685" s="35"/>
      <c r="DK685" s="35"/>
      <c r="DL685" s="35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35"/>
      <c r="EE685" s="35"/>
      <c r="EF685" s="35"/>
      <c r="EG685" s="35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35"/>
      <c r="EZ685" s="35"/>
      <c r="FA685" s="35"/>
      <c r="FB685" s="35"/>
      <c r="FC685" s="35"/>
      <c r="FD685" s="35"/>
      <c r="FE685" s="35"/>
      <c r="FF685" s="35"/>
      <c r="FG685" s="35"/>
      <c r="FH685" s="35"/>
      <c r="FI685" s="35"/>
      <c r="FJ685" s="35"/>
      <c r="FK685" s="35"/>
      <c r="FL685" s="35"/>
      <c r="FM685" s="35"/>
      <c r="FN685" s="35"/>
      <c r="FO685" s="35"/>
      <c r="FP685" s="35"/>
      <c r="FQ685" s="35"/>
      <c r="FR685" s="35"/>
      <c r="FS685" s="35"/>
      <c r="FT685" s="35"/>
      <c r="FU685" s="35"/>
      <c r="FV685" s="35"/>
      <c r="FW685" s="35"/>
      <c r="FX685" s="35"/>
      <c r="FY685" s="35"/>
      <c r="FZ685" s="35"/>
      <c r="GA685" s="35"/>
      <c r="GB685" s="35"/>
      <c r="GC685" s="35"/>
      <c r="GD685" s="35"/>
      <c r="GE685" s="35"/>
      <c r="GF685" s="35"/>
      <c r="GG685" s="35"/>
      <c r="GH685" s="35"/>
      <c r="GI685" s="35"/>
      <c r="GJ685" s="35"/>
      <c r="GK685" s="35"/>
      <c r="GL685" s="35"/>
      <c r="GM685" s="35"/>
      <c r="GN685" s="35"/>
      <c r="GO685" s="35"/>
      <c r="GP685" s="35"/>
      <c r="GQ685" s="35"/>
      <c r="GR685" s="35"/>
      <c r="GS685" s="35"/>
      <c r="GT685" s="35"/>
      <c r="GU685" s="35"/>
      <c r="GV685" s="35"/>
      <c r="GW685" s="35"/>
      <c r="GX685" s="35"/>
      <c r="GY685" s="35"/>
      <c r="GZ685" s="35"/>
      <c r="HA685" s="35"/>
      <c r="HB685" s="35"/>
      <c r="HC685" s="35"/>
      <c r="HD685" s="35"/>
      <c r="HE685" s="35"/>
      <c r="HF685" s="35"/>
      <c r="HG685" s="35"/>
      <c r="HH685" s="35"/>
      <c r="HI685" s="35"/>
      <c r="HJ685" s="35"/>
      <c r="HK685" s="35"/>
      <c r="HL685" s="35"/>
      <c r="HM685" s="35"/>
      <c r="HN685" s="35"/>
      <c r="HO685" s="35"/>
      <c r="HP685" s="35"/>
      <c r="HQ685" s="35"/>
      <c r="HR685" s="35"/>
      <c r="HS685" s="35"/>
      <c r="HT685" s="35"/>
      <c r="HU685" s="35"/>
      <c r="HV685" s="35"/>
      <c r="HW685" s="35"/>
      <c r="HX685" s="35"/>
      <c r="HY685" s="35"/>
      <c r="HZ685" s="35"/>
      <c r="IA685" s="35"/>
      <c r="IB685" s="35"/>
      <c r="IC685" s="35"/>
      <c r="ID685" s="35"/>
      <c r="IE685" s="35"/>
      <c r="IF685" s="35"/>
      <c r="IG685" s="35"/>
      <c r="IH685" s="35"/>
      <c r="II685" s="35"/>
      <c r="IJ685" s="35"/>
      <c r="IK685" s="35"/>
      <c r="IL685" s="35"/>
      <c r="IM685" s="35"/>
      <c r="IN685" s="35"/>
      <c r="IO685" s="35"/>
      <c r="IP685" s="35"/>
      <c r="IQ685" s="35"/>
      <c r="IR685" s="35"/>
      <c r="IS685" s="35"/>
      <c r="IT685" s="35"/>
      <c r="IU685" s="35"/>
      <c r="IV685" s="35"/>
      <c r="IW685" s="35"/>
      <c r="IX685" s="35"/>
      <c r="IY685" s="35"/>
      <c r="IZ685" s="35"/>
      <c r="JA685" s="35"/>
      <c r="JB685" s="35"/>
      <c r="JC685" s="35"/>
      <c r="JD685" s="35"/>
      <c r="JE685" s="35"/>
    </row>
    <row r="686">
      <c r="A686" s="42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  <c r="AZ686" s="35"/>
      <c r="BA686" s="35"/>
      <c r="BB686" s="35"/>
      <c r="BC686" s="35"/>
      <c r="BD686" s="35"/>
      <c r="BE686" s="35"/>
      <c r="BF686" s="35"/>
      <c r="BG686" s="35"/>
      <c r="BH686" s="35"/>
      <c r="BI686" s="35"/>
      <c r="BJ686" s="35"/>
      <c r="BK686" s="35"/>
      <c r="BL686" s="35"/>
      <c r="BM686" s="35"/>
      <c r="BN686" s="35"/>
      <c r="BO686" s="35"/>
      <c r="BP686" s="35"/>
      <c r="BQ686" s="35"/>
      <c r="BR686" s="35"/>
      <c r="BS686" s="35"/>
      <c r="BT686" s="35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35"/>
      <c r="CO686" s="35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35"/>
      <c r="DJ686" s="35"/>
      <c r="DK686" s="35"/>
      <c r="DL686" s="35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35"/>
      <c r="EE686" s="35"/>
      <c r="EF686" s="35"/>
      <c r="EG686" s="35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35"/>
      <c r="EZ686" s="35"/>
      <c r="FA686" s="35"/>
      <c r="FB686" s="35"/>
      <c r="FC686" s="35"/>
      <c r="FD686" s="35"/>
      <c r="FE686" s="35"/>
      <c r="FF686" s="35"/>
      <c r="FG686" s="35"/>
      <c r="FH686" s="35"/>
      <c r="FI686" s="35"/>
      <c r="FJ686" s="35"/>
      <c r="FK686" s="35"/>
      <c r="FL686" s="35"/>
      <c r="FM686" s="35"/>
      <c r="FN686" s="35"/>
      <c r="FO686" s="35"/>
      <c r="FP686" s="35"/>
      <c r="FQ686" s="35"/>
      <c r="FR686" s="35"/>
      <c r="FS686" s="35"/>
      <c r="FT686" s="35"/>
      <c r="FU686" s="35"/>
      <c r="FV686" s="35"/>
      <c r="FW686" s="35"/>
      <c r="FX686" s="35"/>
      <c r="FY686" s="35"/>
      <c r="FZ686" s="35"/>
      <c r="GA686" s="35"/>
      <c r="GB686" s="35"/>
      <c r="GC686" s="35"/>
      <c r="GD686" s="35"/>
      <c r="GE686" s="35"/>
      <c r="GF686" s="35"/>
      <c r="GG686" s="35"/>
      <c r="GH686" s="35"/>
      <c r="GI686" s="35"/>
      <c r="GJ686" s="35"/>
      <c r="GK686" s="35"/>
      <c r="GL686" s="35"/>
      <c r="GM686" s="35"/>
      <c r="GN686" s="35"/>
      <c r="GO686" s="35"/>
      <c r="GP686" s="35"/>
      <c r="GQ686" s="35"/>
      <c r="GR686" s="35"/>
      <c r="GS686" s="35"/>
      <c r="GT686" s="35"/>
      <c r="GU686" s="35"/>
      <c r="GV686" s="35"/>
      <c r="GW686" s="35"/>
      <c r="GX686" s="35"/>
      <c r="GY686" s="35"/>
      <c r="GZ686" s="35"/>
      <c r="HA686" s="35"/>
      <c r="HB686" s="35"/>
      <c r="HC686" s="35"/>
      <c r="HD686" s="35"/>
      <c r="HE686" s="35"/>
      <c r="HF686" s="35"/>
      <c r="HG686" s="35"/>
      <c r="HH686" s="35"/>
      <c r="HI686" s="35"/>
      <c r="HJ686" s="35"/>
      <c r="HK686" s="35"/>
      <c r="HL686" s="35"/>
      <c r="HM686" s="35"/>
      <c r="HN686" s="35"/>
      <c r="HO686" s="35"/>
      <c r="HP686" s="35"/>
      <c r="HQ686" s="35"/>
      <c r="HR686" s="35"/>
      <c r="HS686" s="35"/>
      <c r="HT686" s="35"/>
      <c r="HU686" s="35"/>
      <c r="HV686" s="35"/>
      <c r="HW686" s="35"/>
      <c r="HX686" s="35"/>
      <c r="HY686" s="35"/>
      <c r="HZ686" s="35"/>
      <c r="IA686" s="35"/>
      <c r="IB686" s="35"/>
      <c r="IC686" s="35"/>
      <c r="ID686" s="35"/>
      <c r="IE686" s="35"/>
      <c r="IF686" s="35"/>
      <c r="IG686" s="35"/>
      <c r="IH686" s="35"/>
      <c r="II686" s="35"/>
      <c r="IJ686" s="35"/>
      <c r="IK686" s="35"/>
      <c r="IL686" s="35"/>
      <c r="IM686" s="35"/>
      <c r="IN686" s="35"/>
      <c r="IO686" s="35"/>
      <c r="IP686" s="35"/>
      <c r="IQ686" s="35"/>
      <c r="IR686" s="35"/>
      <c r="IS686" s="35"/>
      <c r="IT686" s="35"/>
      <c r="IU686" s="35"/>
      <c r="IV686" s="35"/>
      <c r="IW686" s="35"/>
      <c r="IX686" s="35"/>
      <c r="IY686" s="35"/>
      <c r="IZ686" s="35"/>
      <c r="JA686" s="35"/>
      <c r="JB686" s="35"/>
      <c r="JC686" s="35"/>
      <c r="JD686" s="35"/>
      <c r="JE686" s="35"/>
    </row>
    <row r="687">
      <c r="A687" s="42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  <c r="AZ687" s="35"/>
      <c r="BA687" s="35"/>
      <c r="BB687" s="35"/>
      <c r="BC687" s="35"/>
      <c r="BD687" s="35"/>
      <c r="BE687" s="35"/>
      <c r="BF687" s="35"/>
      <c r="BG687" s="35"/>
      <c r="BH687" s="35"/>
      <c r="BI687" s="35"/>
      <c r="BJ687" s="35"/>
      <c r="BK687" s="35"/>
      <c r="BL687" s="35"/>
      <c r="BM687" s="35"/>
      <c r="BN687" s="35"/>
      <c r="BO687" s="35"/>
      <c r="BP687" s="35"/>
      <c r="BQ687" s="35"/>
      <c r="BR687" s="35"/>
      <c r="BS687" s="35"/>
      <c r="BT687" s="35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35"/>
      <c r="CO687" s="35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35"/>
      <c r="DJ687" s="35"/>
      <c r="DK687" s="35"/>
      <c r="DL687" s="35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35"/>
      <c r="EE687" s="35"/>
      <c r="EF687" s="35"/>
      <c r="EG687" s="35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35"/>
      <c r="EZ687" s="35"/>
      <c r="FA687" s="35"/>
      <c r="FB687" s="35"/>
      <c r="FC687" s="35"/>
      <c r="FD687" s="35"/>
      <c r="FE687" s="35"/>
      <c r="FF687" s="35"/>
      <c r="FG687" s="35"/>
      <c r="FH687" s="35"/>
      <c r="FI687" s="35"/>
      <c r="FJ687" s="35"/>
      <c r="FK687" s="35"/>
      <c r="FL687" s="35"/>
      <c r="FM687" s="35"/>
      <c r="FN687" s="35"/>
      <c r="FO687" s="35"/>
      <c r="FP687" s="35"/>
      <c r="FQ687" s="35"/>
      <c r="FR687" s="35"/>
      <c r="FS687" s="35"/>
      <c r="FT687" s="35"/>
      <c r="FU687" s="35"/>
      <c r="FV687" s="35"/>
      <c r="FW687" s="35"/>
      <c r="FX687" s="35"/>
      <c r="FY687" s="35"/>
      <c r="FZ687" s="35"/>
      <c r="GA687" s="35"/>
      <c r="GB687" s="35"/>
      <c r="GC687" s="35"/>
      <c r="GD687" s="35"/>
      <c r="GE687" s="35"/>
      <c r="GF687" s="35"/>
      <c r="GG687" s="35"/>
      <c r="GH687" s="35"/>
      <c r="GI687" s="35"/>
      <c r="GJ687" s="35"/>
      <c r="GK687" s="35"/>
      <c r="GL687" s="35"/>
      <c r="GM687" s="35"/>
      <c r="GN687" s="35"/>
      <c r="GO687" s="35"/>
      <c r="GP687" s="35"/>
      <c r="GQ687" s="35"/>
      <c r="GR687" s="35"/>
      <c r="GS687" s="35"/>
      <c r="GT687" s="35"/>
      <c r="GU687" s="35"/>
      <c r="GV687" s="35"/>
      <c r="GW687" s="35"/>
      <c r="GX687" s="35"/>
      <c r="GY687" s="35"/>
      <c r="GZ687" s="35"/>
      <c r="HA687" s="35"/>
      <c r="HB687" s="35"/>
      <c r="HC687" s="35"/>
      <c r="HD687" s="35"/>
      <c r="HE687" s="35"/>
      <c r="HF687" s="35"/>
      <c r="HG687" s="35"/>
      <c r="HH687" s="35"/>
      <c r="HI687" s="35"/>
      <c r="HJ687" s="35"/>
      <c r="HK687" s="35"/>
      <c r="HL687" s="35"/>
      <c r="HM687" s="35"/>
      <c r="HN687" s="35"/>
      <c r="HO687" s="35"/>
      <c r="HP687" s="35"/>
      <c r="HQ687" s="35"/>
      <c r="HR687" s="35"/>
      <c r="HS687" s="35"/>
      <c r="HT687" s="35"/>
      <c r="HU687" s="35"/>
      <c r="HV687" s="35"/>
      <c r="HW687" s="35"/>
      <c r="HX687" s="35"/>
      <c r="HY687" s="35"/>
      <c r="HZ687" s="35"/>
      <c r="IA687" s="35"/>
      <c r="IB687" s="35"/>
      <c r="IC687" s="35"/>
      <c r="ID687" s="35"/>
      <c r="IE687" s="35"/>
      <c r="IF687" s="35"/>
      <c r="IG687" s="35"/>
      <c r="IH687" s="35"/>
      <c r="II687" s="35"/>
      <c r="IJ687" s="35"/>
      <c r="IK687" s="35"/>
      <c r="IL687" s="35"/>
      <c r="IM687" s="35"/>
      <c r="IN687" s="35"/>
      <c r="IO687" s="35"/>
      <c r="IP687" s="35"/>
      <c r="IQ687" s="35"/>
      <c r="IR687" s="35"/>
      <c r="IS687" s="35"/>
      <c r="IT687" s="35"/>
      <c r="IU687" s="35"/>
      <c r="IV687" s="35"/>
      <c r="IW687" s="35"/>
      <c r="IX687" s="35"/>
      <c r="IY687" s="35"/>
      <c r="IZ687" s="35"/>
      <c r="JA687" s="35"/>
      <c r="JB687" s="35"/>
      <c r="JC687" s="35"/>
      <c r="JD687" s="35"/>
      <c r="JE687" s="35"/>
    </row>
    <row r="688">
      <c r="A688" s="42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  <c r="AZ688" s="35"/>
      <c r="BA688" s="35"/>
      <c r="BB688" s="35"/>
      <c r="BC688" s="35"/>
      <c r="BD688" s="35"/>
      <c r="BE688" s="35"/>
      <c r="BF688" s="35"/>
      <c r="BG688" s="35"/>
      <c r="BH688" s="35"/>
      <c r="BI688" s="35"/>
      <c r="BJ688" s="35"/>
      <c r="BK688" s="35"/>
      <c r="BL688" s="35"/>
      <c r="BM688" s="35"/>
      <c r="BN688" s="35"/>
      <c r="BO688" s="35"/>
      <c r="BP688" s="35"/>
      <c r="BQ688" s="35"/>
      <c r="BR688" s="35"/>
      <c r="BS688" s="35"/>
      <c r="BT688" s="35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35"/>
      <c r="CO688" s="35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35"/>
      <c r="DJ688" s="35"/>
      <c r="DK688" s="35"/>
      <c r="DL688" s="35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35"/>
      <c r="EE688" s="35"/>
      <c r="EF688" s="35"/>
      <c r="EG688" s="35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35"/>
      <c r="EZ688" s="35"/>
      <c r="FA688" s="35"/>
      <c r="FB688" s="35"/>
      <c r="FC688" s="35"/>
      <c r="FD688" s="35"/>
      <c r="FE688" s="35"/>
      <c r="FF688" s="35"/>
      <c r="FG688" s="35"/>
      <c r="FH688" s="35"/>
      <c r="FI688" s="35"/>
      <c r="FJ688" s="35"/>
      <c r="FK688" s="35"/>
      <c r="FL688" s="35"/>
      <c r="FM688" s="35"/>
      <c r="FN688" s="35"/>
      <c r="FO688" s="35"/>
      <c r="FP688" s="35"/>
      <c r="FQ688" s="35"/>
      <c r="FR688" s="35"/>
      <c r="FS688" s="35"/>
      <c r="FT688" s="35"/>
      <c r="FU688" s="35"/>
      <c r="FV688" s="35"/>
      <c r="FW688" s="35"/>
      <c r="FX688" s="35"/>
      <c r="FY688" s="35"/>
      <c r="FZ688" s="35"/>
      <c r="GA688" s="35"/>
      <c r="GB688" s="35"/>
      <c r="GC688" s="35"/>
      <c r="GD688" s="35"/>
      <c r="GE688" s="35"/>
      <c r="GF688" s="35"/>
      <c r="GG688" s="35"/>
      <c r="GH688" s="35"/>
      <c r="GI688" s="35"/>
      <c r="GJ688" s="35"/>
      <c r="GK688" s="35"/>
      <c r="GL688" s="35"/>
      <c r="GM688" s="35"/>
      <c r="GN688" s="35"/>
      <c r="GO688" s="35"/>
      <c r="GP688" s="35"/>
      <c r="GQ688" s="35"/>
      <c r="GR688" s="35"/>
      <c r="GS688" s="35"/>
      <c r="GT688" s="35"/>
      <c r="GU688" s="35"/>
      <c r="GV688" s="35"/>
      <c r="GW688" s="35"/>
      <c r="GX688" s="35"/>
      <c r="GY688" s="35"/>
      <c r="GZ688" s="35"/>
      <c r="HA688" s="35"/>
      <c r="HB688" s="35"/>
      <c r="HC688" s="35"/>
      <c r="HD688" s="35"/>
      <c r="HE688" s="35"/>
      <c r="HF688" s="35"/>
      <c r="HG688" s="35"/>
      <c r="HH688" s="35"/>
      <c r="HI688" s="35"/>
      <c r="HJ688" s="35"/>
      <c r="HK688" s="35"/>
      <c r="HL688" s="35"/>
      <c r="HM688" s="35"/>
      <c r="HN688" s="35"/>
      <c r="HO688" s="35"/>
      <c r="HP688" s="35"/>
      <c r="HQ688" s="35"/>
      <c r="HR688" s="35"/>
      <c r="HS688" s="35"/>
      <c r="HT688" s="35"/>
      <c r="HU688" s="35"/>
      <c r="HV688" s="35"/>
      <c r="HW688" s="35"/>
      <c r="HX688" s="35"/>
      <c r="HY688" s="35"/>
      <c r="HZ688" s="35"/>
      <c r="IA688" s="35"/>
      <c r="IB688" s="35"/>
      <c r="IC688" s="35"/>
      <c r="ID688" s="35"/>
      <c r="IE688" s="35"/>
      <c r="IF688" s="35"/>
      <c r="IG688" s="35"/>
      <c r="IH688" s="35"/>
      <c r="II688" s="35"/>
      <c r="IJ688" s="35"/>
      <c r="IK688" s="35"/>
      <c r="IL688" s="35"/>
      <c r="IM688" s="35"/>
      <c r="IN688" s="35"/>
      <c r="IO688" s="35"/>
      <c r="IP688" s="35"/>
      <c r="IQ688" s="35"/>
      <c r="IR688" s="35"/>
      <c r="IS688" s="35"/>
      <c r="IT688" s="35"/>
      <c r="IU688" s="35"/>
      <c r="IV688" s="35"/>
      <c r="IW688" s="35"/>
      <c r="IX688" s="35"/>
      <c r="IY688" s="35"/>
      <c r="IZ688" s="35"/>
      <c r="JA688" s="35"/>
      <c r="JB688" s="35"/>
      <c r="JC688" s="35"/>
      <c r="JD688" s="35"/>
      <c r="JE688" s="35"/>
    </row>
    <row r="689">
      <c r="A689" s="42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  <c r="AZ689" s="35"/>
      <c r="BA689" s="35"/>
      <c r="BB689" s="35"/>
      <c r="BC689" s="35"/>
      <c r="BD689" s="35"/>
      <c r="BE689" s="35"/>
      <c r="BF689" s="35"/>
      <c r="BG689" s="35"/>
      <c r="BH689" s="35"/>
      <c r="BI689" s="35"/>
      <c r="BJ689" s="35"/>
      <c r="BK689" s="35"/>
      <c r="BL689" s="35"/>
      <c r="BM689" s="35"/>
      <c r="BN689" s="35"/>
      <c r="BO689" s="35"/>
      <c r="BP689" s="35"/>
      <c r="BQ689" s="35"/>
      <c r="BR689" s="35"/>
      <c r="BS689" s="35"/>
      <c r="BT689" s="35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35"/>
      <c r="CO689" s="35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35"/>
      <c r="DJ689" s="35"/>
      <c r="DK689" s="35"/>
      <c r="DL689" s="35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35"/>
      <c r="EE689" s="35"/>
      <c r="EF689" s="35"/>
      <c r="EG689" s="35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35"/>
      <c r="EZ689" s="35"/>
      <c r="FA689" s="35"/>
      <c r="FB689" s="35"/>
      <c r="FC689" s="35"/>
      <c r="FD689" s="35"/>
      <c r="FE689" s="35"/>
      <c r="FF689" s="35"/>
      <c r="FG689" s="35"/>
      <c r="FH689" s="35"/>
      <c r="FI689" s="35"/>
      <c r="FJ689" s="35"/>
      <c r="FK689" s="35"/>
      <c r="FL689" s="35"/>
      <c r="FM689" s="35"/>
      <c r="FN689" s="35"/>
      <c r="FO689" s="35"/>
      <c r="FP689" s="35"/>
      <c r="FQ689" s="35"/>
      <c r="FR689" s="35"/>
      <c r="FS689" s="35"/>
      <c r="FT689" s="35"/>
      <c r="FU689" s="35"/>
      <c r="FV689" s="35"/>
      <c r="FW689" s="35"/>
      <c r="FX689" s="35"/>
      <c r="FY689" s="35"/>
      <c r="FZ689" s="35"/>
      <c r="GA689" s="35"/>
      <c r="GB689" s="35"/>
      <c r="GC689" s="35"/>
      <c r="GD689" s="35"/>
      <c r="GE689" s="35"/>
      <c r="GF689" s="35"/>
      <c r="GG689" s="35"/>
      <c r="GH689" s="35"/>
      <c r="GI689" s="35"/>
      <c r="GJ689" s="35"/>
      <c r="GK689" s="35"/>
      <c r="GL689" s="35"/>
      <c r="GM689" s="35"/>
      <c r="GN689" s="35"/>
      <c r="GO689" s="35"/>
      <c r="GP689" s="35"/>
      <c r="GQ689" s="35"/>
      <c r="GR689" s="35"/>
      <c r="GS689" s="35"/>
      <c r="GT689" s="35"/>
      <c r="GU689" s="35"/>
      <c r="GV689" s="35"/>
      <c r="GW689" s="35"/>
      <c r="GX689" s="35"/>
      <c r="GY689" s="35"/>
      <c r="GZ689" s="35"/>
      <c r="HA689" s="35"/>
      <c r="HB689" s="35"/>
      <c r="HC689" s="35"/>
      <c r="HD689" s="35"/>
      <c r="HE689" s="35"/>
      <c r="HF689" s="35"/>
      <c r="HG689" s="35"/>
      <c r="HH689" s="35"/>
      <c r="HI689" s="35"/>
      <c r="HJ689" s="35"/>
      <c r="HK689" s="35"/>
      <c r="HL689" s="35"/>
      <c r="HM689" s="35"/>
      <c r="HN689" s="35"/>
      <c r="HO689" s="35"/>
      <c r="HP689" s="35"/>
      <c r="HQ689" s="35"/>
      <c r="HR689" s="35"/>
      <c r="HS689" s="35"/>
      <c r="HT689" s="35"/>
      <c r="HU689" s="35"/>
      <c r="HV689" s="35"/>
      <c r="HW689" s="35"/>
      <c r="HX689" s="35"/>
      <c r="HY689" s="35"/>
      <c r="HZ689" s="35"/>
      <c r="IA689" s="35"/>
      <c r="IB689" s="35"/>
      <c r="IC689" s="35"/>
      <c r="ID689" s="35"/>
      <c r="IE689" s="35"/>
      <c r="IF689" s="35"/>
      <c r="IG689" s="35"/>
      <c r="IH689" s="35"/>
      <c r="II689" s="35"/>
      <c r="IJ689" s="35"/>
      <c r="IK689" s="35"/>
      <c r="IL689" s="35"/>
      <c r="IM689" s="35"/>
      <c r="IN689" s="35"/>
      <c r="IO689" s="35"/>
      <c r="IP689" s="35"/>
      <c r="IQ689" s="35"/>
      <c r="IR689" s="35"/>
      <c r="IS689" s="35"/>
      <c r="IT689" s="35"/>
      <c r="IU689" s="35"/>
      <c r="IV689" s="35"/>
      <c r="IW689" s="35"/>
      <c r="IX689" s="35"/>
      <c r="IY689" s="35"/>
      <c r="IZ689" s="35"/>
      <c r="JA689" s="35"/>
      <c r="JB689" s="35"/>
      <c r="JC689" s="35"/>
      <c r="JD689" s="35"/>
      <c r="JE689" s="35"/>
    </row>
    <row r="690">
      <c r="A690" s="42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  <c r="AZ690" s="35"/>
      <c r="BA690" s="35"/>
      <c r="BB690" s="35"/>
      <c r="BC690" s="35"/>
      <c r="BD690" s="35"/>
      <c r="BE690" s="35"/>
      <c r="BF690" s="35"/>
      <c r="BG690" s="35"/>
      <c r="BH690" s="35"/>
      <c r="BI690" s="35"/>
      <c r="BJ690" s="35"/>
      <c r="BK690" s="35"/>
      <c r="BL690" s="35"/>
      <c r="BM690" s="35"/>
      <c r="BN690" s="35"/>
      <c r="BO690" s="35"/>
      <c r="BP690" s="35"/>
      <c r="BQ690" s="35"/>
      <c r="BR690" s="35"/>
      <c r="BS690" s="35"/>
      <c r="BT690" s="35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35"/>
      <c r="CO690" s="35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35"/>
      <c r="DJ690" s="35"/>
      <c r="DK690" s="35"/>
      <c r="DL690" s="35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35"/>
      <c r="EE690" s="35"/>
      <c r="EF690" s="35"/>
      <c r="EG690" s="35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35"/>
      <c r="EZ690" s="35"/>
      <c r="FA690" s="35"/>
      <c r="FB690" s="35"/>
      <c r="FC690" s="35"/>
      <c r="FD690" s="35"/>
      <c r="FE690" s="35"/>
      <c r="FF690" s="35"/>
      <c r="FG690" s="35"/>
      <c r="FH690" s="35"/>
      <c r="FI690" s="35"/>
      <c r="FJ690" s="35"/>
      <c r="FK690" s="35"/>
      <c r="FL690" s="35"/>
      <c r="FM690" s="35"/>
      <c r="FN690" s="35"/>
      <c r="FO690" s="35"/>
      <c r="FP690" s="35"/>
      <c r="FQ690" s="35"/>
      <c r="FR690" s="35"/>
      <c r="FS690" s="35"/>
      <c r="FT690" s="35"/>
      <c r="FU690" s="35"/>
      <c r="FV690" s="35"/>
      <c r="FW690" s="35"/>
      <c r="FX690" s="35"/>
      <c r="FY690" s="35"/>
      <c r="FZ690" s="35"/>
      <c r="GA690" s="35"/>
      <c r="GB690" s="35"/>
      <c r="GC690" s="35"/>
      <c r="GD690" s="35"/>
      <c r="GE690" s="35"/>
      <c r="GF690" s="35"/>
      <c r="GG690" s="35"/>
      <c r="GH690" s="35"/>
      <c r="GI690" s="35"/>
      <c r="GJ690" s="35"/>
      <c r="GK690" s="35"/>
      <c r="GL690" s="35"/>
      <c r="GM690" s="35"/>
      <c r="GN690" s="35"/>
      <c r="GO690" s="35"/>
      <c r="GP690" s="35"/>
      <c r="GQ690" s="35"/>
      <c r="GR690" s="35"/>
      <c r="GS690" s="35"/>
      <c r="GT690" s="35"/>
      <c r="GU690" s="35"/>
      <c r="GV690" s="35"/>
      <c r="GW690" s="35"/>
      <c r="GX690" s="35"/>
      <c r="GY690" s="35"/>
      <c r="GZ690" s="35"/>
      <c r="HA690" s="35"/>
      <c r="HB690" s="35"/>
      <c r="HC690" s="35"/>
      <c r="HD690" s="35"/>
      <c r="HE690" s="35"/>
      <c r="HF690" s="35"/>
      <c r="HG690" s="35"/>
      <c r="HH690" s="35"/>
      <c r="HI690" s="35"/>
      <c r="HJ690" s="35"/>
      <c r="HK690" s="35"/>
      <c r="HL690" s="35"/>
      <c r="HM690" s="35"/>
      <c r="HN690" s="35"/>
      <c r="HO690" s="35"/>
      <c r="HP690" s="35"/>
      <c r="HQ690" s="35"/>
      <c r="HR690" s="35"/>
      <c r="HS690" s="35"/>
      <c r="HT690" s="35"/>
      <c r="HU690" s="35"/>
      <c r="HV690" s="35"/>
      <c r="HW690" s="35"/>
      <c r="HX690" s="35"/>
      <c r="HY690" s="35"/>
      <c r="HZ690" s="35"/>
      <c r="IA690" s="35"/>
      <c r="IB690" s="35"/>
      <c r="IC690" s="35"/>
      <c r="ID690" s="35"/>
      <c r="IE690" s="35"/>
      <c r="IF690" s="35"/>
      <c r="IG690" s="35"/>
      <c r="IH690" s="35"/>
      <c r="II690" s="35"/>
      <c r="IJ690" s="35"/>
      <c r="IK690" s="35"/>
      <c r="IL690" s="35"/>
      <c r="IM690" s="35"/>
      <c r="IN690" s="35"/>
      <c r="IO690" s="35"/>
      <c r="IP690" s="35"/>
      <c r="IQ690" s="35"/>
      <c r="IR690" s="35"/>
      <c r="IS690" s="35"/>
      <c r="IT690" s="35"/>
      <c r="IU690" s="35"/>
      <c r="IV690" s="35"/>
      <c r="IW690" s="35"/>
      <c r="IX690" s="35"/>
      <c r="IY690" s="35"/>
      <c r="IZ690" s="35"/>
      <c r="JA690" s="35"/>
      <c r="JB690" s="35"/>
      <c r="JC690" s="35"/>
      <c r="JD690" s="35"/>
      <c r="JE690" s="35"/>
    </row>
    <row r="691">
      <c r="A691" s="42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  <c r="AZ691" s="35"/>
      <c r="BA691" s="35"/>
      <c r="BB691" s="35"/>
      <c r="BC691" s="35"/>
      <c r="BD691" s="35"/>
      <c r="BE691" s="35"/>
      <c r="BF691" s="35"/>
      <c r="BG691" s="35"/>
      <c r="BH691" s="35"/>
      <c r="BI691" s="35"/>
      <c r="BJ691" s="35"/>
      <c r="BK691" s="35"/>
      <c r="BL691" s="35"/>
      <c r="BM691" s="35"/>
      <c r="BN691" s="35"/>
      <c r="BO691" s="35"/>
      <c r="BP691" s="35"/>
      <c r="BQ691" s="35"/>
      <c r="BR691" s="35"/>
      <c r="BS691" s="35"/>
      <c r="BT691" s="35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35"/>
      <c r="CO691" s="35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35"/>
      <c r="DJ691" s="35"/>
      <c r="DK691" s="35"/>
      <c r="DL691" s="35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35"/>
      <c r="EE691" s="35"/>
      <c r="EF691" s="35"/>
      <c r="EG691" s="35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35"/>
      <c r="EZ691" s="35"/>
      <c r="FA691" s="35"/>
      <c r="FB691" s="35"/>
      <c r="FC691" s="35"/>
      <c r="FD691" s="35"/>
      <c r="FE691" s="35"/>
      <c r="FF691" s="35"/>
      <c r="FG691" s="35"/>
      <c r="FH691" s="35"/>
      <c r="FI691" s="35"/>
      <c r="FJ691" s="35"/>
      <c r="FK691" s="35"/>
      <c r="FL691" s="35"/>
      <c r="FM691" s="35"/>
      <c r="FN691" s="35"/>
      <c r="FO691" s="35"/>
      <c r="FP691" s="35"/>
      <c r="FQ691" s="35"/>
      <c r="FR691" s="35"/>
      <c r="FS691" s="35"/>
      <c r="FT691" s="35"/>
      <c r="FU691" s="35"/>
      <c r="FV691" s="35"/>
      <c r="FW691" s="35"/>
      <c r="FX691" s="35"/>
      <c r="FY691" s="35"/>
      <c r="FZ691" s="35"/>
      <c r="GA691" s="35"/>
      <c r="GB691" s="35"/>
      <c r="GC691" s="35"/>
      <c r="GD691" s="35"/>
      <c r="GE691" s="35"/>
      <c r="GF691" s="35"/>
      <c r="GG691" s="35"/>
      <c r="GH691" s="35"/>
      <c r="GI691" s="35"/>
      <c r="GJ691" s="35"/>
      <c r="GK691" s="35"/>
      <c r="GL691" s="35"/>
      <c r="GM691" s="35"/>
      <c r="GN691" s="35"/>
      <c r="GO691" s="35"/>
      <c r="GP691" s="35"/>
      <c r="GQ691" s="35"/>
      <c r="GR691" s="35"/>
      <c r="GS691" s="35"/>
      <c r="GT691" s="35"/>
      <c r="GU691" s="35"/>
      <c r="GV691" s="35"/>
      <c r="GW691" s="35"/>
      <c r="GX691" s="35"/>
      <c r="GY691" s="35"/>
      <c r="GZ691" s="35"/>
      <c r="HA691" s="35"/>
      <c r="HB691" s="35"/>
      <c r="HC691" s="35"/>
      <c r="HD691" s="35"/>
      <c r="HE691" s="35"/>
      <c r="HF691" s="35"/>
      <c r="HG691" s="35"/>
      <c r="HH691" s="35"/>
      <c r="HI691" s="35"/>
      <c r="HJ691" s="35"/>
      <c r="HK691" s="35"/>
      <c r="HL691" s="35"/>
      <c r="HM691" s="35"/>
      <c r="HN691" s="35"/>
      <c r="HO691" s="35"/>
      <c r="HP691" s="35"/>
      <c r="HQ691" s="35"/>
      <c r="HR691" s="35"/>
      <c r="HS691" s="35"/>
      <c r="HT691" s="35"/>
      <c r="HU691" s="35"/>
      <c r="HV691" s="35"/>
      <c r="HW691" s="35"/>
      <c r="HX691" s="35"/>
      <c r="HY691" s="35"/>
      <c r="HZ691" s="35"/>
      <c r="IA691" s="35"/>
      <c r="IB691" s="35"/>
      <c r="IC691" s="35"/>
      <c r="ID691" s="35"/>
      <c r="IE691" s="35"/>
      <c r="IF691" s="35"/>
      <c r="IG691" s="35"/>
      <c r="IH691" s="35"/>
      <c r="II691" s="35"/>
      <c r="IJ691" s="35"/>
      <c r="IK691" s="35"/>
      <c r="IL691" s="35"/>
      <c r="IM691" s="35"/>
      <c r="IN691" s="35"/>
      <c r="IO691" s="35"/>
      <c r="IP691" s="35"/>
      <c r="IQ691" s="35"/>
      <c r="IR691" s="35"/>
      <c r="IS691" s="35"/>
      <c r="IT691" s="35"/>
      <c r="IU691" s="35"/>
      <c r="IV691" s="35"/>
      <c r="IW691" s="35"/>
      <c r="IX691" s="35"/>
      <c r="IY691" s="35"/>
      <c r="IZ691" s="35"/>
      <c r="JA691" s="35"/>
      <c r="JB691" s="35"/>
      <c r="JC691" s="35"/>
      <c r="JD691" s="35"/>
      <c r="JE691" s="35"/>
    </row>
    <row r="692">
      <c r="A692" s="42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  <c r="AZ692" s="35"/>
      <c r="BA692" s="35"/>
      <c r="BB692" s="35"/>
      <c r="BC692" s="35"/>
      <c r="BD692" s="35"/>
      <c r="BE692" s="35"/>
      <c r="BF692" s="35"/>
      <c r="BG692" s="35"/>
      <c r="BH692" s="35"/>
      <c r="BI692" s="35"/>
      <c r="BJ692" s="35"/>
      <c r="BK692" s="35"/>
      <c r="BL692" s="35"/>
      <c r="BM692" s="35"/>
      <c r="BN692" s="35"/>
      <c r="BO692" s="35"/>
      <c r="BP692" s="35"/>
      <c r="BQ692" s="35"/>
      <c r="BR692" s="35"/>
      <c r="BS692" s="35"/>
      <c r="BT692" s="35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35"/>
      <c r="CO692" s="35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35"/>
      <c r="DJ692" s="35"/>
      <c r="DK692" s="35"/>
      <c r="DL692" s="35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35"/>
      <c r="EE692" s="35"/>
      <c r="EF692" s="35"/>
      <c r="EG692" s="35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35"/>
      <c r="EZ692" s="35"/>
      <c r="FA692" s="35"/>
      <c r="FB692" s="35"/>
      <c r="FC692" s="35"/>
      <c r="FD692" s="35"/>
      <c r="FE692" s="35"/>
      <c r="FF692" s="35"/>
      <c r="FG692" s="35"/>
      <c r="FH692" s="35"/>
      <c r="FI692" s="35"/>
      <c r="FJ692" s="35"/>
      <c r="FK692" s="35"/>
      <c r="FL692" s="35"/>
      <c r="FM692" s="35"/>
      <c r="FN692" s="35"/>
      <c r="FO692" s="35"/>
      <c r="FP692" s="35"/>
      <c r="FQ692" s="35"/>
      <c r="FR692" s="35"/>
      <c r="FS692" s="35"/>
      <c r="FT692" s="35"/>
      <c r="FU692" s="35"/>
      <c r="FV692" s="35"/>
      <c r="FW692" s="35"/>
      <c r="FX692" s="35"/>
      <c r="FY692" s="35"/>
      <c r="FZ692" s="35"/>
      <c r="GA692" s="35"/>
      <c r="GB692" s="35"/>
      <c r="GC692" s="35"/>
      <c r="GD692" s="35"/>
      <c r="GE692" s="35"/>
      <c r="GF692" s="35"/>
      <c r="GG692" s="35"/>
      <c r="GH692" s="35"/>
      <c r="GI692" s="35"/>
      <c r="GJ692" s="35"/>
      <c r="GK692" s="35"/>
      <c r="GL692" s="35"/>
      <c r="GM692" s="35"/>
      <c r="GN692" s="35"/>
      <c r="GO692" s="35"/>
      <c r="GP692" s="35"/>
      <c r="GQ692" s="35"/>
      <c r="GR692" s="35"/>
      <c r="GS692" s="35"/>
      <c r="GT692" s="35"/>
      <c r="GU692" s="35"/>
      <c r="GV692" s="35"/>
      <c r="GW692" s="35"/>
      <c r="GX692" s="35"/>
      <c r="GY692" s="35"/>
      <c r="GZ692" s="35"/>
      <c r="HA692" s="35"/>
      <c r="HB692" s="35"/>
      <c r="HC692" s="35"/>
      <c r="HD692" s="35"/>
      <c r="HE692" s="35"/>
      <c r="HF692" s="35"/>
      <c r="HG692" s="35"/>
      <c r="HH692" s="35"/>
      <c r="HI692" s="35"/>
      <c r="HJ692" s="35"/>
      <c r="HK692" s="35"/>
      <c r="HL692" s="35"/>
      <c r="HM692" s="35"/>
      <c r="HN692" s="35"/>
      <c r="HO692" s="35"/>
      <c r="HP692" s="35"/>
      <c r="HQ692" s="35"/>
      <c r="HR692" s="35"/>
      <c r="HS692" s="35"/>
      <c r="HT692" s="35"/>
      <c r="HU692" s="35"/>
      <c r="HV692" s="35"/>
      <c r="HW692" s="35"/>
      <c r="HX692" s="35"/>
      <c r="HY692" s="35"/>
      <c r="HZ692" s="35"/>
      <c r="IA692" s="35"/>
      <c r="IB692" s="35"/>
      <c r="IC692" s="35"/>
      <c r="ID692" s="35"/>
      <c r="IE692" s="35"/>
      <c r="IF692" s="35"/>
      <c r="IG692" s="35"/>
      <c r="IH692" s="35"/>
      <c r="II692" s="35"/>
      <c r="IJ692" s="35"/>
      <c r="IK692" s="35"/>
      <c r="IL692" s="35"/>
      <c r="IM692" s="35"/>
      <c r="IN692" s="35"/>
      <c r="IO692" s="35"/>
      <c r="IP692" s="35"/>
      <c r="IQ692" s="35"/>
      <c r="IR692" s="35"/>
      <c r="IS692" s="35"/>
      <c r="IT692" s="35"/>
      <c r="IU692" s="35"/>
      <c r="IV692" s="35"/>
      <c r="IW692" s="35"/>
      <c r="IX692" s="35"/>
      <c r="IY692" s="35"/>
      <c r="IZ692" s="35"/>
      <c r="JA692" s="35"/>
      <c r="JB692" s="35"/>
      <c r="JC692" s="35"/>
      <c r="JD692" s="35"/>
      <c r="JE692" s="35"/>
    </row>
    <row r="693">
      <c r="A693" s="42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  <c r="AZ693" s="35"/>
      <c r="BA693" s="35"/>
      <c r="BB693" s="35"/>
      <c r="BC693" s="35"/>
      <c r="BD693" s="35"/>
      <c r="BE693" s="35"/>
      <c r="BF693" s="35"/>
      <c r="BG693" s="35"/>
      <c r="BH693" s="35"/>
      <c r="BI693" s="35"/>
      <c r="BJ693" s="35"/>
      <c r="BK693" s="35"/>
      <c r="BL693" s="35"/>
      <c r="BM693" s="35"/>
      <c r="BN693" s="35"/>
      <c r="BO693" s="35"/>
      <c r="BP693" s="35"/>
      <c r="BQ693" s="35"/>
      <c r="BR693" s="35"/>
      <c r="BS693" s="35"/>
      <c r="BT693" s="35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35"/>
      <c r="CO693" s="35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35"/>
      <c r="DJ693" s="35"/>
      <c r="DK693" s="35"/>
      <c r="DL693" s="35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35"/>
      <c r="EE693" s="35"/>
      <c r="EF693" s="35"/>
      <c r="EG693" s="35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  <c r="ER693" s="35"/>
      <c r="ES693" s="35"/>
      <c r="ET693" s="35"/>
      <c r="EU693" s="35"/>
      <c r="EV693" s="35"/>
      <c r="EW693" s="35"/>
      <c r="EX693" s="35"/>
      <c r="EY693" s="35"/>
      <c r="EZ693" s="35"/>
      <c r="FA693" s="35"/>
      <c r="FB693" s="35"/>
      <c r="FC693" s="35"/>
      <c r="FD693" s="35"/>
      <c r="FE693" s="35"/>
      <c r="FF693" s="35"/>
      <c r="FG693" s="35"/>
      <c r="FH693" s="35"/>
      <c r="FI693" s="35"/>
      <c r="FJ693" s="35"/>
      <c r="FK693" s="35"/>
      <c r="FL693" s="35"/>
      <c r="FM693" s="35"/>
      <c r="FN693" s="35"/>
      <c r="FO693" s="35"/>
      <c r="FP693" s="35"/>
      <c r="FQ693" s="35"/>
      <c r="FR693" s="35"/>
      <c r="FS693" s="35"/>
      <c r="FT693" s="35"/>
      <c r="FU693" s="35"/>
      <c r="FV693" s="35"/>
      <c r="FW693" s="35"/>
      <c r="FX693" s="35"/>
      <c r="FY693" s="35"/>
      <c r="FZ693" s="35"/>
      <c r="GA693" s="35"/>
      <c r="GB693" s="35"/>
      <c r="GC693" s="35"/>
      <c r="GD693" s="35"/>
      <c r="GE693" s="35"/>
      <c r="GF693" s="35"/>
      <c r="GG693" s="35"/>
      <c r="GH693" s="35"/>
      <c r="GI693" s="35"/>
      <c r="GJ693" s="35"/>
      <c r="GK693" s="35"/>
      <c r="GL693" s="35"/>
      <c r="GM693" s="35"/>
      <c r="GN693" s="35"/>
      <c r="GO693" s="35"/>
      <c r="GP693" s="35"/>
      <c r="GQ693" s="35"/>
      <c r="GR693" s="35"/>
      <c r="GS693" s="35"/>
      <c r="GT693" s="35"/>
      <c r="GU693" s="35"/>
      <c r="GV693" s="35"/>
      <c r="GW693" s="35"/>
      <c r="GX693" s="35"/>
      <c r="GY693" s="35"/>
      <c r="GZ693" s="35"/>
      <c r="HA693" s="35"/>
      <c r="HB693" s="35"/>
      <c r="HC693" s="35"/>
      <c r="HD693" s="35"/>
      <c r="HE693" s="35"/>
      <c r="HF693" s="35"/>
      <c r="HG693" s="35"/>
      <c r="HH693" s="35"/>
      <c r="HI693" s="35"/>
      <c r="HJ693" s="35"/>
      <c r="HK693" s="35"/>
      <c r="HL693" s="35"/>
      <c r="HM693" s="35"/>
      <c r="HN693" s="35"/>
      <c r="HO693" s="35"/>
      <c r="HP693" s="35"/>
      <c r="HQ693" s="35"/>
      <c r="HR693" s="35"/>
      <c r="HS693" s="35"/>
      <c r="HT693" s="35"/>
      <c r="HU693" s="35"/>
      <c r="HV693" s="35"/>
      <c r="HW693" s="35"/>
      <c r="HX693" s="35"/>
      <c r="HY693" s="35"/>
      <c r="HZ693" s="35"/>
      <c r="IA693" s="35"/>
      <c r="IB693" s="35"/>
      <c r="IC693" s="35"/>
      <c r="ID693" s="35"/>
      <c r="IE693" s="35"/>
      <c r="IF693" s="35"/>
      <c r="IG693" s="35"/>
      <c r="IH693" s="35"/>
      <c r="II693" s="35"/>
      <c r="IJ693" s="35"/>
      <c r="IK693" s="35"/>
      <c r="IL693" s="35"/>
      <c r="IM693" s="35"/>
      <c r="IN693" s="35"/>
      <c r="IO693" s="35"/>
      <c r="IP693" s="35"/>
      <c r="IQ693" s="35"/>
      <c r="IR693" s="35"/>
      <c r="IS693" s="35"/>
      <c r="IT693" s="35"/>
      <c r="IU693" s="35"/>
      <c r="IV693" s="35"/>
      <c r="IW693" s="35"/>
      <c r="IX693" s="35"/>
      <c r="IY693" s="35"/>
      <c r="IZ693" s="35"/>
      <c r="JA693" s="35"/>
      <c r="JB693" s="35"/>
      <c r="JC693" s="35"/>
      <c r="JD693" s="35"/>
      <c r="JE693" s="35"/>
    </row>
    <row r="694">
      <c r="A694" s="42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  <c r="AZ694" s="35"/>
      <c r="BA694" s="35"/>
      <c r="BB694" s="35"/>
      <c r="BC694" s="35"/>
      <c r="BD694" s="35"/>
      <c r="BE694" s="35"/>
      <c r="BF694" s="35"/>
      <c r="BG694" s="35"/>
      <c r="BH694" s="35"/>
      <c r="BI694" s="35"/>
      <c r="BJ694" s="35"/>
      <c r="BK694" s="35"/>
      <c r="BL694" s="35"/>
      <c r="BM694" s="35"/>
      <c r="BN694" s="35"/>
      <c r="BO694" s="35"/>
      <c r="BP694" s="35"/>
      <c r="BQ694" s="35"/>
      <c r="BR694" s="35"/>
      <c r="BS694" s="35"/>
      <c r="BT694" s="35"/>
      <c r="BU694" s="35"/>
      <c r="BV694" s="35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35"/>
      <c r="CO694" s="35"/>
      <c r="CP694" s="35"/>
      <c r="CQ694" s="35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35"/>
      <c r="DJ694" s="35"/>
      <c r="DK694" s="35"/>
      <c r="DL694" s="35"/>
      <c r="DM694" s="35"/>
      <c r="DN694" s="35"/>
      <c r="DO694" s="35"/>
      <c r="DP694" s="35"/>
      <c r="DQ694" s="35"/>
      <c r="DR694" s="35"/>
      <c r="DS694" s="35"/>
      <c r="DT694" s="35"/>
      <c r="DU694" s="35"/>
      <c r="DV694" s="35"/>
      <c r="DW694" s="35"/>
      <c r="DX694" s="35"/>
      <c r="DY694" s="35"/>
      <c r="DZ694" s="35"/>
      <c r="EA694" s="35"/>
      <c r="EB694" s="35"/>
      <c r="EC694" s="35"/>
      <c r="ED694" s="35"/>
      <c r="EE694" s="35"/>
      <c r="EF694" s="35"/>
      <c r="EG694" s="35"/>
      <c r="EH694" s="35"/>
      <c r="EI694" s="35"/>
      <c r="EJ694" s="35"/>
      <c r="EK694" s="35"/>
      <c r="EL694" s="35"/>
      <c r="EM694" s="35"/>
      <c r="EN694" s="35"/>
      <c r="EO694" s="35"/>
      <c r="EP694" s="35"/>
      <c r="EQ694" s="35"/>
      <c r="ER694" s="35"/>
      <c r="ES694" s="35"/>
      <c r="ET694" s="35"/>
      <c r="EU694" s="35"/>
      <c r="EV694" s="35"/>
      <c r="EW694" s="35"/>
      <c r="EX694" s="35"/>
      <c r="EY694" s="35"/>
      <c r="EZ694" s="35"/>
      <c r="FA694" s="35"/>
      <c r="FB694" s="35"/>
      <c r="FC694" s="35"/>
      <c r="FD694" s="35"/>
      <c r="FE694" s="35"/>
      <c r="FF694" s="35"/>
      <c r="FG694" s="35"/>
      <c r="FH694" s="35"/>
      <c r="FI694" s="35"/>
      <c r="FJ694" s="35"/>
      <c r="FK694" s="35"/>
      <c r="FL694" s="35"/>
      <c r="FM694" s="35"/>
      <c r="FN694" s="35"/>
      <c r="FO694" s="35"/>
      <c r="FP694" s="35"/>
      <c r="FQ694" s="35"/>
      <c r="FR694" s="35"/>
      <c r="FS694" s="35"/>
      <c r="FT694" s="35"/>
      <c r="FU694" s="35"/>
      <c r="FV694" s="35"/>
      <c r="FW694" s="35"/>
      <c r="FX694" s="35"/>
      <c r="FY694" s="35"/>
      <c r="FZ694" s="35"/>
      <c r="GA694" s="35"/>
      <c r="GB694" s="35"/>
      <c r="GC694" s="35"/>
      <c r="GD694" s="35"/>
      <c r="GE694" s="35"/>
      <c r="GF694" s="35"/>
      <c r="GG694" s="35"/>
      <c r="GH694" s="35"/>
      <c r="GI694" s="35"/>
      <c r="GJ694" s="35"/>
      <c r="GK694" s="35"/>
      <c r="GL694" s="35"/>
      <c r="GM694" s="35"/>
      <c r="GN694" s="35"/>
      <c r="GO694" s="35"/>
      <c r="GP694" s="35"/>
      <c r="GQ694" s="35"/>
      <c r="GR694" s="35"/>
      <c r="GS694" s="35"/>
      <c r="GT694" s="35"/>
      <c r="GU694" s="35"/>
      <c r="GV694" s="35"/>
      <c r="GW694" s="35"/>
      <c r="GX694" s="35"/>
      <c r="GY694" s="35"/>
      <c r="GZ694" s="35"/>
      <c r="HA694" s="35"/>
      <c r="HB694" s="35"/>
      <c r="HC694" s="35"/>
      <c r="HD694" s="35"/>
      <c r="HE694" s="35"/>
      <c r="HF694" s="35"/>
      <c r="HG694" s="35"/>
      <c r="HH694" s="35"/>
      <c r="HI694" s="35"/>
      <c r="HJ694" s="35"/>
      <c r="HK694" s="35"/>
      <c r="HL694" s="35"/>
      <c r="HM694" s="35"/>
      <c r="HN694" s="35"/>
      <c r="HO694" s="35"/>
      <c r="HP694" s="35"/>
      <c r="HQ694" s="35"/>
      <c r="HR694" s="35"/>
      <c r="HS694" s="35"/>
      <c r="HT694" s="35"/>
      <c r="HU694" s="35"/>
      <c r="HV694" s="35"/>
      <c r="HW694" s="35"/>
      <c r="HX694" s="35"/>
      <c r="HY694" s="35"/>
      <c r="HZ694" s="35"/>
      <c r="IA694" s="35"/>
      <c r="IB694" s="35"/>
      <c r="IC694" s="35"/>
      <c r="ID694" s="35"/>
      <c r="IE694" s="35"/>
      <c r="IF694" s="35"/>
      <c r="IG694" s="35"/>
      <c r="IH694" s="35"/>
      <c r="II694" s="35"/>
      <c r="IJ694" s="35"/>
      <c r="IK694" s="35"/>
      <c r="IL694" s="35"/>
      <c r="IM694" s="35"/>
      <c r="IN694" s="35"/>
      <c r="IO694" s="35"/>
      <c r="IP694" s="35"/>
      <c r="IQ694" s="35"/>
      <c r="IR694" s="35"/>
      <c r="IS694" s="35"/>
      <c r="IT694" s="35"/>
      <c r="IU694" s="35"/>
      <c r="IV694" s="35"/>
      <c r="IW694" s="35"/>
      <c r="IX694" s="35"/>
      <c r="IY694" s="35"/>
      <c r="IZ694" s="35"/>
      <c r="JA694" s="35"/>
      <c r="JB694" s="35"/>
      <c r="JC694" s="35"/>
      <c r="JD694" s="35"/>
      <c r="JE694" s="35"/>
    </row>
    <row r="695">
      <c r="A695" s="42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  <c r="AZ695" s="35"/>
      <c r="BA695" s="35"/>
      <c r="BB695" s="35"/>
      <c r="BC695" s="35"/>
      <c r="BD695" s="35"/>
      <c r="BE695" s="35"/>
      <c r="BF695" s="35"/>
      <c r="BG695" s="35"/>
      <c r="BH695" s="35"/>
      <c r="BI695" s="35"/>
      <c r="BJ695" s="35"/>
      <c r="BK695" s="35"/>
      <c r="BL695" s="35"/>
      <c r="BM695" s="35"/>
      <c r="BN695" s="35"/>
      <c r="BO695" s="35"/>
      <c r="BP695" s="35"/>
      <c r="BQ695" s="35"/>
      <c r="BR695" s="35"/>
      <c r="BS695" s="35"/>
      <c r="BT695" s="35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35"/>
      <c r="CO695" s="35"/>
      <c r="CP695" s="35"/>
      <c r="CQ695" s="35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35"/>
      <c r="DJ695" s="35"/>
      <c r="DK695" s="35"/>
      <c r="DL695" s="35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s="35"/>
      <c r="EE695" s="35"/>
      <c r="EF695" s="35"/>
      <c r="EG695" s="35"/>
      <c r="EH695" s="35"/>
      <c r="EI695" s="35"/>
      <c r="EJ695" s="35"/>
      <c r="EK695" s="35"/>
      <c r="EL695" s="35"/>
      <c r="EM695" s="35"/>
      <c r="EN695" s="35"/>
      <c r="EO695" s="35"/>
      <c r="EP695" s="35"/>
      <c r="EQ695" s="35"/>
      <c r="ER695" s="35"/>
      <c r="ES695" s="35"/>
      <c r="ET695" s="35"/>
      <c r="EU695" s="35"/>
      <c r="EV695" s="35"/>
      <c r="EW695" s="35"/>
      <c r="EX695" s="35"/>
      <c r="EY695" s="35"/>
      <c r="EZ695" s="35"/>
      <c r="FA695" s="35"/>
      <c r="FB695" s="35"/>
      <c r="FC695" s="35"/>
      <c r="FD695" s="35"/>
      <c r="FE695" s="35"/>
      <c r="FF695" s="35"/>
      <c r="FG695" s="35"/>
      <c r="FH695" s="35"/>
      <c r="FI695" s="35"/>
      <c r="FJ695" s="35"/>
      <c r="FK695" s="35"/>
      <c r="FL695" s="35"/>
      <c r="FM695" s="35"/>
      <c r="FN695" s="35"/>
      <c r="FO695" s="35"/>
      <c r="FP695" s="35"/>
      <c r="FQ695" s="35"/>
      <c r="FR695" s="35"/>
      <c r="FS695" s="35"/>
      <c r="FT695" s="35"/>
      <c r="FU695" s="35"/>
      <c r="FV695" s="35"/>
      <c r="FW695" s="35"/>
      <c r="FX695" s="35"/>
      <c r="FY695" s="35"/>
      <c r="FZ695" s="35"/>
      <c r="GA695" s="35"/>
      <c r="GB695" s="35"/>
      <c r="GC695" s="35"/>
      <c r="GD695" s="35"/>
      <c r="GE695" s="35"/>
      <c r="GF695" s="35"/>
      <c r="GG695" s="35"/>
      <c r="GH695" s="35"/>
      <c r="GI695" s="35"/>
      <c r="GJ695" s="35"/>
      <c r="GK695" s="35"/>
      <c r="GL695" s="35"/>
      <c r="GM695" s="35"/>
      <c r="GN695" s="35"/>
      <c r="GO695" s="35"/>
      <c r="GP695" s="35"/>
      <c r="GQ695" s="35"/>
      <c r="GR695" s="35"/>
      <c r="GS695" s="35"/>
      <c r="GT695" s="35"/>
      <c r="GU695" s="35"/>
      <c r="GV695" s="35"/>
      <c r="GW695" s="35"/>
      <c r="GX695" s="35"/>
      <c r="GY695" s="35"/>
      <c r="GZ695" s="35"/>
      <c r="HA695" s="35"/>
      <c r="HB695" s="35"/>
      <c r="HC695" s="35"/>
      <c r="HD695" s="35"/>
      <c r="HE695" s="35"/>
      <c r="HF695" s="35"/>
      <c r="HG695" s="35"/>
      <c r="HH695" s="35"/>
      <c r="HI695" s="35"/>
      <c r="HJ695" s="35"/>
      <c r="HK695" s="35"/>
      <c r="HL695" s="35"/>
      <c r="HM695" s="35"/>
      <c r="HN695" s="35"/>
      <c r="HO695" s="35"/>
      <c r="HP695" s="35"/>
      <c r="HQ695" s="35"/>
      <c r="HR695" s="35"/>
      <c r="HS695" s="35"/>
      <c r="HT695" s="35"/>
      <c r="HU695" s="35"/>
      <c r="HV695" s="35"/>
      <c r="HW695" s="35"/>
      <c r="HX695" s="35"/>
      <c r="HY695" s="35"/>
      <c r="HZ695" s="35"/>
      <c r="IA695" s="35"/>
      <c r="IB695" s="35"/>
      <c r="IC695" s="35"/>
      <c r="ID695" s="35"/>
      <c r="IE695" s="35"/>
      <c r="IF695" s="35"/>
      <c r="IG695" s="35"/>
      <c r="IH695" s="35"/>
      <c r="II695" s="35"/>
      <c r="IJ695" s="35"/>
      <c r="IK695" s="35"/>
      <c r="IL695" s="35"/>
      <c r="IM695" s="35"/>
      <c r="IN695" s="35"/>
      <c r="IO695" s="35"/>
      <c r="IP695" s="35"/>
      <c r="IQ695" s="35"/>
      <c r="IR695" s="35"/>
      <c r="IS695" s="35"/>
      <c r="IT695" s="35"/>
      <c r="IU695" s="35"/>
      <c r="IV695" s="35"/>
      <c r="IW695" s="35"/>
      <c r="IX695" s="35"/>
      <c r="IY695" s="35"/>
      <c r="IZ695" s="35"/>
      <c r="JA695" s="35"/>
      <c r="JB695" s="35"/>
      <c r="JC695" s="35"/>
      <c r="JD695" s="35"/>
      <c r="JE695" s="35"/>
    </row>
    <row r="696">
      <c r="A696" s="42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  <c r="AZ696" s="35"/>
      <c r="BA696" s="35"/>
      <c r="BB696" s="35"/>
      <c r="BC696" s="35"/>
      <c r="BD696" s="35"/>
      <c r="BE696" s="35"/>
      <c r="BF696" s="35"/>
      <c r="BG696" s="35"/>
      <c r="BH696" s="35"/>
      <c r="BI696" s="35"/>
      <c r="BJ696" s="35"/>
      <c r="BK696" s="35"/>
      <c r="BL696" s="35"/>
      <c r="BM696" s="35"/>
      <c r="BN696" s="35"/>
      <c r="BO696" s="35"/>
      <c r="BP696" s="35"/>
      <c r="BQ696" s="35"/>
      <c r="BR696" s="35"/>
      <c r="BS696" s="35"/>
      <c r="BT696" s="35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35"/>
      <c r="CO696" s="35"/>
      <c r="CP696" s="35"/>
      <c r="CQ696" s="35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35"/>
      <c r="DJ696" s="35"/>
      <c r="DK696" s="35"/>
      <c r="DL696" s="35"/>
      <c r="DM696" s="35"/>
      <c r="DN696" s="35"/>
      <c r="DO696" s="35"/>
      <c r="DP696" s="35"/>
      <c r="DQ696" s="35"/>
      <c r="DR696" s="35"/>
      <c r="DS696" s="35"/>
      <c r="DT696" s="35"/>
      <c r="DU696" s="35"/>
      <c r="DV696" s="35"/>
      <c r="DW696" s="35"/>
      <c r="DX696" s="35"/>
      <c r="DY696" s="35"/>
      <c r="DZ696" s="35"/>
      <c r="EA696" s="35"/>
      <c r="EB696" s="35"/>
      <c r="EC696" s="35"/>
      <c r="ED696" s="35"/>
      <c r="EE696" s="35"/>
      <c r="EF696" s="35"/>
      <c r="EG696" s="35"/>
      <c r="EH696" s="35"/>
      <c r="EI696" s="35"/>
      <c r="EJ696" s="35"/>
      <c r="EK696" s="35"/>
      <c r="EL696" s="35"/>
      <c r="EM696" s="35"/>
      <c r="EN696" s="35"/>
      <c r="EO696" s="35"/>
      <c r="EP696" s="35"/>
      <c r="EQ696" s="35"/>
      <c r="ER696" s="35"/>
      <c r="ES696" s="35"/>
      <c r="ET696" s="35"/>
      <c r="EU696" s="35"/>
      <c r="EV696" s="35"/>
      <c r="EW696" s="35"/>
      <c r="EX696" s="35"/>
      <c r="EY696" s="35"/>
      <c r="EZ696" s="35"/>
      <c r="FA696" s="35"/>
      <c r="FB696" s="35"/>
      <c r="FC696" s="35"/>
      <c r="FD696" s="35"/>
      <c r="FE696" s="35"/>
      <c r="FF696" s="35"/>
      <c r="FG696" s="35"/>
      <c r="FH696" s="35"/>
      <c r="FI696" s="35"/>
      <c r="FJ696" s="35"/>
      <c r="FK696" s="35"/>
      <c r="FL696" s="35"/>
      <c r="FM696" s="35"/>
      <c r="FN696" s="35"/>
      <c r="FO696" s="35"/>
      <c r="FP696" s="35"/>
      <c r="FQ696" s="35"/>
      <c r="FR696" s="35"/>
      <c r="FS696" s="35"/>
      <c r="FT696" s="35"/>
      <c r="FU696" s="35"/>
      <c r="FV696" s="35"/>
      <c r="FW696" s="35"/>
      <c r="FX696" s="35"/>
      <c r="FY696" s="35"/>
      <c r="FZ696" s="35"/>
      <c r="GA696" s="35"/>
      <c r="GB696" s="35"/>
      <c r="GC696" s="35"/>
      <c r="GD696" s="35"/>
      <c r="GE696" s="35"/>
      <c r="GF696" s="35"/>
      <c r="GG696" s="35"/>
      <c r="GH696" s="35"/>
      <c r="GI696" s="35"/>
      <c r="GJ696" s="35"/>
      <c r="GK696" s="35"/>
      <c r="GL696" s="35"/>
      <c r="GM696" s="35"/>
      <c r="GN696" s="35"/>
      <c r="GO696" s="35"/>
      <c r="GP696" s="35"/>
      <c r="GQ696" s="35"/>
      <c r="GR696" s="35"/>
      <c r="GS696" s="35"/>
      <c r="GT696" s="35"/>
      <c r="GU696" s="35"/>
      <c r="GV696" s="35"/>
      <c r="GW696" s="35"/>
      <c r="GX696" s="35"/>
      <c r="GY696" s="35"/>
      <c r="GZ696" s="35"/>
      <c r="HA696" s="35"/>
      <c r="HB696" s="35"/>
      <c r="HC696" s="35"/>
      <c r="HD696" s="35"/>
      <c r="HE696" s="35"/>
      <c r="HF696" s="35"/>
      <c r="HG696" s="35"/>
      <c r="HH696" s="35"/>
      <c r="HI696" s="35"/>
      <c r="HJ696" s="35"/>
      <c r="HK696" s="35"/>
      <c r="HL696" s="35"/>
      <c r="HM696" s="35"/>
      <c r="HN696" s="35"/>
      <c r="HO696" s="35"/>
      <c r="HP696" s="35"/>
      <c r="HQ696" s="35"/>
      <c r="HR696" s="35"/>
      <c r="HS696" s="35"/>
      <c r="HT696" s="35"/>
      <c r="HU696" s="35"/>
      <c r="HV696" s="35"/>
      <c r="HW696" s="35"/>
      <c r="HX696" s="35"/>
      <c r="HY696" s="35"/>
      <c r="HZ696" s="35"/>
      <c r="IA696" s="35"/>
      <c r="IB696" s="35"/>
      <c r="IC696" s="35"/>
      <c r="ID696" s="35"/>
      <c r="IE696" s="35"/>
      <c r="IF696" s="35"/>
      <c r="IG696" s="35"/>
      <c r="IH696" s="35"/>
      <c r="II696" s="35"/>
      <c r="IJ696" s="35"/>
      <c r="IK696" s="35"/>
      <c r="IL696" s="35"/>
      <c r="IM696" s="35"/>
      <c r="IN696" s="35"/>
      <c r="IO696" s="35"/>
      <c r="IP696" s="35"/>
      <c r="IQ696" s="35"/>
      <c r="IR696" s="35"/>
      <c r="IS696" s="35"/>
      <c r="IT696" s="35"/>
      <c r="IU696" s="35"/>
      <c r="IV696" s="35"/>
      <c r="IW696" s="35"/>
      <c r="IX696" s="35"/>
      <c r="IY696" s="35"/>
      <c r="IZ696" s="35"/>
      <c r="JA696" s="35"/>
      <c r="JB696" s="35"/>
      <c r="JC696" s="35"/>
      <c r="JD696" s="35"/>
      <c r="JE696" s="35"/>
    </row>
    <row r="697">
      <c r="A697" s="42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  <c r="AZ697" s="35"/>
      <c r="BA697" s="35"/>
      <c r="BB697" s="35"/>
      <c r="BC697" s="35"/>
      <c r="BD697" s="35"/>
      <c r="BE697" s="35"/>
      <c r="BF697" s="35"/>
      <c r="BG697" s="35"/>
      <c r="BH697" s="35"/>
      <c r="BI697" s="35"/>
      <c r="BJ697" s="35"/>
      <c r="BK697" s="35"/>
      <c r="BL697" s="35"/>
      <c r="BM697" s="35"/>
      <c r="BN697" s="35"/>
      <c r="BO697" s="35"/>
      <c r="BP697" s="35"/>
      <c r="BQ697" s="35"/>
      <c r="BR697" s="35"/>
      <c r="BS697" s="35"/>
      <c r="BT697" s="35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35"/>
      <c r="CO697" s="35"/>
      <c r="CP697" s="35"/>
      <c r="CQ697" s="35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35"/>
      <c r="DJ697" s="35"/>
      <c r="DK697" s="35"/>
      <c r="DL697" s="35"/>
      <c r="DM697" s="35"/>
      <c r="DN697" s="35"/>
      <c r="DO697" s="35"/>
      <c r="DP697" s="35"/>
      <c r="DQ697" s="35"/>
      <c r="DR697" s="35"/>
      <c r="DS697" s="35"/>
      <c r="DT697" s="35"/>
      <c r="DU697" s="35"/>
      <c r="DV697" s="35"/>
      <c r="DW697" s="35"/>
      <c r="DX697" s="35"/>
      <c r="DY697" s="35"/>
      <c r="DZ697" s="35"/>
      <c r="EA697" s="35"/>
      <c r="EB697" s="35"/>
      <c r="EC697" s="35"/>
      <c r="ED697" s="35"/>
      <c r="EE697" s="35"/>
      <c r="EF697" s="35"/>
      <c r="EG697" s="35"/>
      <c r="EH697" s="35"/>
      <c r="EI697" s="35"/>
      <c r="EJ697" s="35"/>
      <c r="EK697" s="35"/>
      <c r="EL697" s="35"/>
      <c r="EM697" s="35"/>
      <c r="EN697" s="35"/>
      <c r="EO697" s="35"/>
      <c r="EP697" s="35"/>
      <c r="EQ697" s="35"/>
      <c r="ER697" s="35"/>
      <c r="ES697" s="35"/>
      <c r="ET697" s="35"/>
      <c r="EU697" s="35"/>
      <c r="EV697" s="35"/>
      <c r="EW697" s="35"/>
      <c r="EX697" s="35"/>
      <c r="EY697" s="35"/>
      <c r="EZ697" s="35"/>
      <c r="FA697" s="35"/>
      <c r="FB697" s="35"/>
      <c r="FC697" s="35"/>
      <c r="FD697" s="35"/>
      <c r="FE697" s="35"/>
      <c r="FF697" s="35"/>
      <c r="FG697" s="35"/>
      <c r="FH697" s="35"/>
      <c r="FI697" s="35"/>
      <c r="FJ697" s="35"/>
      <c r="FK697" s="35"/>
      <c r="FL697" s="35"/>
      <c r="FM697" s="35"/>
      <c r="FN697" s="35"/>
      <c r="FO697" s="35"/>
      <c r="FP697" s="35"/>
      <c r="FQ697" s="35"/>
      <c r="FR697" s="35"/>
      <c r="FS697" s="35"/>
      <c r="FT697" s="35"/>
      <c r="FU697" s="35"/>
      <c r="FV697" s="35"/>
      <c r="FW697" s="35"/>
      <c r="FX697" s="35"/>
      <c r="FY697" s="35"/>
      <c r="FZ697" s="35"/>
      <c r="GA697" s="35"/>
      <c r="GB697" s="35"/>
      <c r="GC697" s="35"/>
      <c r="GD697" s="35"/>
      <c r="GE697" s="35"/>
      <c r="GF697" s="35"/>
      <c r="GG697" s="35"/>
      <c r="GH697" s="35"/>
      <c r="GI697" s="35"/>
      <c r="GJ697" s="35"/>
      <c r="GK697" s="35"/>
      <c r="GL697" s="35"/>
      <c r="GM697" s="35"/>
      <c r="GN697" s="35"/>
      <c r="GO697" s="35"/>
      <c r="GP697" s="35"/>
      <c r="GQ697" s="35"/>
      <c r="GR697" s="35"/>
      <c r="GS697" s="35"/>
      <c r="GT697" s="35"/>
      <c r="GU697" s="35"/>
      <c r="GV697" s="35"/>
      <c r="GW697" s="35"/>
      <c r="GX697" s="35"/>
      <c r="GY697" s="35"/>
      <c r="GZ697" s="35"/>
      <c r="HA697" s="35"/>
      <c r="HB697" s="35"/>
      <c r="HC697" s="35"/>
      <c r="HD697" s="35"/>
      <c r="HE697" s="35"/>
      <c r="HF697" s="35"/>
      <c r="HG697" s="35"/>
      <c r="HH697" s="35"/>
      <c r="HI697" s="35"/>
      <c r="HJ697" s="35"/>
      <c r="HK697" s="35"/>
      <c r="HL697" s="35"/>
      <c r="HM697" s="35"/>
      <c r="HN697" s="35"/>
      <c r="HO697" s="35"/>
      <c r="HP697" s="35"/>
      <c r="HQ697" s="35"/>
      <c r="HR697" s="35"/>
      <c r="HS697" s="35"/>
      <c r="HT697" s="35"/>
      <c r="HU697" s="35"/>
      <c r="HV697" s="35"/>
      <c r="HW697" s="35"/>
      <c r="HX697" s="35"/>
      <c r="HY697" s="35"/>
      <c r="HZ697" s="35"/>
      <c r="IA697" s="35"/>
      <c r="IB697" s="35"/>
      <c r="IC697" s="35"/>
      <c r="ID697" s="35"/>
      <c r="IE697" s="35"/>
      <c r="IF697" s="35"/>
      <c r="IG697" s="35"/>
      <c r="IH697" s="35"/>
      <c r="II697" s="35"/>
      <c r="IJ697" s="35"/>
      <c r="IK697" s="35"/>
      <c r="IL697" s="35"/>
      <c r="IM697" s="35"/>
      <c r="IN697" s="35"/>
      <c r="IO697" s="35"/>
      <c r="IP697" s="35"/>
      <c r="IQ697" s="35"/>
      <c r="IR697" s="35"/>
      <c r="IS697" s="35"/>
      <c r="IT697" s="35"/>
      <c r="IU697" s="35"/>
      <c r="IV697" s="35"/>
      <c r="IW697" s="35"/>
      <c r="IX697" s="35"/>
      <c r="IY697" s="35"/>
      <c r="IZ697" s="35"/>
      <c r="JA697" s="35"/>
      <c r="JB697" s="35"/>
      <c r="JC697" s="35"/>
      <c r="JD697" s="35"/>
      <c r="JE697" s="35"/>
    </row>
    <row r="698">
      <c r="A698" s="42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  <c r="AZ698" s="35"/>
      <c r="BA698" s="35"/>
      <c r="BB698" s="35"/>
      <c r="BC698" s="35"/>
      <c r="BD698" s="35"/>
      <c r="BE698" s="35"/>
      <c r="BF698" s="35"/>
      <c r="BG698" s="35"/>
      <c r="BH698" s="35"/>
      <c r="BI698" s="35"/>
      <c r="BJ698" s="35"/>
      <c r="BK698" s="35"/>
      <c r="BL698" s="35"/>
      <c r="BM698" s="35"/>
      <c r="BN698" s="35"/>
      <c r="BO698" s="35"/>
      <c r="BP698" s="35"/>
      <c r="BQ698" s="35"/>
      <c r="BR698" s="35"/>
      <c r="BS698" s="35"/>
      <c r="BT698" s="35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35"/>
      <c r="CO698" s="35"/>
      <c r="CP698" s="35"/>
      <c r="CQ698" s="35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35"/>
      <c r="DJ698" s="35"/>
      <c r="DK698" s="35"/>
      <c r="DL698" s="35"/>
      <c r="DM698" s="35"/>
      <c r="DN698" s="35"/>
      <c r="DO698" s="35"/>
      <c r="DP698" s="35"/>
      <c r="DQ698" s="35"/>
      <c r="DR698" s="35"/>
      <c r="DS698" s="35"/>
      <c r="DT698" s="35"/>
      <c r="DU698" s="35"/>
      <c r="DV698" s="35"/>
      <c r="DW698" s="35"/>
      <c r="DX698" s="35"/>
      <c r="DY698" s="35"/>
      <c r="DZ698" s="35"/>
      <c r="EA698" s="35"/>
      <c r="EB698" s="35"/>
      <c r="EC698" s="35"/>
      <c r="ED698" s="35"/>
      <c r="EE698" s="35"/>
      <c r="EF698" s="35"/>
      <c r="EG698" s="35"/>
      <c r="EH698" s="35"/>
      <c r="EI698" s="35"/>
      <c r="EJ698" s="35"/>
      <c r="EK698" s="35"/>
      <c r="EL698" s="35"/>
      <c r="EM698" s="35"/>
      <c r="EN698" s="35"/>
      <c r="EO698" s="35"/>
      <c r="EP698" s="35"/>
      <c r="EQ698" s="35"/>
      <c r="ER698" s="35"/>
      <c r="ES698" s="35"/>
      <c r="ET698" s="35"/>
      <c r="EU698" s="35"/>
      <c r="EV698" s="35"/>
      <c r="EW698" s="35"/>
      <c r="EX698" s="35"/>
      <c r="EY698" s="35"/>
      <c r="EZ698" s="35"/>
      <c r="FA698" s="35"/>
      <c r="FB698" s="35"/>
      <c r="FC698" s="35"/>
      <c r="FD698" s="35"/>
      <c r="FE698" s="35"/>
      <c r="FF698" s="35"/>
      <c r="FG698" s="35"/>
      <c r="FH698" s="35"/>
      <c r="FI698" s="35"/>
      <c r="FJ698" s="35"/>
      <c r="FK698" s="35"/>
      <c r="FL698" s="35"/>
      <c r="FM698" s="35"/>
      <c r="FN698" s="35"/>
      <c r="FO698" s="35"/>
      <c r="FP698" s="35"/>
      <c r="FQ698" s="35"/>
      <c r="FR698" s="35"/>
      <c r="FS698" s="35"/>
      <c r="FT698" s="35"/>
      <c r="FU698" s="35"/>
      <c r="FV698" s="35"/>
      <c r="FW698" s="35"/>
      <c r="FX698" s="35"/>
      <c r="FY698" s="35"/>
      <c r="FZ698" s="35"/>
      <c r="GA698" s="35"/>
      <c r="GB698" s="35"/>
      <c r="GC698" s="35"/>
      <c r="GD698" s="35"/>
      <c r="GE698" s="35"/>
      <c r="GF698" s="35"/>
      <c r="GG698" s="35"/>
      <c r="GH698" s="35"/>
      <c r="GI698" s="35"/>
      <c r="GJ698" s="35"/>
      <c r="GK698" s="35"/>
      <c r="GL698" s="35"/>
      <c r="GM698" s="35"/>
      <c r="GN698" s="35"/>
      <c r="GO698" s="35"/>
      <c r="GP698" s="35"/>
      <c r="GQ698" s="35"/>
      <c r="GR698" s="35"/>
      <c r="GS698" s="35"/>
      <c r="GT698" s="35"/>
      <c r="GU698" s="35"/>
      <c r="GV698" s="35"/>
      <c r="GW698" s="35"/>
      <c r="GX698" s="35"/>
      <c r="GY698" s="35"/>
      <c r="GZ698" s="35"/>
      <c r="HA698" s="35"/>
      <c r="HB698" s="35"/>
      <c r="HC698" s="35"/>
      <c r="HD698" s="35"/>
      <c r="HE698" s="35"/>
      <c r="HF698" s="35"/>
      <c r="HG698" s="35"/>
      <c r="HH698" s="35"/>
      <c r="HI698" s="35"/>
      <c r="HJ698" s="35"/>
      <c r="HK698" s="35"/>
      <c r="HL698" s="35"/>
      <c r="HM698" s="35"/>
      <c r="HN698" s="35"/>
      <c r="HO698" s="35"/>
      <c r="HP698" s="35"/>
      <c r="HQ698" s="35"/>
      <c r="HR698" s="35"/>
      <c r="HS698" s="35"/>
      <c r="HT698" s="35"/>
      <c r="HU698" s="35"/>
      <c r="HV698" s="35"/>
      <c r="HW698" s="35"/>
      <c r="HX698" s="35"/>
      <c r="HY698" s="35"/>
      <c r="HZ698" s="35"/>
      <c r="IA698" s="35"/>
      <c r="IB698" s="35"/>
      <c r="IC698" s="35"/>
      <c r="ID698" s="35"/>
      <c r="IE698" s="35"/>
      <c r="IF698" s="35"/>
      <c r="IG698" s="35"/>
      <c r="IH698" s="35"/>
      <c r="II698" s="35"/>
      <c r="IJ698" s="35"/>
      <c r="IK698" s="35"/>
      <c r="IL698" s="35"/>
      <c r="IM698" s="35"/>
      <c r="IN698" s="35"/>
      <c r="IO698" s="35"/>
      <c r="IP698" s="35"/>
      <c r="IQ698" s="35"/>
      <c r="IR698" s="35"/>
      <c r="IS698" s="35"/>
      <c r="IT698" s="35"/>
      <c r="IU698" s="35"/>
      <c r="IV698" s="35"/>
      <c r="IW698" s="35"/>
      <c r="IX698" s="35"/>
      <c r="IY698" s="35"/>
      <c r="IZ698" s="35"/>
      <c r="JA698" s="35"/>
      <c r="JB698" s="35"/>
      <c r="JC698" s="35"/>
      <c r="JD698" s="35"/>
      <c r="JE698" s="35"/>
    </row>
    <row r="699">
      <c r="A699" s="42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  <c r="AZ699" s="35"/>
      <c r="BA699" s="35"/>
      <c r="BB699" s="35"/>
      <c r="BC699" s="35"/>
      <c r="BD699" s="35"/>
      <c r="BE699" s="35"/>
      <c r="BF699" s="35"/>
      <c r="BG699" s="35"/>
      <c r="BH699" s="35"/>
      <c r="BI699" s="35"/>
      <c r="BJ699" s="35"/>
      <c r="BK699" s="35"/>
      <c r="BL699" s="35"/>
      <c r="BM699" s="35"/>
      <c r="BN699" s="35"/>
      <c r="BO699" s="35"/>
      <c r="BP699" s="35"/>
      <c r="BQ699" s="35"/>
      <c r="BR699" s="35"/>
      <c r="BS699" s="35"/>
      <c r="BT699" s="35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35"/>
      <c r="CO699" s="35"/>
      <c r="CP699" s="35"/>
      <c r="CQ699" s="35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35"/>
      <c r="DJ699" s="35"/>
      <c r="DK699" s="35"/>
      <c r="DL699" s="35"/>
      <c r="DM699" s="35"/>
      <c r="DN699" s="35"/>
      <c r="DO699" s="35"/>
      <c r="DP699" s="35"/>
      <c r="DQ699" s="35"/>
      <c r="DR699" s="35"/>
      <c r="DS699" s="35"/>
      <c r="DT699" s="35"/>
      <c r="DU699" s="35"/>
      <c r="DV699" s="35"/>
      <c r="DW699" s="35"/>
      <c r="DX699" s="35"/>
      <c r="DY699" s="35"/>
      <c r="DZ699" s="35"/>
      <c r="EA699" s="35"/>
      <c r="EB699" s="35"/>
      <c r="EC699" s="35"/>
      <c r="ED699" s="35"/>
      <c r="EE699" s="35"/>
      <c r="EF699" s="35"/>
      <c r="EG699" s="35"/>
      <c r="EH699" s="35"/>
      <c r="EI699" s="35"/>
      <c r="EJ699" s="35"/>
      <c r="EK699" s="35"/>
      <c r="EL699" s="35"/>
      <c r="EM699" s="35"/>
      <c r="EN699" s="35"/>
      <c r="EO699" s="35"/>
      <c r="EP699" s="35"/>
      <c r="EQ699" s="35"/>
      <c r="ER699" s="35"/>
      <c r="ES699" s="35"/>
      <c r="ET699" s="35"/>
      <c r="EU699" s="35"/>
      <c r="EV699" s="35"/>
      <c r="EW699" s="35"/>
      <c r="EX699" s="35"/>
      <c r="EY699" s="35"/>
      <c r="EZ699" s="35"/>
      <c r="FA699" s="35"/>
      <c r="FB699" s="35"/>
      <c r="FC699" s="35"/>
      <c r="FD699" s="35"/>
      <c r="FE699" s="35"/>
      <c r="FF699" s="35"/>
      <c r="FG699" s="35"/>
      <c r="FH699" s="35"/>
      <c r="FI699" s="35"/>
      <c r="FJ699" s="35"/>
      <c r="FK699" s="35"/>
      <c r="FL699" s="35"/>
      <c r="FM699" s="35"/>
      <c r="FN699" s="35"/>
      <c r="FO699" s="35"/>
      <c r="FP699" s="35"/>
      <c r="FQ699" s="35"/>
      <c r="FR699" s="35"/>
      <c r="FS699" s="35"/>
      <c r="FT699" s="35"/>
      <c r="FU699" s="35"/>
      <c r="FV699" s="35"/>
      <c r="FW699" s="35"/>
      <c r="FX699" s="35"/>
      <c r="FY699" s="35"/>
      <c r="FZ699" s="35"/>
      <c r="GA699" s="35"/>
      <c r="GB699" s="35"/>
      <c r="GC699" s="35"/>
      <c r="GD699" s="35"/>
      <c r="GE699" s="35"/>
      <c r="GF699" s="35"/>
      <c r="GG699" s="35"/>
      <c r="GH699" s="35"/>
      <c r="GI699" s="35"/>
      <c r="GJ699" s="35"/>
      <c r="GK699" s="35"/>
      <c r="GL699" s="35"/>
      <c r="GM699" s="35"/>
      <c r="GN699" s="35"/>
      <c r="GO699" s="35"/>
      <c r="GP699" s="35"/>
      <c r="GQ699" s="35"/>
      <c r="GR699" s="35"/>
      <c r="GS699" s="35"/>
      <c r="GT699" s="35"/>
      <c r="GU699" s="35"/>
      <c r="GV699" s="35"/>
      <c r="GW699" s="35"/>
      <c r="GX699" s="35"/>
      <c r="GY699" s="35"/>
      <c r="GZ699" s="35"/>
      <c r="HA699" s="35"/>
      <c r="HB699" s="35"/>
      <c r="HC699" s="35"/>
      <c r="HD699" s="35"/>
      <c r="HE699" s="35"/>
      <c r="HF699" s="35"/>
      <c r="HG699" s="35"/>
      <c r="HH699" s="35"/>
      <c r="HI699" s="35"/>
      <c r="HJ699" s="35"/>
      <c r="HK699" s="35"/>
      <c r="HL699" s="35"/>
      <c r="HM699" s="35"/>
      <c r="HN699" s="35"/>
      <c r="HO699" s="35"/>
      <c r="HP699" s="35"/>
      <c r="HQ699" s="35"/>
      <c r="HR699" s="35"/>
      <c r="HS699" s="35"/>
      <c r="HT699" s="35"/>
      <c r="HU699" s="35"/>
      <c r="HV699" s="35"/>
      <c r="HW699" s="35"/>
      <c r="HX699" s="35"/>
      <c r="HY699" s="35"/>
      <c r="HZ699" s="35"/>
      <c r="IA699" s="35"/>
      <c r="IB699" s="35"/>
      <c r="IC699" s="35"/>
      <c r="ID699" s="35"/>
      <c r="IE699" s="35"/>
      <c r="IF699" s="35"/>
      <c r="IG699" s="35"/>
      <c r="IH699" s="35"/>
      <c r="II699" s="35"/>
      <c r="IJ699" s="35"/>
      <c r="IK699" s="35"/>
      <c r="IL699" s="35"/>
      <c r="IM699" s="35"/>
      <c r="IN699" s="35"/>
      <c r="IO699" s="35"/>
      <c r="IP699" s="35"/>
      <c r="IQ699" s="35"/>
      <c r="IR699" s="35"/>
      <c r="IS699" s="35"/>
      <c r="IT699" s="35"/>
      <c r="IU699" s="35"/>
      <c r="IV699" s="35"/>
      <c r="IW699" s="35"/>
      <c r="IX699" s="35"/>
      <c r="IY699" s="35"/>
      <c r="IZ699" s="35"/>
      <c r="JA699" s="35"/>
      <c r="JB699" s="35"/>
      <c r="JC699" s="35"/>
      <c r="JD699" s="35"/>
      <c r="JE699" s="35"/>
    </row>
    <row r="700">
      <c r="A700" s="42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  <c r="AZ700" s="35"/>
      <c r="BA700" s="35"/>
      <c r="BB700" s="35"/>
      <c r="BC700" s="35"/>
      <c r="BD700" s="35"/>
      <c r="BE700" s="35"/>
      <c r="BF700" s="35"/>
      <c r="BG700" s="35"/>
      <c r="BH700" s="35"/>
      <c r="BI700" s="35"/>
      <c r="BJ700" s="35"/>
      <c r="BK700" s="35"/>
      <c r="BL700" s="35"/>
      <c r="BM700" s="35"/>
      <c r="BN700" s="35"/>
      <c r="BO700" s="35"/>
      <c r="BP700" s="35"/>
      <c r="BQ700" s="35"/>
      <c r="BR700" s="35"/>
      <c r="BS700" s="35"/>
      <c r="BT700" s="35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35"/>
      <c r="CO700" s="35"/>
      <c r="CP700" s="35"/>
      <c r="CQ700" s="35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35"/>
      <c r="DJ700" s="35"/>
      <c r="DK700" s="35"/>
      <c r="DL700" s="35"/>
      <c r="DM700" s="35"/>
      <c r="DN700" s="35"/>
      <c r="DO700" s="35"/>
      <c r="DP700" s="35"/>
      <c r="DQ700" s="35"/>
      <c r="DR700" s="35"/>
      <c r="DS700" s="35"/>
      <c r="DT700" s="35"/>
      <c r="DU700" s="35"/>
      <c r="DV700" s="35"/>
      <c r="DW700" s="35"/>
      <c r="DX700" s="35"/>
      <c r="DY700" s="35"/>
      <c r="DZ700" s="35"/>
      <c r="EA700" s="35"/>
      <c r="EB700" s="35"/>
      <c r="EC700" s="35"/>
      <c r="ED700" s="35"/>
      <c r="EE700" s="35"/>
      <c r="EF700" s="35"/>
      <c r="EG700" s="35"/>
      <c r="EH700" s="35"/>
      <c r="EI700" s="35"/>
      <c r="EJ700" s="35"/>
      <c r="EK700" s="35"/>
      <c r="EL700" s="35"/>
      <c r="EM700" s="35"/>
      <c r="EN700" s="35"/>
      <c r="EO700" s="35"/>
      <c r="EP700" s="35"/>
      <c r="EQ700" s="35"/>
      <c r="ER700" s="35"/>
      <c r="ES700" s="35"/>
      <c r="ET700" s="35"/>
      <c r="EU700" s="35"/>
      <c r="EV700" s="35"/>
      <c r="EW700" s="35"/>
      <c r="EX700" s="35"/>
      <c r="EY700" s="35"/>
      <c r="EZ700" s="35"/>
      <c r="FA700" s="35"/>
      <c r="FB700" s="35"/>
      <c r="FC700" s="35"/>
      <c r="FD700" s="35"/>
      <c r="FE700" s="35"/>
      <c r="FF700" s="35"/>
      <c r="FG700" s="35"/>
      <c r="FH700" s="35"/>
      <c r="FI700" s="35"/>
      <c r="FJ700" s="35"/>
      <c r="FK700" s="35"/>
      <c r="FL700" s="35"/>
      <c r="FM700" s="35"/>
      <c r="FN700" s="35"/>
      <c r="FO700" s="35"/>
      <c r="FP700" s="35"/>
      <c r="FQ700" s="35"/>
      <c r="FR700" s="35"/>
      <c r="FS700" s="35"/>
      <c r="FT700" s="35"/>
      <c r="FU700" s="35"/>
      <c r="FV700" s="35"/>
      <c r="FW700" s="35"/>
      <c r="FX700" s="35"/>
      <c r="FY700" s="35"/>
      <c r="FZ700" s="35"/>
      <c r="GA700" s="35"/>
      <c r="GB700" s="35"/>
      <c r="GC700" s="35"/>
      <c r="GD700" s="35"/>
      <c r="GE700" s="35"/>
      <c r="GF700" s="35"/>
      <c r="GG700" s="35"/>
      <c r="GH700" s="35"/>
      <c r="GI700" s="35"/>
      <c r="GJ700" s="35"/>
      <c r="GK700" s="35"/>
      <c r="GL700" s="35"/>
      <c r="GM700" s="35"/>
      <c r="GN700" s="35"/>
      <c r="GO700" s="35"/>
      <c r="GP700" s="35"/>
      <c r="GQ700" s="35"/>
      <c r="GR700" s="35"/>
      <c r="GS700" s="35"/>
      <c r="GT700" s="35"/>
      <c r="GU700" s="35"/>
      <c r="GV700" s="35"/>
      <c r="GW700" s="35"/>
      <c r="GX700" s="35"/>
      <c r="GY700" s="35"/>
      <c r="GZ700" s="35"/>
      <c r="HA700" s="35"/>
      <c r="HB700" s="35"/>
      <c r="HC700" s="35"/>
      <c r="HD700" s="35"/>
      <c r="HE700" s="35"/>
      <c r="HF700" s="35"/>
      <c r="HG700" s="35"/>
      <c r="HH700" s="35"/>
      <c r="HI700" s="35"/>
      <c r="HJ700" s="35"/>
      <c r="HK700" s="35"/>
      <c r="HL700" s="35"/>
      <c r="HM700" s="35"/>
      <c r="HN700" s="35"/>
      <c r="HO700" s="35"/>
      <c r="HP700" s="35"/>
      <c r="HQ700" s="35"/>
      <c r="HR700" s="35"/>
      <c r="HS700" s="35"/>
      <c r="HT700" s="35"/>
      <c r="HU700" s="35"/>
      <c r="HV700" s="35"/>
      <c r="HW700" s="35"/>
      <c r="HX700" s="35"/>
      <c r="HY700" s="35"/>
      <c r="HZ700" s="35"/>
      <c r="IA700" s="35"/>
      <c r="IB700" s="35"/>
      <c r="IC700" s="35"/>
      <c r="ID700" s="35"/>
      <c r="IE700" s="35"/>
      <c r="IF700" s="35"/>
      <c r="IG700" s="35"/>
      <c r="IH700" s="35"/>
      <c r="II700" s="35"/>
      <c r="IJ700" s="35"/>
      <c r="IK700" s="35"/>
      <c r="IL700" s="35"/>
      <c r="IM700" s="35"/>
      <c r="IN700" s="35"/>
      <c r="IO700" s="35"/>
      <c r="IP700" s="35"/>
      <c r="IQ700" s="35"/>
      <c r="IR700" s="35"/>
      <c r="IS700" s="35"/>
      <c r="IT700" s="35"/>
      <c r="IU700" s="35"/>
      <c r="IV700" s="35"/>
      <c r="IW700" s="35"/>
      <c r="IX700" s="35"/>
      <c r="IY700" s="35"/>
      <c r="IZ700" s="35"/>
      <c r="JA700" s="35"/>
      <c r="JB700" s="35"/>
      <c r="JC700" s="35"/>
      <c r="JD700" s="35"/>
      <c r="JE700" s="35"/>
    </row>
    <row r="701">
      <c r="A701" s="42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  <c r="AZ701" s="35"/>
      <c r="BA701" s="35"/>
      <c r="BB701" s="35"/>
      <c r="BC701" s="35"/>
      <c r="BD701" s="35"/>
      <c r="BE701" s="35"/>
      <c r="BF701" s="35"/>
      <c r="BG701" s="35"/>
      <c r="BH701" s="35"/>
      <c r="BI701" s="35"/>
      <c r="BJ701" s="35"/>
      <c r="BK701" s="35"/>
      <c r="BL701" s="35"/>
      <c r="BM701" s="35"/>
      <c r="BN701" s="35"/>
      <c r="BO701" s="35"/>
      <c r="BP701" s="35"/>
      <c r="BQ701" s="35"/>
      <c r="BR701" s="35"/>
      <c r="BS701" s="35"/>
      <c r="BT701" s="35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35"/>
      <c r="CO701" s="35"/>
      <c r="CP701" s="35"/>
      <c r="CQ701" s="35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35"/>
      <c r="DJ701" s="35"/>
      <c r="DK701" s="35"/>
      <c r="DL701" s="35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/>
      <c r="DW701" s="35"/>
      <c r="DX701" s="35"/>
      <c r="DY701" s="35"/>
      <c r="DZ701" s="35"/>
      <c r="EA701" s="35"/>
      <c r="EB701" s="35"/>
      <c r="EC701" s="35"/>
      <c r="ED701" s="35"/>
      <c r="EE701" s="35"/>
      <c r="EF701" s="35"/>
      <c r="EG701" s="35"/>
      <c r="EH701" s="35"/>
      <c r="EI701" s="35"/>
      <c r="EJ701" s="35"/>
      <c r="EK701" s="35"/>
      <c r="EL701" s="35"/>
      <c r="EM701" s="35"/>
      <c r="EN701" s="35"/>
      <c r="EO701" s="35"/>
      <c r="EP701" s="35"/>
      <c r="EQ701" s="35"/>
      <c r="ER701" s="35"/>
      <c r="ES701" s="35"/>
      <c r="ET701" s="35"/>
      <c r="EU701" s="35"/>
      <c r="EV701" s="35"/>
      <c r="EW701" s="35"/>
      <c r="EX701" s="35"/>
      <c r="EY701" s="35"/>
      <c r="EZ701" s="35"/>
      <c r="FA701" s="35"/>
      <c r="FB701" s="35"/>
      <c r="FC701" s="35"/>
      <c r="FD701" s="35"/>
      <c r="FE701" s="35"/>
      <c r="FF701" s="35"/>
      <c r="FG701" s="35"/>
      <c r="FH701" s="35"/>
      <c r="FI701" s="35"/>
      <c r="FJ701" s="35"/>
      <c r="FK701" s="35"/>
      <c r="FL701" s="35"/>
      <c r="FM701" s="35"/>
      <c r="FN701" s="35"/>
      <c r="FO701" s="35"/>
      <c r="FP701" s="35"/>
      <c r="FQ701" s="35"/>
      <c r="FR701" s="35"/>
      <c r="FS701" s="35"/>
      <c r="FT701" s="35"/>
      <c r="FU701" s="35"/>
      <c r="FV701" s="35"/>
      <c r="FW701" s="35"/>
      <c r="FX701" s="35"/>
      <c r="FY701" s="35"/>
      <c r="FZ701" s="35"/>
      <c r="GA701" s="35"/>
      <c r="GB701" s="35"/>
      <c r="GC701" s="35"/>
      <c r="GD701" s="35"/>
      <c r="GE701" s="35"/>
      <c r="GF701" s="35"/>
      <c r="GG701" s="35"/>
      <c r="GH701" s="35"/>
      <c r="GI701" s="35"/>
      <c r="GJ701" s="35"/>
      <c r="GK701" s="35"/>
      <c r="GL701" s="35"/>
      <c r="GM701" s="35"/>
      <c r="GN701" s="35"/>
      <c r="GO701" s="35"/>
      <c r="GP701" s="35"/>
      <c r="GQ701" s="35"/>
      <c r="GR701" s="35"/>
      <c r="GS701" s="35"/>
      <c r="GT701" s="35"/>
      <c r="GU701" s="35"/>
      <c r="GV701" s="35"/>
      <c r="GW701" s="35"/>
      <c r="GX701" s="35"/>
      <c r="GY701" s="35"/>
      <c r="GZ701" s="35"/>
      <c r="HA701" s="35"/>
      <c r="HB701" s="35"/>
      <c r="HC701" s="35"/>
      <c r="HD701" s="35"/>
      <c r="HE701" s="35"/>
      <c r="HF701" s="35"/>
      <c r="HG701" s="35"/>
      <c r="HH701" s="35"/>
      <c r="HI701" s="35"/>
      <c r="HJ701" s="35"/>
      <c r="HK701" s="35"/>
      <c r="HL701" s="35"/>
      <c r="HM701" s="35"/>
      <c r="HN701" s="35"/>
      <c r="HO701" s="35"/>
      <c r="HP701" s="35"/>
      <c r="HQ701" s="35"/>
      <c r="HR701" s="35"/>
      <c r="HS701" s="35"/>
      <c r="HT701" s="35"/>
      <c r="HU701" s="35"/>
      <c r="HV701" s="35"/>
      <c r="HW701" s="35"/>
      <c r="HX701" s="35"/>
      <c r="HY701" s="35"/>
      <c r="HZ701" s="35"/>
      <c r="IA701" s="35"/>
      <c r="IB701" s="35"/>
      <c r="IC701" s="35"/>
      <c r="ID701" s="35"/>
      <c r="IE701" s="35"/>
      <c r="IF701" s="35"/>
      <c r="IG701" s="35"/>
      <c r="IH701" s="35"/>
      <c r="II701" s="35"/>
      <c r="IJ701" s="35"/>
      <c r="IK701" s="35"/>
      <c r="IL701" s="35"/>
      <c r="IM701" s="35"/>
      <c r="IN701" s="35"/>
      <c r="IO701" s="35"/>
      <c r="IP701" s="35"/>
      <c r="IQ701" s="35"/>
      <c r="IR701" s="35"/>
      <c r="IS701" s="35"/>
      <c r="IT701" s="35"/>
      <c r="IU701" s="35"/>
      <c r="IV701" s="35"/>
      <c r="IW701" s="35"/>
      <c r="IX701" s="35"/>
      <c r="IY701" s="35"/>
      <c r="IZ701" s="35"/>
      <c r="JA701" s="35"/>
      <c r="JB701" s="35"/>
      <c r="JC701" s="35"/>
      <c r="JD701" s="35"/>
      <c r="JE701" s="35"/>
    </row>
    <row r="702">
      <c r="A702" s="42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  <c r="AZ702" s="35"/>
      <c r="BA702" s="35"/>
      <c r="BB702" s="35"/>
      <c r="BC702" s="35"/>
      <c r="BD702" s="35"/>
      <c r="BE702" s="35"/>
      <c r="BF702" s="35"/>
      <c r="BG702" s="35"/>
      <c r="BH702" s="35"/>
      <c r="BI702" s="35"/>
      <c r="BJ702" s="35"/>
      <c r="BK702" s="35"/>
      <c r="BL702" s="35"/>
      <c r="BM702" s="35"/>
      <c r="BN702" s="35"/>
      <c r="BO702" s="35"/>
      <c r="BP702" s="35"/>
      <c r="BQ702" s="35"/>
      <c r="BR702" s="35"/>
      <c r="BS702" s="35"/>
      <c r="BT702" s="35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35"/>
      <c r="CO702" s="35"/>
      <c r="CP702" s="35"/>
      <c r="CQ702" s="35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35"/>
      <c r="DJ702" s="35"/>
      <c r="DK702" s="35"/>
      <c r="DL702" s="35"/>
      <c r="DM702" s="35"/>
      <c r="DN702" s="35"/>
      <c r="DO702" s="35"/>
      <c r="DP702" s="35"/>
      <c r="DQ702" s="35"/>
      <c r="DR702" s="35"/>
      <c r="DS702" s="35"/>
      <c r="DT702" s="35"/>
      <c r="DU702" s="35"/>
      <c r="DV702" s="35"/>
      <c r="DW702" s="35"/>
      <c r="DX702" s="35"/>
      <c r="DY702" s="35"/>
      <c r="DZ702" s="35"/>
      <c r="EA702" s="35"/>
      <c r="EB702" s="35"/>
      <c r="EC702" s="35"/>
      <c r="ED702" s="35"/>
      <c r="EE702" s="35"/>
      <c r="EF702" s="35"/>
      <c r="EG702" s="35"/>
      <c r="EH702" s="35"/>
      <c r="EI702" s="35"/>
      <c r="EJ702" s="35"/>
      <c r="EK702" s="35"/>
      <c r="EL702" s="35"/>
      <c r="EM702" s="35"/>
      <c r="EN702" s="35"/>
      <c r="EO702" s="35"/>
      <c r="EP702" s="35"/>
      <c r="EQ702" s="35"/>
      <c r="ER702" s="35"/>
      <c r="ES702" s="35"/>
      <c r="ET702" s="35"/>
      <c r="EU702" s="35"/>
      <c r="EV702" s="35"/>
      <c r="EW702" s="35"/>
      <c r="EX702" s="35"/>
      <c r="EY702" s="35"/>
      <c r="EZ702" s="35"/>
      <c r="FA702" s="35"/>
      <c r="FB702" s="35"/>
      <c r="FC702" s="35"/>
      <c r="FD702" s="35"/>
      <c r="FE702" s="35"/>
      <c r="FF702" s="35"/>
      <c r="FG702" s="35"/>
      <c r="FH702" s="35"/>
      <c r="FI702" s="35"/>
      <c r="FJ702" s="35"/>
      <c r="FK702" s="35"/>
      <c r="FL702" s="35"/>
      <c r="FM702" s="35"/>
      <c r="FN702" s="35"/>
      <c r="FO702" s="35"/>
      <c r="FP702" s="35"/>
      <c r="FQ702" s="35"/>
      <c r="FR702" s="35"/>
      <c r="FS702" s="35"/>
      <c r="FT702" s="35"/>
      <c r="FU702" s="35"/>
      <c r="FV702" s="35"/>
      <c r="FW702" s="35"/>
      <c r="FX702" s="35"/>
      <c r="FY702" s="35"/>
      <c r="FZ702" s="35"/>
      <c r="GA702" s="35"/>
      <c r="GB702" s="35"/>
      <c r="GC702" s="35"/>
      <c r="GD702" s="35"/>
      <c r="GE702" s="35"/>
      <c r="GF702" s="35"/>
      <c r="GG702" s="35"/>
      <c r="GH702" s="35"/>
      <c r="GI702" s="35"/>
      <c r="GJ702" s="35"/>
      <c r="GK702" s="35"/>
      <c r="GL702" s="35"/>
      <c r="GM702" s="35"/>
      <c r="GN702" s="35"/>
      <c r="GO702" s="35"/>
      <c r="GP702" s="35"/>
      <c r="GQ702" s="35"/>
      <c r="GR702" s="35"/>
      <c r="GS702" s="35"/>
      <c r="GT702" s="35"/>
      <c r="GU702" s="35"/>
      <c r="GV702" s="35"/>
      <c r="GW702" s="35"/>
      <c r="GX702" s="35"/>
      <c r="GY702" s="35"/>
      <c r="GZ702" s="35"/>
      <c r="HA702" s="35"/>
      <c r="HB702" s="35"/>
      <c r="HC702" s="35"/>
      <c r="HD702" s="35"/>
      <c r="HE702" s="35"/>
      <c r="HF702" s="35"/>
      <c r="HG702" s="35"/>
      <c r="HH702" s="35"/>
      <c r="HI702" s="35"/>
      <c r="HJ702" s="35"/>
      <c r="HK702" s="35"/>
      <c r="HL702" s="35"/>
      <c r="HM702" s="35"/>
      <c r="HN702" s="35"/>
      <c r="HO702" s="35"/>
      <c r="HP702" s="35"/>
      <c r="HQ702" s="35"/>
      <c r="HR702" s="35"/>
      <c r="HS702" s="35"/>
      <c r="HT702" s="35"/>
      <c r="HU702" s="35"/>
      <c r="HV702" s="35"/>
      <c r="HW702" s="35"/>
      <c r="HX702" s="35"/>
      <c r="HY702" s="35"/>
      <c r="HZ702" s="35"/>
      <c r="IA702" s="35"/>
      <c r="IB702" s="35"/>
      <c r="IC702" s="35"/>
      <c r="ID702" s="35"/>
      <c r="IE702" s="35"/>
      <c r="IF702" s="35"/>
      <c r="IG702" s="35"/>
      <c r="IH702" s="35"/>
      <c r="II702" s="35"/>
      <c r="IJ702" s="35"/>
      <c r="IK702" s="35"/>
      <c r="IL702" s="35"/>
      <c r="IM702" s="35"/>
      <c r="IN702" s="35"/>
      <c r="IO702" s="35"/>
      <c r="IP702" s="35"/>
      <c r="IQ702" s="35"/>
      <c r="IR702" s="35"/>
      <c r="IS702" s="35"/>
      <c r="IT702" s="35"/>
      <c r="IU702" s="35"/>
      <c r="IV702" s="35"/>
      <c r="IW702" s="35"/>
      <c r="IX702" s="35"/>
      <c r="IY702" s="35"/>
      <c r="IZ702" s="35"/>
      <c r="JA702" s="35"/>
      <c r="JB702" s="35"/>
      <c r="JC702" s="35"/>
      <c r="JD702" s="35"/>
      <c r="JE702" s="35"/>
    </row>
    <row r="703">
      <c r="A703" s="42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  <c r="AZ703" s="35"/>
      <c r="BA703" s="35"/>
      <c r="BB703" s="35"/>
      <c r="BC703" s="35"/>
      <c r="BD703" s="35"/>
      <c r="BE703" s="35"/>
      <c r="BF703" s="35"/>
      <c r="BG703" s="35"/>
      <c r="BH703" s="35"/>
      <c r="BI703" s="35"/>
      <c r="BJ703" s="35"/>
      <c r="BK703" s="35"/>
      <c r="BL703" s="35"/>
      <c r="BM703" s="35"/>
      <c r="BN703" s="35"/>
      <c r="BO703" s="35"/>
      <c r="BP703" s="35"/>
      <c r="BQ703" s="35"/>
      <c r="BR703" s="35"/>
      <c r="BS703" s="35"/>
      <c r="BT703" s="35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35"/>
      <c r="CO703" s="35"/>
      <c r="CP703" s="35"/>
      <c r="CQ703" s="35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35"/>
      <c r="DJ703" s="35"/>
      <c r="DK703" s="35"/>
      <c r="DL703" s="35"/>
      <c r="DM703" s="35"/>
      <c r="DN703" s="35"/>
      <c r="DO703" s="35"/>
      <c r="DP703" s="35"/>
      <c r="DQ703" s="35"/>
      <c r="DR703" s="35"/>
      <c r="DS703" s="35"/>
      <c r="DT703" s="35"/>
      <c r="DU703" s="35"/>
      <c r="DV703" s="35"/>
      <c r="DW703" s="35"/>
      <c r="DX703" s="35"/>
      <c r="DY703" s="35"/>
      <c r="DZ703" s="35"/>
      <c r="EA703" s="35"/>
      <c r="EB703" s="35"/>
      <c r="EC703" s="35"/>
      <c r="ED703" s="35"/>
      <c r="EE703" s="35"/>
      <c r="EF703" s="35"/>
      <c r="EG703" s="35"/>
      <c r="EH703" s="35"/>
      <c r="EI703" s="35"/>
      <c r="EJ703" s="35"/>
      <c r="EK703" s="35"/>
      <c r="EL703" s="35"/>
      <c r="EM703" s="35"/>
      <c r="EN703" s="35"/>
      <c r="EO703" s="35"/>
      <c r="EP703" s="35"/>
      <c r="EQ703" s="35"/>
      <c r="ER703" s="35"/>
      <c r="ES703" s="35"/>
      <c r="ET703" s="35"/>
      <c r="EU703" s="35"/>
      <c r="EV703" s="35"/>
      <c r="EW703" s="35"/>
      <c r="EX703" s="35"/>
      <c r="EY703" s="35"/>
      <c r="EZ703" s="35"/>
      <c r="FA703" s="35"/>
      <c r="FB703" s="35"/>
      <c r="FC703" s="35"/>
      <c r="FD703" s="35"/>
      <c r="FE703" s="35"/>
      <c r="FF703" s="35"/>
      <c r="FG703" s="35"/>
      <c r="FH703" s="35"/>
      <c r="FI703" s="35"/>
      <c r="FJ703" s="35"/>
      <c r="FK703" s="35"/>
      <c r="FL703" s="35"/>
      <c r="FM703" s="35"/>
      <c r="FN703" s="35"/>
      <c r="FO703" s="35"/>
      <c r="FP703" s="35"/>
      <c r="FQ703" s="35"/>
      <c r="FR703" s="35"/>
      <c r="FS703" s="35"/>
      <c r="FT703" s="35"/>
      <c r="FU703" s="35"/>
      <c r="FV703" s="35"/>
      <c r="FW703" s="35"/>
      <c r="FX703" s="35"/>
      <c r="FY703" s="35"/>
      <c r="FZ703" s="35"/>
      <c r="GA703" s="35"/>
      <c r="GB703" s="35"/>
      <c r="GC703" s="35"/>
      <c r="GD703" s="35"/>
      <c r="GE703" s="35"/>
      <c r="GF703" s="35"/>
      <c r="GG703" s="35"/>
      <c r="GH703" s="35"/>
      <c r="GI703" s="35"/>
      <c r="GJ703" s="35"/>
      <c r="GK703" s="35"/>
      <c r="GL703" s="35"/>
      <c r="GM703" s="35"/>
      <c r="GN703" s="35"/>
      <c r="GO703" s="35"/>
      <c r="GP703" s="35"/>
      <c r="GQ703" s="35"/>
      <c r="GR703" s="35"/>
      <c r="GS703" s="35"/>
      <c r="GT703" s="35"/>
      <c r="GU703" s="35"/>
      <c r="GV703" s="35"/>
      <c r="GW703" s="35"/>
      <c r="GX703" s="35"/>
      <c r="GY703" s="35"/>
      <c r="GZ703" s="35"/>
      <c r="HA703" s="35"/>
      <c r="HB703" s="35"/>
      <c r="HC703" s="35"/>
      <c r="HD703" s="35"/>
      <c r="HE703" s="35"/>
      <c r="HF703" s="35"/>
      <c r="HG703" s="35"/>
      <c r="HH703" s="35"/>
      <c r="HI703" s="35"/>
      <c r="HJ703" s="35"/>
      <c r="HK703" s="35"/>
      <c r="HL703" s="35"/>
      <c r="HM703" s="35"/>
      <c r="HN703" s="35"/>
      <c r="HO703" s="35"/>
      <c r="HP703" s="35"/>
      <c r="HQ703" s="35"/>
      <c r="HR703" s="35"/>
      <c r="HS703" s="35"/>
      <c r="HT703" s="35"/>
      <c r="HU703" s="35"/>
      <c r="HV703" s="35"/>
      <c r="HW703" s="35"/>
      <c r="HX703" s="35"/>
      <c r="HY703" s="35"/>
      <c r="HZ703" s="35"/>
      <c r="IA703" s="35"/>
      <c r="IB703" s="35"/>
      <c r="IC703" s="35"/>
      <c r="ID703" s="35"/>
      <c r="IE703" s="35"/>
      <c r="IF703" s="35"/>
      <c r="IG703" s="35"/>
      <c r="IH703" s="35"/>
      <c r="II703" s="35"/>
      <c r="IJ703" s="35"/>
      <c r="IK703" s="35"/>
      <c r="IL703" s="35"/>
      <c r="IM703" s="35"/>
      <c r="IN703" s="35"/>
      <c r="IO703" s="35"/>
      <c r="IP703" s="35"/>
      <c r="IQ703" s="35"/>
      <c r="IR703" s="35"/>
      <c r="IS703" s="35"/>
      <c r="IT703" s="35"/>
      <c r="IU703" s="35"/>
      <c r="IV703" s="35"/>
      <c r="IW703" s="35"/>
      <c r="IX703" s="35"/>
      <c r="IY703" s="35"/>
      <c r="IZ703" s="35"/>
      <c r="JA703" s="35"/>
      <c r="JB703" s="35"/>
      <c r="JC703" s="35"/>
      <c r="JD703" s="35"/>
      <c r="JE703" s="35"/>
    </row>
    <row r="704">
      <c r="A704" s="42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  <c r="AZ704" s="35"/>
      <c r="BA704" s="35"/>
      <c r="BB704" s="35"/>
      <c r="BC704" s="35"/>
      <c r="BD704" s="35"/>
      <c r="BE704" s="35"/>
      <c r="BF704" s="35"/>
      <c r="BG704" s="35"/>
      <c r="BH704" s="35"/>
      <c r="BI704" s="35"/>
      <c r="BJ704" s="35"/>
      <c r="BK704" s="35"/>
      <c r="BL704" s="35"/>
      <c r="BM704" s="35"/>
      <c r="BN704" s="35"/>
      <c r="BO704" s="35"/>
      <c r="BP704" s="35"/>
      <c r="BQ704" s="35"/>
      <c r="BR704" s="35"/>
      <c r="BS704" s="35"/>
      <c r="BT704" s="35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35"/>
      <c r="CO704" s="35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35"/>
      <c r="DJ704" s="35"/>
      <c r="DK704" s="35"/>
      <c r="DL704" s="35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35"/>
      <c r="EE704" s="35"/>
      <c r="EF704" s="35"/>
      <c r="EG704" s="35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  <c r="ER704" s="35"/>
      <c r="ES704" s="35"/>
      <c r="ET704" s="35"/>
      <c r="EU704" s="35"/>
      <c r="EV704" s="35"/>
      <c r="EW704" s="35"/>
      <c r="EX704" s="35"/>
      <c r="EY704" s="35"/>
      <c r="EZ704" s="35"/>
      <c r="FA704" s="35"/>
      <c r="FB704" s="35"/>
      <c r="FC704" s="35"/>
      <c r="FD704" s="35"/>
      <c r="FE704" s="35"/>
      <c r="FF704" s="35"/>
      <c r="FG704" s="35"/>
      <c r="FH704" s="35"/>
      <c r="FI704" s="35"/>
      <c r="FJ704" s="35"/>
      <c r="FK704" s="35"/>
      <c r="FL704" s="35"/>
      <c r="FM704" s="35"/>
      <c r="FN704" s="35"/>
      <c r="FO704" s="35"/>
      <c r="FP704" s="35"/>
      <c r="FQ704" s="35"/>
      <c r="FR704" s="35"/>
      <c r="FS704" s="35"/>
      <c r="FT704" s="35"/>
      <c r="FU704" s="35"/>
      <c r="FV704" s="35"/>
      <c r="FW704" s="35"/>
      <c r="FX704" s="35"/>
      <c r="FY704" s="35"/>
      <c r="FZ704" s="35"/>
      <c r="GA704" s="35"/>
      <c r="GB704" s="35"/>
      <c r="GC704" s="35"/>
      <c r="GD704" s="35"/>
      <c r="GE704" s="35"/>
      <c r="GF704" s="35"/>
      <c r="GG704" s="35"/>
      <c r="GH704" s="35"/>
      <c r="GI704" s="35"/>
      <c r="GJ704" s="35"/>
      <c r="GK704" s="35"/>
      <c r="GL704" s="35"/>
      <c r="GM704" s="35"/>
      <c r="GN704" s="35"/>
      <c r="GO704" s="35"/>
      <c r="GP704" s="35"/>
      <c r="GQ704" s="35"/>
      <c r="GR704" s="35"/>
      <c r="GS704" s="35"/>
      <c r="GT704" s="35"/>
      <c r="GU704" s="35"/>
      <c r="GV704" s="35"/>
      <c r="GW704" s="35"/>
      <c r="GX704" s="35"/>
      <c r="GY704" s="35"/>
      <c r="GZ704" s="35"/>
      <c r="HA704" s="35"/>
      <c r="HB704" s="35"/>
      <c r="HC704" s="35"/>
      <c r="HD704" s="35"/>
      <c r="HE704" s="35"/>
      <c r="HF704" s="35"/>
      <c r="HG704" s="35"/>
      <c r="HH704" s="35"/>
      <c r="HI704" s="35"/>
      <c r="HJ704" s="35"/>
      <c r="HK704" s="35"/>
      <c r="HL704" s="35"/>
      <c r="HM704" s="35"/>
      <c r="HN704" s="35"/>
      <c r="HO704" s="35"/>
      <c r="HP704" s="35"/>
      <c r="HQ704" s="35"/>
      <c r="HR704" s="35"/>
      <c r="HS704" s="35"/>
      <c r="HT704" s="35"/>
      <c r="HU704" s="35"/>
      <c r="HV704" s="35"/>
      <c r="HW704" s="35"/>
      <c r="HX704" s="35"/>
      <c r="HY704" s="35"/>
      <c r="HZ704" s="35"/>
      <c r="IA704" s="35"/>
      <c r="IB704" s="35"/>
      <c r="IC704" s="35"/>
      <c r="ID704" s="35"/>
      <c r="IE704" s="35"/>
      <c r="IF704" s="35"/>
      <c r="IG704" s="35"/>
      <c r="IH704" s="35"/>
      <c r="II704" s="35"/>
      <c r="IJ704" s="35"/>
      <c r="IK704" s="35"/>
      <c r="IL704" s="35"/>
      <c r="IM704" s="35"/>
      <c r="IN704" s="35"/>
      <c r="IO704" s="35"/>
      <c r="IP704" s="35"/>
      <c r="IQ704" s="35"/>
      <c r="IR704" s="35"/>
      <c r="IS704" s="35"/>
      <c r="IT704" s="35"/>
      <c r="IU704" s="35"/>
      <c r="IV704" s="35"/>
      <c r="IW704" s="35"/>
      <c r="IX704" s="35"/>
      <c r="IY704" s="35"/>
      <c r="IZ704" s="35"/>
      <c r="JA704" s="35"/>
      <c r="JB704" s="35"/>
      <c r="JC704" s="35"/>
      <c r="JD704" s="35"/>
      <c r="JE704" s="35"/>
    </row>
    <row r="705">
      <c r="A705" s="42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  <c r="AZ705" s="35"/>
      <c r="BA705" s="35"/>
      <c r="BB705" s="35"/>
      <c r="BC705" s="35"/>
      <c r="BD705" s="35"/>
      <c r="BE705" s="35"/>
      <c r="BF705" s="35"/>
      <c r="BG705" s="35"/>
      <c r="BH705" s="35"/>
      <c r="BI705" s="35"/>
      <c r="BJ705" s="35"/>
      <c r="BK705" s="35"/>
      <c r="BL705" s="35"/>
      <c r="BM705" s="35"/>
      <c r="BN705" s="35"/>
      <c r="BO705" s="35"/>
      <c r="BP705" s="35"/>
      <c r="BQ705" s="35"/>
      <c r="BR705" s="35"/>
      <c r="BS705" s="35"/>
      <c r="BT705" s="35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35"/>
      <c r="CO705" s="35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35"/>
      <c r="DJ705" s="35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35"/>
      <c r="EE705" s="35"/>
      <c r="EF705" s="35"/>
      <c r="EG705" s="35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35"/>
      <c r="EZ705" s="35"/>
      <c r="FA705" s="35"/>
      <c r="FB705" s="35"/>
      <c r="FC705" s="35"/>
      <c r="FD705" s="35"/>
      <c r="FE705" s="35"/>
      <c r="FF705" s="35"/>
      <c r="FG705" s="35"/>
      <c r="FH705" s="35"/>
      <c r="FI705" s="35"/>
      <c r="FJ705" s="35"/>
      <c r="FK705" s="35"/>
      <c r="FL705" s="35"/>
      <c r="FM705" s="35"/>
      <c r="FN705" s="35"/>
      <c r="FO705" s="35"/>
      <c r="FP705" s="35"/>
      <c r="FQ705" s="35"/>
      <c r="FR705" s="35"/>
      <c r="FS705" s="35"/>
      <c r="FT705" s="35"/>
      <c r="FU705" s="35"/>
      <c r="FV705" s="35"/>
      <c r="FW705" s="35"/>
      <c r="FX705" s="35"/>
      <c r="FY705" s="35"/>
      <c r="FZ705" s="35"/>
      <c r="GA705" s="35"/>
      <c r="GB705" s="35"/>
      <c r="GC705" s="35"/>
      <c r="GD705" s="35"/>
      <c r="GE705" s="35"/>
      <c r="GF705" s="35"/>
      <c r="GG705" s="35"/>
      <c r="GH705" s="35"/>
      <c r="GI705" s="35"/>
      <c r="GJ705" s="35"/>
      <c r="GK705" s="35"/>
      <c r="GL705" s="35"/>
      <c r="GM705" s="35"/>
      <c r="GN705" s="35"/>
      <c r="GO705" s="35"/>
      <c r="GP705" s="35"/>
      <c r="GQ705" s="35"/>
      <c r="GR705" s="35"/>
      <c r="GS705" s="35"/>
      <c r="GT705" s="35"/>
      <c r="GU705" s="35"/>
      <c r="GV705" s="35"/>
      <c r="GW705" s="35"/>
      <c r="GX705" s="35"/>
      <c r="GY705" s="35"/>
      <c r="GZ705" s="35"/>
      <c r="HA705" s="35"/>
      <c r="HB705" s="35"/>
      <c r="HC705" s="35"/>
      <c r="HD705" s="35"/>
      <c r="HE705" s="35"/>
      <c r="HF705" s="35"/>
      <c r="HG705" s="35"/>
      <c r="HH705" s="35"/>
      <c r="HI705" s="35"/>
      <c r="HJ705" s="35"/>
      <c r="HK705" s="35"/>
      <c r="HL705" s="35"/>
      <c r="HM705" s="35"/>
      <c r="HN705" s="35"/>
      <c r="HO705" s="35"/>
      <c r="HP705" s="35"/>
      <c r="HQ705" s="35"/>
      <c r="HR705" s="35"/>
      <c r="HS705" s="35"/>
      <c r="HT705" s="35"/>
      <c r="HU705" s="35"/>
      <c r="HV705" s="35"/>
      <c r="HW705" s="35"/>
      <c r="HX705" s="35"/>
      <c r="HY705" s="35"/>
      <c r="HZ705" s="35"/>
      <c r="IA705" s="35"/>
      <c r="IB705" s="35"/>
      <c r="IC705" s="35"/>
      <c r="ID705" s="35"/>
      <c r="IE705" s="35"/>
      <c r="IF705" s="35"/>
      <c r="IG705" s="35"/>
      <c r="IH705" s="35"/>
      <c r="II705" s="35"/>
      <c r="IJ705" s="35"/>
      <c r="IK705" s="35"/>
      <c r="IL705" s="35"/>
      <c r="IM705" s="35"/>
      <c r="IN705" s="35"/>
      <c r="IO705" s="35"/>
      <c r="IP705" s="35"/>
      <c r="IQ705" s="35"/>
      <c r="IR705" s="35"/>
      <c r="IS705" s="35"/>
      <c r="IT705" s="35"/>
      <c r="IU705" s="35"/>
      <c r="IV705" s="35"/>
      <c r="IW705" s="35"/>
      <c r="IX705" s="35"/>
      <c r="IY705" s="35"/>
      <c r="IZ705" s="35"/>
      <c r="JA705" s="35"/>
      <c r="JB705" s="35"/>
      <c r="JC705" s="35"/>
      <c r="JD705" s="35"/>
      <c r="JE705" s="35"/>
    </row>
    <row r="706">
      <c r="A706" s="42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  <c r="AZ706" s="35"/>
      <c r="BA706" s="35"/>
      <c r="BB706" s="35"/>
      <c r="BC706" s="35"/>
      <c r="BD706" s="35"/>
      <c r="BE706" s="35"/>
      <c r="BF706" s="35"/>
      <c r="BG706" s="35"/>
      <c r="BH706" s="35"/>
      <c r="BI706" s="35"/>
      <c r="BJ706" s="35"/>
      <c r="BK706" s="35"/>
      <c r="BL706" s="35"/>
      <c r="BM706" s="35"/>
      <c r="BN706" s="35"/>
      <c r="BO706" s="35"/>
      <c r="BP706" s="35"/>
      <c r="BQ706" s="35"/>
      <c r="BR706" s="35"/>
      <c r="BS706" s="35"/>
      <c r="BT706" s="35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35"/>
      <c r="CO706" s="35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35"/>
      <c r="DJ706" s="35"/>
      <c r="DK706" s="35"/>
      <c r="DL706" s="35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35"/>
      <c r="EE706" s="35"/>
      <c r="EF706" s="35"/>
      <c r="EG706" s="35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  <c r="ER706" s="35"/>
      <c r="ES706" s="35"/>
      <c r="ET706" s="35"/>
      <c r="EU706" s="35"/>
      <c r="EV706" s="35"/>
      <c r="EW706" s="35"/>
      <c r="EX706" s="35"/>
      <c r="EY706" s="35"/>
      <c r="EZ706" s="35"/>
      <c r="FA706" s="35"/>
      <c r="FB706" s="35"/>
      <c r="FC706" s="35"/>
      <c r="FD706" s="35"/>
      <c r="FE706" s="35"/>
      <c r="FF706" s="35"/>
      <c r="FG706" s="35"/>
      <c r="FH706" s="35"/>
      <c r="FI706" s="35"/>
      <c r="FJ706" s="35"/>
      <c r="FK706" s="35"/>
      <c r="FL706" s="35"/>
      <c r="FM706" s="35"/>
      <c r="FN706" s="35"/>
      <c r="FO706" s="35"/>
      <c r="FP706" s="35"/>
      <c r="FQ706" s="35"/>
      <c r="FR706" s="35"/>
      <c r="FS706" s="35"/>
      <c r="FT706" s="35"/>
      <c r="FU706" s="35"/>
      <c r="FV706" s="35"/>
      <c r="FW706" s="35"/>
      <c r="FX706" s="35"/>
      <c r="FY706" s="35"/>
      <c r="FZ706" s="35"/>
      <c r="GA706" s="35"/>
      <c r="GB706" s="35"/>
      <c r="GC706" s="35"/>
      <c r="GD706" s="35"/>
      <c r="GE706" s="35"/>
      <c r="GF706" s="35"/>
      <c r="GG706" s="35"/>
      <c r="GH706" s="35"/>
      <c r="GI706" s="35"/>
      <c r="GJ706" s="35"/>
      <c r="GK706" s="35"/>
      <c r="GL706" s="35"/>
      <c r="GM706" s="35"/>
      <c r="GN706" s="35"/>
      <c r="GO706" s="35"/>
      <c r="GP706" s="35"/>
      <c r="GQ706" s="35"/>
      <c r="GR706" s="35"/>
      <c r="GS706" s="35"/>
      <c r="GT706" s="35"/>
      <c r="GU706" s="35"/>
      <c r="GV706" s="35"/>
      <c r="GW706" s="35"/>
      <c r="GX706" s="35"/>
      <c r="GY706" s="35"/>
      <c r="GZ706" s="35"/>
      <c r="HA706" s="35"/>
      <c r="HB706" s="35"/>
      <c r="HC706" s="35"/>
      <c r="HD706" s="35"/>
      <c r="HE706" s="35"/>
      <c r="HF706" s="35"/>
      <c r="HG706" s="35"/>
      <c r="HH706" s="35"/>
      <c r="HI706" s="35"/>
      <c r="HJ706" s="35"/>
      <c r="HK706" s="35"/>
      <c r="HL706" s="35"/>
      <c r="HM706" s="35"/>
      <c r="HN706" s="35"/>
      <c r="HO706" s="35"/>
      <c r="HP706" s="35"/>
      <c r="HQ706" s="35"/>
      <c r="HR706" s="35"/>
      <c r="HS706" s="35"/>
      <c r="HT706" s="35"/>
      <c r="HU706" s="35"/>
      <c r="HV706" s="35"/>
      <c r="HW706" s="35"/>
      <c r="HX706" s="35"/>
      <c r="HY706" s="35"/>
      <c r="HZ706" s="35"/>
      <c r="IA706" s="35"/>
      <c r="IB706" s="35"/>
      <c r="IC706" s="35"/>
      <c r="ID706" s="35"/>
      <c r="IE706" s="35"/>
      <c r="IF706" s="35"/>
      <c r="IG706" s="35"/>
      <c r="IH706" s="35"/>
      <c r="II706" s="35"/>
      <c r="IJ706" s="35"/>
      <c r="IK706" s="35"/>
      <c r="IL706" s="35"/>
      <c r="IM706" s="35"/>
      <c r="IN706" s="35"/>
      <c r="IO706" s="35"/>
      <c r="IP706" s="35"/>
      <c r="IQ706" s="35"/>
      <c r="IR706" s="35"/>
      <c r="IS706" s="35"/>
      <c r="IT706" s="35"/>
      <c r="IU706" s="35"/>
      <c r="IV706" s="35"/>
      <c r="IW706" s="35"/>
      <c r="IX706" s="35"/>
      <c r="IY706" s="35"/>
      <c r="IZ706" s="35"/>
      <c r="JA706" s="35"/>
      <c r="JB706" s="35"/>
      <c r="JC706" s="35"/>
      <c r="JD706" s="35"/>
      <c r="JE706" s="35"/>
    </row>
    <row r="707">
      <c r="A707" s="42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  <c r="AZ707" s="35"/>
      <c r="BA707" s="35"/>
      <c r="BB707" s="35"/>
      <c r="BC707" s="35"/>
      <c r="BD707" s="35"/>
      <c r="BE707" s="35"/>
      <c r="BF707" s="35"/>
      <c r="BG707" s="35"/>
      <c r="BH707" s="35"/>
      <c r="BI707" s="35"/>
      <c r="BJ707" s="35"/>
      <c r="BK707" s="35"/>
      <c r="BL707" s="35"/>
      <c r="BM707" s="35"/>
      <c r="BN707" s="35"/>
      <c r="BO707" s="35"/>
      <c r="BP707" s="35"/>
      <c r="BQ707" s="35"/>
      <c r="BR707" s="35"/>
      <c r="BS707" s="35"/>
      <c r="BT707" s="35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35"/>
      <c r="CO707" s="35"/>
      <c r="CP707" s="35"/>
      <c r="CQ707" s="35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35"/>
      <c r="DJ707" s="35"/>
      <c r="DK707" s="35"/>
      <c r="DL707" s="35"/>
      <c r="DM707" s="35"/>
      <c r="DN707" s="35"/>
      <c r="DO707" s="35"/>
      <c r="DP707" s="35"/>
      <c r="DQ707" s="35"/>
      <c r="DR707" s="35"/>
      <c r="DS707" s="35"/>
      <c r="DT707" s="35"/>
      <c r="DU707" s="35"/>
      <c r="DV707" s="35"/>
      <c r="DW707" s="35"/>
      <c r="DX707" s="35"/>
      <c r="DY707" s="35"/>
      <c r="DZ707" s="35"/>
      <c r="EA707" s="35"/>
      <c r="EB707" s="35"/>
      <c r="EC707" s="35"/>
      <c r="ED707" s="35"/>
      <c r="EE707" s="35"/>
      <c r="EF707" s="35"/>
      <c r="EG707" s="35"/>
      <c r="EH707" s="35"/>
      <c r="EI707" s="35"/>
      <c r="EJ707" s="35"/>
      <c r="EK707" s="35"/>
      <c r="EL707" s="35"/>
      <c r="EM707" s="35"/>
      <c r="EN707" s="35"/>
      <c r="EO707" s="35"/>
      <c r="EP707" s="35"/>
      <c r="EQ707" s="35"/>
      <c r="ER707" s="35"/>
      <c r="ES707" s="35"/>
      <c r="ET707" s="35"/>
      <c r="EU707" s="35"/>
      <c r="EV707" s="35"/>
      <c r="EW707" s="35"/>
      <c r="EX707" s="35"/>
      <c r="EY707" s="35"/>
      <c r="EZ707" s="35"/>
      <c r="FA707" s="35"/>
      <c r="FB707" s="35"/>
      <c r="FC707" s="35"/>
      <c r="FD707" s="35"/>
      <c r="FE707" s="35"/>
      <c r="FF707" s="35"/>
      <c r="FG707" s="35"/>
      <c r="FH707" s="35"/>
      <c r="FI707" s="35"/>
      <c r="FJ707" s="35"/>
      <c r="FK707" s="35"/>
      <c r="FL707" s="35"/>
      <c r="FM707" s="35"/>
      <c r="FN707" s="35"/>
      <c r="FO707" s="35"/>
      <c r="FP707" s="35"/>
      <c r="FQ707" s="35"/>
      <c r="FR707" s="35"/>
      <c r="FS707" s="35"/>
      <c r="FT707" s="35"/>
      <c r="FU707" s="35"/>
      <c r="FV707" s="35"/>
      <c r="FW707" s="35"/>
      <c r="FX707" s="35"/>
      <c r="FY707" s="35"/>
      <c r="FZ707" s="35"/>
      <c r="GA707" s="35"/>
      <c r="GB707" s="35"/>
      <c r="GC707" s="35"/>
      <c r="GD707" s="35"/>
      <c r="GE707" s="35"/>
      <c r="GF707" s="35"/>
      <c r="GG707" s="35"/>
      <c r="GH707" s="35"/>
      <c r="GI707" s="35"/>
      <c r="GJ707" s="35"/>
      <c r="GK707" s="35"/>
      <c r="GL707" s="35"/>
      <c r="GM707" s="35"/>
      <c r="GN707" s="35"/>
      <c r="GO707" s="35"/>
      <c r="GP707" s="35"/>
      <c r="GQ707" s="35"/>
      <c r="GR707" s="35"/>
      <c r="GS707" s="35"/>
      <c r="GT707" s="35"/>
      <c r="GU707" s="35"/>
      <c r="GV707" s="35"/>
      <c r="GW707" s="35"/>
      <c r="GX707" s="35"/>
      <c r="GY707" s="35"/>
      <c r="GZ707" s="35"/>
      <c r="HA707" s="35"/>
      <c r="HB707" s="35"/>
      <c r="HC707" s="35"/>
      <c r="HD707" s="35"/>
      <c r="HE707" s="35"/>
      <c r="HF707" s="35"/>
      <c r="HG707" s="35"/>
      <c r="HH707" s="35"/>
      <c r="HI707" s="35"/>
      <c r="HJ707" s="35"/>
      <c r="HK707" s="35"/>
      <c r="HL707" s="35"/>
      <c r="HM707" s="35"/>
      <c r="HN707" s="35"/>
      <c r="HO707" s="35"/>
      <c r="HP707" s="35"/>
      <c r="HQ707" s="35"/>
      <c r="HR707" s="35"/>
      <c r="HS707" s="35"/>
      <c r="HT707" s="35"/>
      <c r="HU707" s="35"/>
      <c r="HV707" s="35"/>
      <c r="HW707" s="35"/>
      <c r="HX707" s="35"/>
      <c r="HY707" s="35"/>
      <c r="HZ707" s="35"/>
      <c r="IA707" s="35"/>
      <c r="IB707" s="35"/>
      <c r="IC707" s="35"/>
      <c r="ID707" s="35"/>
      <c r="IE707" s="35"/>
      <c r="IF707" s="35"/>
      <c r="IG707" s="35"/>
      <c r="IH707" s="35"/>
      <c r="II707" s="35"/>
      <c r="IJ707" s="35"/>
      <c r="IK707" s="35"/>
      <c r="IL707" s="35"/>
      <c r="IM707" s="35"/>
      <c r="IN707" s="35"/>
      <c r="IO707" s="35"/>
      <c r="IP707" s="35"/>
      <c r="IQ707" s="35"/>
      <c r="IR707" s="35"/>
      <c r="IS707" s="35"/>
      <c r="IT707" s="35"/>
      <c r="IU707" s="35"/>
      <c r="IV707" s="35"/>
      <c r="IW707" s="35"/>
      <c r="IX707" s="35"/>
      <c r="IY707" s="35"/>
      <c r="IZ707" s="35"/>
      <c r="JA707" s="35"/>
      <c r="JB707" s="35"/>
      <c r="JC707" s="35"/>
      <c r="JD707" s="35"/>
      <c r="JE707" s="35"/>
    </row>
    <row r="708">
      <c r="A708" s="42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  <c r="AZ708" s="35"/>
      <c r="BA708" s="35"/>
      <c r="BB708" s="35"/>
      <c r="BC708" s="35"/>
      <c r="BD708" s="35"/>
      <c r="BE708" s="35"/>
      <c r="BF708" s="35"/>
      <c r="BG708" s="35"/>
      <c r="BH708" s="35"/>
      <c r="BI708" s="35"/>
      <c r="BJ708" s="35"/>
      <c r="BK708" s="35"/>
      <c r="BL708" s="35"/>
      <c r="BM708" s="35"/>
      <c r="BN708" s="35"/>
      <c r="BO708" s="35"/>
      <c r="BP708" s="35"/>
      <c r="BQ708" s="35"/>
      <c r="BR708" s="35"/>
      <c r="BS708" s="35"/>
      <c r="BT708" s="35"/>
      <c r="BU708" s="35"/>
      <c r="BV708" s="35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35"/>
      <c r="CO708" s="35"/>
      <c r="CP708" s="35"/>
      <c r="CQ708" s="35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35"/>
      <c r="DJ708" s="35"/>
      <c r="DK708" s="35"/>
      <c r="DL708" s="35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35"/>
      <c r="EE708" s="35"/>
      <c r="EF708" s="35"/>
      <c r="EG708" s="35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  <c r="ER708" s="35"/>
      <c r="ES708" s="35"/>
      <c r="ET708" s="35"/>
      <c r="EU708" s="35"/>
      <c r="EV708" s="35"/>
      <c r="EW708" s="35"/>
      <c r="EX708" s="35"/>
      <c r="EY708" s="35"/>
      <c r="EZ708" s="35"/>
      <c r="FA708" s="35"/>
      <c r="FB708" s="35"/>
      <c r="FC708" s="35"/>
      <c r="FD708" s="35"/>
      <c r="FE708" s="35"/>
      <c r="FF708" s="35"/>
      <c r="FG708" s="35"/>
      <c r="FH708" s="35"/>
      <c r="FI708" s="35"/>
      <c r="FJ708" s="35"/>
      <c r="FK708" s="35"/>
      <c r="FL708" s="35"/>
      <c r="FM708" s="35"/>
      <c r="FN708" s="35"/>
      <c r="FO708" s="35"/>
      <c r="FP708" s="35"/>
      <c r="FQ708" s="35"/>
      <c r="FR708" s="35"/>
      <c r="FS708" s="35"/>
      <c r="FT708" s="35"/>
      <c r="FU708" s="35"/>
      <c r="FV708" s="35"/>
      <c r="FW708" s="35"/>
      <c r="FX708" s="35"/>
      <c r="FY708" s="35"/>
      <c r="FZ708" s="35"/>
      <c r="GA708" s="35"/>
      <c r="GB708" s="35"/>
      <c r="GC708" s="35"/>
      <c r="GD708" s="35"/>
      <c r="GE708" s="35"/>
      <c r="GF708" s="35"/>
      <c r="GG708" s="35"/>
      <c r="GH708" s="35"/>
      <c r="GI708" s="35"/>
      <c r="GJ708" s="35"/>
      <c r="GK708" s="35"/>
      <c r="GL708" s="35"/>
      <c r="GM708" s="35"/>
      <c r="GN708" s="35"/>
      <c r="GO708" s="35"/>
      <c r="GP708" s="35"/>
      <c r="GQ708" s="35"/>
      <c r="GR708" s="35"/>
      <c r="GS708" s="35"/>
      <c r="GT708" s="35"/>
      <c r="GU708" s="35"/>
      <c r="GV708" s="35"/>
      <c r="GW708" s="35"/>
      <c r="GX708" s="35"/>
      <c r="GY708" s="35"/>
      <c r="GZ708" s="35"/>
      <c r="HA708" s="35"/>
      <c r="HB708" s="35"/>
      <c r="HC708" s="35"/>
      <c r="HD708" s="35"/>
      <c r="HE708" s="35"/>
      <c r="HF708" s="35"/>
      <c r="HG708" s="35"/>
      <c r="HH708" s="35"/>
      <c r="HI708" s="35"/>
      <c r="HJ708" s="35"/>
      <c r="HK708" s="35"/>
      <c r="HL708" s="35"/>
      <c r="HM708" s="35"/>
      <c r="HN708" s="35"/>
      <c r="HO708" s="35"/>
      <c r="HP708" s="35"/>
      <c r="HQ708" s="35"/>
      <c r="HR708" s="35"/>
      <c r="HS708" s="35"/>
      <c r="HT708" s="35"/>
      <c r="HU708" s="35"/>
      <c r="HV708" s="35"/>
      <c r="HW708" s="35"/>
      <c r="HX708" s="35"/>
      <c r="HY708" s="35"/>
      <c r="HZ708" s="35"/>
      <c r="IA708" s="35"/>
      <c r="IB708" s="35"/>
      <c r="IC708" s="35"/>
      <c r="ID708" s="35"/>
      <c r="IE708" s="35"/>
      <c r="IF708" s="35"/>
      <c r="IG708" s="35"/>
      <c r="IH708" s="35"/>
      <c r="II708" s="35"/>
      <c r="IJ708" s="35"/>
      <c r="IK708" s="35"/>
      <c r="IL708" s="35"/>
      <c r="IM708" s="35"/>
      <c r="IN708" s="35"/>
      <c r="IO708" s="35"/>
      <c r="IP708" s="35"/>
      <c r="IQ708" s="35"/>
      <c r="IR708" s="35"/>
      <c r="IS708" s="35"/>
      <c r="IT708" s="35"/>
      <c r="IU708" s="35"/>
      <c r="IV708" s="35"/>
      <c r="IW708" s="35"/>
      <c r="IX708" s="35"/>
      <c r="IY708" s="35"/>
      <c r="IZ708" s="35"/>
      <c r="JA708" s="35"/>
      <c r="JB708" s="35"/>
      <c r="JC708" s="35"/>
      <c r="JD708" s="35"/>
      <c r="JE708" s="35"/>
    </row>
    <row r="709">
      <c r="A709" s="42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  <c r="AZ709" s="35"/>
      <c r="BA709" s="35"/>
      <c r="BB709" s="35"/>
      <c r="BC709" s="35"/>
      <c r="BD709" s="35"/>
      <c r="BE709" s="35"/>
      <c r="BF709" s="35"/>
      <c r="BG709" s="35"/>
      <c r="BH709" s="35"/>
      <c r="BI709" s="35"/>
      <c r="BJ709" s="35"/>
      <c r="BK709" s="35"/>
      <c r="BL709" s="35"/>
      <c r="BM709" s="35"/>
      <c r="BN709" s="35"/>
      <c r="BO709" s="35"/>
      <c r="BP709" s="35"/>
      <c r="BQ709" s="35"/>
      <c r="BR709" s="35"/>
      <c r="BS709" s="35"/>
      <c r="BT709" s="35"/>
      <c r="BU709" s="35"/>
      <c r="BV709" s="35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35"/>
      <c r="CO709" s="35"/>
      <c r="CP709" s="35"/>
      <c r="CQ709" s="35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35"/>
      <c r="DJ709" s="35"/>
      <c r="DK709" s="35"/>
      <c r="DL709" s="35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35"/>
      <c r="EE709" s="35"/>
      <c r="EF709" s="35"/>
      <c r="EG709" s="35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  <c r="ER709" s="35"/>
      <c r="ES709" s="35"/>
      <c r="ET709" s="35"/>
      <c r="EU709" s="35"/>
      <c r="EV709" s="35"/>
      <c r="EW709" s="35"/>
      <c r="EX709" s="35"/>
      <c r="EY709" s="35"/>
      <c r="EZ709" s="35"/>
      <c r="FA709" s="35"/>
      <c r="FB709" s="35"/>
      <c r="FC709" s="35"/>
      <c r="FD709" s="35"/>
      <c r="FE709" s="35"/>
      <c r="FF709" s="35"/>
      <c r="FG709" s="35"/>
      <c r="FH709" s="35"/>
      <c r="FI709" s="35"/>
      <c r="FJ709" s="35"/>
      <c r="FK709" s="35"/>
      <c r="FL709" s="35"/>
      <c r="FM709" s="35"/>
      <c r="FN709" s="35"/>
      <c r="FO709" s="35"/>
      <c r="FP709" s="35"/>
      <c r="FQ709" s="35"/>
      <c r="FR709" s="35"/>
      <c r="FS709" s="35"/>
      <c r="FT709" s="35"/>
      <c r="FU709" s="35"/>
      <c r="FV709" s="35"/>
      <c r="FW709" s="35"/>
      <c r="FX709" s="35"/>
      <c r="FY709" s="35"/>
      <c r="FZ709" s="35"/>
      <c r="GA709" s="35"/>
      <c r="GB709" s="35"/>
      <c r="GC709" s="35"/>
      <c r="GD709" s="35"/>
      <c r="GE709" s="35"/>
      <c r="GF709" s="35"/>
      <c r="GG709" s="35"/>
      <c r="GH709" s="35"/>
      <c r="GI709" s="35"/>
      <c r="GJ709" s="35"/>
      <c r="GK709" s="35"/>
      <c r="GL709" s="35"/>
      <c r="GM709" s="35"/>
      <c r="GN709" s="35"/>
      <c r="GO709" s="35"/>
      <c r="GP709" s="35"/>
      <c r="GQ709" s="35"/>
      <c r="GR709" s="35"/>
      <c r="GS709" s="35"/>
      <c r="GT709" s="35"/>
      <c r="GU709" s="35"/>
      <c r="GV709" s="35"/>
      <c r="GW709" s="35"/>
      <c r="GX709" s="35"/>
      <c r="GY709" s="35"/>
      <c r="GZ709" s="35"/>
      <c r="HA709" s="35"/>
      <c r="HB709" s="35"/>
      <c r="HC709" s="35"/>
      <c r="HD709" s="35"/>
      <c r="HE709" s="35"/>
      <c r="HF709" s="35"/>
      <c r="HG709" s="35"/>
      <c r="HH709" s="35"/>
      <c r="HI709" s="35"/>
      <c r="HJ709" s="35"/>
      <c r="HK709" s="35"/>
      <c r="HL709" s="35"/>
      <c r="HM709" s="35"/>
      <c r="HN709" s="35"/>
      <c r="HO709" s="35"/>
      <c r="HP709" s="35"/>
      <c r="HQ709" s="35"/>
      <c r="HR709" s="35"/>
      <c r="HS709" s="35"/>
      <c r="HT709" s="35"/>
      <c r="HU709" s="35"/>
      <c r="HV709" s="35"/>
      <c r="HW709" s="35"/>
      <c r="HX709" s="35"/>
      <c r="HY709" s="35"/>
      <c r="HZ709" s="35"/>
      <c r="IA709" s="35"/>
      <c r="IB709" s="35"/>
      <c r="IC709" s="35"/>
      <c r="ID709" s="35"/>
      <c r="IE709" s="35"/>
      <c r="IF709" s="35"/>
      <c r="IG709" s="35"/>
      <c r="IH709" s="35"/>
      <c r="II709" s="35"/>
      <c r="IJ709" s="35"/>
      <c r="IK709" s="35"/>
      <c r="IL709" s="35"/>
      <c r="IM709" s="35"/>
      <c r="IN709" s="35"/>
      <c r="IO709" s="35"/>
      <c r="IP709" s="35"/>
      <c r="IQ709" s="35"/>
      <c r="IR709" s="35"/>
      <c r="IS709" s="35"/>
      <c r="IT709" s="35"/>
      <c r="IU709" s="35"/>
      <c r="IV709" s="35"/>
      <c r="IW709" s="35"/>
      <c r="IX709" s="35"/>
      <c r="IY709" s="35"/>
      <c r="IZ709" s="35"/>
      <c r="JA709" s="35"/>
      <c r="JB709" s="35"/>
      <c r="JC709" s="35"/>
      <c r="JD709" s="35"/>
      <c r="JE709" s="35"/>
    </row>
    <row r="710">
      <c r="A710" s="42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  <c r="AZ710" s="35"/>
      <c r="BA710" s="35"/>
      <c r="BB710" s="35"/>
      <c r="BC710" s="35"/>
      <c r="BD710" s="35"/>
      <c r="BE710" s="35"/>
      <c r="BF710" s="35"/>
      <c r="BG710" s="35"/>
      <c r="BH710" s="35"/>
      <c r="BI710" s="35"/>
      <c r="BJ710" s="35"/>
      <c r="BK710" s="35"/>
      <c r="BL710" s="35"/>
      <c r="BM710" s="35"/>
      <c r="BN710" s="35"/>
      <c r="BO710" s="35"/>
      <c r="BP710" s="35"/>
      <c r="BQ710" s="35"/>
      <c r="BR710" s="35"/>
      <c r="BS710" s="35"/>
      <c r="BT710" s="35"/>
      <c r="BU710" s="35"/>
      <c r="BV710" s="35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35"/>
      <c r="CO710" s="35"/>
      <c r="CP710" s="35"/>
      <c r="CQ710" s="35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35"/>
      <c r="DJ710" s="35"/>
      <c r="DK710" s="35"/>
      <c r="DL710" s="35"/>
      <c r="DM710" s="35"/>
      <c r="DN710" s="35"/>
      <c r="DO710" s="35"/>
      <c r="DP710" s="35"/>
      <c r="DQ710" s="35"/>
      <c r="DR710" s="35"/>
      <c r="DS710" s="35"/>
      <c r="DT710" s="35"/>
      <c r="DU710" s="35"/>
      <c r="DV710" s="35"/>
      <c r="DW710" s="35"/>
      <c r="DX710" s="35"/>
      <c r="DY710" s="35"/>
      <c r="DZ710" s="35"/>
      <c r="EA710" s="35"/>
      <c r="EB710" s="35"/>
      <c r="EC710" s="35"/>
      <c r="ED710" s="35"/>
      <c r="EE710" s="35"/>
      <c r="EF710" s="35"/>
      <c r="EG710" s="35"/>
      <c r="EH710" s="35"/>
      <c r="EI710" s="35"/>
      <c r="EJ710" s="35"/>
      <c r="EK710" s="35"/>
      <c r="EL710" s="35"/>
      <c r="EM710" s="35"/>
      <c r="EN710" s="35"/>
      <c r="EO710" s="35"/>
      <c r="EP710" s="35"/>
      <c r="EQ710" s="35"/>
      <c r="ER710" s="35"/>
      <c r="ES710" s="35"/>
      <c r="ET710" s="35"/>
      <c r="EU710" s="35"/>
      <c r="EV710" s="35"/>
      <c r="EW710" s="35"/>
      <c r="EX710" s="35"/>
      <c r="EY710" s="35"/>
      <c r="EZ710" s="35"/>
      <c r="FA710" s="35"/>
      <c r="FB710" s="35"/>
      <c r="FC710" s="35"/>
      <c r="FD710" s="35"/>
      <c r="FE710" s="35"/>
      <c r="FF710" s="35"/>
      <c r="FG710" s="35"/>
      <c r="FH710" s="35"/>
      <c r="FI710" s="35"/>
      <c r="FJ710" s="35"/>
      <c r="FK710" s="35"/>
      <c r="FL710" s="35"/>
      <c r="FM710" s="35"/>
      <c r="FN710" s="35"/>
      <c r="FO710" s="35"/>
      <c r="FP710" s="35"/>
      <c r="FQ710" s="35"/>
      <c r="FR710" s="35"/>
      <c r="FS710" s="35"/>
      <c r="FT710" s="35"/>
      <c r="FU710" s="35"/>
      <c r="FV710" s="35"/>
      <c r="FW710" s="35"/>
      <c r="FX710" s="35"/>
      <c r="FY710" s="35"/>
      <c r="FZ710" s="35"/>
      <c r="GA710" s="35"/>
      <c r="GB710" s="35"/>
      <c r="GC710" s="35"/>
      <c r="GD710" s="35"/>
      <c r="GE710" s="35"/>
      <c r="GF710" s="35"/>
      <c r="GG710" s="35"/>
      <c r="GH710" s="35"/>
      <c r="GI710" s="35"/>
      <c r="GJ710" s="35"/>
      <c r="GK710" s="35"/>
      <c r="GL710" s="35"/>
      <c r="GM710" s="35"/>
      <c r="GN710" s="35"/>
      <c r="GO710" s="35"/>
      <c r="GP710" s="35"/>
      <c r="GQ710" s="35"/>
      <c r="GR710" s="35"/>
      <c r="GS710" s="35"/>
      <c r="GT710" s="35"/>
      <c r="GU710" s="35"/>
      <c r="GV710" s="35"/>
      <c r="GW710" s="35"/>
      <c r="GX710" s="35"/>
      <c r="GY710" s="35"/>
      <c r="GZ710" s="35"/>
      <c r="HA710" s="35"/>
      <c r="HB710" s="35"/>
      <c r="HC710" s="35"/>
      <c r="HD710" s="35"/>
      <c r="HE710" s="35"/>
      <c r="HF710" s="35"/>
      <c r="HG710" s="35"/>
      <c r="HH710" s="35"/>
      <c r="HI710" s="35"/>
      <c r="HJ710" s="35"/>
      <c r="HK710" s="35"/>
      <c r="HL710" s="35"/>
      <c r="HM710" s="35"/>
      <c r="HN710" s="35"/>
      <c r="HO710" s="35"/>
      <c r="HP710" s="35"/>
      <c r="HQ710" s="35"/>
      <c r="HR710" s="35"/>
      <c r="HS710" s="35"/>
      <c r="HT710" s="35"/>
      <c r="HU710" s="35"/>
      <c r="HV710" s="35"/>
      <c r="HW710" s="35"/>
      <c r="HX710" s="35"/>
      <c r="HY710" s="35"/>
      <c r="HZ710" s="35"/>
      <c r="IA710" s="35"/>
      <c r="IB710" s="35"/>
      <c r="IC710" s="35"/>
      <c r="ID710" s="35"/>
      <c r="IE710" s="35"/>
      <c r="IF710" s="35"/>
      <c r="IG710" s="35"/>
      <c r="IH710" s="35"/>
      <c r="II710" s="35"/>
      <c r="IJ710" s="35"/>
      <c r="IK710" s="35"/>
      <c r="IL710" s="35"/>
      <c r="IM710" s="35"/>
      <c r="IN710" s="35"/>
      <c r="IO710" s="35"/>
      <c r="IP710" s="35"/>
      <c r="IQ710" s="35"/>
      <c r="IR710" s="35"/>
      <c r="IS710" s="35"/>
      <c r="IT710" s="35"/>
      <c r="IU710" s="35"/>
      <c r="IV710" s="35"/>
      <c r="IW710" s="35"/>
      <c r="IX710" s="35"/>
      <c r="IY710" s="35"/>
      <c r="IZ710" s="35"/>
      <c r="JA710" s="35"/>
      <c r="JB710" s="35"/>
      <c r="JC710" s="35"/>
      <c r="JD710" s="35"/>
      <c r="JE710" s="35"/>
    </row>
    <row r="711">
      <c r="A711" s="42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  <c r="AZ711" s="35"/>
      <c r="BA711" s="35"/>
      <c r="BB711" s="35"/>
      <c r="BC711" s="35"/>
      <c r="BD711" s="35"/>
      <c r="BE711" s="35"/>
      <c r="BF711" s="35"/>
      <c r="BG711" s="35"/>
      <c r="BH711" s="35"/>
      <c r="BI711" s="35"/>
      <c r="BJ711" s="35"/>
      <c r="BK711" s="35"/>
      <c r="BL711" s="35"/>
      <c r="BM711" s="35"/>
      <c r="BN711" s="35"/>
      <c r="BO711" s="35"/>
      <c r="BP711" s="35"/>
      <c r="BQ711" s="35"/>
      <c r="BR711" s="35"/>
      <c r="BS711" s="35"/>
      <c r="BT711" s="35"/>
      <c r="BU711" s="35"/>
      <c r="BV711" s="35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35"/>
      <c r="CO711" s="35"/>
      <c r="CP711" s="35"/>
      <c r="CQ711" s="35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35"/>
      <c r="DJ711" s="35"/>
      <c r="DK711" s="35"/>
      <c r="DL711" s="35"/>
      <c r="DM711" s="35"/>
      <c r="DN711" s="35"/>
      <c r="DO711" s="35"/>
      <c r="DP711" s="35"/>
      <c r="DQ711" s="35"/>
      <c r="DR711" s="35"/>
      <c r="DS711" s="35"/>
      <c r="DT711" s="35"/>
      <c r="DU711" s="35"/>
      <c r="DV711" s="35"/>
      <c r="DW711" s="35"/>
      <c r="DX711" s="35"/>
      <c r="DY711" s="35"/>
      <c r="DZ711" s="35"/>
      <c r="EA711" s="35"/>
      <c r="EB711" s="35"/>
      <c r="EC711" s="35"/>
      <c r="ED711" s="35"/>
      <c r="EE711" s="35"/>
      <c r="EF711" s="35"/>
      <c r="EG711" s="35"/>
      <c r="EH711" s="35"/>
      <c r="EI711" s="35"/>
      <c r="EJ711" s="35"/>
      <c r="EK711" s="35"/>
      <c r="EL711" s="35"/>
      <c r="EM711" s="35"/>
      <c r="EN711" s="35"/>
      <c r="EO711" s="35"/>
      <c r="EP711" s="35"/>
      <c r="EQ711" s="35"/>
      <c r="ER711" s="35"/>
      <c r="ES711" s="35"/>
      <c r="ET711" s="35"/>
      <c r="EU711" s="35"/>
      <c r="EV711" s="35"/>
      <c r="EW711" s="35"/>
      <c r="EX711" s="35"/>
      <c r="EY711" s="35"/>
      <c r="EZ711" s="35"/>
      <c r="FA711" s="35"/>
      <c r="FB711" s="35"/>
      <c r="FC711" s="35"/>
      <c r="FD711" s="35"/>
      <c r="FE711" s="35"/>
      <c r="FF711" s="35"/>
      <c r="FG711" s="35"/>
      <c r="FH711" s="35"/>
      <c r="FI711" s="35"/>
      <c r="FJ711" s="35"/>
      <c r="FK711" s="35"/>
      <c r="FL711" s="35"/>
      <c r="FM711" s="35"/>
      <c r="FN711" s="35"/>
      <c r="FO711" s="35"/>
      <c r="FP711" s="35"/>
      <c r="FQ711" s="35"/>
      <c r="FR711" s="35"/>
      <c r="FS711" s="35"/>
      <c r="FT711" s="35"/>
      <c r="FU711" s="35"/>
      <c r="FV711" s="35"/>
      <c r="FW711" s="35"/>
      <c r="FX711" s="35"/>
      <c r="FY711" s="35"/>
      <c r="FZ711" s="35"/>
      <c r="GA711" s="35"/>
      <c r="GB711" s="35"/>
      <c r="GC711" s="35"/>
      <c r="GD711" s="35"/>
      <c r="GE711" s="35"/>
      <c r="GF711" s="35"/>
      <c r="GG711" s="35"/>
      <c r="GH711" s="35"/>
      <c r="GI711" s="35"/>
      <c r="GJ711" s="35"/>
      <c r="GK711" s="35"/>
      <c r="GL711" s="35"/>
      <c r="GM711" s="35"/>
      <c r="GN711" s="35"/>
      <c r="GO711" s="35"/>
      <c r="GP711" s="35"/>
      <c r="GQ711" s="35"/>
      <c r="GR711" s="35"/>
      <c r="GS711" s="35"/>
      <c r="GT711" s="35"/>
      <c r="GU711" s="35"/>
      <c r="GV711" s="35"/>
      <c r="GW711" s="35"/>
      <c r="GX711" s="35"/>
      <c r="GY711" s="35"/>
      <c r="GZ711" s="35"/>
      <c r="HA711" s="35"/>
      <c r="HB711" s="35"/>
      <c r="HC711" s="35"/>
      <c r="HD711" s="35"/>
      <c r="HE711" s="35"/>
      <c r="HF711" s="35"/>
      <c r="HG711" s="35"/>
      <c r="HH711" s="35"/>
      <c r="HI711" s="35"/>
      <c r="HJ711" s="35"/>
      <c r="HK711" s="35"/>
      <c r="HL711" s="35"/>
      <c r="HM711" s="35"/>
      <c r="HN711" s="35"/>
      <c r="HO711" s="35"/>
      <c r="HP711" s="35"/>
      <c r="HQ711" s="35"/>
      <c r="HR711" s="35"/>
      <c r="HS711" s="35"/>
      <c r="HT711" s="35"/>
      <c r="HU711" s="35"/>
      <c r="HV711" s="35"/>
      <c r="HW711" s="35"/>
      <c r="HX711" s="35"/>
      <c r="HY711" s="35"/>
      <c r="HZ711" s="35"/>
      <c r="IA711" s="35"/>
      <c r="IB711" s="35"/>
      <c r="IC711" s="35"/>
      <c r="ID711" s="35"/>
      <c r="IE711" s="35"/>
      <c r="IF711" s="35"/>
      <c r="IG711" s="35"/>
      <c r="IH711" s="35"/>
      <c r="II711" s="35"/>
      <c r="IJ711" s="35"/>
      <c r="IK711" s="35"/>
      <c r="IL711" s="35"/>
      <c r="IM711" s="35"/>
      <c r="IN711" s="35"/>
      <c r="IO711" s="35"/>
      <c r="IP711" s="35"/>
      <c r="IQ711" s="35"/>
      <c r="IR711" s="35"/>
      <c r="IS711" s="35"/>
      <c r="IT711" s="35"/>
      <c r="IU711" s="35"/>
      <c r="IV711" s="35"/>
      <c r="IW711" s="35"/>
      <c r="IX711" s="35"/>
      <c r="IY711" s="35"/>
      <c r="IZ711" s="35"/>
      <c r="JA711" s="35"/>
      <c r="JB711" s="35"/>
      <c r="JC711" s="35"/>
      <c r="JD711" s="35"/>
      <c r="JE711" s="35"/>
    </row>
    <row r="712">
      <c r="A712" s="42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  <c r="AZ712" s="35"/>
      <c r="BA712" s="35"/>
      <c r="BB712" s="35"/>
      <c r="BC712" s="35"/>
      <c r="BD712" s="35"/>
      <c r="BE712" s="35"/>
      <c r="BF712" s="35"/>
      <c r="BG712" s="35"/>
      <c r="BH712" s="35"/>
      <c r="BI712" s="35"/>
      <c r="BJ712" s="35"/>
      <c r="BK712" s="35"/>
      <c r="BL712" s="35"/>
      <c r="BM712" s="35"/>
      <c r="BN712" s="35"/>
      <c r="BO712" s="35"/>
      <c r="BP712" s="35"/>
      <c r="BQ712" s="35"/>
      <c r="BR712" s="35"/>
      <c r="BS712" s="35"/>
      <c r="BT712" s="35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35"/>
      <c r="CO712" s="35"/>
      <c r="CP712" s="35"/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35"/>
      <c r="DJ712" s="35"/>
      <c r="DK712" s="35"/>
      <c r="DL712" s="35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35"/>
      <c r="EE712" s="35"/>
      <c r="EF712" s="35"/>
      <c r="EG712" s="35"/>
      <c r="EH712" s="35"/>
      <c r="EI712" s="35"/>
      <c r="EJ712" s="35"/>
      <c r="EK712" s="35"/>
      <c r="EL712" s="35"/>
      <c r="EM712" s="35"/>
      <c r="EN712" s="35"/>
      <c r="EO712" s="35"/>
      <c r="EP712" s="35"/>
      <c r="EQ712" s="35"/>
      <c r="ER712" s="35"/>
      <c r="ES712" s="35"/>
      <c r="ET712" s="35"/>
      <c r="EU712" s="35"/>
      <c r="EV712" s="35"/>
      <c r="EW712" s="35"/>
      <c r="EX712" s="35"/>
      <c r="EY712" s="35"/>
      <c r="EZ712" s="35"/>
      <c r="FA712" s="35"/>
      <c r="FB712" s="35"/>
      <c r="FC712" s="35"/>
      <c r="FD712" s="35"/>
      <c r="FE712" s="35"/>
      <c r="FF712" s="35"/>
      <c r="FG712" s="35"/>
      <c r="FH712" s="35"/>
      <c r="FI712" s="35"/>
      <c r="FJ712" s="35"/>
      <c r="FK712" s="35"/>
      <c r="FL712" s="35"/>
      <c r="FM712" s="35"/>
      <c r="FN712" s="35"/>
      <c r="FO712" s="35"/>
      <c r="FP712" s="35"/>
      <c r="FQ712" s="35"/>
      <c r="FR712" s="35"/>
      <c r="FS712" s="35"/>
      <c r="FT712" s="35"/>
      <c r="FU712" s="35"/>
      <c r="FV712" s="35"/>
      <c r="FW712" s="35"/>
      <c r="FX712" s="35"/>
      <c r="FY712" s="35"/>
      <c r="FZ712" s="35"/>
      <c r="GA712" s="35"/>
      <c r="GB712" s="35"/>
      <c r="GC712" s="35"/>
      <c r="GD712" s="35"/>
      <c r="GE712" s="35"/>
      <c r="GF712" s="35"/>
      <c r="GG712" s="35"/>
      <c r="GH712" s="35"/>
      <c r="GI712" s="35"/>
      <c r="GJ712" s="35"/>
      <c r="GK712" s="35"/>
      <c r="GL712" s="35"/>
      <c r="GM712" s="35"/>
      <c r="GN712" s="35"/>
      <c r="GO712" s="35"/>
      <c r="GP712" s="35"/>
      <c r="GQ712" s="35"/>
      <c r="GR712" s="35"/>
      <c r="GS712" s="35"/>
      <c r="GT712" s="35"/>
      <c r="GU712" s="35"/>
      <c r="GV712" s="35"/>
      <c r="GW712" s="35"/>
      <c r="GX712" s="35"/>
      <c r="GY712" s="35"/>
      <c r="GZ712" s="35"/>
      <c r="HA712" s="35"/>
      <c r="HB712" s="35"/>
      <c r="HC712" s="35"/>
      <c r="HD712" s="35"/>
      <c r="HE712" s="35"/>
      <c r="HF712" s="35"/>
      <c r="HG712" s="35"/>
      <c r="HH712" s="35"/>
      <c r="HI712" s="35"/>
      <c r="HJ712" s="35"/>
      <c r="HK712" s="35"/>
      <c r="HL712" s="35"/>
      <c r="HM712" s="35"/>
      <c r="HN712" s="35"/>
      <c r="HO712" s="35"/>
      <c r="HP712" s="35"/>
      <c r="HQ712" s="35"/>
      <c r="HR712" s="35"/>
      <c r="HS712" s="35"/>
      <c r="HT712" s="35"/>
      <c r="HU712" s="35"/>
      <c r="HV712" s="35"/>
      <c r="HW712" s="35"/>
      <c r="HX712" s="35"/>
      <c r="HY712" s="35"/>
      <c r="HZ712" s="35"/>
      <c r="IA712" s="35"/>
      <c r="IB712" s="35"/>
      <c r="IC712" s="35"/>
      <c r="ID712" s="35"/>
      <c r="IE712" s="35"/>
      <c r="IF712" s="35"/>
      <c r="IG712" s="35"/>
      <c r="IH712" s="35"/>
      <c r="II712" s="35"/>
      <c r="IJ712" s="35"/>
      <c r="IK712" s="35"/>
      <c r="IL712" s="35"/>
      <c r="IM712" s="35"/>
      <c r="IN712" s="35"/>
      <c r="IO712" s="35"/>
      <c r="IP712" s="35"/>
      <c r="IQ712" s="35"/>
      <c r="IR712" s="35"/>
      <c r="IS712" s="35"/>
      <c r="IT712" s="35"/>
      <c r="IU712" s="35"/>
      <c r="IV712" s="35"/>
      <c r="IW712" s="35"/>
      <c r="IX712" s="35"/>
      <c r="IY712" s="35"/>
      <c r="IZ712" s="35"/>
      <c r="JA712" s="35"/>
      <c r="JB712" s="35"/>
      <c r="JC712" s="35"/>
      <c r="JD712" s="35"/>
      <c r="JE712" s="35"/>
    </row>
    <row r="713">
      <c r="A713" s="42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  <c r="AZ713" s="35"/>
      <c r="BA713" s="35"/>
      <c r="BB713" s="35"/>
      <c r="BC713" s="35"/>
      <c r="BD713" s="35"/>
      <c r="BE713" s="35"/>
      <c r="BF713" s="35"/>
      <c r="BG713" s="35"/>
      <c r="BH713" s="35"/>
      <c r="BI713" s="35"/>
      <c r="BJ713" s="35"/>
      <c r="BK713" s="35"/>
      <c r="BL713" s="35"/>
      <c r="BM713" s="35"/>
      <c r="BN713" s="35"/>
      <c r="BO713" s="35"/>
      <c r="BP713" s="35"/>
      <c r="BQ713" s="35"/>
      <c r="BR713" s="35"/>
      <c r="BS713" s="35"/>
      <c r="BT713" s="35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35"/>
      <c r="CO713" s="35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35"/>
      <c r="DJ713" s="35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35"/>
      <c r="EE713" s="35"/>
      <c r="EF713" s="35"/>
      <c r="EG713" s="35"/>
      <c r="EH713" s="35"/>
      <c r="EI713" s="35"/>
      <c r="EJ713" s="35"/>
      <c r="EK713" s="35"/>
      <c r="EL713" s="35"/>
      <c r="EM713" s="35"/>
      <c r="EN713" s="35"/>
      <c r="EO713" s="35"/>
      <c r="EP713" s="35"/>
      <c r="EQ713" s="35"/>
      <c r="ER713" s="35"/>
      <c r="ES713" s="35"/>
      <c r="ET713" s="35"/>
      <c r="EU713" s="35"/>
      <c r="EV713" s="35"/>
      <c r="EW713" s="35"/>
      <c r="EX713" s="35"/>
      <c r="EY713" s="35"/>
      <c r="EZ713" s="35"/>
      <c r="FA713" s="35"/>
      <c r="FB713" s="35"/>
      <c r="FC713" s="35"/>
      <c r="FD713" s="35"/>
      <c r="FE713" s="35"/>
      <c r="FF713" s="35"/>
      <c r="FG713" s="35"/>
      <c r="FH713" s="35"/>
      <c r="FI713" s="35"/>
      <c r="FJ713" s="35"/>
      <c r="FK713" s="35"/>
      <c r="FL713" s="35"/>
      <c r="FM713" s="35"/>
      <c r="FN713" s="35"/>
      <c r="FO713" s="35"/>
      <c r="FP713" s="35"/>
      <c r="FQ713" s="35"/>
      <c r="FR713" s="35"/>
      <c r="FS713" s="35"/>
      <c r="FT713" s="35"/>
      <c r="FU713" s="35"/>
      <c r="FV713" s="35"/>
      <c r="FW713" s="35"/>
      <c r="FX713" s="35"/>
      <c r="FY713" s="35"/>
      <c r="FZ713" s="35"/>
      <c r="GA713" s="35"/>
      <c r="GB713" s="35"/>
      <c r="GC713" s="35"/>
      <c r="GD713" s="35"/>
      <c r="GE713" s="35"/>
      <c r="GF713" s="35"/>
      <c r="GG713" s="35"/>
      <c r="GH713" s="35"/>
      <c r="GI713" s="35"/>
      <c r="GJ713" s="35"/>
      <c r="GK713" s="35"/>
      <c r="GL713" s="35"/>
      <c r="GM713" s="35"/>
      <c r="GN713" s="35"/>
      <c r="GO713" s="35"/>
      <c r="GP713" s="35"/>
      <c r="GQ713" s="35"/>
      <c r="GR713" s="35"/>
      <c r="GS713" s="35"/>
      <c r="GT713" s="35"/>
      <c r="GU713" s="35"/>
      <c r="GV713" s="35"/>
      <c r="GW713" s="35"/>
      <c r="GX713" s="35"/>
      <c r="GY713" s="35"/>
      <c r="GZ713" s="35"/>
      <c r="HA713" s="35"/>
      <c r="HB713" s="35"/>
      <c r="HC713" s="35"/>
      <c r="HD713" s="35"/>
      <c r="HE713" s="35"/>
      <c r="HF713" s="35"/>
      <c r="HG713" s="35"/>
      <c r="HH713" s="35"/>
      <c r="HI713" s="35"/>
      <c r="HJ713" s="35"/>
      <c r="HK713" s="35"/>
      <c r="HL713" s="35"/>
      <c r="HM713" s="35"/>
      <c r="HN713" s="35"/>
      <c r="HO713" s="35"/>
      <c r="HP713" s="35"/>
      <c r="HQ713" s="35"/>
      <c r="HR713" s="35"/>
      <c r="HS713" s="35"/>
      <c r="HT713" s="35"/>
      <c r="HU713" s="35"/>
      <c r="HV713" s="35"/>
      <c r="HW713" s="35"/>
      <c r="HX713" s="35"/>
      <c r="HY713" s="35"/>
      <c r="HZ713" s="35"/>
      <c r="IA713" s="35"/>
      <c r="IB713" s="35"/>
      <c r="IC713" s="35"/>
      <c r="ID713" s="35"/>
      <c r="IE713" s="35"/>
      <c r="IF713" s="35"/>
      <c r="IG713" s="35"/>
      <c r="IH713" s="35"/>
      <c r="II713" s="35"/>
      <c r="IJ713" s="35"/>
      <c r="IK713" s="35"/>
      <c r="IL713" s="35"/>
      <c r="IM713" s="35"/>
      <c r="IN713" s="35"/>
      <c r="IO713" s="35"/>
      <c r="IP713" s="35"/>
      <c r="IQ713" s="35"/>
      <c r="IR713" s="35"/>
      <c r="IS713" s="35"/>
      <c r="IT713" s="35"/>
      <c r="IU713" s="35"/>
      <c r="IV713" s="35"/>
      <c r="IW713" s="35"/>
      <c r="IX713" s="35"/>
      <c r="IY713" s="35"/>
      <c r="IZ713" s="35"/>
      <c r="JA713" s="35"/>
      <c r="JB713" s="35"/>
      <c r="JC713" s="35"/>
      <c r="JD713" s="35"/>
      <c r="JE713" s="35"/>
    </row>
    <row r="714">
      <c r="A714" s="42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  <c r="AZ714" s="35"/>
      <c r="BA714" s="35"/>
      <c r="BB714" s="35"/>
      <c r="BC714" s="35"/>
      <c r="BD714" s="35"/>
      <c r="BE714" s="35"/>
      <c r="BF714" s="35"/>
      <c r="BG714" s="35"/>
      <c r="BH714" s="35"/>
      <c r="BI714" s="35"/>
      <c r="BJ714" s="35"/>
      <c r="BK714" s="35"/>
      <c r="BL714" s="35"/>
      <c r="BM714" s="35"/>
      <c r="BN714" s="35"/>
      <c r="BO714" s="35"/>
      <c r="BP714" s="35"/>
      <c r="BQ714" s="35"/>
      <c r="BR714" s="35"/>
      <c r="BS714" s="35"/>
      <c r="BT714" s="35"/>
      <c r="BU714" s="35"/>
      <c r="BV714" s="35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35"/>
      <c r="CO714" s="35"/>
      <c r="CP714" s="35"/>
      <c r="CQ714" s="35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35"/>
      <c r="DJ714" s="35"/>
      <c r="DK714" s="35"/>
      <c r="DL714" s="35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35"/>
      <c r="EE714" s="35"/>
      <c r="EF714" s="35"/>
      <c r="EG714" s="35"/>
      <c r="EH714" s="35"/>
      <c r="EI714" s="35"/>
      <c r="EJ714" s="35"/>
      <c r="EK714" s="35"/>
      <c r="EL714" s="35"/>
      <c r="EM714" s="35"/>
      <c r="EN714" s="35"/>
      <c r="EO714" s="35"/>
      <c r="EP714" s="35"/>
      <c r="EQ714" s="35"/>
      <c r="ER714" s="35"/>
      <c r="ES714" s="35"/>
      <c r="ET714" s="35"/>
      <c r="EU714" s="35"/>
      <c r="EV714" s="35"/>
      <c r="EW714" s="35"/>
      <c r="EX714" s="35"/>
      <c r="EY714" s="35"/>
      <c r="EZ714" s="35"/>
      <c r="FA714" s="35"/>
      <c r="FB714" s="35"/>
      <c r="FC714" s="35"/>
      <c r="FD714" s="35"/>
      <c r="FE714" s="35"/>
      <c r="FF714" s="35"/>
      <c r="FG714" s="35"/>
      <c r="FH714" s="35"/>
      <c r="FI714" s="35"/>
      <c r="FJ714" s="35"/>
      <c r="FK714" s="35"/>
      <c r="FL714" s="35"/>
      <c r="FM714" s="35"/>
      <c r="FN714" s="35"/>
      <c r="FO714" s="35"/>
      <c r="FP714" s="35"/>
      <c r="FQ714" s="35"/>
      <c r="FR714" s="35"/>
      <c r="FS714" s="35"/>
      <c r="FT714" s="35"/>
      <c r="FU714" s="35"/>
      <c r="FV714" s="35"/>
      <c r="FW714" s="35"/>
      <c r="FX714" s="35"/>
      <c r="FY714" s="35"/>
      <c r="FZ714" s="35"/>
      <c r="GA714" s="35"/>
      <c r="GB714" s="35"/>
      <c r="GC714" s="35"/>
      <c r="GD714" s="35"/>
      <c r="GE714" s="35"/>
      <c r="GF714" s="35"/>
      <c r="GG714" s="35"/>
      <c r="GH714" s="35"/>
      <c r="GI714" s="35"/>
      <c r="GJ714" s="35"/>
      <c r="GK714" s="35"/>
      <c r="GL714" s="35"/>
      <c r="GM714" s="35"/>
      <c r="GN714" s="35"/>
      <c r="GO714" s="35"/>
      <c r="GP714" s="35"/>
      <c r="GQ714" s="35"/>
      <c r="GR714" s="35"/>
      <c r="GS714" s="35"/>
      <c r="GT714" s="35"/>
      <c r="GU714" s="35"/>
      <c r="GV714" s="35"/>
      <c r="GW714" s="35"/>
      <c r="GX714" s="35"/>
      <c r="GY714" s="35"/>
      <c r="GZ714" s="35"/>
      <c r="HA714" s="35"/>
      <c r="HB714" s="35"/>
      <c r="HC714" s="35"/>
      <c r="HD714" s="35"/>
      <c r="HE714" s="35"/>
      <c r="HF714" s="35"/>
      <c r="HG714" s="35"/>
      <c r="HH714" s="35"/>
      <c r="HI714" s="35"/>
      <c r="HJ714" s="35"/>
      <c r="HK714" s="35"/>
      <c r="HL714" s="35"/>
      <c r="HM714" s="35"/>
      <c r="HN714" s="35"/>
      <c r="HO714" s="35"/>
      <c r="HP714" s="35"/>
      <c r="HQ714" s="35"/>
      <c r="HR714" s="35"/>
      <c r="HS714" s="35"/>
      <c r="HT714" s="35"/>
      <c r="HU714" s="35"/>
      <c r="HV714" s="35"/>
      <c r="HW714" s="35"/>
      <c r="HX714" s="35"/>
      <c r="HY714" s="35"/>
      <c r="HZ714" s="35"/>
      <c r="IA714" s="35"/>
      <c r="IB714" s="35"/>
      <c r="IC714" s="35"/>
      <c r="ID714" s="35"/>
      <c r="IE714" s="35"/>
      <c r="IF714" s="35"/>
      <c r="IG714" s="35"/>
      <c r="IH714" s="35"/>
      <c r="II714" s="35"/>
      <c r="IJ714" s="35"/>
      <c r="IK714" s="35"/>
      <c r="IL714" s="35"/>
      <c r="IM714" s="35"/>
      <c r="IN714" s="35"/>
      <c r="IO714" s="35"/>
      <c r="IP714" s="35"/>
      <c r="IQ714" s="35"/>
      <c r="IR714" s="35"/>
      <c r="IS714" s="35"/>
      <c r="IT714" s="35"/>
      <c r="IU714" s="35"/>
      <c r="IV714" s="35"/>
      <c r="IW714" s="35"/>
      <c r="IX714" s="35"/>
      <c r="IY714" s="35"/>
      <c r="IZ714" s="35"/>
      <c r="JA714" s="35"/>
      <c r="JB714" s="35"/>
      <c r="JC714" s="35"/>
      <c r="JD714" s="35"/>
      <c r="JE714" s="35"/>
    </row>
    <row r="715">
      <c r="A715" s="42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  <c r="AZ715" s="35"/>
      <c r="BA715" s="35"/>
      <c r="BB715" s="35"/>
      <c r="BC715" s="35"/>
      <c r="BD715" s="35"/>
      <c r="BE715" s="35"/>
      <c r="BF715" s="35"/>
      <c r="BG715" s="35"/>
      <c r="BH715" s="35"/>
      <c r="BI715" s="35"/>
      <c r="BJ715" s="35"/>
      <c r="BK715" s="35"/>
      <c r="BL715" s="35"/>
      <c r="BM715" s="35"/>
      <c r="BN715" s="35"/>
      <c r="BO715" s="35"/>
      <c r="BP715" s="35"/>
      <c r="BQ715" s="35"/>
      <c r="BR715" s="35"/>
      <c r="BS715" s="35"/>
      <c r="BT715" s="35"/>
      <c r="BU715" s="35"/>
      <c r="BV715" s="35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35"/>
      <c r="CO715" s="35"/>
      <c r="CP715" s="35"/>
      <c r="CQ715" s="35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35"/>
      <c r="DJ715" s="35"/>
      <c r="DK715" s="35"/>
      <c r="DL715" s="35"/>
      <c r="DM715" s="35"/>
      <c r="DN715" s="35"/>
      <c r="DO715" s="35"/>
      <c r="DP715" s="35"/>
      <c r="DQ715" s="35"/>
      <c r="DR715" s="35"/>
      <c r="DS715" s="35"/>
      <c r="DT715" s="35"/>
      <c r="DU715" s="35"/>
      <c r="DV715" s="35"/>
      <c r="DW715" s="35"/>
      <c r="DX715" s="35"/>
      <c r="DY715" s="35"/>
      <c r="DZ715" s="35"/>
      <c r="EA715" s="35"/>
      <c r="EB715" s="35"/>
      <c r="EC715" s="35"/>
      <c r="ED715" s="35"/>
      <c r="EE715" s="35"/>
      <c r="EF715" s="35"/>
      <c r="EG715" s="35"/>
      <c r="EH715" s="35"/>
      <c r="EI715" s="35"/>
      <c r="EJ715" s="35"/>
      <c r="EK715" s="35"/>
      <c r="EL715" s="35"/>
      <c r="EM715" s="35"/>
      <c r="EN715" s="35"/>
      <c r="EO715" s="35"/>
      <c r="EP715" s="35"/>
      <c r="EQ715" s="35"/>
      <c r="ER715" s="35"/>
      <c r="ES715" s="35"/>
      <c r="ET715" s="35"/>
      <c r="EU715" s="35"/>
      <c r="EV715" s="35"/>
      <c r="EW715" s="35"/>
      <c r="EX715" s="35"/>
      <c r="EY715" s="35"/>
      <c r="EZ715" s="35"/>
      <c r="FA715" s="35"/>
      <c r="FB715" s="35"/>
      <c r="FC715" s="35"/>
      <c r="FD715" s="35"/>
      <c r="FE715" s="35"/>
      <c r="FF715" s="35"/>
      <c r="FG715" s="35"/>
      <c r="FH715" s="35"/>
      <c r="FI715" s="35"/>
      <c r="FJ715" s="35"/>
      <c r="FK715" s="35"/>
      <c r="FL715" s="35"/>
      <c r="FM715" s="35"/>
      <c r="FN715" s="35"/>
      <c r="FO715" s="35"/>
      <c r="FP715" s="35"/>
      <c r="FQ715" s="35"/>
      <c r="FR715" s="35"/>
      <c r="FS715" s="35"/>
      <c r="FT715" s="35"/>
      <c r="FU715" s="35"/>
      <c r="FV715" s="35"/>
      <c r="FW715" s="35"/>
      <c r="FX715" s="35"/>
      <c r="FY715" s="35"/>
      <c r="FZ715" s="35"/>
      <c r="GA715" s="35"/>
      <c r="GB715" s="35"/>
      <c r="GC715" s="35"/>
      <c r="GD715" s="35"/>
      <c r="GE715" s="35"/>
      <c r="GF715" s="35"/>
      <c r="GG715" s="35"/>
      <c r="GH715" s="35"/>
      <c r="GI715" s="35"/>
      <c r="GJ715" s="35"/>
      <c r="GK715" s="35"/>
      <c r="GL715" s="35"/>
      <c r="GM715" s="35"/>
      <c r="GN715" s="35"/>
      <c r="GO715" s="35"/>
      <c r="GP715" s="35"/>
      <c r="GQ715" s="35"/>
      <c r="GR715" s="35"/>
      <c r="GS715" s="35"/>
      <c r="GT715" s="35"/>
      <c r="GU715" s="35"/>
      <c r="GV715" s="35"/>
      <c r="GW715" s="35"/>
      <c r="GX715" s="35"/>
      <c r="GY715" s="35"/>
      <c r="GZ715" s="35"/>
      <c r="HA715" s="35"/>
      <c r="HB715" s="35"/>
      <c r="HC715" s="35"/>
      <c r="HD715" s="35"/>
      <c r="HE715" s="35"/>
      <c r="HF715" s="35"/>
      <c r="HG715" s="35"/>
      <c r="HH715" s="35"/>
      <c r="HI715" s="35"/>
      <c r="HJ715" s="35"/>
      <c r="HK715" s="35"/>
      <c r="HL715" s="35"/>
      <c r="HM715" s="35"/>
      <c r="HN715" s="35"/>
      <c r="HO715" s="35"/>
      <c r="HP715" s="35"/>
      <c r="HQ715" s="35"/>
      <c r="HR715" s="35"/>
      <c r="HS715" s="35"/>
      <c r="HT715" s="35"/>
      <c r="HU715" s="35"/>
      <c r="HV715" s="35"/>
      <c r="HW715" s="35"/>
      <c r="HX715" s="35"/>
      <c r="HY715" s="35"/>
      <c r="HZ715" s="35"/>
      <c r="IA715" s="35"/>
      <c r="IB715" s="35"/>
      <c r="IC715" s="35"/>
      <c r="ID715" s="35"/>
      <c r="IE715" s="35"/>
      <c r="IF715" s="35"/>
      <c r="IG715" s="35"/>
      <c r="IH715" s="35"/>
      <c r="II715" s="35"/>
      <c r="IJ715" s="35"/>
      <c r="IK715" s="35"/>
      <c r="IL715" s="35"/>
      <c r="IM715" s="35"/>
      <c r="IN715" s="35"/>
      <c r="IO715" s="35"/>
      <c r="IP715" s="35"/>
      <c r="IQ715" s="35"/>
      <c r="IR715" s="35"/>
      <c r="IS715" s="35"/>
      <c r="IT715" s="35"/>
      <c r="IU715" s="35"/>
      <c r="IV715" s="35"/>
      <c r="IW715" s="35"/>
      <c r="IX715" s="35"/>
      <c r="IY715" s="35"/>
      <c r="IZ715" s="35"/>
      <c r="JA715" s="35"/>
      <c r="JB715" s="35"/>
      <c r="JC715" s="35"/>
      <c r="JD715" s="35"/>
      <c r="JE715" s="35"/>
    </row>
    <row r="716">
      <c r="A716" s="42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  <c r="AZ716" s="35"/>
      <c r="BA716" s="35"/>
      <c r="BB716" s="35"/>
      <c r="BC716" s="35"/>
      <c r="BD716" s="35"/>
      <c r="BE716" s="35"/>
      <c r="BF716" s="35"/>
      <c r="BG716" s="35"/>
      <c r="BH716" s="35"/>
      <c r="BI716" s="35"/>
      <c r="BJ716" s="35"/>
      <c r="BK716" s="35"/>
      <c r="BL716" s="35"/>
      <c r="BM716" s="35"/>
      <c r="BN716" s="35"/>
      <c r="BO716" s="35"/>
      <c r="BP716" s="35"/>
      <c r="BQ716" s="35"/>
      <c r="BR716" s="35"/>
      <c r="BS716" s="35"/>
      <c r="BT716" s="35"/>
      <c r="BU716" s="35"/>
      <c r="BV716" s="35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35"/>
      <c r="CO716" s="35"/>
      <c r="CP716" s="35"/>
      <c r="CQ716" s="35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35"/>
      <c r="DJ716" s="35"/>
      <c r="DK716" s="35"/>
      <c r="DL716" s="35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s="35"/>
      <c r="EE716" s="35"/>
      <c r="EF716" s="35"/>
      <c r="EG716" s="35"/>
      <c r="EH716" s="35"/>
      <c r="EI716" s="35"/>
      <c r="EJ716" s="35"/>
      <c r="EK716" s="35"/>
      <c r="EL716" s="35"/>
      <c r="EM716" s="35"/>
      <c r="EN716" s="35"/>
      <c r="EO716" s="35"/>
      <c r="EP716" s="35"/>
      <c r="EQ716" s="35"/>
      <c r="ER716" s="35"/>
      <c r="ES716" s="35"/>
      <c r="ET716" s="35"/>
      <c r="EU716" s="35"/>
      <c r="EV716" s="35"/>
      <c r="EW716" s="35"/>
      <c r="EX716" s="35"/>
      <c r="EY716" s="35"/>
      <c r="EZ716" s="35"/>
      <c r="FA716" s="35"/>
      <c r="FB716" s="35"/>
      <c r="FC716" s="35"/>
      <c r="FD716" s="35"/>
      <c r="FE716" s="35"/>
      <c r="FF716" s="35"/>
      <c r="FG716" s="35"/>
      <c r="FH716" s="35"/>
      <c r="FI716" s="35"/>
      <c r="FJ716" s="35"/>
      <c r="FK716" s="35"/>
      <c r="FL716" s="35"/>
      <c r="FM716" s="35"/>
      <c r="FN716" s="35"/>
      <c r="FO716" s="35"/>
      <c r="FP716" s="35"/>
      <c r="FQ716" s="35"/>
      <c r="FR716" s="35"/>
      <c r="FS716" s="35"/>
      <c r="FT716" s="35"/>
      <c r="FU716" s="35"/>
      <c r="FV716" s="35"/>
      <c r="FW716" s="35"/>
      <c r="FX716" s="35"/>
      <c r="FY716" s="35"/>
      <c r="FZ716" s="35"/>
      <c r="GA716" s="35"/>
      <c r="GB716" s="35"/>
      <c r="GC716" s="35"/>
      <c r="GD716" s="35"/>
      <c r="GE716" s="35"/>
      <c r="GF716" s="35"/>
      <c r="GG716" s="35"/>
      <c r="GH716" s="35"/>
      <c r="GI716" s="35"/>
      <c r="GJ716" s="35"/>
      <c r="GK716" s="35"/>
      <c r="GL716" s="35"/>
      <c r="GM716" s="35"/>
      <c r="GN716" s="35"/>
      <c r="GO716" s="35"/>
      <c r="GP716" s="35"/>
      <c r="GQ716" s="35"/>
      <c r="GR716" s="35"/>
      <c r="GS716" s="35"/>
      <c r="GT716" s="35"/>
      <c r="GU716" s="35"/>
      <c r="GV716" s="35"/>
      <c r="GW716" s="35"/>
      <c r="GX716" s="35"/>
      <c r="GY716" s="35"/>
      <c r="GZ716" s="35"/>
      <c r="HA716" s="35"/>
      <c r="HB716" s="35"/>
      <c r="HC716" s="35"/>
      <c r="HD716" s="35"/>
      <c r="HE716" s="35"/>
      <c r="HF716" s="35"/>
      <c r="HG716" s="35"/>
      <c r="HH716" s="35"/>
      <c r="HI716" s="35"/>
      <c r="HJ716" s="35"/>
      <c r="HK716" s="35"/>
      <c r="HL716" s="35"/>
      <c r="HM716" s="35"/>
      <c r="HN716" s="35"/>
      <c r="HO716" s="35"/>
      <c r="HP716" s="35"/>
      <c r="HQ716" s="35"/>
      <c r="HR716" s="35"/>
      <c r="HS716" s="35"/>
      <c r="HT716" s="35"/>
      <c r="HU716" s="35"/>
      <c r="HV716" s="35"/>
      <c r="HW716" s="35"/>
      <c r="HX716" s="35"/>
      <c r="HY716" s="35"/>
      <c r="HZ716" s="35"/>
      <c r="IA716" s="35"/>
      <c r="IB716" s="35"/>
      <c r="IC716" s="35"/>
      <c r="ID716" s="35"/>
      <c r="IE716" s="35"/>
      <c r="IF716" s="35"/>
      <c r="IG716" s="35"/>
      <c r="IH716" s="35"/>
      <c r="II716" s="35"/>
      <c r="IJ716" s="35"/>
      <c r="IK716" s="35"/>
      <c r="IL716" s="35"/>
      <c r="IM716" s="35"/>
      <c r="IN716" s="35"/>
      <c r="IO716" s="35"/>
      <c r="IP716" s="35"/>
      <c r="IQ716" s="35"/>
      <c r="IR716" s="35"/>
      <c r="IS716" s="35"/>
      <c r="IT716" s="35"/>
      <c r="IU716" s="35"/>
      <c r="IV716" s="35"/>
      <c r="IW716" s="35"/>
      <c r="IX716" s="35"/>
      <c r="IY716" s="35"/>
      <c r="IZ716" s="35"/>
      <c r="JA716" s="35"/>
      <c r="JB716" s="35"/>
      <c r="JC716" s="35"/>
      <c r="JD716" s="35"/>
      <c r="JE716" s="35"/>
    </row>
    <row r="717">
      <c r="A717" s="42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  <c r="AZ717" s="35"/>
      <c r="BA717" s="35"/>
      <c r="BB717" s="35"/>
      <c r="BC717" s="35"/>
      <c r="BD717" s="35"/>
      <c r="BE717" s="35"/>
      <c r="BF717" s="35"/>
      <c r="BG717" s="35"/>
      <c r="BH717" s="35"/>
      <c r="BI717" s="35"/>
      <c r="BJ717" s="35"/>
      <c r="BK717" s="35"/>
      <c r="BL717" s="35"/>
      <c r="BM717" s="35"/>
      <c r="BN717" s="35"/>
      <c r="BO717" s="35"/>
      <c r="BP717" s="35"/>
      <c r="BQ717" s="35"/>
      <c r="BR717" s="35"/>
      <c r="BS717" s="35"/>
      <c r="BT717" s="35"/>
      <c r="BU717" s="35"/>
      <c r="BV717" s="35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35"/>
      <c r="CO717" s="35"/>
      <c r="CP717" s="35"/>
      <c r="CQ717" s="35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35"/>
      <c r="DJ717" s="35"/>
      <c r="DK717" s="35"/>
      <c r="DL717" s="35"/>
      <c r="DM717" s="35"/>
      <c r="DN717" s="35"/>
      <c r="DO717" s="35"/>
      <c r="DP717" s="35"/>
      <c r="DQ717" s="35"/>
      <c r="DR717" s="35"/>
      <c r="DS717" s="35"/>
      <c r="DT717" s="35"/>
      <c r="DU717" s="35"/>
      <c r="DV717" s="35"/>
      <c r="DW717" s="35"/>
      <c r="DX717" s="35"/>
      <c r="DY717" s="35"/>
      <c r="DZ717" s="35"/>
      <c r="EA717" s="35"/>
      <c r="EB717" s="35"/>
      <c r="EC717" s="35"/>
      <c r="ED717" s="35"/>
      <c r="EE717" s="35"/>
      <c r="EF717" s="35"/>
      <c r="EG717" s="35"/>
      <c r="EH717" s="35"/>
      <c r="EI717" s="35"/>
      <c r="EJ717" s="35"/>
      <c r="EK717" s="35"/>
      <c r="EL717" s="35"/>
      <c r="EM717" s="35"/>
      <c r="EN717" s="35"/>
      <c r="EO717" s="35"/>
      <c r="EP717" s="35"/>
      <c r="EQ717" s="35"/>
      <c r="ER717" s="35"/>
      <c r="ES717" s="35"/>
      <c r="ET717" s="35"/>
      <c r="EU717" s="35"/>
      <c r="EV717" s="35"/>
      <c r="EW717" s="35"/>
      <c r="EX717" s="35"/>
      <c r="EY717" s="35"/>
      <c r="EZ717" s="35"/>
      <c r="FA717" s="35"/>
      <c r="FB717" s="35"/>
      <c r="FC717" s="35"/>
      <c r="FD717" s="35"/>
      <c r="FE717" s="35"/>
      <c r="FF717" s="35"/>
      <c r="FG717" s="35"/>
      <c r="FH717" s="35"/>
      <c r="FI717" s="35"/>
      <c r="FJ717" s="35"/>
      <c r="FK717" s="35"/>
      <c r="FL717" s="35"/>
      <c r="FM717" s="35"/>
      <c r="FN717" s="35"/>
      <c r="FO717" s="35"/>
      <c r="FP717" s="35"/>
      <c r="FQ717" s="35"/>
      <c r="FR717" s="35"/>
      <c r="FS717" s="35"/>
      <c r="FT717" s="35"/>
      <c r="FU717" s="35"/>
      <c r="FV717" s="35"/>
      <c r="FW717" s="35"/>
      <c r="FX717" s="35"/>
      <c r="FY717" s="35"/>
      <c r="FZ717" s="35"/>
      <c r="GA717" s="35"/>
      <c r="GB717" s="35"/>
      <c r="GC717" s="35"/>
      <c r="GD717" s="35"/>
      <c r="GE717" s="35"/>
      <c r="GF717" s="35"/>
      <c r="GG717" s="35"/>
      <c r="GH717" s="35"/>
      <c r="GI717" s="35"/>
      <c r="GJ717" s="35"/>
      <c r="GK717" s="35"/>
      <c r="GL717" s="35"/>
      <c r="GM717" s="35"/>
      <c r="GN717" s="35"/>
      <c r="GO717" s="35"/>
      <c r="GP717" s="35"/>
      <c r="GQ717" s="35"/>
      <c r="GR717" s="35"/>
      <c r="GS717" s="35"/>
      <c r="GT717" s="35"/>
      <c r="GU717" s="35"/>
      <c r="GV717" s="35"/>
      <c r="GW717" s="35"/>
      <c r="GX717" s="35"/>
      <c r="GY717" s="35"/>
      <c r="GZ717" s="35"/>
      <c r="HA717" s="35"/>
      <c r="HB717" s="35"/>
      <c r="HC717" s="35"/>
      <c r="HD717" s="35"/>
      <c r="HE717" s="35"/>
      <c r="HF717" s="35"/>
      <c r="HG717" s="35"/>
      <c r="HH717" s="35"/>
      <c r="HI717" s="35"/>
      <c r="HJ717" s="35"/>
      <c r="HK717" s="35"/>
      <c r="HL717" s="35"/>
      <c r="HM717" s="35"/>
      <c r="HN717" s="35"/>
      <c r="HO717" s="35"/>
      <c r="HP717" s="35"/>
      <c r="HQ717" s="35"/>
      <c r="HR717" s="35"/>
      <c r="HS717" s="35"/>
      <c r="HT717" s="35"/>
      <c r="HU717" s="35"/>
      <c r="HV717" s="35"/>
      <c r="HW717" s="35"/>
      <c r="HX717" s="35"/>
      <c r="HY717" s="35"/>
      <c r="HZ717" s="35"/>
      <c r="IA717" s="35"/>
      <c r="IB717" s="35"/>
      <c r="IC717" s="35"/>
      <c r="ID717" s="35"/>
      <c r="IE717" s="35"/>
      <c r="IF717" s="35"/>
      <c r="IG717" s="35"/>
      <c r="IH717" s="35"/>
      <c r="II717" s="35"/>
      <c r="IJ717" s="35"/>
      <c r="IK717" s="35"/>
      <c r="IL717" s="35"/>
      <c r="IM717" s="35"/>
      <c r="IN717" s="35"/>
      <c r="IO717" s="35"/>
      <c r="IP717" s="35"/>
      <c r="IQ717" s="35"/>
      <c r="IR717" s="35"/>
      <c r="IS717" s="35"/>
      <c r="IT717" s="35"/>
      <c r="IU717" s="35"/>
      <c r="IV717" s="35"/>
      <c r="IW717" s="35"/>
      <c r="IX717" s="35"/>
      <c r="IY717" s="35"/>
      <c r="IZ717" s="35"/>
      <c r="JA717" s="35"/>
      <c r="JB717" s="35"/>
      <c r="JC717" s="35"/>
      <c r="JD717" s="35"/>
      <c r="JE717" s="35"/>
    </row>
    <row r="718">
      <c r="A718" s="42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  <c r="BA718" s="35"/>
      <c r="BB718" s="35"/>
      <c r="BC718" s="35"/>
      <c r="BD718" s="35"/>
      <c r="BE718" s="35"/>
      <c r="BF718" s="35"/>
      <c r="BG718" s="35"/>
      <c r="BH718" s="35"/>
      <c r="BI718" s="35"/>
      <c r="BJ718" s="35"/>
      <c r="BK718" s="35"/>
      <c r="BL718" s="35"/>
      <c r="BM718" s="35"/>
      <c r="BN718" s="35"/>
      <c r="BO718" s="35"/>
      <c r="BP718" s="35"/>
      <c r="BQ718" s="35"/>
      <c r="BR718" s="35"/>
      <c r="BS718" s="35"/>
      <c r="BT718" s="35"/>
      <c r="BU718" s="35"/>
      <c r="BV718" s="35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35"/>
      <c r="CO718" s="35"/>
      <c r="CP718" s="35"/>
      <c r="CQ718" s="35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35"/>
      <c r="DJ718" s="35"/>
      <c r="DK718" s="35"/>
      <c r="DL718" s="35"/>
      <c r="DM718" s="35"/>
      <c r="DN718" s="35"/>
      <c r="DO718" s="35"/>
      <c r="DP718" s="35"/>
      <c r="DQ718" s="35"/>
      <c r="DR718" s="35"/>
      <c r="DS718" s="35"/>
      <c r="DT718" s="35"/>
      <c r="DU718" s="35"/>
      <c r="DV718" s="35"/>
      <c r="DW718" s="35"/>
      <c r="DX718" s="35"/>
      <c r="DY718" s="35"/>
      <c r="DZ718" s="35"/>
      <c r="EA718" s="35"/>
      <c r="EB718" s="35"/>
      <c r="EC718" s="35"/>
      <c r="ED718" s="35"/>
      <c r="EE718" s="35"/>
      <c r="EF718" s="35"/>
      <c r="EG718" s="35"/>
      <c r="EH718" s="35"/>
      <c r="EI718" s="35"/>
      <c r="EJ718" s="35"/>
      <c r="EK718" s="35"/>
      <c r="EL718" s="35"/>
      <c r="EM718" s="35"/>
      <c r="EN718" s="35"/>
      <c r="EO718" s="35"/>
      <c r="EP718" s="35"/>
      <c r="EQ718" s="35"/>
      <c r="ER718" s="35"/>
      <c r="ES718" s="35"/>
      <c r="ET718" s="35"/>
      <c r="EU718" s="35"/>
      <c r="EV718" s="35"/>
      <c r="EW718" s="35"/>
      <c r="EX718" s="35"/>
      <c r="EY718" s="35"/>
      <c r="EZ718" s="35"/>
      <c r="FA718" s="35"/>
      <c r="FB718" s="35"/>
      <c r="FC718" s="35"/>
      <c r="FD718" s="35"/>
      <c r="FE718" s="35"/>
      <c r="FF718" s="35"/>
      <c r="FG718" s="35"/>
      <c r="FH718" s="35"/>
      <c r="FI718" s="35"/>
      <c r="FJ718" s="35"/>
      <c r="FK718" s="35"/>
      <c r="FL718" s="35"/>
      <c r="FM718" s="35"/>
      <c r="FN718" s="35"/>
      <c r="FO718" s="35"/>
      <c r="FP718" s="35"/>
      <c r="FQ718" s="35"/>
      <c r="FR718" s="35"/>
      <c r="FS718" s="35"/>
      <c r="FT718" s="35"/>
      <c r="FU718" s="35"/>
      <c r="FV718" s="35"/>
      <c r="FW718" s="35"/>
      <c r="FX718" s="35"/>
      <c r="FY718" s="35"/>
      <c r="FZ718" s="35"/>
      <c r="GA718" s="35"/>
      <c r="GB718" s="35"/>
      <c r="GC718" s="35"/>
      <c r="GD718" s="35"/>
      <c r="GE718" s="35"/>
      <c r="GF718" s="35"/>
      <c r="GG718" s="35"/>
      <c r="GH718" s="35"/>
      <c r="GI718" s="35"/>
      <c r="GJ718" s="35"/>
      <c r="GK718" s="35"/>
      <c r="GL718" s="35"/>
      <c r="GM718" s="35"/>
      <c r="GN718" s="35"/>
      <c r="GO718" s="35"/>
      <c r="GP718" s="35"/>
      <c r="GQ718" s="35"/>
      <c r="GR718" s="35"/>
      <c r="GS718" s="35"/>
      <c r="GT718" s="35"/>
      <c r="GU718" s="35"/>
      <c r="GV718" s="35"/>
      <c r="GW718" s="35"/>
      <c r="GX718" s="35"/>
      <c r="GY718" s="35"/>
      <c r="GZ718" s="35"/>
      <c r="HA718" s="35"/>
      <c r="HB718" s="35"/>
      <c r="HC718" s="35"/>
      <c r="HD718" s="35"/>
      <c r="HE718" s="35"/>
      <c r="HF718" s="35"/>
      <c r="HG718" s="35"/>
      <c r="HH718" s="35"/>
      <c r="HI718" s="35"/>
      <c r="HJ718" s="35"/>
      <c r="HK718" s="35"/>
      <c r="HL718" s="35"/>
      <c r="HM718" s="35"/>
      <c r="HN718" s="35"/>
      <c r="HO718" s="35"/>
      <c r="HP718" s="35"/>
      <c r="HQ718" s="35"/>
      <c r="HR718" s="35"/>
      <c r="HS718" s="35"/>
      <c r="HT718" s="35"/>
      <c r="HU718" s="35"/>
      <c r="HV718" s="35"/>
      <c r="HW718" s="35"/>
      <c r="HX718" s="35"/>
      <c r="HY718" s="35"/>
      <c r="HZ718" s="35"/>
      <c r="IA718" s="35"/>
      <c r="IB718" s="35"/>
      <c r="IC718" s="35"/>
      <c r="ID718" s="35"/>
      <c r="IE718" s="35"/>
      <c r="IF718" s="35"/>
      <c r="IG718" s="35"/>
      <c r="IH718" s="35"/>
      <c r="II718" s="35"/>
      <c r="IJ718" s="35"/>
      <c r="IK718" s="35"/>
      <c r="IL718" s="35"/>
      <c r="IM718" s="35"/>
      <c r="IN718" s="35"/>
      <c r="IO718" s="35"/>
      <c r="IP718" s="35"/>
      <c r="IQ718" s="35"/>
      <c r="IR718" s="35"/>
      <c r="IS718" s="35"/>
      <c r="IT718" s="35"/>
      <c r="IU718" s="35"/>
      <c r="IV718" s="35"/>
      <c r="IW718" s="35"/>
      <c r="IX718" s="35"/>
      <c r="IY718" s="35"/>
      <c r="IZ718" s="35"/>
      <c r="JA718" s="35"/>
      <c r="JB718" s="35"/>
      <c r="JC718" s="35"/>
      <c r="JD718" s="35"/>
      <c r="JE718" s="35"/>
    </row>
    <row r="719">
      <c r="A719" s="42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  <c r="BA719" s="35"/>
      <c r="BB719" s="35"/>
      <c r="BC719" s="35"/>
      <c r="BD719" s="35"/>
      <c r="BE719" s="35"/>
      <c r="BF719" s="35"/>
      <c r="BG719" s="35"/>
      <c r="BH719" s="35"/>
      <c r="BI719" s="35"/>
      <c r="BJ719" s="35"/>
      <c r="BK719" s="35"/>
      <c r="BL719" s="35"/>
      <c r="BM719" s="35"/>
      <c r="BN719" s="35"/>
      <c r="BO719" s="35"/>
      <c r="BP719" s="35"/>
      <c r="BQ719" s="35"/>
      <c r="BR719" s="35"/>
      <c r="BS719" s="35"/>
      <c r="BT719" s="35"/>
      <c r="BU719" s="35"/>
      <c r="BV719" s="35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35"/>
      <c r="CO719" s="35"/>
      <c r="CP719" s="35"/>
      <c r="CQ719" s="35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35"/>
      <c r="DJ719" s="35"/>
      <c r="DK719" s="35"/>
      <c r="DL719" s="35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s="35"/>
      <c r="EE719" s="35"/>
      <c r="EF719" s="35"/>
      <c r="EG719" s="35"/>
      <c r="EH719" s="35"/>
      <c r="EI719" s="35"/>
      <c r="EJ719" s="35"/>
      <c r="EK719" s="35"/>
      <c r="EL719" s="35"/>
      <c r="EM719" s="35"/>
      <c r="EN719" s="35"/>
      <c r="EO719" s="35"/>
      <c r="EP719" s="35"/>
      <c r="EQ719" s="35"/>
      <c r="ER719" s="35"/>
      <c r="ES719" s="35"/>
      <c r="ET719" s="35"/>
      <c r="EU719" s="35"/>
      <c r="EV719" s="35"/>
      <c r="EW719" s="35"/>
      <c r="EX719" s="35"/>
      <c r="EY719" s="35"/>
      <c r="EZ719" s="35"/>
      <c r="FA719" s="35"/>
      <c r="FB719" s="35"/>
      <c r="FC719" s="35"/>
      <c r="FD719" s="35"/>
      <c r="FE719" s="35"/>
      <c r="FF719" s="35"/>
      <c r="FG719" s="35"/>
      <c r="FH719" s="35"/>
      <c r="FI719" s="35"/>
      <c r="FJ719" s="35"/>
      <c r="FK719" s="35"/>
      <c r="FL719" s="35"/>
      <c r="FM719" s="35"/>
      <c r="FN719" s="35"/>
      <c r="FO719" s="35"/>
      <c r="FP719" s="35"/>
      <c r="FQ719" s="35"/>
      <c r="FR719" s="35"/>
      <c r="FS719" s="35"/>
      <c r="FT719" s="35"/>
      <c r="FU719" s="35"/>
      <c r="FV719" s="35"/>
      <c r="FW719" s="35"/>
      <c r="FX719" s="35"/>
      <c r="FY719" s="35"/>
      <c r="FZ719" s="35"/>
      <c r="GA719" s="35"/>
      <c r="GB719" s="35"/>
      <c r="GC719" s="35"/>
      <c r="GD719" s="35"/>
      <c r="GE719" s="35"/>
      <c r="GF719" s="35"/>
      <c r="GG719" s="35"/>
      <c r="GH719" s="35"/>
      <c r="GI719" s="35"/>
      <c r="GJ719" s="35"/>
      <c r="GK719" s="35"/>
      <c r="GL719" s="35"/>
      <c r="GM719" s="35"/>
      <c r="GN719" s="35"/>
      <c r="GO719" s="35"/>
      <c r="GP719" s="35"/>
      <c r="GQ719" s="35"/>
      <c r="GR719" s="35"/>
      <c r="GS719" s="35"/>
      <c r="GT719" s="35"/>
      <c r="GU719" s="35"/>
      <c r="GV719" s="35"/>
      <c r="GW719" s="35"/>
      <c r="GX719" s="35"/>
      <c r="GY719" s="35"/>
      <c r="GZ719" s="35"/>
      <c r="HA719" s="35"/>
      <c r="HB719" s="35"/>
      <c r="HC719" s="35"/>
      <c r="HD719" s="35"/>
      <c r="HE719" s="35"/>
      <c r="HF719" s="35"/>
      <c r="HG719" s="35"/>
      <c r="HH719" s="35"/>
      <c r="HI719" s="35"/>
      <c r="HJ719" s="35"/>
      <c r="HK719" s="35"/>
      <c r="HL719" s="35"/>
      <c r="HM719" s="35"/>
      <c r="HN719" s="35"/>
      <c r="HO719" s="35"/>
      <c r="HP719" s="35"/>
      <c r="HQ719" s="35"/>
      <c r="HR719" s="35"/>
      <c r="HS719" s="35"/>
      <c r="HT719" s="35"/>
      <c r="HU719" s="35"/>
      <c r="HV719" s="35"/>
      <c r="HW719" s="35"/>
      <c r="HX719" s="35"/>
      <c r="HY719" s="35"/>
      <c r="HZ719" s="35"/>
      <c r="IA719" s="35"/>
      <c r="IB719" s="35"/>
      <c r="IC719" s="35"/>
      <c r="ID719" s="35"/>
      <c r="IE719" s="35"/>
      <c r="IF719" s="35"/>
      <c r="IG719" s="35"/>
      <c r="IH719" s="35"/>
      <c r="II719" s="35"/>
      <c r="IJ719" s="35"/>
      <c r="IK719" s="35"/>
      <c r="IL719" s="35"/>
      <c r="IM719" s="35"/>
      <c r="IN719" s="35"/>
      <c r="IO719" s="35"/>
      <c r="IP719" s="35"/>
      <c r="IQ719" s="35"/>
      <c r="IR719" s="35"/>
      <c r="IS719" s="35"/>
      <c r="IT719" s="35"/>
      <c r="IU719" s="35"/>
      <c r="IV719" s="35"/>
      <c r="IW719" s="35"/>
      <c r="IX719" s="35"/>
      <c r="IY719" s="35"/>
      <c r="IZ719" s="35"/>
      <c r="JA719" s="35"/>
      <c r="JB719" s="35"/>
      <c r="JC719" s="35"/>
      <c r="JD719" s="35"/>
      <c r="JE719" s="35"/>
    </row>
    <row r="720">
      <c r="A720" s="42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  <c r="AZ720" s="35"/>
      <c r="BA720" s="35"/>
      <c r="BB720" s="35"/>
      <c r="BC720" s="35"/>
      <c r="BD720" s="35"/>
      <c r="BE720" s="35"/>
      <c r="BF720" s="35"/>
      <c r="BG720" s="35"/>
      <c r="BH720" s="35"/>
      <c r="BI720" s="35"/>
      <c r="BJ720" s="35"/>
      <c r="BK720" s="35"/>
      <c r="BL720" s="35"/>
      <c r="BM720" s="35"/>
      <c r="BN720" s="35"/>
      <c r="BO720" s="35"/>
      <c r="BP720" s="35"/>
      <c r="BQ720" s="35"/>
      <c r="BR720" s="35"/>
      <c r="BS720" s="35"/>
      <c r="BT720" s="35"/>
      <c r="BU720" s="35"/>
      <c r="BV720" s="35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35"/>
      <c r="CO720" s="35"/>
      <c r="CP720" s="35"/>
      <c r="CQ720" s="35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35"/>
      <c r="DJ720" s="35"/>
      <c r="DK720" s="35"/>
      <c r="DL720" s="35"/>
      <c r="DM720" s="35"/>
      <c r="DN720" s="35"/>
      <c r="DO720" s="35"/>
      <c r="DP720" s="35"/>
      <c r="DQ720" s="35"/>
      <c r="DR720" s="35"/>
      <c r="DS720" s="35"/>
      <c r="DT720" s="35"/>
      <c r="DU720" s="35"/>
      <c r="DV720" s="35"/>
      <c r="DW720" s="35"/>
      <c r="DX720" s="35"/>
      <c r="DY720" s="35"/>
      <c r="DZ720" s="35"/>
      <c r="EA720" s="35"/>
      <c r="EB720" s="35"/>
      <c r="EC720" s="35"/>
      <c r="ED720" s="35"/>
      <c r="EE720" s="35"/>
      <c r="EF720" s="35"/>
      <c r="EG720" s="35"/>
      <c r="EH720" s="35"/>
      <c r="EI720" s="35"/>
      <c r="EJ720" s="35"/>
      <c r="EK720" s="35"/>
      <c r="EL720" s="35"/>
      <c r="EM720" s="35"/>
      <c r="EN720" s="35"/>
      <c r="EO720" s="35"/>
      <c r="EP720" s="35"/>
      <c r="EQ720" s="35"/>
      <c r="ER720" s="35"/>
      <c r="ES720" s="35"/>
      <c r="ET720" s="35"/>
      <c r="EU720" s="35"/>
      <c r="EV720" s="35"/>
      <c r="EW720" s="35"/>
      <c r="EX720" s="35"/>
      <c r="EY720" s="35"/>
      <c r="EZ720" s="35"/>
      <c r="FA720" s="35"/>
      <c r="FB720" s="35"/>
      <c r="FC720" s="35"/>
      <c r="FD720" s="35"/>
      <c r="FE720" s="35"/>
      <c r="FF720" s="35"/>
      <c r="FG720" s="35"/>
      <c r="FH720" s="35"/>
      <c r="FI720" s="35"/>
      <c r="FJ720" s="35"/>
      <c r="FK720" s="35"/>
      <c r="FL720" s="35"/>
      <c r="FM720" s="35"/>
      <c r="FN720" s="35"/>
      <c r="FO720" s="35"/>
      <c r="FP720" s="35"/>
      <c r="FQ720" s="35"/>
      <c r="FR720" s="35"/>
      <c r="FS720" s="35"/>
      <c r="FT720" s="35"/>
      <c r="FU720" s="35"/>
      <c r="FV720" s="35"/>
      <c r="FW720" s="35"/>
      <c r="FX720" s="35"/>
      <c r="FY720" s="35"/>
      <c r="FZ720" s="35"/>
      <c r="GA720" s="35"/>
      <c r="GB720" s="35"/>
      <c r="GC720" s="35"/>
      <c r="GD720" s="35"/>
      <c r="GE720" s="35"/>
      <c r="GF720" s="35"/>
      <c r="GG720" s="35"/>
      <c r="GH720" s="35"/>
      <c r="GI720" s="35"/>
      <c r="GJ720" s="35"/>
      <c r="GK720" s="35"/>
      <c r="GL720" s="35"/>
      <c r="GM720" s="35"/>
      <c r="GN720" s="35"/>
      <c r="GO720" s="35"/>
      <c r="GP720" s="35"/>
      <c r="GQ720" s="35"/>
      <c r="GR720" s="35"/>
      <c r="GS720" s="35"/>
      <c r="GT720" s="35"/>
      <c r="GU720" s="35"/>
      <c r="GV720" s="35"/>
      <c r="GW720" s="35"/>
      <c r="GX720" s="35"/>
      <c r="GY720" s="35"/>
      <c r="GZ720" s="35"/>
      <c r="HA720" s="35"/>
      <c r="HB720" s="35"/>
      <c r="HC720" s="35"/>
      <c r="HD720" s="35"/>
      <c r="HE720" s="35"/>
      <c r="HF720" s="35"/>
      <c r="HG720" s="35"/>
      <c r="HH720" s="35"/>
      <c r="HI720" s="35"/>
      <c r="HJ720" s="35"/>
      <c r="HK720" s="35"/>
      <c r="HL720" s="35"/>
      <c r="HM720" s="35"/>
      <c r="HN720" s="35"/>
      <c r="HO720" s="35"/>
      <c r="HP720" s="35"/>
      <c r="HQ720" s="35"/>
      <c r="HR720" s="35"/>
      <c r="HS720" s="35"/>
      <c r="HT720" s="35"/>
      <c r="HU720" s="35"/>
      <c r="HV720" s="35"/>
      <c r="HW720" s="35"/>
      <c r="HX720" s="35"/>
      <c r="HY720" s="35"/>
      <c r="HZ720" s="35"/>
      <c r="IA720" s="35"/>
      <c r="IB720" s="35"/>
      <c r="IC720" s="35"/>
      <c r="ID720" s="35"/>
      <c r="IE720" s="35"/>
      <c r="IF720" s="35"/>
      <c r="IG720" s="35"/>
      <c r="IH720" s="35"/>
      <c r="II720" s="35"/>
      <c r="IJ720" s="35"/>
      <c r="IK720" s="35"/>
      <c r="IL720" s="35"/>
      <c r="IM720" s="35"/>
      <c r="IN720" s="35"/>
      <c r="IO720" s="35"/>
      <c r="IP720" s="35"/>
      <c r="IQ720" s="35"/>
      <c r="IR720" s="35"/>
      <c r="IS720" s="35"/>
      <c r="IT720" s="35"/>
      <c r="IU720" s="35"/>
      <c r="IV720" s="35"/>
      <c r="IW720" s="35"/>
      <c r="IX720" s="35"/>
      <c r="IY720" s="35"/>
      <c r="IZ720" s="35"/>
      <c r="JA720" s="35"/>
      <c r="JB720" s="35"/>
      <c r="JC720" s="35"/>
      <c r="JD720" s="35"/>
      <c r="JE720" s="35"/>
    </row>
    <row r="721">
      <c r="A721" s="42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  <c r="AZ721" s="35"/>
      <c r="BA721" s="35"/>
      <c r="BB721" s="35"/>
      <c r="BC721" s="35"/>
      <c r="BD721" s="35"/>
      <c r="BE721" s="35"/>
      <c r="BF721" s="35"/>
      <c r="BG721" s="35"/>
      <c r="BH721" s="35"/>
      <c r="BI721" s="35"/>
      <c r="BJ721" s="35"/>
      <c r="BK721" s="35"/>
      <c r="BL721" s="35"/>
      <c r="BM721" s="35"/>
      <c r="BN721" s="35"/>
      <c r="BO721" s="35"/>
      <c r="BP721" s="35"/>
      <c r="BQ721" s="35"/>
      <c r="BR721" s="35"/>
      <c r="BS721" s="35"/>
      <c r="BT721" s="35"/>
      <c r="BU721" s="35"/>
      <c r="BV721" s="35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35"/>
      <c r="CO721" s="35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35"/>
      <c r="DJ721" s="35"/>
      <c r="DK721" s="35"/>
      <c r="DL721" s="35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s="35"/>
      <c r="EE721" s="35"/>
      <c r="EF721" s="35"/>
      <c r="EG721" s="35"/>
      <c r="EH721" s="35"/>
      <c r="EI721" s="35"/>
      <c r="EJ721" s="35"/>
      <c r="EK721" s="35"/>
      <c r="EL721" s="35"/>
      <c r="EM721" s="35"/>
      <c r="EN721" s="35"/>
      <c r="EO721" s="35"/>
      <c r="EP721" s="35"/>
      <c r="EQ721" s="35"/>
      <c r="ER721" s="35"/>
      <c r="ES721" s="35"/>
      <c r="ET721" s="35"/>
      <c r="EU721" s="35"/>
      <c r="EV721" s="35"/>
      <c r="EW721" s="35"/>
      <c r="EX721" s="35"/>
      <c r="EY721" s="35"/>
      <c r="EZ721" s="35"/>
      <c r="FA721" s="35"/>
      <c r="FB721" s="35"/>
      <c r="FC721" s="35"/>
      <c r="FD721" s="35"/>
      <c r="FE721" s="35"/>
      <c r="FF721" s="35"/>
      <c r="FG721" s="35"/>
      <c r="FH721" s="35"/>
      <c r="FI721" s="35"/>
      <c r="FJ721" s="35"/>
      <c r="FK721" s="35"/>
      <c r="FL721" s="35"/>
      <c r="FM721" s="35"/>
      <c r="FN721" s="35"/>
      <c r="FO721" s="35"/>
      <c r="FP721" s="35"/>
      <c r="FQ721" s="35"/>
      <c r="FR721" s="35"/>
      <c r="FS721" s="35"/>
      <c r="FT721" s="35"/>
      <c r="FU721" s="35"/>
      <c r="FV721" s="35"/>
      <c r="FW721" s="35"/>
      <c r="FX721" s="35"/>
      <c r="FY721" s="35"/>
      <c r="FZ721" s="35"/>
      <c r="GA721" s="35"/>
      <c r="GB721" s="35"/>
      <c r="GC721" s="35"/>
      <c r="GD721" s="35"/>
      <c r="GE721" s="35"/>
      <c r="GF721" s="35"/>
      <c r="GG721" s="35"/>
      <c r="GH721" s="35"/>
      <c r="GI721" s="35"/>
      <c r="GJ721" s="35"/>
      <c r="GK721" s="35"/>
      <c r="GL721" s="35"/>
      <c r="GM721" s="35"/>
      <c r="GN721" s="35"/>
      <c r="GO721" s="35"/>
      <c r="GP721" s="35"/>
      <c r="GQ721" s="35"/>
      <c r="GR721" s="35"/>
      <c r="GS721" s="35"/>
      <c r="GT721" s="35"/>
      <c r="GU721" s="35"/>
      <c r="GV721" s="35"/>
      <c r="GW721" s="35"/>
      <c r="GX721" s="35"/>
      <c r="GY721" s="35"/>
      <c r="GZ721" s="35"/>
      <c r="HA721" s="35"/>
      <c r="HB721" s="35"/>
      <c r="HC721" s="35"/>
      <c r="HD721" s="35"/>
      <c r="HE721" s="35"/>
      <c r="HF721" s="35"/>
      <c r="HG721" s="35"/>
      <c r="HH721" s="35"/>
      <c r="HI721" s="35"/>
      <c r="HJ721" s="35"/>
      <c r="HK721" s="35"/>
      <c r="HL721" s="35"/>
      <c r="HM721" s="35"/>
      <c r="HN721" s="35"/>
      <c r="HO721" s="35"/>
      <c r="HP721" s="35"/>
      <c r="HQ721" s="35"/>
      <c r="HR721" s="35"/>
      <c r="HS721" s="35"/>
      <c r="HT721" s="35"/>
      <c r="HU721" s="35"/>
      <c r="HV721" s="35"/>
      <c r="HW721" s="35"/>
      <c r="HX721" s="35"/>
      <c r="HY721" s="35"/>
      <c r="HZ721" s="35"/>
      <c r="IA721" s="35"/>
      <c r="IB721" s="35"/>
      <c r="IC721" s="35"/>
      <c r="ID721" s="35"/>
      <c r="IE721" s="35"/>
      <c r="IF721" s="35"/>
      <c r="IG721" s="35"/>
      <c r="IH721" s="35"/>
      <c r="II721" s="35"/>
      <c r="IJ721" s="35"/>
      <c r="IK721" s="35"/>
      <c r="IL721" s="35"/>
      <c r="IM721" s="35"/>
      <c r="IN721" s="35"/>
      <c r="IO721" s="35"/>
      <c r="IP721" s="35"/>
      <c r="IQ721" s="35"/>
      <c r="IR721" s="35"/>
      <c r="IS721" s="35"/>
      <c r="IT721" s="35"/>
      <c r="IU721" s="35"/>
      <c r="IV721" s="35"/>
      <c r="IW721" s="35"/>
      <c r="IX721" s="35"/>
      <c r="IY721" s="35"/>
      <c r="IZ721" s="35"/>
      <c r="JA721" s="35"/>
      <c r="JB721" s="35"/>
      <c r="JC721" s="35"/>
      <c r="JD721" s="35"/>
      <c r="JE721" s="35"/>
    </row>
    <row r="722">
      <c r="A722" s="42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  <c r="AZ722" s="35"/>
      <c r="BA722" s="35"/>
      <c r="BB722" s="35"/>
      <c r="BC722" s="35"/>
      <c r="BD722" s="35"/>
      <c r="BE722" s="35"/>
      <c r="BF722" s="35"/>
      <c r="BG722" s="35"/>
      <c r="BH722" s="35"/>
      <c r="BI722" s="35"/>
      <c r="BJ722" s="35"/>
      <c r="BK722" s="35"/>
      <c r="BL722" s="35"/>
      <c r="BM722" s="35"/>
      <c r="BN722" s="35"/>
      <c r="BO722" s="35"/>
      <c r="BP722" s="35"/>
      <c r="BQ722" s="35"/>
      <c r="BR722" s="35"/>
      <c r="BS722" s="35"/>
      <c r="BT722" s="35"/>
      <c r="BU722" s="35"/>
      <c r="BV722" s="35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35"/>
      <c r="CO722" s="35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35"/>
      <c r="DJ722" s="35"/>
      <c r="DK722" s="35"/>
      <c r="DL722" s="35"/>
      <c r="DM722" s="35"/>
      <c r="DN722" s="35"/>
      <c r="DO722" s="35"/>
      <c r="DP722" s="35"/>
      <c r="DQ722" s="35"/>
      <c r="DR722" s="35"/>
      <c r="DS722" s="35"/>
      <c r="DT722" s="35"/>
      <c r="DU722" s="35"/>
      <c r="DV722" s="35"/>
      <c r="DW722" s="35"/>
      <c r="DX722" s="35"/>
      <c r="DY722" s="35"/>
      <c r="DZ722" s="35"/>
      <c r="EA722" s="35"/>
      <c r="EB722" s="35"/>
      <c r="EC722" s="35"/>
      <c r="ED722" s="35"/>
      <c r="EE722" s="35"/>
      <c r="EF722" s="35"/>
      <c r="EG722" s="35"/>
      <c r="EH722" s="35"/>
      <c r="EI722" s="35"/>
      <c r="EJ722" s="35"/>
      <c r="EK722" s="35"/>
      <c r="EL722" s="35"/>
      <c r="EM722" s="35"/>
      <c r="EN722" s="35"/>
      <c r="EO722" s="35"/>
      <c r="EP722" s="35"/>
      <c r="EQ722" s="35"/>
      <c r="ER722" s="35"/>
      <c r="ES722" s="35"/>
      <c r="ET722" s="35"/>
      <c r="EU722" s="35"/>
      <c r="EV722" s="35"/>
      <c r="EW722" s="35"/>
      <c r="EX722" s="35"/>
      <c r="EY722" s="35"/>
      <c r="EZ722" s="35"/>
      <c r="FA722" s="35"/>
      <c r="FB722" s="35"/>
      <c r="FC722" s="35"/>
      <c r="FD722" s="35"/>
      <c r="FE722" s="35"/>
      <c r="FF722" s="35"/>
      <c r="FG722" s="35"/>
      <c r="FH722" s="35"/>
      <c r="FI722" s="35"/>
      <c r="FJ722" s="35"/>
      <c r="FK722" s="35"/>
      <c r="FL722" s="35"/>
      <c r="FM722" s="35"/>
      <c r="FN722" s="35"/>
      <c r="FO722" s="35"/>
      <c r="FP722" s="35"/>
      <c r="FQ722" s="35"/>
      <c r="FR722" s="35"/>
      <c r="FS722" s="35"/>
      <c r="FT722" s="35"/>
      <c r="FU722" s="35"/>
      <c r="FV722" s="35"/>
      <c r="FW722" s="35"/>
      <c r="FX722" s="35"/>
      <c r="FY722" s="35"/>
      <c r="FZ722" s="35"/>
      <c r="GA722" s="35"/>
      <c r="GB722" s="35"/>
      <c r="GC722" s="35"/>
      <c r="GD722" s="35"/>
      <c r="GE722" s="35"/>
      <c r="GF722" s="35"/>
      <c r="GG722" s="35"/>
      <c r="GH722" s="35"/>
      <c r="GI722" s="35"/>
      <c r="GJ722" s="35"/>
      <c r="GK722" s="35"/>
      <c r="GL722" s="35"/>
      <c r="GM722" s="35"/>
      <c r="GN722" s="35"/>
      <c r="GO722" s="35"/>
      <c r="GP722" s="35"/>
      <c r="GQ722" s="35"/>
      <c r="GR722" s="35"/>
      <c r="GS722" s="35"/>
      <c r="GT722" s="35"/>
      <c r="GU722" s="35"/>
      <c r="GV722" s="35"/>
      <c r="GW722" s="35"/>
      <c r="GX722" s="35"/>
      <c r="GY722" s="35"/>
      <c r="GZ722" s="35"/>
      <c r="HA722" s="35"/>
      <c r="HB722" s="35"/>
      <c r="HC722" s="35"/>
      <c r="HD722" s="35"/>
      <c r="HE722" s="35"/>
      <c r="HF722" s="35"/>
      <c r="HG722" s="35"/>
      <c r="HH722" s="35"/>
      <c r="HI722" s="35"/>
      <c r="HJ722" s="35"/>
      <c r="HK722" s="35"/>
      <c r="HL722" s="35"/>
      <c r="HM722" s="35"/>
      <c r="HN722" s="35"/>
      <c r="HO722" s="35"/>
      <c r="HP722" s="35"/>
      <c r="HQ722" s="35"/>
      <c r="HR722" s="35"/>
      <c r="HS722" s="35"/>
      <c r="HT722" s="35"/>
      <c r="HU722" s="35"/>
      <c r="HV722" s="35"/>
      <c r="HW722" s="35"/>
      <c r="HX722" s="35"/>
      <c r="HY722" s="35"/>
      <c r="HZ722" s="35"/>
      <c r="IA722" s="35"/>
      <c r="IB722" s="35"/>
      <c r="IC722" s="35"/>
      <c r="ID722" s="35"/>
      <c r="IE722" s="35"/>
      <c r="IF722" s="35"/>
      <c r="IG722" s="35"/>
      <c r="IH722" s="35"/>
      <c r="II722" s="35"/>
      <c r="IJ722" s="35"/>
      <c r="IK722" s="35"/>
      <c r="IL722" s="35"/>
      <c r="IM722" s="35"/>
      <c r="IN722" s="35"/>
      <c r="IO722" s="35"/>
      <c r="IP722" s="35"/>
      <c r="IQ722" s="35"/>
      <c r="IR722" s="35"/>
      <c r="IS722" s="35"/>
      <c r="IT722" s="35"/>
      <c r="IU722" s="35"/>
      <c r="IV722" s="35"/>
      <c r="IW722" s="35"/>
      <c r="IX722" s="35"/>
      <c r="IY722" s="35"/>
      <c r="IZ722" s="35"/>
      <c r="JA722" s="35"/>
      <c r="JB722" s="35"/>
      <c r="JC722" s="35"/>
      <c r="JD722" s="35"/>
      <c r="JE722" s="35"/>
    </row>
    <row r="723">
      <c r="A723" s="42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  <c r="AZ723" s="35"/>
      <c r="BA723" s="35"/>
      <c r="BB723" s="35"/>
      <c r="BC723" s="35"/>
      <c r="BD723" s="35"/>
      <c r="BE723" s="35"/>
      <c r="BF723" s="35"/>
      <c r="BG723" s="35"/>
      <c r="BH723" s="35"/>
      <c r="BI723" s="35"/>
      <c r="BJ723" s="35"/>
      <c r="BK723" s="35"/>
      <c r="BL723" s="35"/>
      <c r="BM723" s="35"/>
      <c r="BN723" s="35"/>
      <c r="BO723" s="35"/>
      <c r="BP723" s="35"/>
      <c r="BQ723" s="35"/>
      <c r="BR723" s="35"/>
      <c r="BS723" s="35"/>
      <c r="BT723" s="35"/>
      <c r="BU723" s="35"/>
      <c r="BV723" s="35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35"/>
      <c r="CO723" s="35"/>
      <c r="CP723" s="35"/>
      <c r="CQ723" s="35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35"/>
      <c r="DJ723" s="35"/>
      <c r="DK723" s="35"/>
      <c r="DL723" s="35"/>
      <c r="DM723" s="35"/>
      <c r="DN723" s="35"/>
      <c r="DO723" s="35"/>
      <c r="DP723" s="35"/>
      <c r="DQ723" s="35"/>
      <c r="DR723" s="35"/>
      <c r="DS723" s="35"/>
      <c r="DT723" s="35"/>
      <c r="DU723" s="35"/>
      <c r="DV723" s="35"/>
      <c r="DW723" s="35"/>
      <c r="DX723" s="35"/>
      <c r="DY723" s="35"/>
      <c r="DZ723" s="35"/>
      <c r="EA723" s="35"/>
      <c r="EB723" s="35"/>
      <c r="EC723" s="35"/>
      <c r="ED723" s="35"/>
      <c r="EE723" s="35"/>
      <c r="EF723" s="35"/>
      <c r="EG723" s="35"/>
      <c r="EH723" s="35"/>
      <c r="EI723" s="35"/>
      <c r="EJ723" s="35"/>
      <c r="EK723" s="35"/>
      <c r="EL723" s="35"/>
      <c r="EM723" s="35"/>
      <c r="EN723" s="35"/>
      <c r="EO723" s="35"/>
      <c r="EP723" s="35"/>
      <c r="EQ723" s="35"/>
      <c r="ER723" s="35"/>
      <c r="ES723" s="35"/>
      <c r="ET723" s="35"/>
      <c r="EU723" s="35"/>
      <c r="EV723" s="35"/>
      <c r="EW723" s="35"/>
      <c r="EX723" s="35"/>
      <c r="EY723" s="35"/>
      <c r="EZ723" s="35"/>
      <c r="FA723" s="35"/>
      <c r="FB723" s="35"/>
      <c r="FC723" s="35"/>
      <c r="FD723" s="35"/>
      <c r="FE723" s="35"/>
      <c r="FF723" s="35"/>
      <c r="FG723" s="35"/>
      <c r="FH723" s="35"/>
      <c r="FI723" s="35"/>
      <c r="FJ723" s="35"/>
      <c r="FK723" s="35"/>
      <c r="FL723" s="35"/>
      <c r="FM723" s="35"/>
      <c r="FN723" s="35"/>
      <c r="FO723" s="35"/>
      <c r="FP723" s="35"/>
      <c r="FQ723" s="35"/>
      <c r="FR723" s="35"/>
      <c r="FS723" s="35"/>
      <c r="FT723" s="35"/>
      <c r="FU723" s="35"/>
      <c r="FV723" s="35"/>
      <c r="FW723" s="35"/>
      <c r="FX723" s="35"/>
      <c r="FY723" s="35"/>
      <c r="FZ723" s="35"/>
      <c r="GA723" s="35"/>
      <c r="GB723" s="35"/>
      <c r="GC723" s="35"/>
      <c r="GD723" s="35"/>
      <c r="GE723" s="35"/>
      <c r="GF723" s="35"/>
      <c r="GG723" s="35"/>
      <c r="GH723" s="35"/>
      <c r="GI723" s="35"/>
      <c r="GJ723" s="35"/>
      <c r="GK723" s="35"/>
      <c r="GL723" s="35"/>
      <c r="GM723" s="35"/>
      <c r="GN723" s="35"/>
      <c r="GO723" s="35"/>
      <c r="GP723" s="35"/>
      <c r="GQ723" s="35"/>
      <c r="GR723" s="35"/>
      <c r="GS723" s="35"/>
      <c r="GT723" s="35"/>
      <c r="GU723" s="35"/>
      <c r="GV723" s="35"/>
      <c r="GW723" s="35"/>
      <c r="GX723" s="35"/>
      <c r="GY723" s="35"/>
      <c r="GZ723" s="35"/>
      <c r="HA723" s="35"/>
      <c r="HB723" s="35"/>
      <c r="HC723" s="35"/>
      <c r="HD723" s="35"/>
      <c r="HE723" s="35"/>
      <c r="HF723" s="35"/>
      <c r="HG723" s="35"/>
      <c r="HH723" s="35"/>
      <c r="HI723" s="35"/>
      <c r="HJ723" s="35"/>
      <c r="HK723" s="35"/>
      <c r="HL723" s="35"/>
      <c r="HM723" s="35"/>
      <c r="HN723" s="35"/>
      <c r="HO723" s="35"/>
      <c r="HP723" s="35"/>
      <c r="HQ723" s="35"/>
      <c r="HR723" s="35"/>
      <c r="HS723" s="35"/>
      <c r="HT723" s="35"/>
      <c r="HU723" s="35"/>
      <c r="HV723" s="35"/>
      <c r="HW723" s="35"/>
      <c r="HX723" s="35"/>
      <c r="HY723" s="35"/>
      <c r="HZ723" s="35"/>
      <c r="IA723" s="35"/>
      <c r="IB723" s="35"/>
      <c r="IC723" s="35"/>
      <c r="ID723" s="35"/>
      <c r="IE723" s="35"/>
      <c r="IF723" s="35"/>
      <c r="IG723" s="35"/>
      <c r="IH723" s="35"/>
      <c r="II723" s="35"/>
      <c r="IJ723" s="35"/>
      <c r="IK723" s="35"/>
      <c r="IL723" s="35"/>
      <c r="IM723" s="35"/>
      <c r="IN723" s="35"/>
      <c r="IO723" s="35"/>
      <c r="IP723" s="35"/>
      <c r="IQ723" s="35"/>
      <c r="IR723" s="35"/>
      <c r="IS723" s="35"/>
      <c r="IT723" s="35"/>
      <c r="IU723" s="35"/>
      <c r="IV723" s="35"/>
      <c r="IW723" s="35"/>
      <c r="IX723" s="35"/>
      <c r="IY723" s="35"/>
      <c r="IZ723" s="35"/>
      <c r="JA723" s="35"/>
      <c r="JB723" s="35"/>
      <c r="JC723" s="35"/>
      <c r="JD723" s="35"/>
      <c r="JE723" s="35"/>
    </row>
    <row r="724">
      <c r="A724" s="42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  <c r="AZ724" s="35"/>
      <c r="BA724" s="35"/>
      <c r="BB724" s="35"/>
      <c r="BC724" s="35"/>
      <c r="BD724" s="35"/>
      <c r="BE724" s="35"/>
      <c r="BF724" s="35"/>
      <c r="BG724" s="35"/>
      <c r="BH724" s="35"/>
      <c r="BI724" s="35"/>
      <c r="BJ724" s="35"/>
      <c r="BK724" s="35"/>
      <c r="BL724" s="35"/>
      <c r="BM724" s="35"/>
      <c r="BN724" s="35"/>
      <c r="BO724" s="35"/>
      <c r="BP724" s="35"/>
      <c r="BQ724" s="35"/>
      <c r="BR724" s="35"/>
      <c r="BS724" s="35"/>
      <c r="BT724" s="35"/>
      <c r="BU724" s="35"/>
      <c r="BV724" s="35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35"/>
      <c r="CO724" s="35"/>
      <c r="CP724" s="35"/>
      <c r="CQ724" s="35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35"/>
      <c r="DJ724" s="35"/>
      <c r="DK724" s="35"/>
      <c r="DL724" s="35"/>
      <c r="DM724" s="35"/>
      <c r="DN724" s="35"/>
      <c r="DO724" s="35"/>
      <c r="DP724" s="35"/>
      <c r="DQ724" s="35"/>
      <c r="DR724" s="35"/>
      <c r="DS724" s="35"/>
      <c r="DT724" s="35"/>
      <c r="DU724" s="35"/>
      <c r="DV724" s="35"/>
      <c r="DW724" s="35"/>
      <c r="DX724" s="35"/>
      <c r="DY724" s="35"/>
      <c r="DZ724" s="35"/>
      <c r="EA724" s="35"/>
      <c r="EB724" s="35"/>
      <c r="EC724" s="35"/>
      <c r="ED724" s="35"/>
      <c r="EE724" s="35"/>
      <c r="EF724" s="35"/>
      <c r="EG724" s="35"/>
      <c r="EH724" s="35"/>
      <c r="EI724" s="35"/>
      <c r="EJ724" s="35"/>
      <c r="EK724" s="35"/>
      <c r="EL724" s="35"/>
      <c r="EM724" s="35"/>
      <c r="EN724" s="35"/>
      <c r="EO724" s="35"/>
      <c r="EP724" s="35"/>
      <c r="EQ724" s="35"/>
      <c r="ER724" s="35"/>
      <c r="ES724" s="35"/>
      <c r="ET724" s="35"/>
      <c r="EU724" s="35"/>
      <c r="EV724" s="35"/>
      <c r="EW724" s="35"/>
      <c r="EX724" s="35"/>
      <c r="EY724" s="35"/>
      <c r="EZ724" s="35"/>
      <c r="FA724" s="35"/>
      <c r="FB724" s="35"/>
      <c r="FC724" s="35"/>
      <c r="FD724" s="35"/>
      <c r="FE724" s="35"/>
      <c r="FF724" s="35"/>
      <c r="FG724" s="35"/>
      <c r="FH724" s="35"/>
      <c r="FI724" s="35"/>
      <c r="FJ724" s="35"/>
      <c r="FK724" s="35"/>
      <c r="FL724" s="35"/>
      <c r="FM724" s="35"/>
      <c r="FN724" s="35"/>
      <c r="FO724" s="35"/>
      <c r="FP724" s="35"/>
      <c r="FQ724" s="35"/>
      <c r="FR724" s="35"/>
      <c r="FS724" s="35"/>
      <c r="FT724" s="35"/>
      <c r="FU724" s="35"/>
      <c r="FV724" s="35"/>
      <c r="FW724" s="35"/>
      <c r="FX724" s="35"/>
      <c r="FY724" s="35"/>
      <c r="FZ724" s="35"/>
      <c r="GA724" s="35"/>
      <c r="GB724" s="35"/>
      <c r="GC724" s="35"/>
      <c r="GD724" s="35"/>
      <c r="GE724" s="35"/>
      <c r="GF724" s="35"/>
      <c r="GG724" s="35"/>
      <c r="GH724" s="35"/>
      <c r="GI724" s="35"/>
      <c r="GJ724" s="35"/>
      <c r="GK724" s="35"/>
      <c r="GL724" s="35"/>
      <c r="GM724" s="35"/>
      <c r="GN724" s="35"/>
      <c r="GO724" s="35"/>
      <c r="GP724" s="35"/>
      <c r="GQ724" s="35"/>
      <c r="GR724" s="35"/>
      <c r="GS724" s="35"/>
      <c r="GT724" s="35"/>
      <c r="GU724" s="35"/>
      <c r="GV724" s="35"/>
      <c r="GW724" s="35"/>
      <c r="GX724" s="35"/>
      <c r="GY724" s="35"/>
      <c r="GZ724" s="35"/>
      <c r="HA724" s="35"/>
      <c r="HB724" s="35"/>
      <c r="HC724" s="35"/>
      <c r="HD724" s="35"/>
      <c r="HE724" s="35"/>
      <c r="HF724" s="35"/>
      <c r="HG724" s="35"/>
      <c r="HH724" s="35"/>
      <c r="HI724" s="35"/>
      <c r="HJ724" s="35"/>
      <c r="HK724" s="35"/>
      <c r="HL724" s="35"/>
      <c r="HM724" s="35"/>
      <c r="HN724" s="35"/>
      <c r="HO724" s="35"/>
      <c r="HP724" s="35"/>
      <c r="HQ724" s="35"/>
      <c r="HR724" s="35"/>
      <c r="HS724" s="35"/>
      <c r="HT724" s="35"/>
      <c r="HU724" s="35"/>
      <c r="HV724" s="35"/>
      <c r="HW724" s="35"/>
      <c r="HX724" s="35"/>
      <c r="HY724" s="35"/>
      <c r="HZ724" s="35"/>
      <c r="IA724" s="35"/>
      <c r="IB724" s="35"/>
      <c r="IC724" s="35"/>
      <c r="ID724" s="35"/>
      <c r="IE724" s="35"/>
      <c r="IF724" s="35"/>
      <c r="IG724" s="35"/>
      <c r="IH724" s="35"/>
      <c r="II724" s="35"/>
      <c r="IJ724" s="35"/>
      <c r="IK724" s="35"/>
      <c r="IL724" s="35"/>
      <c r="IM724" s="35"/>
      <c r="IN724" s="35"/>
      <c r="IO724" s="35"/>
      <c r="IP724" s="35"/>
      <c r="IQ724" s="35"/>
      <c r="IR724" s="35"/>
      <c r="IS724" s="35"/>
      <c r="IT724" s="35"/>
      <c r="IU724" s="35"/>
      <c r="IV724" s="35"/>
      <c r="IW724" s="35"/>
      <c r="IX724" s="35"/>
      <c r="IY724" s="35"/>
      <c r="IZ724" s="35"/>
      <c r="JA724" s="35"/>
      <c r="JB724" s="35"/>
      <c r="JC724" s="35"/>
      <c r="JD724" s="35"/>
      <c r="JE724" s="35"/>
    </row>
    <row r="725">
      <c r="A725" s="42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  <c r="AZ725" s="35"/>
      <c r="BA725" s="35"/>
      <c r="BB725" s="35"/>
      <c r="BC725" s="35"/>
      <c r="BD725" s="35"/>
      <c r="BE725" s="35"/>
      <c r="BF725" s="35"/>
      <c r="BG725" s="35"/>
      <c r="BH725" s="35"/>
      <c r="BI725" s="35"/>
      <c r="BJ725" s="35"/>
      <c r="BK725" s="35"/>
      <c r="BL725" s="35"/>
      <c r="BM725" s="35"/>
      <c r="BN725" s="35"/>
      <c r="BO725" s="35"/>
      <c r="BP725" s="35"/>
      <c r="BQ725" s="35"/>
      <c r="BR725" s="35"/>
      <c r="BS725" s="35"/>
      <c r="BT725" s="35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35"/>
      <c r="CO725" s="35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35"/>
      <c r="DJ725" s="35"/>
      <c r="DK725" s="35"/>
      <c r="DL725" s="35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35"/>
      <c r="EE725" s="35"/>
      <c r="EF725" s="35"/>
      <c r="EG725" s="35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  <c r="ER725" s="35"/>
      <c r="ES725" s="35"/>
      <c r="ET725" s="35"/>
      <c r="EU725" s="35"/>
      <c r="EV725" s="35"/>
      <c r="EW725" s="35"/>
      <c r="EX725" s="35"/>
      <c r="EY725" s="35"/>
      <c r="EZ725" s="35"/>
      <c r="FA725" s="35"/>
      <c r="FB725" s="35"/>
      <c r="FC725" s="35"/>
      <c r="FD725" s="35"/>
      <c r="FE725" s="35"/>
      <c r="FF725" s="35"/>
      <c r="FG725" s="35"/>
      <c r="FH725" s="35"/>
      <c r="FI725" s="35"/>
      <c r="FJ725" s="35"/>
      <c r="FK725" s="35"/>
      <c r="FL725" s="35"/>
      <c r="FM725" s="35"/>
      <c r="FN725" s="35"/>
      <c r="FO725" s="35"/>
      <c r="FP725" s="35"/>
      <c r="FQ725" s="35"/>
      <c r="FR725" s="35"/>
      <c r="FS725" s="35"/>
      <c r="FT725" s="35"/>
      <c r="FU725" s="35"/>
      <c r="FV725" s="35"/>
      <c r="FW725" s="35"/>
      <c r="FX725" s="35"/>
      <c r="FY725" s="35"/>
      <c r="FZ725" s="35"/>
      <c r="GA725" s="35"/>
      <c r="GB725" s="35"/>
      <c r="GC725" s="35"/>
      <c r="GD725" s="35"/>
      <c r="GE725" s="35"/>
      <c r="GF725" s="35"/>
      <c r="GG725" s="35"/>
      <c r="GH725" s="35"/>
      <c r="GI725" s="35"/>
      <c r="GJ725" s="35"/>
      <c r="GK725" s="35"/>
      <c r="GL725" s="35"/>
      <c r="GM725" s="35"/>
      <c r="GN725" s="35"/>
      <c r="GO725" s="35"/>
      <c r="GP725" s="35"/>
      <c r="GQ725" s="35"/>
      <c r="GR725" s="35"/>
      <c r="GS725" s="35"/>
      <c r="GT725" s="35"/>
      <c r="GU725" s="35"/>
      <c r="GV725" s="35"/>
      <c r="GW725" s="35"/>
      <c r="GX725" s="35"/>
      <c r="GY725" s="35"/>
      <c r="GZ725" s="35"/>
      <c r="HA725" s="35"/>
      <c r="HB725" s="35"/>
      <c r="HC725" s="35"/>
      <c r="HD725" s="35"/>
      <c r="HE725" s="35"/>
      <c r="HF725" s="35"/>
      <c r="HG725" s="35"/>
      <c r="HH725" s="35"/>
      <c r="HI725" s="35"/>
      <c r="HJ725" s="35"/>
      <c r="HK725" s="35"/>
      <c r="HL725" s="35"/>
      <c r="HM725" s="35"/>
      <c r="HN725" s="35"/>
      <c r="HO725" s="35"/>
      <c r="HP725" s="35"/>
      <c r="HQ725" s="35"/>
      <c r="HR725" s="35"/>
      <c r="HS725" s="35"/>
      <c r="HT725" s="35"/>
      <c r="HU725" s="35"/>
      <c r="HV725" s="35"/>
      <c r="HW725" s="35"/>
      <c r="HX725" s="35"/>
      <c r="HY725" s="35"/>
      <c r="HZ725" s="35"/>
      <c r="IA725" s="35"/>
      <c r="IB725" s="35"/>
      <c r="IC725" s="35"/>
      <c r="ID725" s="35"/>
      <c r="IE725" s="35"/>
      <c r="IF725" s="35"/>
      <c r="IG725" s="35"/>
      <c r="IH725" s="35"/>
      <c r="II725" s="35"/>
      <c r="IJ725" s="35"/>
      <c r="IK725" s="35"/>
      <c r="IL725" s="35"/>
      <c r="IM725" s="35"/>
      <c r="IN725" s="35"/>
      <c r="IO725" s="35"/>
      <c r="IP725" s="35"/>
      <c r="IQ725" s="35"/>
      <c r="IR725" s="35"/>
      <c r="IS725" s="35"/>
      <c r="IT725" s="35"/>
      <c r="IU725" s="35"/>
      <c r="IV725" s="35"/>
      <c r="IW725" s="35"/>
      <c r="IX725" s="35"/>
      <c r="IY725" s="35"/>
      <c r="IZ725" s="35"/>
      <c r="JA725" s="35"/>
      <c r="JB725" s="35"/>
      <c r="JC725" s="35"/>
      <c r="JD725" s="35"/>
      <c r="JE725" s="35"/>
    </row>
    <row r="726">
      <c r="A726" s="42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  <c r="AZ726" s="35"/>
      <c r="BA726" s="35"/>
      <c r="BB726" s="35"/>
      <c r="BC726" s="35"/>
      <c r="BD726" s="35"/>
      <c r="BE726" s="35"/>
      <c r="BF726" s="35"/>
      <c r="BG726" s="35"/>
      <c r="BH726" s="35"/>
      <c r="BI726" s="35"/>
      <c r="BJ726" s="35"/>
      <c r="BK726" s="35"/>
      <c r="BL726" s="35"/>
      <c r="BM726" s="35"/>
      <c r="BN726" s="35"/>
      <c r="BO726" s="35"/>
      <c r="BP726" s="35"/>
      <c r="BQ726" s="35"/>
      <c r="BR726" s="35"/>
      <c r="BS726" s="35"/>
      <c r="BT726" s="35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35"/>
      <c r="CO726" s="35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35"/>
      <c r="DJ726" s="35"/>
      <c r="DK726" s="35"/>
      <c r="DL726" s="35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35"/>
      <c r="EE726" s="35"/>
      <c r="EF726" s="35"/>
      <c r="EG726" s="35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  <c r="ER726" s="35"/>
      <c r="ES726" s="35"/>
      <c r="ET726" s="35"/>
      <c r="EU726" s="35"/>
      <c r="EV726" s="35"/>
      <c r="EW726" s="35"/>
      <c r="EX726" s="35"/>
      <c r="EY726" s="35"/>
      <c r="EZ726" s="35"/>
      <c r="FA726" s="35"/>
      <c r="FB726" s="35"/>
      <c r="FC726" s="35"/>
      <c r="FD726" s="35"/>
      <c r="FE726" s="35"/>
      <c r="FF726" s="35"/>
      <c r="FG726" s="35"/>
      <c r="FH726" s="35"/>
      <c r="FI726" s="35"/>
      <c r="FJ726" s="35"/>
      <c r="FK726" s="35"/>
      <c r="FL726" s="35"/>
      <c r="FM726" s="35"/>
      <c r="FN726" s="35"/>
      <c r="FO726" s="35"/>
      <c r="FP726" s="35"/>
      <c r="FQ726" s="35"/>
      <c r="FR726" s="35"/>
      <c r="FS726" s="35"/>
      <c r="FT726" s="35"/>
      <c r="FU726" s="35"/>
      <c r="FV726" s="35"/>
      <c r="FW726" s="35"/>
      <c r="FX726" s="35"/>
      <c r="FY726" s="35"/>
      <c r="FZ726" s="35"/>
      <c r="GA726" s="35"/>
      <c r="GB726" s="35"/>
      <c r="GC726" s="35"/>
      <c r="GD726" s="35"/>
      <c r="GE726" s="35"/>
      <c r="GF726" s="35"/>
      <c r="GG726" s="35"/>
      <c r="GH726" s="35"/>
      <c r="GI726" s="35"/>
      <c r="GJ726" s="35"/>
      <c r="GK726" s="35"/>
      <c r="GL726" s="35"/>
      <c r="GM726" s="35"/>
      <c r="GN726" s="35"/>
      <c r="GO726" s="35"/>
      <c r="GP726" s="35"/>
      <c r="GQ726" s="35"/>
      <c r="GR726" s="35"/>
      <c r="GS726" s="35"/>
      <c r="GT726" s="35"/>
      <c r="GU726" s="35"/>
      <c r="GV726" s="35"/>
      <c r="GW726" s="35"/>
      <c r="GX726" s="35"/>
      <c r="GY726" s="35"/>
      <c r="GZ726" s="35"/>
      <c r="HA726" s="35"/>
      <c r="HB726" s="35"/>
      <c r="HC726" s="35"/>
      <c r="HD726" s="35"/>
      <c r="HE726" s="35"/>
      <c r="HF726" s="35"/>
      <c r="HG726" s="35"/>
      <c r="HH726" s="35"/>
      <c r="HI726" s="35"/>
      <c r="HJ726" s="35"/>
      <c r="HK726" s="35"/>
      <c r="HL726" s="35"/>
      <c r="HM726" s="35"/>
      <c r="HN726" s="35"/>
      <c r="HO726" s="35"/>
      <c r="HP726" s="35"/>
      <c r="HQ726" s="35"/>
      <c r="HR726" s="35"/>
      <c r="HS726" s="35"/>
      <c r="HT726" s="35"/>
      <c r="HU726" s="35"/>
      <c r="HV726" s="35"/>
      <c r="HW726" s="35"/>
      <c r="HX726" s="35"/>
      <c r="HY726" s="35"/>
      <c r="HZ726" s="35"/>
      <c r="IA726" s="35"/>
      <c r="IB726" s="35"/>
      <c r="IC726" s="35"/>
      <c r="ID726" s="35"/>
      <c r="IE726" s="35"/>
      <c r="IF726" s="35"/>
      <c r="IG726" s="35"/>
      <c r="IH726" s="35"/>
      <c r="II726" s="35"/>
      <c r="IJ726" s="35"/>
      <c r="IK726" s="35"/>
      <c r="IL726" s="35"/>
      <c r="IM726" s="35"/>
      <c r="IN726" s="35"/>
      <c r="IO726" s="35"/>
      <c r="IP726" s="35"/>
      <c r="IQ726" s="35"/>
      <c r="IR726" s="35"/>
      <c r="IS726" s="35"/>
      <c r="IT726" s="35"/>
      <c r="IU726" s="35"/>
      <c r="IV726" s="35"/>
      <c r="IW726" s="35"/>
      <c r="IX726" s="35"/>
      <c r="IY726" s="35"/>
      <c r="IZ726" s="35"/>
      <c r="JA726" s="35"/>
      <c r="JB726" s="35"/>
      <c r="JC726" s="35"/>
      <c r="JD726" s="35"/>
      <c r="JE726" s="35"/>
    </row>
    <row r="727">
      <c r="A727" s="42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  <c r="AZ727" s="35"/>
      <c r="BA727" s="35"/>
      <c r="BB727" s="35"/>
      <c r="BC727" s="35"/>
      <c r="BD727" s="35"/>
      <c r="BE727" s="35"/>
      <c r="BF727" s="35"/>
      <c r="BG727" s="35"/>
      <c r="BH727" s="35"/>
      <c r="BI727" s="35"/>
      <c r="BJ727" s="35"/>
      <c r="BK727" s="35"/>
      <c r="BL727" s="35"/>
      <c r="BM727" s="35"/>
      <c r="BN727" s="35"/>
      <c r="BO727" s="35"/>
      <c r="BP727" s="35"/>
      <c r="BQ727" s="35"/>
      <c r="BR727" s="35"/>
      <c r="BS727" s="35"/>
      <c r="BT727" s="35"/>
      <c r="BU727" s="35"/>
      <c r="BV727" s="35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35"/>
      <c r="CO727" s="35"/>
      <c r="CP727" s="35"/>
      <c r="CQ727" s="35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35"/>
      <c r="DJ727" s="35"/>
      <c r="DK727" s="35"/>
      <c r="DL727" s="35"/>
      <c r="DM727" s="35"/>
      <c r="DN727" s="35"/>
      <c r="DO727" s="35"/>
      <c r="DP727" s="35"/>
      <c r="DQ727" s="35"/>
      <c r="DR727" s="35"/>
      <c r="DS727" s="35"/>
      <c r="DT727" s="35"/>
      <c r="DU727" s="35"/>
      <c r="DV727" s="35"/>
      <c r="DW727" s="35"/>
      <c r="DX727" s="35"/>
      <c r="DY727" s="35"/>
      <c r="DZ727" s="35"/>
      <c r="EA727" s="35"/>
      <c r="EB727" s="35"/>
      <c r="EC727" s="35"/>
      <c r="ED727" s="35"/>
      <c r="EE727" s="35"/>
      <c r="EF727" s="35"/>
      <c r="EG727" s="35"/>
      <c r="EH727" s="35"/>
      <c r="EI727" s="35"/>
      <c r="EJ727" s="35"/>
      <c r="EK727" s="35"/>
      <c r="EL727" s="35"/>
      <c r="EM727" s="35"/>
      <c r="EN727" s="35"/>
      <c r="EO727" s="35"/>
      <c r="EP727" s="35"/>
      <c r="EQ727" s="35"/>
      <c r="ER727" s="35"/>
      <c r="ES727" s="35"/>
      <c r="ET727" s="35"/>
      <c r="EU727" s="35"/>
      <c r="EV727" s="35"/>
      <c r="EW727" s="35"/>
      <c r="EX727" s="35"/>
      <c r="EY727" s="35"/>
      <c r="EZ727" s="35"/>
      <c r="FA727" s="35"/>
      <c r="FB727" s="35"/>
      <c r="FC727" s="35"/>
      <c r="FD727" s="35"/>
      <c r="FE727" s="35"/>
      <c r="FF727" s="35"/>
      <c r="FG727" s="35"/>
      <c r="FH727" s="35"/>
      <c r="FI727" s="35"/>
      <c r="FJ727" s="35"/>
      <c r="FK727" s="35"/>
      <c r="FL727" s="35"/>
      <c r="FM727" s="35"/>
      <c r="FN727" s="35"/>
      <c r="FO727" s="35"/>
      <c r="FP727" s="35"/>
      <c r="FQ727" s="35"/>
      <c r="FR727" s="35"/>
      <c r="FS727" s="35"/>
      <c r="FT727" s="35"/>
      <c r="FU727" s="35"/>
      <c r="FV727" s="35"/>
      <c r="FW727" s="35"/>
      <c r="FX727" s="35"/>
      <c r="FY727" s="35"/>
      <c r="FZ727" s="35"/>
      <c r="GA727" s="35"/>
      <c r="GB727" s="35"/>
      <c r="GC727" s="35"/>
      <c r="GD727" s="35"/>
      <c r="GE727" s="35"/>
      <c r="GF727" s="35"/>
      <c r="GG727" s="35"/>
      <c r="GH727" s="35"/>
      <c r="GI727" s="35"/>
      <c r="GJ727" s="35"/>
      <c r="GK727" s="35"/>
      <c r="GL727" s="35"/>
      <c r="GM727" s="35"/>
      <c r="GN727" s="35"/>
      <c r="GO727" s="35"/>
      <c r="GP727" s="35"/>
      <c r="GQ727" s="35"/>
      <c r="GR727" s="35"/>
      <c r="GS727" s="35"/>
      <c r="GT727" s="35"/>
      <c r="GU727" s="35"/>
      <c r="GV727" s="35"/>
      <c r="GW727" s="35"/>
      <c r="GX727" s="35"/>
      <c r="GY727" s="35"/>
      <c r="GZ727" s="35"/>
      <c r="HA727" s="35"/>
      <c r="HB727" s="35"/>
      <c r="HC727" s="35"/>
      <c r="HD727" s="35"/>
      <c r="HE727" s="35"/>
      <c r="HF727" s="35"/>
      <c r="HG727" s="35"/>
      <c r="HH727" s="35"/>
      <c r="HI727" s="35"/>
      <c r="HJ727" s="35"/>
      <c r="HK727" s="35"/>
      <c r="HL727" s="35"/>
      <c r="HM727" s="35"/>
      <c r="HN727" s="35"/>
      <c r="HO727" s="35"/>
      <c r="HP727" s="35"/>
      <c r="HQ727" s="35"/>
      <c r="HR727" s="35"/>
      <c r="HS727" s="35"/>
      <c r="HT727" s="35"/>
      <c r="HU727" s="35"/>
      <c r="HV727" s="35"/>
      <c r="HW727" s="35"/>
      <c r="HX727" s="35"/>
      <c r="HY727" s="35"/>
      <c r="HZ727" s="35"/>
      <c r="IA727" s="35"/>
      <c r="IB727" s="35"/>
      <c r="IC727" s="35"/>
      <c r="ID727" s="35"/>
      <c r="IE727" s="35"/>
      <c r="IF727" s="35"/>
      <c r="IG727" s="35"/>
      <c r="IH727" s="35"/>
      <c r="II727" s="35"/>
      <c r="IJ727" s="35"/>
      <c r="IK727" s="35"/>
      <c r="IL727" s="35"/>
      <c r="IM727" s="35"/>
      <c r="IN727" s="35"/>
      <c r="IO727" s="35"/>
      <c r="IP727" s="35"/>
      <c r="IQ727" s="35"/>
      <c r="IR727" s="35"/>
      <c r="IS727" s="35"/>
      <c r="IT727" s="35"/>
      <c r="IU727" s="35"/>
      <c r="IV727" s="35"/>
      <c r="IW727" s="35"/>
      <c r="IX727" s="35"/>
      <c r="IY727" s="35"/>
      <c r="IZ727" s="35"/>
      <c r="JA727" s="35"/>
      <c r="JB727" s="35"/>
      <c r="JC727" s="35"/>
      <c r="JD727" s="35"/>
      <c r="JE727" s="35"/>
    </row>
    <row r="728">
      <c r="A728" s="42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  <c r="AZ728" s="35"/>
      <c r="BA728" s="35"/>
      <c r="BB728" s="35"/>
      <c r="BC728" s="35"/>
      <c r="BD728" s="35"/>
      <c r="BE728" s="35"/>
      <c r="BF728" s="35"/>
      <c r="BG728" s="35"/>
      <c r="BH728" s="35"/>
      <c r="BI728" s="35"/>
      <c r="BJ728" s="35"/>
      <c r="BK728" s="35"/>
      <c r="BL728" s="35"/>
      <c r="BM728" s="35"/>
      <c r="BN728" s="35"/>
      <c r="BO728" s="35"/>
      <c r="BP728" s="35"/>
      <c r="BQ728" s="35"/>
      <c r="BR728" s="35"/>
      <c r="BS728" s="35"/>
      <c r="BT728" s="35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35"/>
      <c r="CO728" s="35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35"/>
      <c r="DJ728" s="35"/>
      <c r="DK728" s="35"/>
      <c r="DL728" s="35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35"/>
      <c r="EE728" s="35"/>
      <c r="EF728" s="35"/>
      <c r="EG728" s="35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  <c r="ER728" s="35"/>
      <c r="ES728" s="35"/>
      <c r="ET728" s="35"/>
      <c r="EU728" s="35"/>
      <c r="EV728" s="35"/>
      <c r="EW728" s="35"/>
      <c r="EX728" s="35"/>
      <c r="EY728" s="35"/>
      <c r="EZ728" s="35"/>
      <c r="FA728" s="35"/>
      <c r="FB728" s="35"/>
      <c r="FC728" s="35"/>
      <c r="FD728" s="35"/>
      <c r="FE728" s="35"/>
      <c r="FF728" s="35"/>
      <c r="FG728" s="35"/>
      <c r="FH728" s="35"/>
      <c r="FI728" s="35"/>
      <c r="FJ728" s="35"/>
      <c r="FK728" s="35"/>
      <c r="FL728" s="35"/>
      <c r="FM728" s="35"/>
      <c r="FN728" s="35"/>
      <c r="FO728" s="35"/>
      <c r="FP728" s="35"/>
      <c r="FQ728" s="35"/>
      <c r="FR728" s="35"/>
      <c r="FS728" s="35"/>
      <c r="FT728" s="35"/>
      <c r="FU728" s="35"/>
      <c r="FV728" s="35"/>
      <c r="FW728" s="35"/>
      <c r="FX728" s="35"/>
      <c r="FY728" s="35"/>
      <c r="FZ728" s="35"/>
      <c r="GA728" s="35"/>
      <c r="GB728" s="35"/>
      <c r="GC728" s="35"/>
      <c r="GD728" s="35"/>
      <c r="GE728" s="35"/>
      <c r="GF728" s="35"/>
      <c r="GG728" s="35"/>
      <c r="GH728" s="35"/>
      <c r="GI728" s="35"/>
      <c r="GJ728" s="35"/>
      <c r="GK728" s="35"/>
      <c r="GL728" s="35"/>
      <c r="GM728" s="35"/>
      <c r="GN728" s="35"/>
      <c r="GO728" s="35"/>
      <c r="GP728" s="35"/>
      <c r="GQ728" s="35"/>
      <c r="GR728" s="35"/>
      <c r="GS728" s="35"/>
      <c r="GT728" s="35"/>
      <c r="GU728" s="35"/>
      <c r="GV728" s="35"/>
      <c r="GW728" s="35"/>
      <c r="GX728" s="35"/>
      <c r="GY728" s="35"/>
      <c r="GZ728" s="35"/>
      <c r="HA728" s="35"/>
      <c r="HB728" s="35"/>
      <c r="HC728" s="35"/>
      <c r="HD728" s="35"/>
      <c r="HE728" s="35"/>
      <c r="HF728" s="35"/>
      <c r="HG728" s="35"/>
      <c r="HH728" s="35"/>
      <c r="HI728" s="35"/>
      <c r="HJ728" s="35"/>
      <c r="HK728" s="35"/>
      <c r="HL728" s="35"/>
      <c r="HM728" s="35"/>
      <c r="HN728" s="35"/>
      <c r="HO728" s="35"/>
      <c r="HP728" s="35"/>
      <c r="HQ728" s="35"/>
      <c r="HR728" s="35"/>
      <c r="HS728" s="35"/>
      <c r="HT728" s="35"/>
      <c r="HU728" s="35"/>
      <c r="HV728" s="35"/>
      <c r="HW728" s="35"/>
      <c r="HX728" s="35"/>
      <c r="HY728" s="35"/>
      <c r="HZ728" s="35"/>
      <c r="IA728" s="35"/>
      <c r="IB728" s="35"/>
      <c r="IC728" s="35"/>
      <c r="ID728" s="35"/>
      <c r="IE728" s="35"/>
      <c r="IF728" s="35"/>
      <c r="IG728" s="35"/>
      <c r="IH728" s="35"/>
      <c r="II728" s="35"/>
      <c r="IJ728" s="35"/>
      <c r="IK728" s="35"/>
      <c r="IL728" s="35"/>
      <c r="IM728" s="35"/>
      <c r="IN728" s="35"/>
      <c r="IO728" s="35"/>
      <c r="IP728" s="35"/>
      <c r="IQ728" s="35"/>
      <c r="IR728" s="35"/>
      <c r="IS728" s="35"/>
      <c r="IT728" s="35"/>
      <c r="IU728" s="35"/>
      <c r="IV728" s="35"/>
      <c r="IW728" s="35"/>
      <c r="IX728" s="35"/>
      <c r="IY728" s="35"/>
      <c r="IZ728" s="35"/>
      <c r="JA728" s="35"/>
      <c r="JB728" s="35"/>
      <c r="JC728" s="35"/>
      <c r="JD728" s="35"/>
      <c r="JE728" s="35"/>
    </row>
    <row r="729">
      <c r="A729" s="42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  <c r="AZ729" s="35"/>
      <c r="BA729" s="35"/>
      <c r="BB729" s="35"/>
      <c r="BC729" s="35"/>
      <c r="BD729" s="35"/>
      <c r="BE729" s="35"/>
      <c r="BF729" s="35"/>
      <c r="BG729" s="35"/>
      <c r="BH729" s="35"/>
      <c r="BI729" s="35"/>
      <c r="BJ729" s="35"/>
      <c r="BK729" s="35"/>
      <c r="BL729" s="35"/>
      <c r="BM729" s="35"/>
      <c r="BN729" s="35"/>
      <c r="BO729" s="35"/>
      <c r="BP729" s="35"/>
      <c r="BQ729" s="35"/>
      <c r="BR729" s="35"/>
      <c r="BS729" s="35"/>
      <c r="BT729" s="35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35"/>
      <c r="CO729" s="35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35"/>
      <c r="DJ729" s="35"/>
      <c r="DK729" s="35"/>
      <c r="DL729" s="35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35"/>
      <c r="EE729" s="35"/>
      <c r="EF729" s="35"/>
      <c r="EG729" s="35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  <c r="ER729" s="35"/>
      <c r="ES729" s="35"/>
      <c r="ET729" s="35"/>
      <c r="EU729" s="35"/>
      <c r="EV729" s="35"/>
      <c r="EW729" s="35"/>
      <c r="EX729" s="35"/>
      <c r="EY729" s="35"/>
      <c r="EZ729" s="35"/>
      <c r="FA729" s="35"/>
      <c r="FB729" s="35"/>
      <c r="FC729" s="35"/>
      <c r="FD729" s="35"/>
      <c r="FE729" s="35"/>
      <c r="FF729" s="35"/>
      <c r="FG729" s="35"/>
      <c r="FH729" s="35"/>
      <c r="FI729" s="35"/>
      <c r="FJ729" s="35"/>
      <c r="FK729" s="35"/>
      <c r="FL729" s="35"/>
      <c r="FM729" s="35"/>
      <c r="FN729" s="35"/>
      <c r="FO729" s="35"/>
      <c r="FP729" s="35"/>
      <c r="FQ729" s="35"/>
      <c r="FR729" s="35"/>
      <c r="FS729" s="35"/>
      <c r="FT729" s="35"/>
      <c r="FU729" s="35"/>
      <c r="FV729" s="35"/>
      <c r="FW729" s="35"/>
      <c r="FX729" s="35"/>
      <c r="FY729" s="35"/>
      <c r="FZ729" s="35"/>
      <c r="GA729" s="35"/>
      <c r="GB729" s="35"/>
      <c r="GC729" s="35"/>
      <c r="GD729" s="35"/>
      <c r="GE729" s="35"/>
      <c r="GF729" s="35"/>
      <c r="GG729" s="35"/>
      <c r="GH729" s="35"/>
      <c r="GI729" s="35"/>
      <c r="GJ729" s="35"/>
      <c r="GK729" s="35"/>
      <c r="GL729" s="35"/>
      <c r="GM729" s="35"/>
      <c r="GN729" s="35"/>
      <c r="GO729" s="35"/>
      <c r="GP729" s="35"/>
      <c r="GQ729" s="35"/>
      <c r="GR729" s="35"/>
      <c r="GS729" s="35"/>
      <c r="GT729" s="35"/>
      <c r="GU729" s="35"/>
      <c r="GV729" s="35"/>
      <c r="GW729" s="35"/>
      <c r="GX729" s="35"/>
      <c r="GY729" s="35"/>
      <c r="GZ729" s="35"/>
      <c r="HA729" s="35"/>
      <c r="HB729" s="35"/>
      <c r="HC729" s="35"/>
      <c r="HD729" s="35"/>
      <c r="HE729" s="35"/>
      <c r="HF729" s="35"/>
      <c r="HG729" s="35"/>
      <c r="HH729" s="35"/>
      <c r="HI729" s="35"/>
      <c r="HJ729" s="35"/>
      <c r="HK729" s="35"/>
      <c r="HL729" s="35"/>
      <c r="HM729" s="35"/>
      <c r="HN729" s="35"/>
      <c r="HO729" s="35"/>
      <c r="HP729" s="35"/>
      <c r="HQ729" s="35"/>
      <c r="HR729" s="35"/>
      <c r="HS729" s="35"/>
      <c r="HT729" s="35"/>
      <c r="HU729" s="35"/>
      <c r="HV729" s="35"/>
      <c r="HW729" s="35"/>
      <c r="HX729" s="35"/>
      <c r="HY729" s="35"/>
      <c r="HZ729" s="35"/>
      <c r="IA729" s="35"/>
      <c r="IB729" s="35"/>
      <c r="IC729" s="35"/>
      <c r="ID729" s="35"/>
      <c r="IE729" s="35"/>
      <c r="IF729" s="35"/>
      <c r="IG729" s="35"/>
      <c r="IH729" s="35"/>
      <c r="II729" s="35"/>
      <c r="IJ729" s="35"/>
      <c r="IK729" s="35"/>
      <c r="IL729" s="35"/>
      <c r="IM729" s="35"/>
      <c r="IN729" s="35"/>
      <c r="IO729" s="35"/>
      <c r="IP729" s="35"/>
      <c r="IQ729" s="35"/>
      <c r="IR729" s="35"/>
      <c r="IS729" s="35"/>
      <c r="IT729" s="35"/>
      <c r="IU729" s="35"/>
      <c r="IV729" s="35"/>
      <c r="IW729" s="35"/>
      <c r="IX729" s="35"/>
      <c r="IY729" s="35"/>
      <c r="IZ729" s="35"/>
      <c r="JA729" s="35"/>
      <c r="JB729" s="35"/>
      <c r="JC729" s="35"/>
      <c r="JD729" s="35"/>
      <c r="JE729" s="35"/>
    </row>
    <row r="730">
      <c r="A730" s="42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35"/>
      <c r="BA730" s="35"/>
      <c r="BB730" s="35"/>
      <c r="BC730" s="35"/>
      <c r="BD730" s="35"/>
      <c r="BE730" s="35"/>
      <c r="BF730" s="35"/>
      <c r="BG730" s="35"/>
      <c r="BH730" s="35"/>
      <c r="BI730" s="35"/>
      <c r="BJ730" s="35"/>
      <c r="BK730" s="35"/>
      <c r="BL730" s="35"/>
      <c r="BM730" s="35"/>
      <c r="BN730" s="35"/>
      <c r="BO730" s="35"/>
      <c r="BP730" s="35"/>
      <c r="BQ730" s="35"/>
      <c r="BR730" s="35"/>
      <c r="BS730" s="35"/>
      <c r="BT730" s="35"/>
      <c r="BU730" s="35"/>
      <c r="BV730" s="35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35"/>
      <c r="CO730" s="35"/>
      <c r="CP730" s="35"/>
      <c r="CQ730" s="35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35"/>
      <c r="DJ730" s="35"/>
      <c r="DK730" s="35"/>
      <c r="DL730" s="35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35"/>
      <c r="EE730" s="35"/>
      <c r="EF730" s="35"/>
      <c r="EG730" s="35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  <c r="ER730" s="35"/>
      <c r="ES730" s="35"/>
      <c r="ET730" s="35"/>
      <c r="EU730" s="35"/>
      <c r="EV730" s="35"/>
      <c r="EW730" s="35"/>
      <c r="EX730" s="35"/>
      <c r="EY730" s="35"/>
      <c r="EZ730" s="35"/>
      <c r="FA730" s="35"/>
      <c r="FB730" s="35"/>
      <c r="FC730" s="35"/>
      <c r="FD730" s="35"/>
      <c r="FE730" s="35"/>
      <c r="FF730" s="35"/>
      <c r="FG730" s="35"/>
      <c r="FH730" s="35"/>
      <c r="FI730" s="35"/>
      <c r="FJ730" s="35"/>
      <c r="FK730" s="35"/>
      <c r="FL730" s="35"/>
      <c r="FM730" s="35"/>
      <c r="FN730" s="35"/>
      <c r="FO730" s="35"/>
      <c r="FP730" s="35"/>
      <c r="FQ730" s="35"/>
      <c r="FR730" s="35"/>
      <c r="FS730" s="35"/>
      <c r="FT730" s="35"/>
      <c r="FU730" s="35"/>
      <c r="FV730" s="35"/>
      <c r="FW730" s="35"/>
      <c r="FX730" s="35"/>
      <c r="FY730" s="35"/>
      <c r="FZ730" s="35"/>
      <c r="GA730" s="35"/>
      <c r="GB730" s="35"/>
      <c r="GC730" s="35"/>
      <c r="GD730" s="35"/>
      <c r="GE730" s="35"/>
      <c r="GF730" s="35"/>
      <c r="GG730" s="35"/>
      <c r="GH730" s="35"/>
      <c r="GI730" s="35"/>
      <c r="GJ730" s="35"/>
      <c r="GK730" s="35"/>
      <c r="GL730" s="35"/>
      <c r="GM730" s="35"/>
      <c r="GN730" s="35"/>
      <c r="GO730" s="35"/>
      <c r="GP730" s="35"/>
      <c r="GQ730" s="35"/>
      <c r="GR730" s="35"/>
      <c r="GS730" s="35"/>
      <c r="GT730" s="35"/>
      <c r="GU730" s="35"/>
      <c r="GV730" s="35"/>
      <c r="GW730" s="35"/>
      <c r="GX730" s="35"/>
      <c r="GY730" s="35"/>
      <c r="GZ730" s="35"/>
      <c r="HA730" s="35"/>
      <c r="HB730" s="35"/>
      <c r="HC730" s="35"/>
      <c r="HD730" s="35"/>
      <c r="HE730" s="35"/>
      <c r="HF730" s="35"/>
      <c r="HG730" s="35"/>
      <c r="HH730" s="35"/>
      <c r="HI730" s="35"/>
      <c r="HJ730" s="35"/>
      <c r="HK730" s="35"/>
      <c r="HL730" s="35"/>
      <c r="HM730" s="35"/>
      <c r="HN730" s="35"/>
      <c r="HO730" s="35"/>
      <c r="HP730" s="35"/>
      <c r="HQ730" s="35"/>
      <c r="HR730" s="35"/>
      <c r="HS730" s="35"/>
      <c r="HT730" s="35"/>
      <c r="HU730" s="35"/>
      <c r="HV730" s="35"/>
      <c r="HW730" s="35"/>
      <c r="HX730" s="35"/>
      <c r="HY730" s="35"/>
      <c r="HZ730" s="35"/>
      <c r="IA730" s="35"/>
      <c r="IB730" s="35"/>
      <c r="IC730" s="35"/>
      <c r="ID730" s="35"/>
      <c r="IE730" s="35"/>
      <c r="IF730" s="35"/>
      <c r="IG730" s="35"/>
      <c r="IH730" s="35"/>
      <c r="II730" s="35"/>
      <c r="IJ730" s="35"/>
      <c r="IK730" s="35"/>
      <c r="IL730" s="35"/>
      <c r="IM730" s="35"/>
      <c r="IN730" s="35"/>
      <c r="IO730" s="35"/>
      <c r="IP730" s="35"/>
      <c r="IQ730" s="35"/>
      <c r="IR730" s="35"/>
      <c r="IS730" s="35"/>
      <c r="IT730" s="35"/>
      <c r="IU730" s="35"/>
      <c r="IV730" s="35"/>
      <c r="IW730" s="35"/>
      <c r="IX730" s="35"/>
      <c r="IY730" s="35"/>
      <c r="IZ730" s="35"/>
      <c r="JA730" s="35"/>
      <c r="JB730" s="35"/>
      <c r="JC730" s="35"/>
      <c r="JD730" s="35"/>
      <c r="JE730" s="35"/>
    </row>
    <row r="731">
      <c r="A731" s="42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  <c r="AZ731" s="35"/>
      <c r="BA731" s="35"/>
      <c r="BB731" s="35"/>
      <c r="BC731" s="35"/>
      <c r="BD731" s="35"/>
      <c r="BE731" s="35"/>
      <c r="BF731" s="35"/>
      <c r="BG731" s="35"/>
      <c r="BH731" s="35"/>
      <c r="BI731" s="35"/>
      <c r="BJ731" s="35"/>
      <c r="BK731" s="35"/>
      <c r="BL731" s="35"/>
      <c r="BM731" s="35"/>
      <c r="BN731" s="35"/>
      <c r="BO731" s="35"/>
      <c r="BP731" s="35"/>
      <c r="BQ731" s="35"/>
      <c r="BR731" s="35"/>
      <c r="BS731" s="35"/>
      <c r="BT731" s="35"/>
      <c r="BU731" s="35"/>
      <c r="BV731" s="35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35"/>
      <c r="CO731" s="35"/>
      <c r="CP731" s="35"/>
      <c r="CQ731" s="35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35"/>
      <c r="DJ731" s="35"/>
      <c r="DK731" s="35"/>
      <c r="DL731" s="35"/>
      <c r="DM731" s="35"/>
      <c r="DN731" s="35"/>
      <c r="DO731" s="35"/>
      <c r="DP731" s="35"/>
      <c r="DQ731" s="35"/>
      <c r="DR731" s="35"/>
      <c r="DS731" s="35"/>
      <c r="DT731" s="35"/>
      <c r="DU731" s="35"/>
      <c r="DV731" s="35"/>
      <c r="DW731" s="35"/>
      <c r="DX731" s="35"/>
      <c r="DY731" s="35"/>
      <c r="DZ731" s="35"/>
      <c r="EA731" s="35"/>
      <c r="EB731" s="35"/>
      <c r="EC731" s="35"/>
      <c r="ED731" s="35"/>
      <c r="EE731" s="35"/>
      <c r="EF731" s="35"/>
      <c r="EG731" s="35"/>
      <c r="EH731" s="35"/>
      <c r="EI731" s="35"/>
      <c r="EJ731" s="35"/>
      <c r="EK731" s="35"/>
      <c r="EL731" s="35"/>
      <c r="EM731" s="35"/>
      <c r="EN731" s="35"/>
      <c r="EO731" s="35"/>
      <c r="EP731" s="35"/>
      <c r="EQ731" s="35"/>
      <c r="ER731" s="35"/>
      <c r="ES731" s="35"/>
      <c r="ET731" s="35"/>
      <c r="EU731" s="35"/>
      <c r="EV731" s="35"/>
      <c r="EW731" s="35"/>
      <c r="EX731" s="35"/>
      <c r="EY731" s="35"/>
      <c r="EZ731" s="35"/>
      <c r="FA731" s="35"/>
      <c r="FB731" s="35"/>
      <c r="FC731" s="35"/>
      <c r="FD731" s="35"/>
      <c r="FE731" s="35"/>
      <c r="FF731" s="35"/>
      <c r="FG731" s="35"/>
      <c r="FH731" s="35"/>
      <c r="FI731" s="35"/>
      <c r="FJ731" s="35"/>
      <c r="FK731" s="35"/>
      <c r="FL731" s="35"/>
      <c r="FM731" s="35"/>
      <c r="FN731" s="35"/>
      <c r="FO731" s="35"/>
      <c r="FP731" s="35"/>
      <c r="FQ731" s="35"/>
      <c r="FR731" s="35"/>
      <c r="FS731" s="35"/>
      <c r="FT731" s="35"/>
      <c r="FU731" s="35"/>
      <c r="FV731" s="35"/>
      <c r="FW731" s="35"/>
      <c r="FX731" s="35"/>
      <c r="FY731" s="35"/>
      <c r="FZ731" s="35"/>
      <c r="GA731" s="35"/>
      <c r="GB731" s="35"/>
      <c r="GC731" s="35"/>
      <c r="GD731" s="35"/>
      <c r="GE731" s="35"/>
      <c r="GF731" s="35"/>
      <c r="GG731" s="35"/>
      <c r="GH731" s="35"/>
      <c r="GI731" s="35"/>
      <c r="GJ731" s="35"/>
      <c r="GK731" s="35"/>
      <c r="GL731" s="35"/>
      <c r="GM731" s="35"/>
      <c r="GN731" s="35"/>
      <c r="GO731" s="35"/>
      <c r="GP731" s="35"/>
      <c r="GQ731" s="35"/>
      <c r="GR731" s="35"/>
      <c r="GS731" s="35"/>
      <c r="GT731" s="35"/>
      <c r="GU731" s="35"/>
      <c r="GV731" s="35"/>
      <c r="GW731" s="35"/>
      <c r="GX731" s="35"/>
      <c r="GY731" s="35"/>
      <c r="GZ731" s="35"/>
      <c r="HA731" s="35"/>
      <c r="HB731" s="35"/>
      <c r="HC731" s="35"/>
      <c r="HD731" s="35"/>
      <c r="HE731" s="35"/>
      <c r="HF731" s="35"/>
      <c r="HG731" s="35"/>
      <c r="HH731" s="35"/>
      <c r="HI731" s="35"/>
      <c r="HJ731" s="35"/>
      <c r="HK731" s="35"/>
      <c r="HL731" s="35"/>
      <c r="HM731" s="35"/>
      <c r="HN731" s="35"/>
      <c r="HO731" s="35"/>
      <c r="HP731" s="35"/>
      <c r="HQ731" s="35"/>
      <c r="HR731" s="35"/>
      <c r="HS731" s="35"/>
      <c r="HT731" s="35"/>
      <c r="HU731" s="35"/>
      <c r="HV731" s="35"/>
      <c r="HW731" s="35"/>
      <c r="HX731" s="35"/>
      <c r="HY731" s="35"/>
      <c r="HZ731" s="35"/>
      <c r="IA731" s="35"/>
      <c r="IB731" s="35"/>
      <c r="IC731" s="35"/>
      <c r="ID731" s="35"/>
      <c r="IE731" s="35"/>
      <c r="IF731" s="35"/>
      <c r="IG731" s="35"/>
      <c r="IH731" s="35"/>
      <c r="II731" s="35"/>
      <c r="IJ731" s="35"/>
      <c r="IK731" s="35"/>
      <c r="IL731" s="35"/>
      <c r="IM731" s="35"/>
      <c r="IN731" s="35"/>
      <c r="IO731" s="35"/>
      <c r="IP731" s="35"/>
      <c r="IQ731" s="35"/>
      <c r="IR731" s="35"/>
      <c r="IS731" s="35"/>
      <c r="IT731" s="35"/>
      <c r="IU731" s="35"/>
      <c r="IV731" s="35"/>
      <c r="IW731" s="35"/>
      <c r="IX731" s="35"/>
      <c r="IY731" s="35"/>
      <c r="IZ731" s="35"/>
      <c r="JA731" s="35"/>
      <c r="JB731" s="35"/>
      <c r="JC731" s="35"/>
      <c r="JD731" s="35"/>
      <c r="JE731" s="35"/>
    </row>
    <row r="732">
      <c r="A732" s="42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  <c r="AZ732" s="35"/>
      <c r="BA732" s="35"/>
      <c r="BB732" s="35"/>
      <c r="BC732" s="35"/>
      <c r="BD732" s="35"/>
      <c r="BE732" s="35"/>
      <c r="BF732" s="35"/>
      <c r="BG732" s="35"/>
      <c r="BH732" s="35"/>
      <c r="BI732" s="35"/>
      <c r="BJ732" s="35"/>
      <c r="BK732" s="35"/>
      <c r="BL732" s="35"/>
      <c r="BM732" s="35"/>
      <c r="BN732" s="35"/>
      <c r="BO732" s="35"/>
      <c r="BP732" s="35"/>
      <c r="BQ732" s="35"/>
      <c r="BR732" s="35"/>
      <c r="BS732" s="35"/>
      <c r="BT732" s="35"/>
      <c r="BU732" s="35"/>
      <c r="BV732" s="35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35"/>
      <c r="CO732" s="35"/>
      <c r="CP732" s="35"/>
      <c r="CQ732" s="35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35"/>
      <c r="DJ732" s="35"/>
      <c r="DK732" s="35"/>
      <c r="DL732" s="35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35"/>
      <c r="EE732" s="35"/>
      <c r="EF732" s="35"/>
      <c r="EG732" s="35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  <c r="ER732" s="35"/>
      <c r="ES732" s="35"/>
      <c r="ET732" s="35"/>
      <c r="EU732" s="35"/>
      <c r="EV732" s="35"/>
      <c r="EW732" s="35"/>
      <c r="EX732" s="35"/>
      <c r="EY732" s="35"/>
      <c r="EZ732" s="35"/>
      <c r="FA732" s="35"/>
      <c r="FB732" s="35"/>
      <c r="FC732" s="35"/>
      <c r="FD732" s="35"/>
      <c r="FE732" s="35"/>
      <c r="FF732" s="35"/>
      <c r="FG732" s="35"/>
      <c r="FH732" s="35"/>
      <c r="FI732" s="35"/>
      <c r="FJ732" s="35"/>
      <c r="FK732" s="35"/>
      <c r="FL732" s="35"/>
      <c r="FM732" s="35"/>
      <c r="FN732" s="35"/>
      <c r="FO732" s="35"/>
      <c r="FP732" s="35"/>
      <c r="FQ732" s="35"/>
      <c r="FR732" s="35"/>
      <c r="FS732" s="35"/>
      <c r="FT732" s="35"/>
      <c r="FU732" s="35"/>
      <c r="FV732" s="35"/>
      <c r="FW732" s="35"/>
      <c r="FX732" s="35"/>
      <c r="FY732" s="35"/>
      <c r="FZ732" s="35"/>
      <c r="GA732" s="35"/>
      <c r="GB732" s="35"/>
      <c r="GC732" s="35"/>
      <c r="GD732" s="35"/>
      <c r="GE732" s="35"/>
      <c r="GF732" s="35"/>
      <c r="GG732" s="35"/>
      <c r="GH732" s="35"/>
      <c r="GI732" s="35"/>
      <c r="GJ732" s="35"/>
      <c r="GK732" s="35"/>
      <c r="GL732" s="35"/>
      <c r="GM732" s="35"/>
      <c r="GN732" s="35"/>
      <c r="GO732" s="35"/>
      <c r="GP732" s="35"/>
      <c r="GQ732" s="35"/>
      <c r="GR732" s="35"/>
      <c r="GS732" s="35"/>
      <c r="GT732" s="35"/>
      <c r="GU732" s="35"/>
      <c r="GV732" s="35"/>
      <c r="GW732" s="35"/>
      <c r="GX732" s="35"/>
      <c r="GY732" s="35"/>
      <c r="GZ732" s="35"/>
      <c r="HA732" s="35"/>
      <c r="HB732" s="35"/>
      <c r="HC732" s="35"/>
      <c r="HD732" s="35"/>
      <c r="HE732" s="35"/>
      <c r="HF732" s="35"/>
      <c r="HG732" s="35"/>
      <c r="HH732" s="35"/>
      <c r="HI732" s="35"/>
      <c r="HJ732" s="35"/>
      <c r="HK732" s="35"/>
      <c r="HL732" s="35"/>
      <c r="HM732" s="35"/>
      <c r="HN732" s="35"/>
      <c r="HO732" s="35"/>
      <c r="HP732" s="35"/>
      <c r="HQ732" s="35"/>
      <c r="HR732" s="35"/>
      <c r="HS732" s="35"/>
      <c r="HT732" s="35"/>
      <c r="HU732" s="35"/>
      <c r="HV732" s="35"/>
      <c r="HW732" s="35"/>
      <c r="HX732" s="35"/>
      <c r="HY732" s="35"/>
      <c r="HZ732" s="35"/>
      <c r="IA732" s="35"/>
      <c r="IB732" s="35"/>
      <c r="IC732" s="35"/>
      <c r="ID732" s="35"/>
      <c r="IE732" s="35"/>
      <c r="IF732" s="35"/>
      <c r="IG732" s="35"/>
      <c r="IH732" s="35"/>
      <c r="II732" s="35"/>
      <c r="IJ732" s="35"/>
      <c r="IK732" s="35"/>
      <c r="IL732" s="35"/>
      <c r="IM732" s="35"/>
      <c r="IN732" s="35"/>
      <c r="IO732" s="35"/>
      <c r="IP732" s="35"/>
      <c r="IQ732" s="35"/>
      <c r="IR732" s="35"/>
      <c r="IS732" s="35"/>
      <c r="IT732" s="35"/>
      <c r="IU732" s="35"/>
      <c r="IV732" s="35"/>
      <c r="IW732" s="35"/>
      <c r="IX732" s="35"/>
      <c r="IY732" s="35"/>
      <c r="IZ732" s="35"/>
      <c r="JA732" s="35"/>
      <c r="JB732" s="35"/>
      <c r="JC732" s="35"/>
      <c r="JD732" s="35"/>
      <c r="JE732" s="35"/>
    </row>
    <row r="733">
      <c r="A733" s="42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  <c r="AZ733" s="35"/>
      <c r="BA733" s="35"/>
      <c r="BB733" s="35"/>
      <c r="BC733" s="35"/>
      <c r="BD733" s="35"/>
      <c r="BE733" s="35"/>
      <c r="BF733" s="35"/>
      <c r="BG733" s="35"/>
      <c r="BH733" s="35"/>
      <c r="BI733" s="35"/>
      <c r="BJ733" s="35"/>
      <c r="BK733" s="35"/>
      <c r="BL733" s="35"/>
      <c r="BM733" s="35"/>
      <c r="BN733" s="35"/>
      <c r="BO733" s="35"/>
      <c r="BP733" s="35"/>
      <c r="BQ733" s="35"/>
      <c r="BR733" s="35"/>
      <c r="BS733" s="35"/>
      <c r="BT733" s="35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35"/>
      <c r="CO733" s="35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35"/>
      <c r="DJ733" s="35"/>
      <c r="DK733" s="35"/>
      <c r="DL733" s="35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35"/>
      <c r="EE733" s="35"/>
      <c r="EF733" s="35"/>
      <c r="EG733" s="35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  <c r="ER733" s="35"/>
      <c r="ES733" s="35"/>
      <c r="ET733" s="35"/>
      <c r="EU733" s="35"/>
      <c r="EV733" s="35"/>
      <c r="EW733" s="35"/>
      <c r="EX733" s="35"/>
      <c r="EY733" s="35"/>
      <c r="EZ733" s="35"/>
      <c r="FA733" s="35"/>
      <c r="FB733" s="35"/>
      <c r="FC733" s="35"/>
      <c r="FD733" s="35"/>
      <c r="FE733" s="35"/>
      <c r="FF733" s="35"/>
      <c r="FG733" s="35"/>
      <c r="FH733" s="35"/>
      <c r="FI733" s="35"/>
      <c r="FJ733" s="35"/>
      <c r="FK733" s="35"/>
      <c r="FL733" s="35"/>
      <c r="FM733" s="35"/>
      <c r="FN733" s="35"/>
      <c r="FO733" s="35"/>
      <c r="FP733" s="35"/>
      <c r="FQ733" s="35"/>
      <c r="FR733" s="35"/>
      <c r="FS733" s="35"/>
      <c r="FT733" s="35"/>
      <c r="FU733" s="35"/>
      <c r="FV733" s="35"/>
      <c r="FW733" s="35"/>
      <c r="FX733" s="35"/>
      <c r="FY733" s="35"/>
      <c r="FZ733" s="35"/>
      <c r="GA733" s="35"/>
      <c r="GB733" s="35"/>
      <c r="GC733" s="35"/>
      <c r="GD733" s="35"/>
      <c r="GE733" s="35"/>
      <c r="GF733" s="35"/>
      <c r="GG733" s="35"/>
      <c r="GH733" s="35"/>
      <c r="GI733" s="35"/>
      <c r="GJ733" s="35"/>
      <c r="GK733" s="35"/>
      <c r="GL733" s="35"/>
      <c r="GM733" s="35"/>
      <c r="GN733" s="35"/>
      <c r="GO733" s="35"/>
      <c r="GP733" s="35"/>
      <c r="GQ733" s="35"/>
      <c r="GR733" s="35"/>
      <c r="GS733" s="35"/>
      <c r="GT733" s="35"/>
      <c r="GU733" s="35"/>
      <c r="GV733" s="35"/>
      <c r="GW733" s="35"/>
      <c r="GX733" s="35"/>
      <c r="GY733" s="35"/>
      <c r="GZ733" s="35"/>
      <c r="HA733" s="35"/>
      <c r="HB733" s="35"/>
      <c r="HC733" s="35"/>
      <c r="HD733" s="35"/>
      <c r="HE733" s="35"/>
      <c r="HF733" s="35"/>
      <c r="HG733" s="35"/>
      <c r="HH733" s="35"/>
      <c r="HI733" s="35"/>
      <c r="HJ733" s="35"/>
      <c r="HK733" s="35"/>
      <c r="HL733" s="35"/>
      <c r="HM733" s="35"/>
      <c r="HN733" s="35"/>
      <c r="HO733" s="35"/>
      <c r="HP733" s="35"/>
      <c r="HQ733" s="35"/>
      <c r="HR733" s="35"/>
      <c r="HS733" s="35"/>
      <c r="HT733" s="35"/>
      <c r="HU733" s="35"/>
      <c r="HV733" s="35"/>
      <c r="HW733" s="35"/>
      <c r="HX733" s="35"/>
      <c r="HY733" s="35"/>
      <c r="HZ733" s="35"/>
      <c r="IA733" s="35"/>
      <c r="IB733" s="35"/>
      <c r="IC733" s="35"/>
      <c r="ID733" s="35"/>
      <c r="IE733" s="35"/>
      <c r="IF733" s="35"/>
      <c r="IG733" s="35"/>
      <c r="IH733" s="35"/>
      <c r="II733" s="35"/>
      <c r="IJ733" s="35"/>
      <c r="IK733" s="35"/>
      <c r="IL733" s="35"/>
      <c r="IM733" s="35"/>
      <c r="IN733" s="35"/>
      <c r="IO733" s="35"/>
      <c r="IP733" s="35"/>
      <c r="IQ733" s="35"/>
      <c r="IR733" s="35"/>
      <c r="IS733" s="35"/>
      <c r="IT733" s="35"/>
      <c r="IU733" s="35"/>
      <c r="IV733" s="35"/>
      <c r="IW733" s="35"/>
      <c r="IX733" s="35"/>
      <c r="IY733" s="35"/>
      <c r="IZ733" s="35"/>
      <c r="JA733" s="35"/>
      <c r="JB733" s="35"/>
      <c r="JC733" s="35"/>
      <c r="JD733" s="35"/>
      <c r="JE733" s="35"/>
    </row>
    <row r="734">
      <c r="A734" s="42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  <c r="AZ734" s="35"/>
      <c r="BA734" s="35"/>
      <c r="BB734" s="35"/>
      <c r="BC734" s="35"/>
      <c r="BD734" s="35"/>
      <c r="BE734" s="35"/>
      <c r="BF734" s="35"/>
      <c r="BG734" s="35"/>
      <c r="BH734" s="35"/>
      <c r="BI734" s="35"/>
      <c r="BJ734" s="35"/>
      <c r="BK734" s="35"/>
      <c r="BL734" s="35"/>
      <c r="BM734" s="35"/>
      <c r="BN734" s="35"/>
      <c r="BO734" s="35"/>
      <c r="BP734" s="35"/>
      <c r="BQ734" s="35"/>
      <c r="BR734" s="35"/>
      <c r="BS734" s="35"/>
      <c r="BT734" s="35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35"/>
      <c r="CO734" s="35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35"/>
      <c r="DJ734" s="35"/>
      <c r="DK734" s="35"/>
      <c r="DL734" s="35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35"/>
      <c r="EE734" s="35"/>
      <c r="EF734" s="35"/>
      <c r="EG734" s="35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35"/>
      <c r="EZ734" s="35"/>
      <c r="FA734" s="35"/>
      <c r="FB734" s="35"/>
      <c r="FC734" s="35"/>
      <c r="FD734" s="35"/>
      <c r="FE734" s="35"/>
      <c r="FF734" s="35"/>
      <c r="FG734" s="35"/>
      <c r="FH734" s="35"/>
      <c r="FI734" s="35"/>
      <c r="FJ734" s="35"/>
      <c r="FK734" s="35"/>
      <c r="FL734" s="35"/>
      <c r="FM734" s="35"/>
      <c r="FN734" s="35"/>
      <c r="FO734" s="35"/>
      <c r="FP734" s="35"/>
      <c r="FQ734" s="35"/>
      <c r="FR734" s="35"/>
      <c r="FS734" s="35"/>
      <c r="FT734" s="35"/>
      <c r="FU734" s="35"/>
      <c r="FV734" s="35"/>
      <c r="FW734" s="35"/>
      <c r="FX734" s="35"/>
      <c r="FY734" s="35"/>
      <c r="FZ734" s="35"/>
      <c r="GA734" s="35"/>
      <c r="GB734" s="35"/>
      <c r="GC734" s="35"/>
      <c r="GD734" s="35"/>
      <c r="GE734" s="35"/>
      <c r="GF734" s="35"/>
      <c r="GG734" s="35"/>
      <c r="GH734" s="35"/>
      <c r="GI734" s="35"/>
      <c r="GJ734" s="35"/>
      <c r="GK734" s="35"/>
      <c r="GL734" s="35"/>
      <c r="GM734" s="35"/>
      <c r="GN734" s="35"/>
      <c r="GO734" s="35"/>
      <c r="GP734" s="35"/>
      <c r="GQ734" s="35"/>
      <c r="GR734" s="35"/>
      <c r="GS734" s="35"/>
      <c r="GT734" s="35"/>
      <c r="GU734" s="35"/>
      <c r="GV734" s="35"/>
      <c r="GW734" s="35"/>
      <c r="GX734" s="35"/>
      <c r="GY734" s="35"/>
      <c r="GZ734" s="35"/>
      <c r="HA734" s="35"/>
      <c r="HB734" s="35"/>
      <c r="HC734" s="35"/>
      <c r="HD734" s="35"/>
      <c r="HE734" s="35"/>
      <c r="HF734" s="35"/>
      <c r="HG734" s="35"/>
      <c r="HH734" s="35"/>
      <c r="HI734" s="35"/>
      <c r="HJ734" s="35"/>
      <c r="HK734" s="35"/>
      <c r="HL734" s="35"/>
      <c r="HM734" s="35"/>
      <c r="HN734" s="35"/>
      <c r="HO734" s="35"/>
      <c r="HP734" s="35"/>
      <c r="HQ734" s="35"/>
      <c r="HR734" s="35"/>
      <c r="HS734" s="35"/>
      <c r="HT734" s="35"/>
      <c r="HU734" s="35"/>
      <c r="HV734" s="35"/>
      <c r="HW734" s="35"/>
      <c r="HX734" s="35"/>
      <c r="HY734" s="35"/>
      <c r="HZ734" s="35"/>
      <c r="IA734" s="35"/>
      <c r="IB734" s="35"/>
      <c r="IC734" s="35"/>
      <c r="ID734" s="35"/>
      <c r="IE734" s="35"/>
      <c r="IF734" s="35"/>
      <c r="IG734" s="35"/>
      <c r="IH734" s="35"/>
      <c r="II734" s="35"/>
      <c r="IJ734" s="35"/>
      <c r="IK734" s="35"/>
      <c r="IL734" s="35"/>
      <c r="IM734" s="35"/>
      <c r="IN734" s="35"/>
      <c r="IO734" s="35"/>
      <c r="IP734" s="35"/>
      <c r="IQ734" s="35"/>
      <c r="IR734" s="35"/>
      <c r="IS734" s="35"/>
      <c r="IT734" s="35"/>
      <c r="IU734" s="35"/>
      <c r="IV734" s="35"/>
      <c r="IW734" s="35"/>
      <c r="IX734" s="35"/>
      <c r="IY734" s="35"/>
      <c r="IZ734" s="35"/>
      <c r="JA734" s="35"/>
      <c r="JB734" s="35"/>
      <c r="JC734" s="35"/>
      <c r="JD734" s="35"/>
      <c r="JE734" s="35"/>
    </row>
    <row r="735">
      <c r="A735" s="42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  <c r="AZ735" s="35"/>
      <c r="BA735" s="35"/>
      <c r="BB735" s="35"/>
      <c r="BC735" s="35"/>
      <c r="BD735" s="35"/>
      <c r="BE735" s="35"/>
      <c r="BF735" s="35"/>
      <c r="BG735" s="35"/>
      <c r="BH735" s="35"/>
      <c r="BI735" s="35"/>
      <c r="BJ735" s="35"/>
      <c r="BK735" s="35"/>
      <c r="BL735" s="35"/>
      <c r="BM735" s="35"/>
      <c r="BN735" s="35"/>
      <c r="BO735" s="35"/>
      <c r="BP735" s="35"/>
      <c r="BQ735" s="35"/>
      <c r="BR735" s="35"/>
      <c r="BS735" s="35"/>
      <c r="BT735" s="35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35"/>
      <c r="CO735" s="35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35"/>
      <c r="DJ735" s="35"/>
      <c r="DK735" s="35"/>
      <c r="DL735" s="35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35"/>
      <c r="EE735" s="35"/>
      <c r="EF735" s="35"/>
      <c r="EG735" s="35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  <c r="ER735" s="35"/>
      <c r="ES735" s="35"/>
      <c r="ET735" s="35"/>
      <c r="EU735" s="35"/>
      <c r="EV735" s="35"/>
      <c r="EW735" s="35"/>
      <c r="EX735" s="35"/>
      <c r="EY735" s="35"/>
      <c r="EZ735" s="35"/>
      <c r="FA735" s="35"/>
      <c r="FB735" s="35"/>
      <c r="FC735" s="35"/>
      <c r="FD735" s="35"/>
      <c r="FE735" s="35"/>
      <c r="FF735" s="35"/>
      <c r="FG735" s="35"/>
      <c r="FH735" s="35"/>
      <c r="FI735" s="35"/>
      <c r="FJ735" s="35"/>
      <c r="FK735" s="35"/>
      <c r="FL735" s="35"/>
      <c r="FM735" s="35"/>
      <c r="FN735" s="35"/>
      <c r="FO735" s="35"/>
      <c r="FP735" s="35"/>
      <c r="FQ735" s="35"/>
      <c r="FR735" s="35"/>
      <c r="FS735" s="35"/>
      <c r="FT735" s="35"/>
      <c r="FU735" s="35"/>
      <c r="FV735" s="35"/>
      <c r="FW735" s="35"/>
      <c r="FX735" s="35"/>
      <c r="FY735" s="35"/>
      <c r="FZ735" s="35"/>
      <c r="GA735" s="35"/>
      <c r="GB735" s="35"/>
      <c r="GC735" s="35"/>
      <c r="GD735" s="35"/>
      <c r="GE735" s="35"/>
      <c r="GF735" s="35"/>
      <c r="GG735" s="35"/>
      <c r="GH735" s="35"/>
      <c r="GI735" s="35"/>
      <c r="GJ735" s="35"/>
      <c r="GK735" s="35"/>
      <c r="GL735" s="35"/>
      <c r="GM735" s="35"/>
      <c r="GN735" s="35"/>
      <c r="GO735" s="35"/>
      <c r="GP735" s="35"/>
      <c r="GQ735" s="35"/>
      <c r="GR735" s="35"/>
      <c r="GS735" s="35"/>
      <c r="GT735" s="35"/>
      <c r="GU735" s="35"/>
      <c r="GV735" s="35"/>
      <c r="GW735" s="35"/>
      <c r="GX735" s="35"/>
      <c r="GY735" s="35"/>
      <c r="GZ735" s="35"/>
      <c r="HA735" s="35"/>
      <c r="HB735" s="35"/>
      <c r="HC735" s="35"/>
      <c r="HD735" s="35"/>
      <c r="HE735" s="35"/>
      <c r="HF735" s="35"/>
      <c r="HG735" s="35"/>
      <c r="HH735" s="35"/>
      <c r="HI735" s="35"/>
      <c r="HJ735" s="35"/>
      <c r="HK735" s="35"/>
      <c r="HL735" s="35"/>
      <c r="HM735" s="35"/>
      <c r="HN735" s="35"/>
      <c r="HO735" s="35"/>
      <c r="HP735" s="35"/>
      <c r="HQ735" s="35"/>
      <c r="HR735" s="35"/>
      <c r="HS735" s="35"/>
      <c r="HT735" s="35"/>
      <c r="HU735" s="35"/>
      <c r="HV735" s="35"/>
      <c r="HW735" s="35"/>
      <c r="HX735" s="35"/>
      <c r="HY735" s="35"/>
      <c r="HZ735" s="35"/>
      <c r="IA735" s="35"/>
      <c r="IB735" s="35"/>
      <c r="IC735" s="35"/>
      <c r="ID735" s="35"/>
      <c r="IE735" s="35"/>
      <c r="IF735" s="35"/>
      <c r="IG735" s="35"/>
      <c r="IH735" s="35"/>
      <c r="II735" s="35"/>
      <c r="IJ735" s="35"/>
      <c r="IK735" s="35"/>
      <c r="IL735" s="35"/>
      <c r="IM735" s="35"/>
      <c r="IN735" s="35"/>
      <c r="IO735" s="35"/>
      <c r="IP735" s="35"/>
      <c r="IQ735" s="35"/>
      <c r="IR735" s="35"/>
      <c r="IS735" s="35"/>
      <c r="IT735" s="35"/>
      <c r="IU735" s="35"/>
      <c r="IV735" s="35"/>
      <c r="IW735" s="35"/>
      <c r="IX735" s="35"/>
      <c r="IY735" s="35"/>
      <c r="IZ735" s="35"/>
      <c r="JA735" s="35"/>
      <c r="JB735" s="35"/>
      <c r="JC735" s="35"/>
      <c r="JD735" s="35"/>
      <c r="JE735" s="35"/>
    </row>
    <row r="736">
      <c r="A736" s="42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  <c r="AZ736" s="35"/>
      <c r="BA736" s="35"/>
      <c r="BB736" s="35"/>
      <c r="BC736" s="35"/>
      <c r="BD736" s="35"/>
      <c r="BE736" s="35"/>
      <c r="BF736" s="35"/>
      <c r="BG736" s="35"/>
      <c r="BH736" s="35"/>
      <c r="BI736" s="35"/>
      <c r="BJ736" s="35"/>
      <c r="BK736" s="35"/>
      <c r="BL736" s="35"/>
      <c r="BM736" s="35"/>
      <c r="BN736" s="35"/>
      <c r="BO736" s="35"/>
      <c r="BP736" s="35"/>
      <c r="BQ736" s="35"/>
      <c r="BR736" s="35"/>
      <c r="BS736" s="35"/>
      <c r="BT736" s="35"/>
      <c r="BU736" s="35"/>
      <c r="BV736" s="35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35"/>
      <c r="CO736" s="35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35"/>
      <c r="DJ736" s="35"/>
      <c r="DK736" s="35"/>
      <c r="DL736" s="35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35"/>
      <c r="EE736" s="35"/>
      <c r="EF736" s="35"/>
      <c r="EG736" s="35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  <c r="ER736" s="35"/>
      <c r="ES736" s="35"/>
      <c r="ET736" s="35"/>
      <c r="EU736" s="35"/>
      <c r="EV736" s="35"/>
      <c r="EW736" s="35"/>
      <c r="EX736" s="35"/>
      <c r="EY736" s="35"/>
      <c r="EZ736" s="35"/>
      <c r="FA736" s="35"/>
      <c r="FB736" s="35"/>
      <c r="FC736" s="35"/>
      <c r="FD736" s="35"/>
      <c r="FE736" s="35"/>
      <c r="FF736" s="35"/>
      <c r="FG736" s="35"/>
      <c r="FH736" s="35"/>
      <c r="FI736" s="35"/>
      <c r="FJ736" s="35"/>
      <c r="FK736" s="35"/>
      <c r="FL736" s="35"/>
      <c r="FM736" s="35"/>
      <c r="FN736" s="35"/>
      <c r="FO736" s="35"/>
      <c r="FP736" s="35"/>
      <c r="FQ736" s="35"/>
      <c r="FR736" s="35"/>
      <c r="FS736" s="35"/>
      <c r="FT736" s="35"/>
      <c r="FU736" s="35"/>
      <c r="FV736" s="35"/>
      <c r="FW736" s="35"/>
      <c r="FX736" s="35"/>
      <c r="FY736" s="35"/>
      <c r="FZ736" s="35"/>
      <c r="GA736" s="35"/>
      <c r="GB736" s="35"/>
      <c r="GC736" s="35"/>
      <c r="GD736" s="35"/>
      <c r="GE736" s="35"/>
      <c r="GF736" s="35"/>
      <c r="GG736" s="35"/>
      <c r="GH736" s="35"/>
      <c r="GI736" s="35"/>
      <c r="GJ736" s="35"/>
      <c r="GK736" s="35"/>
      <c r="GL736" s="35"/>
      <c r="GM736" s="35"/>
      <c r="GN736" s="35"/>
      <c r="GO736" s="35"/>
      <c r="GP736" s="35"/>
      <c r="GQ736" s="35"/>
      <c r="GR736" s="35"/>
      <c r="GS736" s="35"/>
      <c r="GT736" s="35"/>
      <c r="GU736" s="35"/>
      <c r="GV736" s="35"/>
      <c r="GW736" s="35"/>
      <c r="GX736" s="35"/>
      <c r="GY736" s="35"/>
      <c r="GZ736" s="35"/>
      <c r="HA736" s="35"/>
      <c r="HB736" s="35"/>
      <c r="HC736" s="35"/>
      <c r="HD736" s="35"/>
      <c r="HE736" s="35"/>
      <c r="HF736" s="35"/>
      <c r="HG736" s="35"/>
      <c r="HH736" s="35"/>
      <c r="HI736" s="35"/>
      <c r="HJ736" s="35"/>
      <c r="HK736" s="35"/>
      <c r="HL736" s="35"/>
      <c r="HM736" s="35"/>
      <c r="HN736" s="35"/>
      <c r="HO736" s="35"/>
      <c r="HP736" s="35"/>
      <c r="HQ736" s="35"/>
      <c r="HR736" s="35"/>
      <c r="HS736" s="35"/>
      <c r="HT736" s="35"/>
      <c r="HU736" s="35"/>
      <c r="HV736" s="35"/>
      <c r="HW736" s="35"/>
      <c r="HX736" s="35"/>
      <c r="HY736" s="35"/>
      <c r="HZ736" s="35"/>
      <c r="IA736" s="35"/>
      <c r="IB736" s="35"/>
      <c r="IC736" s="35"/>
      <c r="ID736" s="35"/>
      <c r="IE736" s="35"/>
      <c r="IF736" s="35"/>
      <c r="IG736" s="35"/>
      <c r="IH736" s="35"/>
      <c r="II736" s="35"/>
      <c r="IJ736" s="35"/>
      <c r="IK736" s="35"/>
      <c r="IL736" s="35"/>
      <c r="IM736" s="35"/>
      <c r="IN736" s="35"/>
      <c r="IO736" s="35"/>
      <c r="IP736" s="35"/>
      <c r="IQ736" s="35"/>
      <c r="IR736" s="35"/>
      <c r="IS736" s="35"/>
      <c r="IT736" s="35"/>
      <c r="IU736" s="35"/>
      <c r="IV736" s="35"/>
      <c r="IW736" s="35"/>
      <c r="IX736" s="35"/>
      <c r="IY736" s="35"/>
      <c r="IZ736" s="35"/>
      <c r="JA736" s="35"/>
      <c r="JB736" s="35"/>
      <c r="JC736" s="35"/>
      <c r="JD736" s="35"/>
      <c r="JE736" s="35"/>
    </row>
    <row r="737">
      <c r="A737" s="42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  <c r="AZ737" s="35"/>
      <c r="BA737" s="35"/>
      <c r="BB737" s="35"/>
      <c r="BC737" s="35"/>
      <c r="BD737" s="35"/>
      <c r="BE737" s="35"/>
      <c r="BF737" s="35"/>
      <c r="BG737" s="35"/>
      <c r="BH737" s="35"/>
      <c r="BI737" s="35"/>
      <c r="BJ737" s="35"/>
      <c r="BK737" s="35"/>
      <c r="BL737" s="35"/>
      <c r="BM737" s="35"/>
      <c r="BN737" s="35"/>
      <c r="BO737" s="35"/>
      <c r="BP737" s="35"/>
      <c r="BQ737" s="35"/>
      <c r="BR737" s="35"/>
      <c r="BS737" s="35"/>
      <c r="BT737" s="35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35"/>
      <c r="CO737" s="35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35"/>
      <c r="DJ737" s="35"/>
      <c r="DK737" s="35"/>
      <c r="DL737" s="35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35"/>
      <c r="EE737" s="35"/>
      <c r="EF737" s="35"/>
      <c r="EG737" s="35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35"/>
      <c r="EZ737" s="35"/>
      <c r="FA737" s="35"/>
      <c r="FB737" s="35"/>
      <c r="FC737" s="35"/>
      <c r="FD737" s="35"/>
      <c r="FE737" s="35"/>
      <c r="FF737" s="35"/>
      <c r="FG737" s="35"/>
      <c r="FH737" s="35"/>
      <c r="FI737" s="35"/>
      <c r="FJ737" s="35"/>
      <c r="FK737" s="35"/>
      <c r="FL737" s="35"/>
      <c r="FM737" s="35"/>
      <c r="FN737" s="35"/>
      <c r="FO737" s="35"/>
      <c r="FP737" s="35"/>
      <c r="FQ737" s="35"/>
      <c r="FR737" s="35"/>
      <c r="FS737" s="35"/>
      <c r="FT737" s="35"/>
      <c r="FU737" s="35"/>
      <c r="FV737" s="35"/>
      <c r="FW737" s="35"/>
      <c r="FX737" s="35"/>
      <c r="FY737" s="35"/>
      <c r="FZ737" s="35"/>
      <c r="GA737" s="35"/>
      <c r="GB737" s="35"/>
      <c r="GC737" s="35"/>
      <c r="GD737" s="35"/>
      <c r="GE737" s="35"/>
      <c r="GF737" s="35"/>
      <c r="GG737" s="35"/>
      <c r="GH737" s="35"/>
      <c r="GI737" s="35"/>
      <c r="GJ737" s="35"/>
      <c r="GK737" s="35"/>
      <c r="GL737" s="35"/>
      <c r="GM737" s="35"/>
      <c r="GN737" s="35"/>
      <c r="GO737" s="35"/>
      <c r="GP737" s="35"/>
      <c r="GQ737" s="35"/>
      <c r="GR737" s="35"/>
      <c r="GS737" s="35"/>
      <c r="GT737" s="35"/>
      <c r="GU737" s="35"/>
      <c r="GV737" s="35"/>
      <c r="GW737" s="35"/>
      <c r="GX737" s="35"/>
      <c r="GY737" s="35"/>
      <c r="GZ737" s="35"/>
      <c r="HA737" s="35"/>
      <c r="HB737" s="35"/>
      <c r="HC737" s="35"/>
      <c r="HD737" s="35"/>
      <c r="HE737" s="35"/>
      <c r="HF737" s="35"/>
      <c r="HG737" s="35"/>
      <c r="HH737" s="35"/>
      <c r="HI737" s="35"/>
      <c r="HJ737" s="35"/>
      <c r="HK737" s="35"/>
      <c r="HL737" s="35"/>
      <c r="HM737" s="35"/>
      <c r="HN737" s="35"/>
      <c r="HO737" s="35"/>
      <c r="HP737" s="35"/>
      <c r="HQ737" s="35"/>
      <c r="HR737" s="35"/>
      <c r="HS737" s="35"/>
      <c r="HT737" s="35"/>
      <c r="HU737" s="35"/>
      <c r="HV737" s="35"/>
      <c r="HW737" s="35"/>
      <c r="HX737" s="35"/>
      <c r="HY737" s="35"/>
      <c r="HZ737" s="35"/>
      <c r="IA737" s="35"/>
      <c r="IB737" s="35"/>
      <c r="IC737" s="35"/>
      <c r="ID737" s="35"/>
      <c r="IE737" s="35"/>
      <c r="IF737" s="35"/>
      <c r="IG737" s="35"/>
      <c r="IH737" s="35"/>
      <c r="II737" s="35"/>
      <c r="IJ737" s="35"/>
      <c r="IK737" s="35"/>
      <c r="IL737" s="35"/>
      <c r="IM737" s="35"/>
      <c r="IN737" s="35"/>
      <c r="IO737" s="35"/>
      <c r="IP737" s="35"/>
      <c r="IQ737" s="35"/>
      <c r="IR737" s="35"/>
      <c r="IS737" s="35"/>
      <c r="IT737" s="35"/>
      <c r="IU737" s="35"/>
      <c r="IV737" s="35"/>
      <c r="IW737" s="35"/>
      <c r="IX737" s="35"/>
      <c r="IY737" s="35"/>
      <c r="IZ737" s="35"/>
      <c r="JA737" s="35"/>
      <c r="JB737" s="35"/>
      <c r="JC737" s="35"/>
      <c r="JD737" s="35"/>
      <c r="JE737" s="35"/>
    </row>
    <row r="738">
      <c r="A738" s="42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  <c r="AZ738" s="35"/>
      <c r="BA738" s="35"/>
      <c r="BB738" s="35"/>
      <c r="BC738" s="35"/>
      <c r="BD738" s="35"/>
      <c r="BE738" s="35"/>
      <c r="BF738" s="35"/>
      <c r="BG738" s="35"/>
      <c r="BH738" s="35"/>
      <c r="BI738" s="35"/>
      <c r="BJ738" s="35"/>
      <c r="BK738" s="35"/>
      <c r="BL738" s="35"/>
      <c r="BM738" s="35"/>
      <c r="BN738" s="35"/>
      <c r="BO738" s="35"/>
      <c r="BP738" s="35"/>
      <c r="BQ738" s="35"/>
      <c r="BR738" s="35"/>
      <c r="BS738" s="35"/>
      <c r="BT738" s="35"/>
      <c r="BU738" s="35"/>
      <c r="BV738" s="35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35"/>
      <c r="CO738" s="35"/>
      <c r="CP738" s="35"/>
      <c r="CQ738" s="35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35"/>
      <c r="DJ738" s="35"/>
      <c r="DK738" s="35"/>
      <c r="DL738" s="35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35"/>
      <c r="EE738" s="35"/>
      <c r="EF738" s="35"/>
      <c r="EG738" s="35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  <c r="ER738" s="35"/>
      <c r="ES738" s="35"/>
      <c r="ET738" s="35"/>
      <c r="EU738" s="35"/>
      <c r="EV738" s="35"/>
      <c r="EW738" s="35"/>
      <c r="EX738" s="35"/>
      <c r="EY738" s="35"/>
      <c r="EZ738" s="35"/>
      <c r="FA738" s="35"/>
      <c r="FB738" s="35"/>
      <c r="FC738" s="35"/>
      <c r="FD738" s="35"/>
      <c r="FE738" s="35"/>
      <c r="FF738" s="35"/>
      <c r="FG738" s="35"/>
      <c r="FH738" s="35"/>
      <c r="FI738" s="35"/>
      <c r="FJ738" s="35"/>
      <c r="FK738" s="35"/>
      <c r="FL738" s="35"/>
      <c r="FM738" s="35"/>
      <c r="FN738" s="35"/>
      <c r="FO738" s="35"/>
      <c r="FP738" s="35"/>
      <c r="FQ738" s="35"/>
      <c r="FR738" s="35"/>
      <c r="FS738" s="35"/>
      <c r="FT738" s="35"/>
      <c r="FU738" s="35"/>
      <c r="FV738" s="35"/>
      <c r="FW738" s="35"/>
      <c r="FX738" s="35"/>
      <c r="FY738" s="35"/>
      <c r="FZ738" s="35"/>
      <c r="GA738" s="35"/>
      <c r="GB738" s="35"/>
      <c r="GC738" s="35"/>
      <c r="GD738" s="35"/>
      <c r="GE738" s="35"/>
      <c r="GF738" s="35"/>
      <c r="GG738" s="35"/>
      <c r="GH738" s="35"/>
      <c r="GI738" s="35"/>
      <c r="GJ738" s="35"/>
      <c r="GK738" s="35"/>
      <c r="GL738" s="35"/>
      <c r="GM738" s="35"/>
      <c r="GN738" s="35"/>
      <c r="GO738" s="35"/>
      <c r="GP738" s="35"/>
      <c r="GQ738" s="35"/>
      <c r="GR738" s="35"/>
      <c r="GS738" s="35"/>
      <c r="GT738" s="35"/>
      <c r="GU738" s="35"/>
      <c r="GV738" s="35"/>
      <c r="GW738" s="35"/>
      <c r="GX738" s="35"/>
      <c r="GY738" s="35"/>
      <c r="GZ738" s="35"/>
      <c r="HA738" s="35"/>
      <c r="HB738" s="35"/>
      <c r="HC738" s="35"/>
      <c r="HD738" s="35"/>
      <c r="HE738" s="35"/>
      <c r="HF738" s="35"/>
      <c r="HG738" s="35"/>
      <c r="HH738" s="35"/>
      <c r="HI738" s="35"/>
      <c r="HJ738" s="35"/>
      <c r="HK738" s="35"/>
      <c r="HL738" s="35"/>
      <c r="HM738" s="35"/>
      <c r="HN738" s="35"/>
      <c r="HO738" s="35"/>
      <c r="HP738" s="35"/>
      <c r="HQ738" s="35"/>
      <c r="HR738" s="35"/>
      <c r="HS738" s="35"/>
      <c r="HT738" s="35"/>
      <c r="HU738" s="35"/>
      <c r="HV738" s="35"/>
      <c r="HW738" s="35"/>
      <c r="HX738" s="35"/>
      <c r="HY738" s="35"/>
      <c r="HZ738" s="35"/>
      <c r="IA738" s="35"/>
      <c r="IB738" s="35"/>
      <c r="IC738" s="35"/>
      <c r="ID738" s="35"/>
      <c r="IE738" s="35"/>
      <c r="IF738" s="35"/>
      <c r="IG738" s="35"/>
      <c r="IH738" s="35"/>
      <c r="II738" s="35"/>
      <c r="IJ738" s="35"/>
      <c r="IK738" s="35"/>
      <c r="IL738" s="35"/>
      <c r="IM738" s="35"/>
      <c r="IN738" s="35"/>
      <c r="IO738" s="35"/>
      <c r="IP738" s="35"/>
      <c r="IQ738" s="35"/>
      <c r="IR738" s="35"/>
      <c r="IS738" s="35"/>
      <c r="IT738" s="35"/>
      <c r="IU738" s="35"/>
      <c r="IV738" s="35"/>
      <c r="IW738" s="35"/>
      <c r="IX738" s="35"/>
      <c r="IY738" s="35"/>
      <c r="IZ738" s="35"/>
      <c r="JA738" s="35"/>
      <c r="JB738" s="35"/>
      <c r="JC738" s="35"/>
      <c r="JD738" s="35"/>
      <c r="JE738" s="35"/>
    </row>
    <row r="739">
      <c r="A739" s="42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  <c r="AZ739" s="35"/>
      <c r="BA739" s="35"/>
      <c r="BB739" s="35"/>
      <c r="BC739" s="35"/>
      <c r="BD739" s="35"/>
      <c r="BE739" s="35"/>
      <c r="BF739" s="35"/>
      <c r="BG739" s="35"/>
      <c r="BH739" s="35"/>
      <c r="BI739" s="35"/>
      <c r="BJ739" s="35"/>
      <c r="BK739" s="35"/>
      <c r="BL739" s="35"/>
      <c r="BM739" s="35"/>
      <c r="BN739" s="35"/>
      <c r="BO739" s="35"/>
      <c r="BP739" s="35"/>
      <c r="BQ739" s="35"/>
      <c r="BR739" s="35"/>
      <c r="BS739" s="35"/>
      <c r="BT739" s="35"/>
      <c r="BU739" s="35"/>
      <c r="BV739" s="35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35"/>
      <c r="CO739" s="35"/>
      <c r="CP739" s="35"/>
      <c r="CQ739" s="35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35"/>
      <c r="DJ739" s="35"/>
      <c r="DK739" s="35"/>
      <c r="DL739" s="35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35"/>
      <c r="EE739" s="35"/>
      <c r="EF739" s="35"/>
      <c r="EG739" s="35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  <c r="ER739" s="35"/>
      <c r="ES739" s="35"/>
      <c r="ET739" s="35"/>
      <c r="EU739" s="35"/>
      <c r="EV739" s="35"/>
      <c r="EW739" s="35"/>
      <c r="EX739" s="35"/>
      <c r="EY739" s="35"/>
      <c r="EZ739" s="35"/>
      <c r="FA739" s="35"/>
      <c r="FB739" s="35"/>
      <c r="FC739" s="35"/>
      <c r="FD739" s="35"/>
      <c r="FE739" s="35"/>
      <c r="FF739" s="35"/>
      <c r="FG739" s="35"/>
      <c r="FH739" s="35"/>
      <c r="FI739" s="35"/>
      <c r="FJ739" s="35"/>
      <c r="FK739" s="35"/>
      <c r="FL739" s="35"/>
      <c r="FM739" s="35"/>
      <c r="FN739" s="35"/>
      <c r="FO739" s="35"/>
      <c r="FP739" s="35"/>
      <c r="FQ739" s="35"/>
      <c r="FR739" s="35"/>
      <c r="FS739" s="35"/>
      <c r="FT739" s="35"/>
      <c r="FU739" s="35"/>
      <c r="FV739" s="35"/>
      <c r="FW739" s="35"/>
      <c r="FX739" s="35"/>
      <c r="FY739" s="35"/>
      <c r="FZ739" s="35"/>
      <c r="GA739" s="35"/>
      <c r="GB739" s="35"/>
      <c r="GC739" s="35"/>
      <c r="GD739" s="35"/>
      <c r="GE739" s="35"/>
      <c r="GF739" s="35"/>
      <c r="GG739" s="35"/>
      <c r="GH739" s="35"/>
      <c r="GI739" s="35"/>
      <c r="GJ739" s="35"/>
      <c r="GK739" s="35"/>
      <c r="GL739" s="35"/>
      <c r="GM739" s="35"/>
      <c r="GN739" s="35"/>
      <c r="GO739" s="35"/>
      <c r="GP739" s="35"/>
      <c r="GQ739" s="35"/>
      <c r="GR739" s="35"/>
      <c r="GS739" s="35"/>
      <c r="GT739" s="35"/>
      <c r="GU739" s="35"/>
      <c r="GV739" s="35"/>
      <c r="GW739" s="35"/>
      <c r="GX739" s="35"/>
      <c r="GY739" s="35"/>
      <c r="GZ739" s="35"/>
      <c r="HA739" s="35"/>
      <c r="HB739" s="35"/>
      <c r="HC739" s="35"/>
      <c r="HD739" s="35"/>
      <c r="HE739" s="35"/>
      <c r="HF739" s="35"/>
      <c r="HG739" s="35"/>
      <c r="HH739" s="35"/>
      <c r="HI739" s="35"/>
      <c r="HJ739" s="35"/>
      <c r="HK739" s="35"/>
      <c r="HL739" s="35"/>
      <c r="HM739" s="35"/>
      <c r="HN739" s="35"/>
      <c r="HO739" s="35"/>
      <c r="HP739" s="35"/>
      <c r="HQ739" s="35"/>
      <c r="HR739" s="35"/>
      <c r="HS739" s="35"/>
      <c r="HT739" s="35"/>
      <c r="HU739" s="35"/>
      <c r="HV739" s="35"/>
      <c r="HW739" s="35"/>
      <c r="HX739" s="35"/>
      <c r="HY739" s="35"/>
      <c r="HZ739" s="35"/>
      <c r="IA739" s="35"/>
      <c r="IB739" s="35"/>
      <c r="IC739" s="35"/>
      <c r="ID739" s="35"/>
      <c r="IE739" s="35"/>
      <c r="IF739" s="35"/>
      <c r="IG739" s="35"/>
      <c r="IH739" s="35"/>
      <c r="II739" s="35"/>
      <c r="IJ739" s="35"/>
      <c r="IK739" s="35"/>
      <c r="IL739" s="35"/>
      <c r="IM739" s="35"/>
      <c r="IN739" s="35"/>
      <c r="IO739" s="35"/>
      <c r="IP739" s="35"/>
      <c r="IQ739" s="35"/>
      <c r="IR739" s="35"/>
      <c r="IS739" s="35"/>
      <c r="IT739" s="35"/>
      <c r="IU739" s="35"/>
      <c r="IV739" s="35"/>
      <c r="IW739" s="35"/>
      <c r="IX739" s="35"/>
      <c r="IY739" s="35"/>
      <c r="IZ739" s="35"/>
      <c r="JA739" s="35"/>
      <c r="JB739" s="35"/>
      <c r="JC739" s="35"/>
      <c r="JD739" s="35"/>
      <c r="JE739" s="35"/>
    </row>
    <row r="740">
      <c r="A740" s="42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  <c r="BC740" s="35"/>
      <c r="BD740" s="35"/>
      <c r="BE740" s="35"/>
      <c r="BF740" s="35"/>
      <c r="BG740" s="35"/>
      <c r="BH740" s="35"/>
      <c r="BI740" s="35"/>
      <c r="BJ740" s="35"/>
      <c r="BK740" s="35"/>
      <c r="BL740" s="35"/>
      <c r="BM740" s="35"/>
      <c r="BN740" s="35"/>
      <c r="BO740" s="35"/>
      <c r="BP740" s="35"/>
      <c r="BQ740" s="35"/>
      <c r="BR740" s="35"/>
      <c r="BS740" s="35"/>
      <c r="BT740" s="35"/>
      <c r="BU740" s="35"/>
      <c r="BV740" s="35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35"/>
      <c r="CO740" s="35"/>
      <c r="CP740" s="35"/>
      <c r="CQ740" s="35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35"/>
      <c r="DJ740" s="35"/>
      <c r="DK740" s="35"/>
      <c r="DL740" s="35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35"/>
      <c r="EE740" s="35"/>
      <c r="EF740" s="35"/>
      <c r="EG740" s="35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35"/>
      <c r="EZ740" s="35"/>
      <c r="FA740" s="35"/>
      <c r="FB740" s="35"/>
      <c r="FC740" s="35"/>
      <c r="FD740" s="35"/>
      <c r="FE740" s="35"/>
      <c r="FF740" s="35"/>
      <c r="FG740" s="35"/>
      <c r="FH740" s="35"/>
      <c r="FI740" s="35"/>
      <c r="FJ740" s="35"/>
      <c r="FK740" s="35"/>
      <c r="FL740" s="35"/>
      <c r="FM740" s="35"/>
      <c r="FN740" s="35"/>
      <c r="FO740" s="35"/>
      <c r="FP740" s="35"/>
      <c r="FQ740" s="35"/>
      <c r="FR740" s="35"/>
      <c r="FS740" s="35"/>
      <c r="FT740" s="35"/>
      <c r="FU740" s="35"/>
      <c r="FV740" s="35"/>
      <c r="FW740" s="35"/>
      <c r="FX740" s="35"/>
      <c r="FY740" s="35"/>
      <c r="FZ740" s="35"/>
      <c r="GA740" s="35"/>
      <c r="GB740" s="35"/>
      <c r="GC740" s="35"/>
      <c r="GD740" s="35"/>
      <c r="GE740" s="35"/>
      <c r="GF740" s="35"/>
      <c r="GG740" s="35"/>
      <c r="GH740" s="35"/>
      <c r="GI740" s="35"/>
      <c r="GJ740" s="35"/>
      <c r="GK740" s="35"/>
      <c r="GL740" s="35"/>
      <c r="GM740" s="35"/>
      <c r="GN740" s="35"/>
      <c r="GO740" s="35"/>
      <c r="GP740" s="35"/>
      <c r="GQ740" s="35"/>
      <c r="GR740" s="35"/>
      <c r="GS740" s="35"/>
      <c r="GT740" s="35"/>
      <c r="GU740" s="35"/>
      <c r="GV740" s="35"/>
      <c r="GW740" s="35"/>
      <c r="GX740" s="35"/>
      <c r="GY740" s="35"/>
      <c r="GZ740" s="35"/>
      <c r="HA740" s="35"/>
      <c r="HB740" s="35"/>
      <c r="HC740" s="35"/>
      <c r="HD740" s="35"/>
      <c r="HE740" s="35"/>
      <c r="HF740" s="35"/>
      <c r="HG740" s="35"/>
      <c r="HH740" s="35"/>
      <c r="HI740" s="35"/>
      <c r="HJ740" s="35"/>
      <c r="HK740" s="35"/>
      <c r="HL740" s="35"/>
      <c r="HM740" s="35"/>
      <c r="HN740" s="35"/>
      <c r="HO740" s="35"/>
      <c r="HP740" s="35"/>
      <c r="HQ740" s="35"/>
      <c r="HR740" s="35"/>
      <c r="HS740" s="35"/>
      <c r="HT740" s="35"/>
      <c r="HU740" s="35"/>
      <c r="HV740" s="35"/>
      <c r="HW740" s="35"/>
      <c r="HX740" s="35"/>
      <c r="HY740" s="35"/>
      <c r="HZ740" s="35"/>
      <c r="IA740" s="35"/>
      <c r="IB740" s="35"/>
      <c r="IC740" s="35"/>
      <c r="ID740" s="35"/>
      <c r="IE740" s="35"/>
      <c r="IF740" s="35"/>
      <c r="IG740" s="35"/>
      <c r="IH740" s="35"/>
      <c r="II740" s="35"/>
      <c r="IJ740" s="35"/>
      <c r="IK740" s="35"/>
      <c r="IL740" s="35"/>
      <c r="IM740" s="35"/>
      <c r="IN740" s="35"/>
      <c r="IO740" s="35"/>
      <c r="IP740" s="35"/>
      <c r="IQ740" s="35"/>
      <c r="IR740" s="35"/>
      <c r="IS740" s="35"/>
      <c r="IT740" s="35"/>
      <c r="IU740" s="35"/>
      <c r="IV740" s="35"/>
      <c r="IW740" s="35"/>
      <c r="IX740" s="35"/>
      <c r="IY740" s="35"/>
      <c r="IZ740" s="35"/>
      <c r="JA740" s="35"/>
      <c r="JB740" s="35"/>
      <c r="JC740" s="35"/>
      <c r="JD740" s="35"/>
      <c r="JE740" s="35"/>
    </row>
    <row r="741">
      <c r="A741" s="42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  <c r="AZ741" s="35"/>
      <c r="BA741" s="35"/>
      <c r="BB741" s="35"/>
      <c r="BC741" s="35"/>
      <c r="BD741" s="35"/>
      <c r="BE741" s="35"/>
      <c r="BF741" s="35"/>
      <c r="BG741" s="35"/>
      <c r="BH741" s="35"/>
      <c r="BI741" s="35"/>
      <c r="BJ741" s="35"/>
      <c r="BK741" s="35"/>
      <c r="BL741" s="35"/>
      <c r="BM741" s="35"/>
      <c r="BN741" s="35"/>
      <c r="BO741" s="35"/>
      <c r="BP741" s="35"/>
      <c r="BQ741" s="35"/>
      <c r="BR741" s="35"/>
      <c r="BS741" s="35"/>
      <c r="BT741" s="35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35"/>
      <c r="CO741" s="35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35"/>
      <c r="DJ741" s="35"/>
      <c r="DK741" s="35"/>
      <c r="DL741" s="35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35"/>
      <c r="EE741" s="35"/>
      <c r="EF741" s="35"/>
      <c r="EG741" s="35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  <c r="ER741" s="35"/>
      <c r="ES741" s="35"/>
      <c r="ET741" s="35"/>
      <c r="EU741" s="35"/>
      <c r="EV741" s="35"/>
      <c r="EW741" s="35"/>
      <c r="EX741" s="35"/>
      <c r="EY741" s="35"/>
      <c r="EZ741" s="35"/>
      <c r="FA741" s="35"/>
      <c r="FB741" s="35"/>
      <c r="FC741" s="35"/>
      <c r="FD741" s="35"/>
      <c r="FE741" s="35"/>
      <c r="FF741" s="35"/>
      <c r="FG741" s="35"/>
      <c r="FH741" s="35"/>
      <c r="FI741" s="35"/>
      <c r="FJ741" s="35"/>
      <c r="FK741" s="35"/>
      <c r="FL741" s="35"/>
      <c r="FM741" s="35"/>
      <c r="FN741" s="35"/>
      <c r="FO741" s="35"/>
      <c r="FP741" s="35"/>
      <c r="FQ741" s="35"/>
      <c r="FR741" s="35"/>
      <c r="FS741" s="35"/>
      <c r="FT741" s="35"/>
      <c r="FU741" s="35"/>
      <c r="FV741" s="35"/>
      <c r="FW741" s="35"/>
      <c r="FX741" s="35"/>
      <c r="FY741" s="35"/>
      <c r="FZ741" s="35"/>
      <c r="GA741" s="35"/>
      <c r="GB741" s="35"/>
      <c r="GC741" s="35"/>
      <c r="GD741" s="35"/>
      <c r="GE741" s="35"/>
      <c r="GF741" s="35"/>
      <c r="GG741" s="35"/>
      <c r="GH741" s="35"/>
      <c r="GI741" s="35"/>
      <c r="GJ741" s="35"/>
      <c r="GK741" s="35"/>
      <c r="GL741" s="35"/>
      <c r="GM741" s="35"/>
      <c r="GN741" s="35"/>
      <c r="GO741" s="35"/>
      <c r="GP741" s="35"/>
      <c r="GQ741" s="35"/>
      <c r="GR741" s="35"/>
      <c r="GS741" s="35"/>
      <c r="GT741" s="35"/>
      <c r="GU741" s="35"/>
      <c r="GV741" s="35"/>
      <c r="GW741" s="35"/>
      <c r="GX741" s="35"/>
      <c r="GY741" s="35"/>
      <c r="GZ741" s="35"/>
      <c r="HA741" s="35"/>
      <c r="HB741" s="35"/>
      <c r="HC741" s="35"/>
      <c r="HD741" s="35"/>
      <c r="HE741" s="35"/>
      <c r="HF741" s="35"/>
      <c r="HG741" s="35"/>
      <c r="HH741" s="35"/>
      <c r="HI741" s="35"/>
      <c r="HJ741" s="35"/>
      <c r="HK741" s="35"/>
      <c r="HL741" s="35"/>
      <c r="HM741" s="35"/>
      <c r="HN741" s="35"/>
      <c r="HO741" s="35"/>
      <c r="HP741" s="35"/>
      <c r="HQ741" s="35"/>
      <c r="HR741" s="35"/>
      <c r="HS741" s="35"/>
      <c r="HT741" s="35"/>
      <c r="HU741" s="35"/>
      <c r="HV741" s="35"/>
      <c r="HW741" s="35"/>
      <c r="HX741" s="35"/>
      <c r="HY741" s="35"/>
      <c r="HZ741" s="35"/>
      <c r="IA741" s="35"/>
      <c r="IB741" s="35"/>
      <c r="IC741" s="35"/>
      <c r="ID741" s="35"/>
      <c r="IE741" s="35"/>
      <c r="IF741" s="35"/>
      <c r="IG741" s="35"/>
      <c r="IH741" s="35"/>
      <c r="II741" s="35"/>
      <c r="IJ741" s="35"/>
      <c r="IK741" s="35"/>
      <c r="IL741" s="35"/>
      <c r="IM741" s="35"/>
      <c r="IN741" s="35"/>
      <c r="IO741" s="35"/>
      <c r="IP741" s="35"/>
      <c r="IQ741" s="35"/>
      <c r="IR741" s="35"/>
      <c r="IS741" s="35"/>
      <c r="IT741" s="35"/>
      <c r="IU741" s="35"/>
      <c r="IV741" s="35"/>
      <c r="IW741" s="35"/>
      <c r="IX741" s="35"/>
      <c r="IY741" s="35"/>
      <c r="IZ741" s="35"/>
      <c r="JA741" s="35"/>
      <c r="JB741" s="35"/>
      <c r="JC741" s="35"/>
      <c r="JD741" s="35"/>
      <c r="JE741" s="35"/>
    </row>
    <row r="742">
      <c r="A742" s="42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  <c r="AZ742" s="35"/>
      <c r="BA742" s="35"/>
      <c r="BB742" s="35"/>
      <c r="BC742" s="35"/>
      <c r="BD742" s="35"/>
      <c r="BE742" s="35"/>
      <c r="BF742" s="35"/>
      <c r="BG742" s="35"/>
      <c r="BH742" s="35"/>
      <c r="BI742" s="35"/>
      <c r="BJ742" s="35"/>
      <c r="BK742" s="35"/>
      <c r="BL742" s="35"/>
      <c r="BM742" s="35"/>
      <c r="BN742" s="35"/>
      <c r="BO742" s="35"/>
      <c r="BP742" s="35"/>
      <c r="BQ742" s="35"/>
      <c r="BR742" s="35"/>
      <c r="BS742" s="35"/>
      <c r="BT742" s="35"/>
      <c r="BU742" s="35"/>
      <c r="BV742" s="35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35"/>
      <c r="CO742" s="35"/>
      <c r="CP742" s="35"/>
      <c r="CQ742" s="35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35"/>
      <c r="DJ742" s="35"/>
      <c r="DK742" s="35"/>
      <c r="DL742" s="35"/>
      <c r="DM742" s="35"/>
      <c r="DN742" s="35"/>
      <c r="DO742" s="35"/>
      <c r="DP742" s="35"/>
      <c r="DQ742" s="35"/>
      <c r="DR742" s="35"/>
      <c r="DS742" s="35"/>
      <c r="DT742" s="35"/>
      <c r="DU742" s="35"/>
      <c r="DV742" s="35"/>
      <c r="DW742" s="35"/>
      <c r="DX742" s="35"/>
      <c r="DY742" s="35"/>
      <c r="DZ742" s="35"/>
      <c r="EA742" s="35"/>
      <c r="EB742" s="35"/>
      <c r="EC742" s="35"/>
      <c r="ED742" s="35"/>
      <c r="EE742" s="35"/>
      <c r="EF742" s="35"/>
      <c r="EG742" s="35"/>
      <c r="EH742" s="35"/>
      <c r="EI742" s="35"/>
      <c r="EJ742" s="35"/>
      <c r="EK742" s="35"/>
      <c r="EL742" s="35"/>
      <c r="EM742" s="35"/>
      <c r="EN742" s="35"/>
      <c r="EO742" s="35"/>
      <c r="EP742" s="35"/>
      <c r="EQ742" s="35"/>
      <c r="ER742" s="35"/>
      <c r="ES742" s="35"/>
      <c r="ET742" s="35"/>
      <c r="EU742" s="35"/>
      <c r="EV742" s="35"/>
      <c r="EW742" s="35"/>
      <c r="EX742" s="35"/>
      <c r="EY742" s="35"/>
      <c r="EZ742" s="35"/>
      <c r="FA742" s="35"/>
      <c r="FB742" s="35"/>
      <c r="FC742" s="35"/>
      <c r="FD742" s="35"/>
      <c r="FE742" s="35"/>
      <c r="FF742" s="35"/>
      <c r="FG742" s="35"/>
      <c r="FH742" s="35"/>
      <c r="FI742" s="35"/>
      <c r="FJ742" s="35"/>
      <c r="FK742" s="35"/>
      <c r="FL742" s="35"/>
      <c r="FM742" s="35"/>
      <c r="FN742" s="35"/>
      <c r="FO742" s="35"/>
      <c r="FP742" s="35"/>
      <c r="FQ742" s="35"/>
      <c r="FR742" s="35"/>
      <c r="FS742" s="35"/>
      <c r="FT742" s="35"/>
      <c r="FU742" s="35"/>
      <c r="FV742" s="35"/>
      <c r="FW742" s="35"/>
      <c r="FX742" s="35"/>
      <c r="FY742" s="35"/>
      <c r="FZ742" s="35"/>
      <c r="GA742" s="35"/>
      <c r="GB742" s="35"/>
      <c r="GC742" s="35"/>
      <c r="GD742" s="35"/>
      <c r="GE742" s="35"/>
      <c r="GF742" s="35"/>
      <c r="GG742" s="35"/>
      <c r="GH742" s="35"/>
      <c r="GI742" s="35"/>
      <c r="GJ742" s="35"/>
      <c r="GK742" s="35"/>
      <c r="GL742" s="35"/>
      <c r="GM742" s="35"/>
      <c r="GN742" s="35"/>
      <c r="GO742" s="35"/>
      <c r="GP742" s="35"/>
      <c r="GQ742" s="35"/>
      <c r="GR742" s="35"/>
      <c r="GS742" s="35"/>
      <c r="GT742" s="35"/>
      <c r="GU742" s="35"/>
      <c r="GV742" s="35"/>
      <c r="GW742" s="35"/>
      <c r="GX742" s="35"/>
      <c r="GY742" s="35"/>
      <c r="GZ742" s="35"/>
      <c r="HA742" s="35"/>
      <c r="HB742" s="35"/>
      <c r="HC742" s="35"/>
      <c r="HD742" s="35"/>
      <c r="HE742" s="35"/>
      <c r="HF742" s="35"/>
      <c r="HG742" s="35"/>
      <c r="HH742" s="35"/>
      <c r="HI742" s="35"/>
      <c r="HJ742" s="35"/>
      <c r="HK742" s="35"/>
      <c r="HL742" s="35"/>
      <c r="HM742" s="35"/>
      <c r="HN742" s="35"/>
      <c r="HO742" s="35"/>
      <c r="HP742" s="35"/>
      <c r="HQ742" s="35"/>
      <c r="HR742" s="35"/>
      <c r="HS742" s="35"/>
      <c r="HT742" s="35"/>
      <c r="HU742" s="35"/>
      <c r="HV742" s="35"/>
      <c r="HW742" s="35"/>
      <c r="HX742" s="35"/>
      <c r="HY742" s="35"/>
      <c r="HZ742" s="35"/>
      <c r="IA742" s="35"/>
      <c r="IB742" s="35"/>
      <c r="IC742" s="35"/>
      <c r="ID742" s="35"/>
      <c r="IE742" s="35"/>
      <c r="IF742" s="35"/>
      <c r="IG742" s="35"/>
      <c r="IH742" s="35"/>
      <c r="II742" s="35"/>
      <c r="IJ742" s="35"/>
      <c r="IK742" s="35"/>
      <c r="IL742" s="35"/>
      <c r="IM742" s="35"/>
      <c r="IN742" s="35"/>
      <c r="IO742" s="35"/>
      <c r="IP742" s="35"/>
      <c r="IQ742" s="35"/>
      <c r="IR742" s="35"/>
      <c r="IS742" s="35"/>
      <c r="IT742" s="35"/>
      <c r="IU742" s="35"/>
      <c r="IV742" s="35"/>
      <c r="IW742" s="35"/>
      <c r="IX742" s="35"/>
      <c r="IY742" s="35"/>
      <c r="IZ742" s="35"/>
      <c r="JA742" s="35"/>
      <c r="JB742" s="35"/>
      <c r="JC742" s="35"/>
      <c r="JD742" s="35"/>
      <c r="JE742" s="35"/>
    </row>
    <row r="743">
      <c r="A743" s="42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  <c r="AZ743" s="35"/>
      <c r="BA743" s="35"/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/>
      <c r="BP743" s="35"/>
      <c r="BQ743" s="35"/>
      <c r="BR743" s="35"/>
      <c r="BS743" s="35"/>
      <c r="BT743" s="35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35"/>
      <c r="CO743" s="35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35"/>
      <c r="DJ743" s="35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35"/>
      <c r="EE743" s="35"/>
      <c r="EF743" s="35"/>
      <c r="EG743" s="35"/>
      <c r="EH743" s="35"/>
      <c r="EI743" s="35"/>
      <c r="EJ743" s="35"/>
      <c r="EK743" s="35"/>
      <c r="EL743" s="35"/>
      <c r="EM743" s="35"/>
      <c r="EN743" s="35"/>
      <c r="EO743" s="35"/>
      <c r="EP743" s="35"/>
      <c r="EQ743" s="35"/>
      <c r="ER743" s="35"/>
      <c r="ES743" s="35"/>
      <c r="ET743" s="35"/>
      <c r="EU743" s="35"/>
      <c r="EV743" s="35"/>
      <c r="EW743" s="35"/>
      <c r="EX743" s="35"/>
      <c r="EY743" s="35"/>
      <c r="EZ743" s="35"/>
      <c r="FA743" s="35"/>
      <c r="FB743" s="35"/>
      <c r="FC743" s="35"/>
      <c r="FD743" s="35"/>
      <c r="FE743" s="35"/>
      <c r="FF743" s="35"/>
      <c r="FG743" s="35"/>
      <c r="FH743" s="35"/>
      <c r="FI743" s="35"/>
      <c r="FJ743" s="35"/>
      <c r="FK743" s="35"/>
      <c r="FL743" s="35"/>
      <c r="FM743" s="35"/>
      <c r="FN743" s="35"/>
      <c r="FO743" s="35"/>
      <c r="FP743" s="35"/>
      <c r="FQ743" s="35"/>
      <c r="FR743" s="35"/>
      <c r="FS743" s="35"/>
      <c r="FT743" s="35"/>
      <c r="FU743" s="35"/>
      <c r="FV743" s="35"/>
      <c r="FW743" s="35"/>
      <c r="FX743" s="35"/>
      <c r="FY743" s="35"/>
      <c r="FZ743" s="35"/>
      <c r="GA743" s="35"/>
      <c r="GB743" s="35"/>
      <c r="GC743" s="35"/>
      <c r="GD743" s="35"/>
      <c r="GE743" s="35"/>
      <c r="GF743" s="35"/>
      <c r="GG743" s="35"/>
      <c r="GH743" s="35"/>
      <c r="GI743" s="35"/>
      <c r="GJ743" s="35"/>
      <c r="GK743" s="35"/>
      <c r="GL743" s="35"/>
      <c r="GM743" s="35"/>
      <c r="GN743" s="35"/>
      <c r="GO743" s="35"/>
      <c r="GP743" s="35"/>
      <c r="GQ743" s="35"/>
      <c r="GR743" s="35"/>
      <c r="GS743" s="35"/>
      <c r="GT743" s="35"/>
      <c r="GU743" s="35"/>
      <c r="GV743" s="35"/>
      <c r="GW743" s="35"/>
      <c r="GX743" s="35"/>
      <c r="GY743" s="35"/>
      <c r="GZ743" s="35"/>
      <c r="HA743" s="35"/>
      <c r="HB743" s="35"/>
      <c r="HC743" s="35"/>
      <c r="HD743" s="35"/>
      <c r="HE743" s="35"/>
      <c r="HF743" s="35"/>
      <c r="HG743" s="35"/>
      <c r="HH743" s="35"/>
      <c r="HI743" s="35"/>
      <c r="HJ743" s="35"/>
      <c r="HK743" s="35"/>
      <c r="HL743" s="35"/>
      <c r="HM743" s="35"/>
      <c r="HN743" s="35"/>
      <c r="HO743" s="35"/>
      <c r="HP743" s="35"/>
      <c r="HQ743" s="35"/>
      <c r="HR743" s="35"/>
      <c r="HS743" s="35"/>
      <c r="HT743" s="35"/>
      <c r="HU743" s="35"/>
      <c r="HV743" s="35"/>
      <c r="HW743" s="35"/>
      <c r="HX743" s="35"/>
      <c r="HY743" s="35"/>
      <c r="HZ743" s="35"/>
      <c r="IA743" s="35"/>
      <c r="IB743" s="35"/>
      <c r="IC743" s="35"/>
      <c r="ID743" s="35"/>
      <c r="IE743" s="35"/>
      <c r="IF743" s="35"/>
      <c r="IG743" s="35"/>
      <c r="IH743" s="35"/>
      <c r="II743" s="35"/>
      <c r="IJ743" s="35"/>
      <c r="IK743" s="35"/>
      <c r="IL743" s="35"/>
      <c r="IM743" s="35"/>
      <c r="IN743" s="35"/>
      <c r="IO743" s="35"/>
      <c r="IP743" s="35"/>
      <c r="IQ743" s="35"/>
      <c r="IR743" s="35"/>
      <c r="IS743" s="35"/>
      <c r="IT743" s="35"/>
      <c r="IU743" s="35"/>
      <c r="IV743" s="35"/>
      <c r="IW743" s="35"/>
      <c r="IX743" s="35"/>
      <c r="IY743" s="35"/>
      <c r="IZ743" s="35"/>
      <c r="JA743" s="35"/>
      <c r="JB743" s="35"/>
      <c r="JC743" s="35"/>
      <c r="JD743" s="35"/>
      <c r="JE743" s="35"/>
    </row>
    <row r="744">
      <c r="A744" s="42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  <c r="BC744" s="35"/>
      <c r="BD744" s="35"/>
      <c r="BE744" s="35"/>
      <c r="BF744" s="35"/>
      <c r="BG744" s="35"/>
      <c r="BH744" s="35"/>
      <c r="BI744" s="35"/>
      <c r="BJ744" s="35"/>
      <c r="BK744" s="35"/>
      <c r="BL744" s="35"/>
      <c r="BM744" s="35"/>
      <c r="BN744" s="35"/>
      <c r="BO744" s="35"/>
      <c r="BP744" s="35"/>
      <c r="BQ744" s="35"/>
      <c r="BR744" s="35"/>
      <c r="BS744" s="35"/>
      <c r="BT744" s="35"/>
      <c r="BU744" s="35"/>
      <c r="BV744" s="35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35"/>
      <c r="CO744" s="35"/>
      <c r="CP744" s="35"/>
      <c r="CQ744" s="35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35"/>
      <c r="DJ744" s="35"/>
      <c r="DK744" s="35"/>
      <c r="DL744" s="35"/>
      <c r="DM744" s="35"/>
      <c r="DN744" s="35"/>
      <c r="DO744" s="35"/>
      <c r="DP744" s="35"/>
      <c r="DQ744" s="35"/>
      <c r="DR744" s="35"/>
      <c r="DS744" s="35"/>
      <c r="DT744" s="35"/>
      <c r="DU744" s="35"/>
      <c r="DV744" s="35"/>
      <c r="DW744" s="35"/>
      <c r="DX744" s="35"/>
      <c r="DY744" s="35"/>
      <c r="DZ744" s="35"/>
      <c r="EA744" s="35"/>
      <c r="EB744" s="35"/>
      <c r="EC744" s="35"/>
      <c r="ED744" s="35"/>
      <c r="EE744" s="35"/>
      <c r="EF744" s="35"/>
      <c r="EG744" s="35"/>
      <c r="EH744" s="35"/>
      <c r="EI744" s="35"/>
      <c r="EJ744" s="35"/>
      <c r="EK744" s="35"/>
      <c r="EL744" s="35"/>
      <c r="EM744" s="35"/>
      <c r="EN744" s="35"/>
      <c r="EO744" s="35"/>
      <c r="EP744" s="35"/>
      <c r="EQ744" s="35"/>
      <c r="ER744" s="35"/>
      <c r="ES744" s="35"/>
      <c r="ET744" s="35"/>
      <c r="EU744" s="35"/>
      <c r="EV744" s="35"/>
      <c r="EW744" s="35"/>
      <c r="EX744" s="35"/>
      <c r="EY744" s="35"/>
      <c r="EZ744" s="35"/>
      <c r="FA744" s="35"/>
      <c r="FB744" s="35"/>
      <c r="FC744" s="35"/>
      <c r="FD744" s="35"/>
      <c r="FE744" s="35"/>
      <c r="FF744" s="35"/>
      <c r="FG744" s="35"/>
      <c r="FH744" s="35"/>
      <c r="FI744" s="35"/>
      <c r="FJ744" s="35"/>
      <c r="FK744" s="35"/>
      <c r="FL744" s="35"/>
      <c r="FM744" s="35"/>
      <c r="FN744" s="35"/>
      <c r="FO744" s="35"/>
      <c r="FP744" s="35"/>
      <c r="FQ744" s="35"/>
      <c r="FR744" s="35"/>
      <c r="FS744" s="35"/>
      <c r="FT744" s="35"/>
      <c r="FU744" s="35"/>
      <c r="FV744" s="35"/>
      <c r="FW744" s="35"/>
      <c r="FX744" s="35"/>
      <c r="FY744" s="35"/>
      <c r="FZ744" s="35"/>
      <c r="GA744" s="35"/>
      <c r="GB744" s="35"/>
      <c r="GC744" s="35"/>
      <c r="GD744" s="35"/>
      <c r="GE744" s="35"/>
      <c r="GF744" s="35"/>
      <c r="GG744" s="35"/>
      <c r="GH744" s="35"/>
      <c r="GI744" s="35"/>
      <c r="GJ744" s="35"/>
      <c r="GK744" s="35"/>
      <c r="GL744" s="35"/>
      <c r="GM744" s="35"/>
      <c r="GN744" s="35"/>
      <c r="GO744" s="35"/>
      <c r="GP744" s="35"/>
      <c r="GQ744" s="35"/>
      <c r="GR744" s="35"/>
      <c r="GS744" s="35"/>
      <c r="GT744" s="35"/>
      <c r="GU744" s="35"/>
      <c r="GV744" s="35"/>
      <c r="GW744" s="35"/>
      <c r="GX744" s="35"/>
      <c r="GY744" s="35"/>
      <c r="GZ744" s="35"/>
      <c r="HA744" s="35"/>
      <c r="HB744" s="35"/>
      <c r="HC744" s="35"/>
      <c r="HD744" s="35"/>
      <c r="HE744" s="35"/>
      <c r="HF744" s="35"/>
      <c r="HG744" s="35"/>
      <c r="HH744" s="35"/>
      <c r="HI744" s="35"/>
      <c r="HJ744" s="35"/>
      <c r="HK744" s="35"/>
      <c r="HL744" s="35"/>
      <c r="HM744" s="35"/>
      <c r="HN744" s="35"/>
      <c r="HO744" s="35"/>
      <c r="HP744" s="35"/>
      <c r="HQ744" s="35"/>
      <c r="HR744" s="35"/>
      <c r="HS744" s="35"/>
      <c r="HT744" s="35"/>
      <c r="HU744" s="35"/>
      <c r="HV744" s="35"/>
      <c r="HW744" s="35"/>
      <c r="HX744" s="35"/>
      <c r="HY744" s="35"/>
      <c r="HZ744" s="35"/>
      <c r="IA744" s="35"/>
      <c r="IB744" s="35"/>
      <c r="IC744" s="35"/>
      <c r="ID744" s="35"/>
      <c r="IE744" s="35"/>
      <c r="IF744" s="35"/>
      <c r="IG744" s="35"/>
      <c r="IH744" s="35"/>
      <c r="II744" s="35"/>
      <c r="IJ744" s="35"/>
      <c r="IK744" s="35"/>
      <c r="IL744" s="35"/>
      <c r="IM744" s="35"/>
      <c r="IN744" s="35"/>
      <c r="IO744" s="35"/>
      <c r="IP744" s="35"/>
      <c r="IQ744" s="35"/>
      <c r="IR744" s="35"/>
      <c r="IS744" s="35"/>
      <c r="IT744" s="35"/>
      <c r="IU744" s="35"/>
      <c r="IV744" s="35"/>
      <c r="IW744" s="35"/>
      <c r="IX744" s="35"/>
      <c r="IY744" s="35"/>
      <c r="IZ744" s="35"/>
      <c r="JA744" s="35"/>
      <c r="JB744" s="35"/>
      <c r="JC744" s="35"/>
      <c r="JD744" s="35"/>
      <c r="JE744" s="35"/>
    </row>
    <row r="745">
      <c r="A745" s="42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  <c r="AZ745" s="35"/>
      <c r="BA745" s="35"/>
      <c r="BB745" s="35"/>
      <c r="BC745" s="35"/>
      <c r="BD745" s="35"/>
      <c r="BE745" s="35"/>
      <c r="BF745" s="35"/>
      <c r="BG745" s="35"/>
      <c r="BH745" s="35"/>
      <c r="BI745" s="35"/>
      <c r="BJ745" s="35"/>
      <c r="BK745" s="35"/>
      <c r="BL745" s="35"/>
      <c r="BM745" s="35"/>
      <c r="BN745" s="35"/>
      <c r="BO745" s="35"/>
      <c r="BP745" s="35"/>
      <c r="BQ745" s="35"/>
      <c r="BR745" s="35"/>
      <c r="BS745" s="35"/>
      <c r="BT745" s="35"/>
      <c r="BU745" s="35"/>
      <c r="BV745" s="35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35"/>
      <c r="CO745" s="35"/>
      <c r="CP745" s="35"/>
      <c r="CQ745" s="35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35"/>
      <c r="DJ745" s="35"/>
      <c r="DK745" s="35"/>
      <c r="DL745" s="35"/>
      <c r="DM745" s="35"/>
      <c r="DN745" s="35"/>
      <c r="DO745" s="35"/>
      <c r="DP745" s="35"/>
      <c r="DQ745" s="35"/>
      <c r="DR745" s="35"/>
      <c r="DS745" s="35"/>
      <c r="DT745" s="35"/>
      <c r="DU745" s="35"/>
      <c r="DV745" s="35"/>
      <c r="DW745" s="35"/>
      <c r="DX745" s="35"/>
      <c r="DY745" s="35"/>
      <c r="DZ745" s="35"/>
      <c r="EA745" s="35"/>
      <c r="EB745" s="35"/>
      <c r="EC745" s="35"/>
      <c r="ED745" s="35"/>
      <c r="EE745" s="35"/>
      <c r="EF745" s="35"/>
      <c r="EG745" s="35"/>
      <c r="EH745" s="35"/>
      <c r="EI745" s="35"/>
      <c r="EJ745" s="35"/>
      <c r="EK745" s="35"/>
      <c r="EL745" s="35"/>
      <c r="EM745" s="35"/>
      <c r="EN745" s="35"/>
      <c r="EO745" s="35"/>
      <c r="EP745" s="35"/>
      <c r="EQ745" s="35"/>
      <c r="ER745" s="35"/>
      <c r="ES745" s="35"/>
      <c r="ET745" s="35"/>
      <c r="EU745" s="35"/>
      <c r="EV745" s="35"/>
      <c r="EW745" s="35"/>
      <c r="EX745" s="35"/>
      <c r="EY745" s="35"/>
      <c r="EZ745" s="35"/>
      <c r="FA745" s="35"/>
      <c r="FB745" s="35"/>
      <c r="FC745" s="35"/>
      <c r="FD745" s="35"/>
      <c r="FE745" s="35"/>
      <c r="FF745" s="35"/>
      <c r="FG745" s="35"/>
      <c r="FH745" s="35"/>
      <c r="FI745" s="35"/>
      <c r="FJ745" s="35"/>
      <c r="FK745" s="35"/>
      <c r="FL745" s="35"/>
      <c r="FM745" s="35"/>
      <c r="FN745" s="35"/>
      <c r="FO745" s="35"/>
      <c r="FP745" s="35"/>
      <c r="FQ745" s="35"/>
      <c r="FR745" s="35"/>
      <c r="FS745" s="35"/>
      <c r="FT745" s="35"/>
      <c r="FU745" s="35"/>
      <c r="FV745" s="35"/>
      <c r="FW745" s="35"/>
      <c r="FX745" s="35"/>
      <c r="FY745" s="35"/>
      <c r="FZ745" s="35"/>
      <c r="GA745" s="35"/>
      <c r="GB745" s="35"/>
      <c r="GC745" s="35"/>
      <c r="GD745" s="35"/>
      <c r="GE745" s="35"/>
      <c r="GF745" s="35"/>
      <c r="GG745" s="35"/>
      <c r="GH745" s="35"/>
      <c r="GI745" s="35"/>
      <c r="GJ745" s="35"/>
      <c r="GK745" s="35"/>
      <c r="GL745" s="35"/>
      <c r="GM745" s="35"/>
      <c r="GN745" s="35"/>
      <c r="GO745" s="35"/>
      <c r="GP745" s="35"/>
      <c r="GQ745" s="35"/>
      <c r="GR745" s="35"/>
      <c r="GS745" s="35"/>
      <c r="GT745" s="35"/>
      <c r="GU745" s="35"/>
      <c r="GV745" s="35"/>
      <c r="GW745" s="35"/>
      <c r="GX745" s="35"/>
      <c r="GY745" s="35"/>
      <c r="GZ745" s="35"/>
      <c r="HA745" s="35"/>
      <c r="HB745" s="35"/>
      <c r="HC745" s="35"/>
      <c r="HD745" s="35"/>
      <c r="HE745" s="35"/>
      <c r="HF745" s="35"/>
      <c r="HG745" s="35"/>
      <c r="HH745" s="35"/>
      <c r="HI745" s="35"/>
      <c r="HJ745" s="35"/>
      <c r="HK745" s="35"/>
      <c r="HL745" s="35"/>
      <c r="HM745" s="35"/>
      <c r="HN745" s="35"/>
      <c r="HO745" s="35"/>
      <c r="HP745" s="35"/>
      <c r="HQ745" s="35"/>
      <c r="HR745" s="35"/>
      <c r="HS745" s="35"/>
      <c r="HT745" s="35"/>
      <c r="HU745" s="35"/>
      <c r="HV745" s="35"/>
      <c r="HW745" s="35"/>
      <c r="HX745" s="35"/>
      <c r="HY745" s="35"/>
      <c r="HZ745" s="35"/>
      <c r="IA745" s="35"/>
      <c r="IB745" s="35"/>
      <c r="IC745" s="35"/>
      <c r="ID745" s="35"/>
      <c r="IE745" s="35"/>
      <c r="IF745" s="35"/>
      <c r="IG745" s="35"/>
      <c r="IH745" s="35"/>
      <c r="II745" s="35"/>
      <c r="IJ745" s="35"/>
      <c r="IK745" s="35"/>
      <c r="IL745" s="35"/>
      <c r="IM745" s="35"/>
      <c r="IN745" s="35"/>
      <c r="IO745" s="35"/>
      <c r="IP745" s="35"/>
      <c r="IQ745" s="35"/>
      <c r="IR745" s="35"/>
      <c r="IS745" s="35"/>
      <c r="IT745" s="35"/>
      <c r="IU745" s="35"/>
      <c r="IV745" s="35"/>
      <c r="IW745" s="35"/>
      <c r="IX745" s="35"/>
      <c r="IY745" s="35"/>
      <c r="IZ745" s="35"/>
      <c r="JA745" s="35"/>
      <c r="JB745" s="35"/>
      <c r="JC745" s="35"/>
      <c r="JD745" s="35"/>
      <c r="JE745" s="35"/>
    </row>
    <row r="746">
      <c r="A746" s="42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  <c r="AZ746" s="35"/>
      <c r="BA746" s="35"/>
      <c r="BB746" s="35"/>
      <c r="BC746" s="35"/>
      <c r="BD746" s="35"/>
      <c r="BE746" s="35"/>
      <c r="BF746" s="35"/>
      <c r="BG746" s="35"/>
      <c r="BH746" s="35"/>
      <c r="BI746" s="35"/>
      <c r="BJ746" s="35"/>
      <c r="BK746" s="35"/>
      <c r="BL746" s="35"/>
      <c r="BM746" s="35"/>
      <c r="BN746" s="35"/>
      <c r="BO746" s="35"/>
      <c r="BP746" s="35"/>
      <c r="BQ746" s="35"/>
      <c r="BR746" s="35"/>
      <c r="BS746" s="35"/>
      <c r="BT746" s="35"/>
      <c r="BU746" s="35"/>
      <c r="BV746" s="35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35"/>
      <c r="CO746" s="35"/>
      <c r="CP746" s="35"/>
      <c r="CQ746" s="35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35"/>
      <c r="DJ746" s="35"/>
      <c r="DK746" s="35"/>
      <c r="DL746" s="35"/>
      <c r="DM746" s="35"/>
      <c r="DN746" s="35"/>
      <c r="DO746" s="35"/>
      <c r="DP746" s="35"/>
      <c r="DQ746" s="35"/>
      <c r="DR746" s="35"/>
      <c r="DS746" s="35"/>
      <c r="DT746" s="35"/>
      <c r="DU746" s="35"/>
      <c r="DV746" s="35"/>
      <c r="DW746" s="35"/>
      <c r="DX746" s="35"/>
      <c r="DY746" s="35"/>
      <c r="DZ746" s="35"/>
      <c r="EA746" s="35"/>
      <c r="EB746" s="35"/>
      <c r="EC746" s="35"/>
      <c r="ED746" s="35"/>
      <c r="EE746" s="35"/>
      <c r="EF746" s="35"/>
      <c r="EG746" s="35"/>
      <c r="EH746" s="35"/>
      <c r="EI746" s="35"/>
      <c r="EJ746" s="35"/>
      <c r="EK746" s="35"/>
      <c r="EL746" s="35"/>
      <c r="EM746" s="35"/>
      <c r="EN746" s="35"/>
      <c r="EO746" s="35"/>
      <c r="EP746" s="35"/>
      <c r="EQ746" s="35"/>
      <c r="ER746" s="35"/>
      <c r="ES746" s="35"/>
      <c r="ET746" s="35"/>
      <c r="EU746" s="35"/>
      <c r="EV746" s="35"/>
      <c r="EW746" s="35"/>
      <c r="EX746" s="35"/>
      <c r="EY746" s="35"/>
      <c r="EZ746" s="35"/>
      <c r="FA746" s="35"/>
      <c r="FB746" s="35"/>
      <c r="FC746" s="35"/>
      <c r="FD746" s="35"/>
      <c r="FE746" s="35"/>
      <c r="FF746" s="35"/>
      <c r="FG746" s="35"/>
      <c r="FH746" s="35"/>
      <c r="FI746" s="35"/>
      <c r="FJ746" s="35"/>
      <c r="FK746" s="35"/>
      <c r="FL746" s="35"/>
      <c r="FM746" s="35"/>
      <c r="FN746" s="35"/>
      <c r="FO746" s="35"/>
      <c r="FP746" s="35"/>
      <c r="FQ746" s="35"/>
      <c r="FR746" s="35"/>
      <c r="FS746" s="35"/>
      <c r="FT746" s="35"/>
      <c r="FU746" s="35"/>
      <c r="FV746" s="35"/>
      <c r="FW746" s="35"/>
      <c r="FX746" s="35"/>
      <c r="FY746" s="35"/>
      <c r="FZ746" s="35"/>
      <c r="GA746" s="35"/>
      <c r="GB746" s="35"/>
      <c r="GC746" s="35"/>
      <c r="GD746" s="35"/>
      <c r="GE746" s="35"/>
      <c r="GF746" s="35"/>
      <c r="GG746" s="35"/>
      <c r="GH746" s="35"/>
      <c r="GI746" s="35"/>
      <c r="GJ746" s="35"/>
      <c r="GK746" s="35"/>
      <c r="GL746" s="35"/>
      <c r="GM746" s="35"/>
      <c r="GN746" s="35"/>
      <c r="GO746" s="35"/>
      <c r="GP746" s="35"/>
      <c r="GQ746" s="35"/>
      <c r="GR746" s="35"/>
      <c r="GS746" s="35"/>
      <c r="GT746" s="35"/>
      <c r="GU746" s="35"/>
      <c r="GV746" s="35"/>
      <c r="GW746" s="35"/>
      <c r="GX746" s="35"/>
      <c r="GY746" s="35"/>
      <c r="GZ746" s="35"/>
      <c r="HA746" s="35"/>
      <c r="HB746" s="35"/>
      <c r="HC746" s="35"/>
      <c r="HD746" s="35"/>
      <c r="HE746" s="35"/>
      <c r="HF746" s="35"/>
      <c r="HG746" s="35"/>
      <c r="HH746" s="35"/>
      <c r="HI746" s="35"/>
      <c r="HJ746" s="35"/>
      <c r="HK746" s="35"/>
      <c r="HL746" s="35"/>
      <c r="HM746" s="35"/>
      <c r="HN746" s="35"/>
      <c r="HO746" s="35"/>
      <c r="HP746" s="35"/>
      <c r="HQ746" s="35"/>
      <c r="HR746" s="35"/>
      <c r="HS746" s="35"/>
      <c r="HT746" s="35"/>
      <c r="HU746" s="35"/>
      <c r="HV746" s="35"/>
      <c r="HW746" s="35"/>
      <c r="HX746" s="35"/>
      <c r="HY746" s="35"/>
      <c r="HZ746" s="35"/>
      <c r="IA746" s="35"/>
      <c r="IB746" s="35"/>
      <c r="IC746" s="35"/>
      <c r="ID746" s="35"/>
      <c r="IE746" s="35"/>
      <c r="IF746" s="35"/>
      <c r="IG746" s="35"/>
      <c r="IH746" s="35"/>
      <c r="II746" s="35"/>
      <c r="IJ746" s="35"/>
      <c r="IK746" s="35"/>
      <c r="IL746" s="35"/>
      <c r="IM746" s="35"/>
      <c r="IN746" s="35"/>
      <c r="IO746" s="35"/>
      <c r="IP746" s="35"/>
      <c r="IQ746" s="35"/>
      <c r="IR746" s="35"/>
      <c r="IS746" s="35"/>
      <c r="IT746" s="35"/>
      <c r="IU746" s="35"/>
      <c r="IV746" s="35"/>
      <c r="IW746" s="35"/>
      <c r="IX746" s="35"/>
      <c r="IY746" s="35"/>
      <c r="IZ746" s="35"/>
      <c r="JA746" s="35"/>
      <c r="JB746" s="35"/>
      <c r="JC746" s="35"/>
      <c r="JD746" s="35"/>
      <c r="JE746" s="35"/>
    </row>
    <row r="747">
      <c r="A747" s="42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  <c r="AZ747" s="35"/>
      <c r="BA747" s="35"/>
      <c r="BB747" s="35"/>
      <c r="BC747" s="35"/>
      <c r="BD747" s="35"/>
      <c r="BE747" s="35"/>
      <c r="BF747" s="35"/>
      <c r="BG747" s="35"/>
      <c r="BH747" s="35"/>
      <c r="BI747" s="35"/>
      <c r="BJ747" s="35"/>
      <c r="BK747" s="35"/>
      <c r="BL747" s="35"/>
      <c r="BM747" s="35"/>
      <c r="BN747" s="35"/>
      <c r="BO747" s="35"/>
      <c r="BP747" s="35"/>
      <c r="BQ747" s="35"/>
      <c r="BR747" s="35"/>
      <c r="BS747" s="35"/>
      <c r="BT747" s="35"/>
      <c r="BU747" s="35"/>
      <c r="BV747" s="35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35"/>
      <c r="CO747" s="35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35"/>
      <c r="DJ747" s="35"/>
      <c r="DK747" s="35"/>
      <c r="DL747" s="35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s="35"/>
      <c r="EE747" s="35"/>
      <c r="EF747" s="35"/>
      <c r="EG747" s="35"/>
      <c r="EH747" s="35"/>
      <c r="EI747" s="35"/>
      <c r="EJ747" s="35"/>
      <c r="EK747" s="35"/>
      <c r="EL747" s="35"/>
      <c r="EM747" s="35"/>
      <c r="EN747" s="35"/>
      <c r="EO747" s="35"/>
      <c r="EP747" s="35"/>
      <c r="EQ747" s="35"/>
      <c r="ER747" s="35"/>
      <c r="ES747" s="35"/>
      <c r="ET747" s="35"/>
      <c r="EU747" s="35"/>
      <c r="EV747" s="35"/>
      <c r="EW747" s="35"/>
      <c r="EX747" s="35"/>
      <c r="EY747" s="35"/>
      <c r="EZ747" s="35"/>
      <c r="FA747" s="35"/>
      <c r="FB747" s="35"/>
      <c r="FC747" s="35"/>
      <c r="FD747" s="35"/>
      <c r="FE747" s="35"/>
      <c r="FF747" s="35"/>
      <c r="FG747" s="35"/>
      <c r="FH747" s="35"/>
      <c r="FI747" s="35"/>
      <c r="FJ747" s="35"/>
      <c r="FK747" s="35"/>
      <c r="FL747" s="35"/>
      <c r="FM747" s="35"/>
      <c r="FN747" s="35"/>
      <c r="FO747" s="35"/>
      <c r="FP747" s="35"/>
      <c r="FQ747" s="35"/>
      <c r="FR747" s="35"/>
      <c r="FS747" s="35"/>
      <c r="FT747" s="35"/>
      <c r="FU747" s="35"/>
      <c r="FV747" s="35"/>
      <c r="FW747" s="35"/>
      <c r="FX747" s="35"/>
      <c r="FY747" s="35"/>
      <c r="FZ747" s="35"/>
      <c r="GA747" s="35"/>
      <c r="GB747" s="35"/>
      <c r="GC747" s="35"/>
      <c r="GD747" s="35"/>
      <c r="GE747" s="35"/>
      <c r="GF747" s="35"/>
      <c r="GG747" s="35"/>
      <c r="GH747" s="35"/>
      <c r="GI747" s="35"/>
      <c r="GJ747" s="35"/>
      <c r="GK747" s="35"/>
      <c r="GL747" s="35"/>
      <c r="GM747" s="35"/>
      <c r="GN747" s="35"/>
      <c r="GO747" s="35"/>
      <c r="GP747" s="35"/>
      <c r="GQ747" s="35"/>
      <c r="GR747" s="35"/>
      <c r="GS747" s="35"/>
      <c r="GT747" s="35"/>
      <c r="GU747" s="35"/>
      <c r="GV747" s="35"/>
      <c r="GW747" s="35"/>
      <c r="GX747" s="35"/>
      <c r="GY747" s="35"/>
      <c r="GZ747" s="35"/>
      <c r="HA747" s="35"/>
      <c r="HB747" s="35"/>
      <c r="HC747" s="35"/>
      <c r="HD747" s="35"/>
      <c r="HE747" s="35"/>
      <c r="HF747" s="35"/>
      <c r="HG747" s="35"/>
      <c r="HH747" s="35"/>
      <c r="HI747" s="35"/>
      <c r="HJ747" s="35"/>
      <c r="HK747" s="35"/>
      <c r="HL747" s="35"/>
      <c r="HM747" s="35"/>
      <c r="HN747" s="35"/>
      <c r="HO747" s="35"/>
      <c r="HP747" s="35"/>
      <c r="HQ747" s="35"/>
      <c r="HR747" s="35"/>
      <c r="HS747" s="35"/>
      <c r="HT747" s="35"/>
      <c r="HU747" s="35"/>
      <c r="HV747" s="35"/>
      <c r="HW747" s="35"/>
      <c r="HX747" s="35"/>
      <c r="HY747" s="35"/>
      <c r="HZ747" s="35"/>
      <c r="IA747" s="35"/>
      <c r="IB747" s="35"/>
      <c r="IC747" s="35"/>
      <c r="ID747" s="35"/>
      <c r="IE747" s="35"/>
      <c r="IF747" s="35"/>
      <c r="IG747" s="35"/>
      <c r="IH747" s="35"/>
      <c r="II747" s="35"/>
      <c r="IJ747" s="35"/>
      <c r="IK747" s="35"/>
      <c r="IL747" s="35"/>
      <c r="IM747" s="35"/>
      <c r="IN747" s="35"/>
      <c r="IO747" s="35"/>
      <c r="IP747" s="35"/>
      <c r="IQ747" s="35"/>
      <c r="IR747" s="35"/>
      <c r="IS747" s="35"/>
      <c r="IT747" s="35"/>
      <c r="IU747" s="35"/>
      <c r="IV747" s="35"/>
      <c r="IW747" s="35"/>
      <c r="IX747" s="35"/>
      <c r="IY747" s="35"/>
      <c r="IZ747" s="35"/>
      <c r="JA747" s="35"/>
      <c r="JB747" s="35"/>
      <c r="JC747" s="35"/>
      <c r="JD747" s="35"/>
      <c r="JE747" s="35"/>
    </row>
    <row r="748">
      <c r="A748" s="42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  <c r="AZ748" s="35"/>
      <c r="BA748" s="35"/>
      <c r="BB748" s="35"/>
      <c r="BC748" s="35"/>
      <c r="BD748" s="35"/>
      <c r="BE748" s="35"/>
      <c r="BF748" s="35"/>
      <c r="BG748" s="35"/>
      <c r="BH748" s="35"/>
      <c r="BI748" s="35"/>
      <c r="BJ748" s="35"/>
      <c r="BK748" s="35"/>
      <c r="BL748" s="35"/>
      <c r="BM748" s="35"/>
      <c r="BN748" s="35"/>
      <c r="BO748" s="35"/>
      <c r="BP748" s="35"/>
      <c r="BQ748" s="35"/>
      <c r="BR748" s="35"/>
      <c r="BS748" s="35"/>
      <c r="BT748" s="35"/>
      <c r="BU748" s="35"/>
      <c r="BV748" s="35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35"/>
      <c r="CO748" s="35"/>
      <c r="CP748" s="35"/>
      <c r="CQ748" s="35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35"/>
      <c r="DJ748" s="35"/>
      <c r="DK748" s="35"/>
      <c r="DL748" s="35"/>
      <c r="DM748" s="35"/>
      <c r="DN748" s="35"/>
      <c r="DO748" s="35"/>
      <c r="DP748" s="35"/>
      <c r="DQ748" s="35"/>
      <c r="DR748" s="35"/>
      <c r="DS748" s="35"/>
      <c r="DT748" s="35"/>
      <c r="DU748" s="35"/>
      <c r="DV748" s="35"/>
      <c r="DW748" s="35"/>
      <c r="DX748" s="35"/>
      <c r="DY748" s="35"/>
      <c r="DZ748" s="35"/>
      <c r="EA748" s="35"/>
      <c r="EB748" s="35"/>
      <c r="EC748" s="35"/>
      <c r="ED748" s="35"/>
      <c r="EE748" s="35"/>
      <c r="EF748" s="35"/>
      <c r="EG748" s="35"/>
      <c r="EH748" s="35"/>
      <c r="EI748" s="35"/>
      <c r="EJ748" s="35"/>
      <c r="EK748" s="35"/>
      <c r="EL748" s="35"/>
      <c r="EM748" s="35"/>
      <c r="EN748" s="35"/>
      <c r="EO748" s="35"/>
      <c r="EP748" s="35"/>
      <c r="EQ748" s="35"/>
      <c r="ER748" s="35"/>
      <c r="ES748" s="35"/>
      <c r="ET748" s="35"/>
      <c r="EU748" s="35"/>
      <c r="EV748" s="35"/>
      <c r="EW748" s="35"/>
      <c r="EX748" s="35"/>
      <c r="EY748" s="35"/>
      <c r="EZ748" s="35"/>
      <c r="FA748" s="35"/>
      <c r="FB748" s="35"/>
      <c r="FC748" s="35"/>
      <c r="FD748" s="35"/>
      <c r="FE748" s="35"/>
      <c r="FF748" s="35"/>
      <c r="FG748" s="35"/>
      <c r="FH748" s="35"/>
      <c r="FI748" s="35"/>
      <c r="FJ748" s="35"/>
      <c r="FK748" s="35"/>
      <c r="FL748" s="35"/>
      <c r="FM748" s="35"/>
      <c r="FN748" s="35"/>
      <c r="FO748" s="35"/>
      <c r="FP748" s="35"/>
      <c r="FQ748" s="35"/>
      <c r="FR748" s="35"/>
      <c r="FS748" s="35"/>
      <c r="FT748" s="35"/>
      <c r="FU748" s="35"/>
      <c r="FV748" s="35"/>
      <c r="FW748" s="35"/>
      <c r="FX748" s="35"/>
      <c r="FY748" s="35"/>
      <c r="FZ748" s="35"/>
      <c r="GA748" s="35"/>
      <c r="GB748" s="35"/>
      <c r="GC748" s="35"/>
      <c r="GD748" s="35"/>
      <c r="GE748" s="35"/>
      <c r="GF748" s="35"/>
      <c r="GG748" s="35"/>
      <c r="GH748" s="35"/>
      <c r="GI748" s="35"/>
      <c r="GJ748" s="35"/>
      <c r="GK748" s="35"/>
      <c r="GL748" s="35"/>
      <c r="GM748" s="35"/>
      <c r="GN748" s="35"/>
      <c r="GO748" s="35"/>
      <c r="GP748" s="35"/>
      <c r="GQ748" s="35"/>
      <c r="GR748" s="35"/>
      <c r="GS748" s="35"/>
      <c r="GT748" s="35"/>
      <c r="GU748" s="35"/>
      <c r="GV748" s="35"/>
      <c r="GW748" s="35"/>
      <c r="GX748" s="35"/>
      <c r="GY748" s="35"/>
      <c r="GZ748" s="35"/>
      <c r="HA748" s="35"/>
      <c r="HB748" s="35"/>
      <c r="HC748" s="35"/>
      <c r="HD748" s="35"/>
      <c r="HE748" s="35"/>
      <c r="HF748" s="35"/>
      <c r="HG748" s="35"/>
      <c r="HH748" s="35"/>
      <c r="HI748" s="35"/>
      <c r="HJ748" s="35"/>
      <c r="HK748" s="35"/>
      <c r="HL748" s="35"/>
      <c r="HM748" s="35"/>
      <c r="HN748" s="35"/>
      <c r="HO748" s="35"/>
      <c r="HP748" s="35"/>
      <c r="HQ748" s="35"/>
      <c r="HR748" s="35"/>
      <c r="HS748" s="35"/>
      <c r="HT748" s="35"/>
      <c r="HU748" s="35"/>
      <c r="HV748" s="35"/>
      <c r="HW748" s="35"/>
      <c r="HX748" s="35"/>
      <c r="HY748" s="35"/>
      <c r="HZ748" s="35"/>
      <c r="IA748" s="35"/>
      <c r="IB748" s="35"/>
      <c r="IC748" s="35"/>
      <c r="ID748" s="35"/>
      <c r="IE748" s="35"/>
      <c r="IF748" s="35"/>
      <c r="IG748" s="35"/>
      <c r="IH748" s="35"/>
      <c r="II748" s="35"/>
      <c r="IJ748" s="35"/>
      <c r="IK748" s="35"/>
      <c r="IL748" s="35"/>
      <c r="IM748" s="35"/>
      <c r="IN748" s="35"/>
      <c r="IO748" s="35"/>
      <c r="IP748" s="35"/>
      <c r="IQ748" s="35"/>
      <c r="IR748" s="35"/>
      <c r="IS748" s="35"/>
      <c r="IT748" s="35"/>
      <c r="IU748" s="35"/>
      <c r="IV748" s="35"/>
      <c r="IW748" s="35"/>
      <c r="IX748" s="35"/>
      <c r="IY748" s="35"/>
      <c r="IZ748" s="35"/>
      <c r="JA748" s="35"/>
      <c r="JB748" s="35"/>
      <c r="JC748" s="35"/>
      <c r="JD748" s="35"/>
      <c r="JE748" s="35"/>
    </row>
    <row r="749">
      <c r="A749" s="42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  <c r="AZ749" s="35"/>
      <c r="BA749" s="35"/>
      <c r="BB749" s="35"/>
      <c r="BC749" s="35"/>
      <c r="BD749" s="35"/>
      <c r="BE749" s="35"/>
      <c r="BF749" s="35"/>
      <c r="BG749" s="35"/>
      <c r="BH749" s="35"/>
      <c r="BI749" s="35"/>
      <c r="BJ749" s="35"/>
      <c r="BK749" s="35"/>
      <c r="BL749" s="35"/>
      <c r="BM749" s="35"/>
      <c r="BN749" s="35"/>
      <c r="BO749" s="35"/>
      <c r="BP749" s="35"/>
      <c r="BQ749" s="35"/>
      <c r="BR749" s="35"/>
      <c r="BS749" s="35"/>
      <c r="BT749" s="35"/>
      <c r="BU749" s="35"/>
      <c r="BV749" s="35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35"/>
      <c r="CO749" s="35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35"/>
      <c r="DJ749" s="35"/>
      <c r="DK749" s="35"/>
      <c r="DL749" s="35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/>
      <c r="EC749" s="35"/>
      <c r="ED749" s="35"/>
      <c r="EE749" s="35"/>
      <c r="EF749" s="35"/>
      <c r="EG749" s="35"/>
      <c r="EH749" s="35"/>
      <c r="EI749" s="35"/>
      <c r="EJ749" s="35"/>
      <c r="EK749" s="35"/>
      <c r="EL749" s="35"/>
      <c r="EM749" s="35"/>
      <c r="EN749" s="35"/>
      <c r="EO749" s="35"/>
      <c r="EP749" s="35"/>
      <c r="EQ749" s="35"/>
      <c r="ER749" s="35"/>
      <c r="ES749" s="35"/>
      <c r="ET749" s="35"/>
      <c r="EU749" s="35"/>
      <c r="EV749" s="35"/>
      <c r="EW749" s="35"/>
      <c r="EX749" s="35"/>
      <c r="EY749" s="35"/>
      <c r="EZ749" s="35"/>
      <c r="FA749" s="35"/>
      <c r="FB749" s="35"/>
      <c r="FC749" s="35"/>
      <c r="FD749" s="35"/>
      <c r="FE749" s="35"/>
      <c r="FF749" s="35"/>
      <c r="FG749" s="35"/>
      <c r="FH749" s="35"/>
      <c r="FI749" s="35"/>
      <c r="FJ749" s="35"/>
      <c r="FK749" s="35"/>
      <c r="FL749" s="35"/>
      <c r="FM749" s="35"/>
      <c r="FN749" s="35"/>
      <c r="FO749" s="35"/>
      <c r="FP749" s="35"/>
      <c r="FQ749" s="35"/>
      <c r="FR749" s="35"/>
      <c r="FS749" s="35"/>
      <c r="FT749" s="35"/>
      <c r="FU749" s="35"/>
      <c r="FV749" s="35"/>
      <c r="FW749" s="35"/>
      <c r="FX749" s="35"/>
      <c r="FY749" s="35"/>
      <c r="FZ749" s="35"/>
      <c r="GA749" s="35"/>
      <c r="GB749" s="35"/>
      <c r="GC749" s="35"/>
      <c r="GD749" s="35"/>
      <c r="GE749" s="35"/>
      <c r="GF749" s="35"/>
      <c r="GG749" s="35"/>
      <c r="GH749" s="35"/>
      <c r="GI749" s="35"/>
      <c r="GJ749" s="35"/>
      <c r="GK749" s="35"/>
      <c r="GL749" s="35"/>
      <c r="GM749" s="35"/>
      <c r="GN749" s="35"/>
      <c r="GO749" s="35"/>
      <c r="GP749" s="35"/>
      <c r="GQ749" s="35"/>
      <c r="GR749" s="35"/>
      <c r="GS749" s="35"/>
      <c r="GT749" s="35"/>
      <c r="GU749" s="35"/>
      <c r="GV749" s="35"/>
      <c r="GW749" s="35"/>
      <c r="GX749" s="35"/>
      <c r="GY749" s="35"/>
      <c r="GZ749" s="35"/>
      <c r="HA749" s="35"/>
      <c r="HB749" s="35"/>
      <c r="HC749" s="35"/>
      <c r="HD749" s="35"/>
      <c r="HE749" s="35"/>
      <c r="HF749" s="35"/>
      <c r="HG749" s="35"/>
      <c r="HH749" s="35"/>
      <c r="HI749" s="35"/>
      <c r="HJ749" s="35"/>
      <c r="HK749" s="35"/>
      <c r="HL749" s="35"/>
      <c r="HM749" s="35"/>
      <c r="HN749" s="35"/>
      <c r="HO749" s="35"/>
      <c r="HP749" s="35"/>
      <c r="HQ749" s="35"/>
      <c r="HR749" s="35"/>
      <c r="HS749" s="35"/>
      <c r="HT749" s="35"/>
      <c r="HU749" s="35"/>
      <c r="HV749" s="35"/>
      <c r="HW749" s="35"/>
      <c r="HX749" s="35"/>
      <c r="HY749" s="35"/>
      <c r="HZ749" s="35"/>
      <c r="IA749" s="35"/>
      <c r="IB749" s="35"/>
      <c r="IC749" s="35"/>
      <c r="ID749" s="35"/>
      <c r="IE749" s="35"/>
      <c r="IF749" s="35"/>
      <c r="IG749" s="35"/>
      <c r="IH749" s="35"/>
      <c r="II749" s="35"/>
      <c r="IJ749" s="35"/>
      <c r="IK749" s="35"/>
      <c r="IL749" s="35"/>
      <c r="IM749" s="35"/>
      <c r="IN749" s="35"/>
      <c r="IO749" s="35"/>
      <c r="IP749" s="35"/>
      <c r="IQ749" s="35"/>
      <c r="IR749" s="35"/>
      <c r="IS749" s="35"/>
      <c r="IT749" s="35"/>
      <c r="IU749" s="35"/>
      <c r="IV749" s="35"/>
      <c r="IW749" s="35"/>
      <c r="IX749" s="35"/>
      <c r="IY749" s="35"/>
      <c r="IZ749" s="35"/>
      <c r="JA749" s="35"/>
      <c r="JB749" s="35"/>
      <c r="JC749" s="35"/>
      <c r="JD749" s="35"/>
      <c r="JE749" s="35"/>
    </row>
    <row r="750">
      <c r="A750" s="42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  <c r="AZ750" s="35"/>
      <c r="BA750" s="35"/>
      <c r="BB750" s="35"/>
      <c r="BC750" s="35"/>
      <c r="BD750" s="35"/>
      <c r="BE750" s="35"/>
      <c r="BF750" s="35"/>
      <c r="BG750" s="35"/>
      <c r="BH750" s="35"/>
      <c r="BI750" s="35"/>
      <c r="BJ750" s="35"/>
      <c r="BK750" s="35"/>
      <c r="BL750" s="35"/>
      <c r="BM750" s="35"/>
      <c r="BN750" s="35"/>
      <c r="BO750" s="35"/>
      <c r="BP750" s="35"/>
      <c r="BQ750" s="35"/>
      <c r="BR750" s="35"/>
      <c r="BS750" s="35"/>
      <c r="BT750" s="35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35"/>
      <c r="CO750" s="35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35"/>
      <c r="DJ750" s="35"/>
      <c r="DK750" s="35"/>
      <c r="DL750" s="35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35"/>
      <c r="EE750" s="35"/>
      <c r="EF750" s="35"/>
      <c r="EG750" s="35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35"/>
      <c r="EZ750" s="35"/>
      <c r="FA750" s="35"/>
      <c r="FB750" s="35"/>
      <c r="FC750" s="35"/>
      <c r="FD750" s="35"/>
      <c r="FE750" s="35"/>
      <c r="FF750" s="35"/>
      <c r="FG750" s="35"/>
      <c r="FH750" s="35"/>
      <c r="FI750" s="35"/>
      <c r="FJ750" s="35"/>
      <c r="FK750" s="35"/>
      <c r="FL750" s="35"/>
      <c r="FM750" s="35"/>
      <c r="FN750" s="35"/>
      <c r="FO750" s="35"/>
      <c r="FP750" s="35"/>
      <c r="FQ750" s="35"/>
      <c r="FR750" s="35"/>
      <c r="FS750" s="35"/>
      <c r="FT750" s="35"/>
      <c r="FU750" s="35"/>
      <c r="FV750" s="35"/>
      <c r="FW750" s="35"/>
      <c r="FX750" s="35"/>
      <c r="FY750" s="35"/>
      <c r="FZ750" s="35"/>
      <c r="GA750" s="35"/>
      <c r="GB750" s="35"/>
      <c r="GC750" s="35"/>
      <c r="GD750" s="35"/>
      <c r="GE750" s="35"/>
      <c r="GF750" s="35"/>
      <c r="GG750" s="35"/>
      <c r="GH750" s="35"/>
      <c r="GI750" s="35"/>
      <c r="GJ750" s="35"/>
      <c r="GK750" s="35"/>
      <c r="GL750" s="35"/>
      <c r="GM750" s="35"/>
      <c r="GN750" s="35"/>
      <c r="GO750" s="35"/>
      <c r="GP750" s="35"/>
      <c r="GQ750" s="35"/>
      <c r="GR750" s="35"/>
      <c r="GS750" s="35"/>
      <c r="GT750" s="35"/>
      <c r="GU750" s="35"/>
      <c r="GV750" s="35"/>
      <c r="GW750" s="35"/>
      <c r="GX750" s="35"/>
      <c r="GY750" s="35"/>
      <c r="GZ750" s="35"/>
      <c r="HA750" s="35"/>
      <c r="HB750" s="35"/>
      <c r="HC750" s="35"/>
      <c r="HD750" s="35"/>
      <c r="HE750" s="35"/>
      <c r="HF750" s="35"/>
      <c r="HG750" s="35"/>
      <c r="HH750" s="35"/>
      <c r="HI750" s="35"/>
      <c r="HJ750" s="35"/>
      <c r="HK750" s="35"/>
      <c r="HL750" s="35"/>
      <c r="HM750" s="35"/>
      <c r="HN750" s="35"/>
      <c r="HO750" s="35"/>
      <c r="HP750" s="35"/>
      <c r="HQ750" s="35"/>
      <c r="HR750" s="35"/>
      <c r="HS750" s="35"/>
      <c r="HT750" s="35"/>
      <c r="HU750" s="35"/>
      <c r="HV750" s="35"/>
      <c r="HW750" s="35"/>
      <c r="HX750" s="35"/>
      <c r="HY750" s="35"/>
      <c r="HZ750" s="35"/>
      <c r="IA750" s="35"/>
      <c r="IB750" s="35"/>
      <c r="IC750" s="35"/>
      <c r="ID750" s="35"/>
      <c r="IE750" s="35"/>
      <c r="IF750" s="35"/>
      <c r="IG750" s="35"/>
      <c r="IH750" s="35"/>
      <c r="II750" s="35"/>
      <c r="IJ750" s="35"/>
      <c r="IK750" s="35"/>
      <c r="IL750" s="35"/>
      <c r="IM750" s="35"/>
      <c r="IN750" s="35"/>
      <c r="IO750" s="35"/>
      <c r="IP750" s="35"/>
      <c r="IQ750" s="35"/>
      <c r="IR750" s="35"/>
      <c r="IS750" s="35"/>
      <c r="IT750" s="35"/>
      <c r="IU750" s="35"/>
      <c r="IV750" s="35"/>
      <c r="IW750" s="35"/>
      <c r="IX750" s="35"/>
      <c r="IY750" s="35"/>
      <c r="IZ750" s="35"/>
      <c r="JA750" s="35"/>
      <c r="JB750" s="35"/>
      <c r="JC750" s="35"/>
      <c r="JD750" s="35"/>
      <c r="JE750" s="35"/>
    </row>
    <row r="751">
      <c r="A751" s="42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  <c r="AZ751" s="35"/>
      <c r="BA751" s="35"/>
      <c r="BB751" s="35"/>
      <c r="BC751" s="35"/>
      <c r="BD751" s="35"/>
      <c r="BE751" s="35"/>
      <c r="BF751" s="35"/>
      <c r="BG751" s="35"/>
      <c r="BH751" s="35"/>
      <c r="BI751" s="35"/>
      <c r="BJ751" s="35"/>
      <c r="BK751" s="35"/>
      <c r="BL751" s="35"/>
      <c r="BM751" s="35"/>
      <c r="BN751" s="35"/>
      <c r="BO751" s="35"/>
      <c r="BP751" s="35"/>
      <c r="BQ751" s="35"/>
      <c r="BR751" s="35"/>
      <c r="BS751" s="35"/>
      <c r="BT751" s="35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35"/>
      <c r="CO751" s="35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35"/>
      <c r="DJ751" s="35"/>
      <c r="DK751" s="35"/>
      <c r="DL751" s="35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35"/>
      <c r="EE751" s="35"/>
      <c r="EF751" s="35"/>
      <c r="EG751" s="35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35"/>
      <c r="EZ751" s="35"/>
      <c r="FA751" s="35"/>
      <c r="FB751" s="35"/>
      <c r="FC751" s="35"/>
      <c r="FD751" s="35"/>
      <c r="FE751" s="35"/>
      <c r="FF751" s="35"/>
      <c r="FG751" s="35"/>
      <c r="FH751" s="35"/>
      <c r="FI751" s="35"/>
      <c r="FJ751" s="35"/>
      <c r="FK751" s="35"/>
      <c r="FL751" s="35"/>
      <c r="FM751" s="35"/>
      <c r="FN751" s="35"/>
      <c r="FO751" s="35"/>
      <c r="FP751" s="35"/>
      <c r="FQ751" s="35"/>
      <c r="FR751" s="35"/>
      <c r="FS751" s="35"/>
      <c r="FT751" s="35"/>
      <c r="FU751" s="35"/>
      <c r="FV751" s="35"/>
      <c r="FW751" s="35"/>
      <c r="FX751" s="35"/>
      <c r="FY751" s="35"/>
      <c r="FZ751" s="35"/>
      <c r="GA751" s="35"/>
      <c r="GB751" s="35"/>
      <c r="GC751" s="35"/>
      <c r="GD751" s="35"/>
      <c r="GE751" s="35"/>
      <c r="GF751" s="35"/>
      <c r="GG751" s="35"/>
      <c r="GH751" s="35"/>
      <c r="GI751" s="35"/>
      <c r="GJ751" s="35"/>
      <c r="GK751" s="35"/>
      <c r="GL751" s="35"/>
      <c r="GM751" s="35"/>
      <c r="GN751" s="35"/>
      <c r="GO751" s="35"/>
      <c r="GP751" s="35"/>
      <c r="GQ751" s="35"/>
      <c r="GR751" s="35"/>
      <c r="GS751" s="35"/>
      <c r="GT751" s="35"/>
      <c r="GU751" s="35"/>
      <c r="GV751" s="35"/>
      <c r="GW751" s="35"/>
      <c r="GX751" s="35"/>
      <c r="GY751" s="35"/>
      <c r="GZ751" s="35"/>
      <c r="HA751" s="35"/>
      <c r="HB751" s="35"/>
      <c r="HC751" s="35"/>
      <c r="HD751" s="35"/>
      <c r="HE751" s="35"/>
      <c r="HF751" s="35"/>
      <c r="HG751" s="35"/>
      <c r="HH751" s="35"/>
      <c r="HI751" s="35"/>
      <c r="HJ751" s="35"/>
      <c r="HK751" s="35"/>
      <c r="HL751" s="35"/>
      <c r="HM751" s="35"/>
      <c r="HN751" s="35"/>
      <c r="HO751" s="35"/>
      <c r="HP751" s="35"/>
      <c r="HQ751" s="35"/>
      <c r="HR751" s="35"/>
      <c r="HS751" s="35"/>
      <c r="HT751" s="35"/>
      <c r="HU751" s="35"/>
      <c r="HV751" s="35"/>
      <c r="HW751" s="35"/>
      <c r="HX751" s="35"/>
      <c r="HY751" s="35"/>
      <c r="HZ751" s="35"/>
      <c r="IA751" s="35"/>
      <c r="IB751" s="35"/>
      <c r="IC751" s="35"/>
      <c r="ID751" s="35"/>
      <c r="IE751" s="35"/>
      <c r="IF751" s="35"/>
      <c r="IG751" s="35"/>
      <c r="IH751" s="35"/>
      <c r="II751" s="35"/>
      <c r="IJ751" s="35"/>
      <c r="IK751" s="35"/>
      <c r="IL751" s="35"/>
      <c r="IM751" s="35"/>
      <c r="IN751" s="35"/>
      <c r="IO751" s="35"/>
      <c r="IP751" s="35"/>
      <c r="IQ751" s="35"/>
      <c r="IR751" s="35"/>
      <c r="IS751" s="35"/>
      <c r="IT751" s="35"/>
      <c r="IU751" s="35"/>
      <c r="IV751" s="35"/>
      <c r="IW751" s="35"/>
      <c r="IX751" s="35"/>
      <c r="IY751" s="35"/>
      <c r="IZ751" s="35"/>
      <c r="JA751" s="35"/>
      <c r="JB751" s="35"/>
      <c r="JC751" s="35"/>
      <c r="JD751" s="35"/>
      <c r="JE751" s="35"/>
    </row>
    <row r="752">
      <c r="A752" s="42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  <c r="BA752" s="35"/>
      <c r="BB752" s="35"/>
      <c r="BC752" s="35"/>
      <c r="BD752" s="35"/>
      <c r="BE752" s="35"/>
      <c r="BF752" s="35"/>
      <c r="BG752" s="35"/>
      <c r="BH752" s="35"/>
      <c r="BI752" s="35"/>
      <c r="BJ752" s="35"/>
      <c r="BK752" s="35"/>
      <c r="BL752" s="35"/>
      <c r="BM752" s="35"/>
      <c r="BN752" s="35"/>
      <c r="BO752" s="35"/>
      <c r="BP752" s="35"/>
      <c r="BQ752" s="35"/>
      <c r="BR752" s="35"/>
      <c r="BS752" s="35"/>
      <c r="BT752" s="35"/>
      <c r="BU752" s="35"/>
      <c r="BV752" s="35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35"/>
      <c r="CO752" s="35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35"/>
      <c r="DJ752" s="35"/>
      <c r="DK752" s="35"/>
      <c r="DL752" s="35"/>
      <c r="DM752" s="35"/>
      <c r="DN752" s="35"/>
      <c r="DO752" s="35"/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s="35"/>
      <c r="EE752" s="35"/>
      <c r="EF752" s="35"/>
      <c r="EG752" s="35"/>
      <c r="EH752" s="35"/>
      <c r="EI752" s="35"/>
      <c r="EJ752" s="35"/>
      <c r="EK752" s="35"/>
      <c r="EL752" s="35"/>
      <c r="EM752" s="35"/>
      <c r="EN752" s="35"/>
      <c r="EO752" s="35"/>
      <c r="EP752" s="35"/>
      <c r="EQ752" s="35"/>
      <c r="ER752" s="35"/>
      <c r="ES752" s="35"/>
      <c r="ET752" s="35"/>
      <c r="EU752" s="35"/>
      <c r="EV752" s="35"/>
      <c r="EW752" s="35"/>
      <c r="EX752" s="35"/>
      <c r="EY752" s="35"/>
      <c r="EZ752" s="35"/>
      <c r="FA752" s="35"/>
      <c r="FB752" s="35"/>
      <c r="FC752" s="35"/>
      <c r="FD752" s="35"/>
      <c r="FE752" s="35"/>
      <c r="FF752" s="35"/>
      <c r="FG752" s="35"/>
      <c r="FH752" s="35"/>
      <c r="FI752" s="35"/>
      <c r="FJ752" s="35"/>
      <c r="FK752" s="35"/>
      <c r="FL752" s="35"/>
      <c r="FM752" s="35"/>
      <c r="FN752" s="35"/>
      <c r="FO752" s="35"/>
      <c r="FP752" s="35"/>
      <c r="FQ752" s="35"/>
      <c r="FR752" s="35"/>
      <c r="FS752" s="35"/>
      <c r="FT752" s="35"/>
      <c r="FU752" s="35"/>
      <c r="FV752" s="35"/>
      <c r="FW752" s="35"/>
      <c r="FX752" s="35"/>
      <c r="FY752" s="35"/>
      <c r="FZ752" s="35"/>
      <c r="GA752" s="35"/>
      <c r="GB752" s="35"/>
      <c r="GC752" s="35"/>
      <c r="GD752" s="35"/>
      <c r="GE752" s="35"/>
      <c r="GF752" s="35"/>
      <c r="GG752" s="35"/>
      <c r="GH752" s="35"/>
      <c r="GI752" s="35"/>
      <c r="GJ752" s="35"/>
      <c r="GK752" s="35"/>
      <c r="GL752" s="35"/>
      <c r="GM752" s="35"/>
      <c r="GN752" s="35"/>
      <c r="GO752" s="35"/>
      <c r="GP752" s="35"/>
      <c r="GQ752" s="35"/>
      <c r="GR752" s="35"/>
      <c r="GS752" s="35"/>
      <c r="GT752" s="35"/>
      <c r="GU752" s="35"/>
      <c r="GV752" s="35"/>
      <c r="GW752" s="35"/>
      <c r="GX752" s="35"/>
      <c r="GY752" s="35"/>
      <c r="GZ752" s="35"/>
      <c r="HA752" s="35"/>
      <c r="HB752" s="35"/>
      <c r="HC752" s="35"/>
      <c r="HD752" s="35"/>
      <c r="HE752" s="35"/>
      <c r="HF752" s="35"/>
      <c r="HG752" s="35"/>
      <c r="HH752" s="35"/>
      <c r="HI752" s="35"/>
      <c r="HJ752" s="35"/>
      <c r="HK752" s="35"/>
      <c r="HL752" s="35"/>
      <c r="HM752" s="35"/>
      <c r="HN752" s="35"/>
      <c r="HO752" s="35"/>
      <c r="HP752" s="35"/>
      <c r="HQ752" s="35"/>
      <c r="HR752" s="35"/>
      <c r="HS752" s="35"/>
      <c r="HT752" s="35"/>
      <c r="HU752" s="35"/>
      <c r="HV752" s="35"/>
      <c r="HW752" s="35"/>
      <c r="HX752" s="35"/>
      <c r="HY752" s="35"/>
      <c r="HZ752" s="35"/>
      <c r="IA752" s="35"/>
      <c r="IB752" s="35"/>
      <c r="IC752" s="35"/>
      <c r="ID752" s="35"/>
      <c r="IE752" s="35"/>
      <c r="IF752" s="35"/>
      <c r="IG752" s="35"/>
      <c r="IH752" s="35"/>
      <c r="II752" s="35"/>
      <c r="IJ752" s="35"/>
      <c r="IK752" s="35"/>
      <c r="IL752" s="35"/>
      <c r="IM752" s="35"/>
      <c r="IN752" s="35"/>
      <c r="IO752" s="35"/>
      <c r="IP752" s="35"/>
      <c r="IQ752" s="35"/>
      <c r="IR752" s="35"/>
      <c r="IS752" s="35"/>
      <c r="IT752" s="35"/>
      <c r="IU752" s="35"/>
      <c r="IV752" s="35"/>
      <c r="IW752" s="35"/>
      <c r="IX752" s="35"/>
      <c r="IY752" s="35"/>
      <c r="IZ752" s="35"/>
      <c r="JA752" s="35"/>
      <c r="JB752" s="35"/>
      <c r="JC752" s="35"/>
      <c r="JD752" s="35"/>
      <c r="JE752" s="35"/>
    </row>
    <row r="753">
      <c r="A753" s="42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  <c r="BA753" s="35"/>
      <c r="BB753" s="35"/>
      <c r="BC753" s="35"/>
      <c r="BD753" s="35"/>
      <c r="BE753" s="35"/>
      <c r="BF753" s="35"/>
      <c r="BG753" s="35"/>
      <c r="BH753" s="35"/>
      <c r="BI753" s="35"/>
      <c r="BJ753" s="35"/>
      <c r="BK753" s="35"/>
      <c r="BL753" s="35"/>
      <c r="BM753" s="35"/>
      <c r="BN753" s="35"/>
      <c r="BO753" s="35"/>
      <c r="BP753" s="35"/>
      <c r="BQ753" s="35"/>
      <c r="BR753" s="35"/>
      <c r="BS753" s="35"/>
      <c r="BT753" s="35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35"/>
      <c r="CO753" s="35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35"/>
      <c r="DJ753" s="35"/>
      <c r="DK753" s="35"/>
      <c r="DL753" s="35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35"/>
      <c r="EE753" s="35"/>
      <c r="EF753" s="35"/>
      <c r="EG753" s="35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35"/>
      <c r="EZ753" s="35"/>
      <c r="FA753" s="35"/>
      <c r="FB753" s="35"/>
      <c r="FC753" s="35"/>
      <c r="FD753" s="35"/>
      <c r="FE753" s="35"/>
      <c r="FF753" s="35"/>
      <c r="FG753" s="35"/>
      <c r="FH753" s="35"/>
      <c r="FI753" s="35"/>
      <c r="FJ753" s="35"/>
      <c r="FK753" s="35"/>
      <c r="FL753" s="35"/>
      <c r="FM753" s="35"/>
      <c r="FN753" s="35"/>
      <c r="FO753" s="35"/>
      <c r="FP753" s="35"/>
      <c r="FQ753" s="35"/>
      <c r="FR753" s="35"/>
      <c r="FS753" s="35"/>
      <c r="FT753" s="35"/>
      <c r="FU753" s="35"/>
      <c r="FV753" s="35"/>
      <c r="FW753" s="35"/>
      <c r="FX753" s="35"/>
      <c r="FY753" s="35"/>
      <c r="FZ753" s="35"/>
      <c r="GA753" s="35"/>
      <c r="GB753" s="35"/>
      <c r="GC753" s="35"/>
      <c r="GD753" s="35"/>
      <c r="GE753" s="35"/>
      <c r="GF753" s="35"/>
      <c r="GG753" s="35"/>
      <c r="GH753" s="35"/>
      <c r="GI753" s="35"/>
      <c r="GJ753" s="35"/>
      <c r="GK753" s="35"/>
      <c r="GL753" s="35"/>
      <c r="GM753" s="35"/>
      <c r="GN753" s="35"/>
      <c r="GO753" s="35"/>
      <c r="GP753" s="35"/>
      <c r="GQ753" s="35"/>
      <c r="GR753" s="35"/>
      <c r="GS753" s="35"/>
      <c r="GT753" s="35"/>
      <c r="GU753" s="35"/>
      <c r="GV753" s="35"/>
      <c r="GW753" s="35"/>
      <c r="GX753" s="35"/>
      <c r="GY753" s="35"/>
      <c r="GZ753" s="35"/>
      <c r="HA753" s="35"/>
      <c r="HB753" s="35"/>
      <c r="HC753" s="35"/>
      <c r="HD753" s="35"/>
      <c r="HE753" s="35"/>
      <c r="HF753" s="35"/>
      <c r="HG753" s="35"/>
      <c r="HH753" s="35"/>
      <c r="HI753" s="35"/>
      <c r="HJ753" s="35"/>
      <c r="HK753" s="35"/>
      <c r="HL753" s="35"/>
      <c r="HM753" s="35"/>
      <c r="HN753" s="35"/>
      <c r="HO753" s="35"/>
      <c r="HP753" s="35"/>
      <c r="HQ753" s="35"/>
      <c r="HR753" s="35"/>
      <c r="HS753" s="35"/>
      <c r="HT753" s="35"/>
      <c r="HU753" s="35"/>
      <c r="HV753" s="35"/>
      <c r="HW753" s="35"/>
      <c r="HX753" s="35"/>
      <c r="HY753" s="35"/>
      <c r="HZ753" s="35"/>
      <c r="IA753" s="35"/>
      <c r="IB753" s="35"/>
      <c r="IC753" s="35"/>
      <c r="ID753" s="35"/>
      <c r="IE753" s="35"/>
      <c r="IF753" s="35"/>
      <c r="IG753" s="35"/>
      <c r="IH753" s="35"/>
      <c r="II753" s="35"/>
      <c r="IJ753" s="35"/>
      <c r="IK753" s="35"/>
      <c r="IL753" s="35"/>
      <c r="IM753" s="35"/>
      <c r="IN753" s="35"/>
      <c r="IO753" s="35"/>
      <c r="IP753" s="35"/>
      <c r="IQ753" s="35"/>
      <c r="IR753" s="35"/>
      <c r="IS753" s="35"/>
      <c r="IT753" s="35"/>
      <c r="IU753" s="35"/>
      <c r="IV753" s="35"/>
      <c r="IW753" s="35"/>
      <c r="IX753" s="35"/>
      <c r="IY753" s="35"/>
      <c r="IZ753" s="35"/>
      <c r="JA753" s="35"/>
      <c r="JB753" s="35"/>
      <c r="JC753" s="35"/>
      <c r="JD753" s="35"/>
      <c r="JE753" s="35"/>
    </row>
    <row r="754">
      <c r="A754" s="42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  <c r="AZ754" s="35"/>
      <c r="BA754" s="35"/>
      <c r="BB754" s="35"/>
      <c r="BC754" s="35"/>
      <c r="BD754" s="35"/>
      <c r="BE754" s="35"/>
      <c r="BF754" s="35"/>
      <c r="BG754" s="35"/>
      <c r="BH754" s="35"/>
      <c r="BI754" s="35"/>
      <c r="BJ754" s="35"/>
      <c r="BK754" s="35"/>
      <c r="BL754" s="35"/>
      <c r="BM754" s="35"/>
      <c r="BN754" s="35"/>
      <c r="BO754" s="35"/>
      <c r="BP754" s="35"/>
      <c r="BQ754" s="35"/>
      <c r="BR754" s="35"/>
      <c r="BS754" s="35"/>
      <c r="BT754" s="35"/>
      <c r="BU754" s="35"/>
      <c r="BV754" s="35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35"/>
      <c r="CO754" s="35"/>
      <c r="CP754" s="35"/>
      <c r="CQ754" s="35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35"/>
      <c r="DJ754" s="35"/>
      <c r="DK754" s="35"/>
      <c r="DL754" s="35"/>
      <c r="DM754" s="35"/>
      <c r="DN754" s="35"/>
      <c r="DO754" s="35"/>
      <c r="DP754" s="35"/>
      <c r="DQ754" s="35"/>
      <c r="DR754" s="35"/>
      <c r="DS754" s="35"/>
      <c r="DT754" s="35"/>
      <c r="DU754" s="35"/>
      <c r="DV754" s="35"/>
      <c r="DW754" s="35"/>
      <c r="DX754" s="35"/>
      <c r="DY754" s="35"/>
      <c r="DZ754" s="35"/>
      <c r="EA754" s="35"/>
      <c r="EB754" s="35"/>
      <c r="EC754" s="35"/>
      <c r="ED754" s="35"/>
      <c r="EE754" s="35"/>
      <c r="EF754" s="35"/>
      <c r="EG754" s="35"/>
      <c r="EH754" s="35"/>
      <c r="EI754" s="35"/>
      <c r="EJ754" s="35"/>
      <c r="EK754" s="35"/>
      <c r="EL754" s="35"/>
      <c r="EM754" s="35"/>
      <c r="EN754" s="35"/>
      <c r="EO754" s="35"/>
      <c r="EP754" s="35"/>
      <c r="EQ754" s="35"/>
      <c r="ER754" s="35"/>
      <c r="ES754" s="35"/>
      <c r="ET754" s="35"/>
      <c r="EU754" s="35"/>
      <c r="EV754" s="35"/>
      <c r="EW754" s="35"/>
      <c r="EX754" s="35"/>
      <c r="EY754" s="35"/>
      <c r="EZ754" s="35"/>
      <c r="FA754" s="35"/>
      <c r="FB754" s="35"/>
      <c r="FC754" s="35"/>
      <c r="FD754" s="35"/>
      <c r="FE754" s="35"/>
      <c r="FF754" s="35"/>
      <c r="FG754" s="35"/>
      <c r="FH754" s="35"/>
      <c r="FI754" s="35"/>
      <c r="FJ754" s="35"/>
      <c r="FK754" s="35"/>
      <c r="FL754" s="35"/>
      <c r="FM754" s="35"/>
      <c r="FN754" s="35"/>
      <c r="FO754" s="35"/>
      <c r="FP754" s="35"/>
      <c r="FQ754" s="35"/>
      <c r="FR754" s="35"/>
      <c r="FS754" s="35"/>
      <c r="FT754" s="35"/>
      <c r="FU754" s="35"/>
      <c r="FV754" s="35"/>
      <c r="FW754" s="35"/>
      <c r="FX754" s="35"/>
      <c r="FY754" s="35"/>
      <c r="FZ754" s="35"/>
      <c r="GA754" s="35"/>
      <c r="GB754" s="35"/>
      <c r="GC754" s="35"/>
      <c r="GD754" s="35"/>
      <c r="GE754" s="35"/>
      <c r="GF754" s="35"/>
      <c r="GG754" s="35"/>
      <c r="GH754" s="35"/>
      <c r="GI754" s="35"/>
      <c r="GJ754" s="35"/>
      <c r="GK754" s="35"/>
      <c r="GL754" s="35"/>
      <c r="GM754" s="35"/>
      <c r="GN754" s="35"/>
      <c r="GO754" s="35"/>
      <c r="GP754" s="35"/>
      <c r="GQ754" s="35"/>
      <c r="GR754" s="35"/>
      <c r="GS754" s="35"/>
      <c r="GT754" s="35"/>
      <c r="GU754" s="35"/>
      <c r="GV754" s="35"/>
      <c r="GW754" s="35"/>
      <c r="GX754" s="35"/>
      <c r="GY754" s="35"/>
      <c r="GZ754" s="35"/>
      <c r="HA754" s="35"/>
      <c r="HB754" s="35"/>
      <c r="HC754" s="35"/>
      <c r="HD754" s="35"/>
      <c r="HE754" s="35"/>
      <c r="HF754" s="35"/>
      <c r="HG754" s="35"/>
      <c r="HH754" s="35"/>
      <c r="HI754" s="35"/>
      <c r="HJ754" s="35"/>
      <c r="HK754" s="35"/>
      <c r="HL754" s="35"/>
      <c r="HM754" s="35"/>
      <c r="HN754" s="35"/>
      <c r="HO754" s="35"/>
      <c r="HP754" s="35"/>
      <c r="HQ754" s="35"/>
      <c r="HR754" s="35"/>
      <c r="HS754" s="35"/>
      <c r="HT754" s="35"/>
      <c r="HU754" s="35"/>
      <c r="HV754" s="35"/>
      <c r="HW754" s="35"/>
      <c r="HX754" s="35"/>
      <c r="HY754" s="35"/>
      <c r="HZ754" s="35"/>
      <c r="IA754" s="35"/>
      <c r="IB754" s="35"/>
      <c r="IC754" s="35"/>
      <c r="ID754" s="35"/>
      <c r="IE754" s="35"/>
      <c r="IF754" s="35"/>
      <c r="IG754" s="35"/>
      <c r="IH754" s="35"/>
      <c r="II754" s="35"/>
      <c r="IJ754" s="35"/>
      <c r="IK754" s="35"/>
      <c r="IL754" s="35"/>
      <c r="IM754" s="35"/>
      <c r="IN754" s="35"/>
      <c r="IO754" s="35"/>
      <c r="IP754" s="35"/>
      <c r="IQ754" s="35"/>
      <c r="IR754" s="35"/>
      <c r="IS754" s="35"/>
      <c r="IT754" s="35"/>
      <c r="IU754" s="35"/>
      <c r="IV754" s="35"/>
      <c r="IW754" s="35"/>
      <c r="IX754" s="35"/>
      <c r="IY754" s="35"/>
      <c r="IZ754" s="35"/>
      <c r="JA754" s="35"/>
      <c r="JB754" s="35"/>
      <c r="JC754" s="35"/>
      <c r="JD754" s="35"/>
      <c r="JE754" s="35"/>
    </row>
    <row r="755">
      <c r="A755" s="42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  <c r="AZ755" s="35"/>
      <c r="BA755" s="35"/>
      <c r="BB755" s="35"/>
      <c r="BC755" s="35"/>
      <c r="BD755" s="35"/>
      <c r="BE755" s="35"/>
      <c r="BF755" s="35"/>
      <c r="BG755" s="35"/>
      <c r="BH755" s="35"/>
      <c r="BI755" s="35"/>
      <c r="BJ755" s="35"/>
      <c r="BK755" s="35"/>
      <c r="BL755" s="35"/>
      <c r="BM755" s="35"/>
      <c r="BN755" s="35"/>
      <c r="BO755" s="35"/>
      <c r="BP755" s="35"/>
      <c r="BQ755" s="35"/>
      <c r="BR755" s="35"/>
      <c r="BS755" s="35"/>
      <c r="BT755" s="35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35"/>
      <c r="CO755" s="35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35"/>
      <c r="DJ755" s="35"/>
      <c r="DK755" s="35"/>
      <c r="DL755" s="35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35"/>
      <c r="EE755" s="35"/>
      <c r="EF755" s="35"/>
      <c r="EG755" s="35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35"/>
      <c r="EZ755" s="35"/>
      <c r="FA755" s="35"/>
      <c r="FB755" s="35"/>
      <c r="FC755" s="35"/>
      <c r="FD755" s="35"/>
      <c r="FE755" s="35"/>
      <c r="FF755" s="35"/>
      <c r="FG755" s="35"/>
      <c r="FH755" s="35"/>
      <c r="FI755" s="35"/>
      <c r="FJ755" s="35"/>
      <c r="FK755" s="35"/>
      <c r="FL755" s="35"/>
      <c r="FM755" s="35"/>
      <c r="FN755" s="35"/>
      <c r="FO755" s="35"/>
      <c r="FP755" s="35"/>
      <c r="FQ755" s="35"/>
      <c r="FR755" s="35"/>
      <c r="FS755" s="35"/>
      <c r="FT755" s="35"/>
      <c r="FU755" s="35"/>
      <c r="FV755" s="35"/>
      <c r="FW755" s="35"/>
      <c r="FX755" s="35"/>
      <c r="FY755" s="35"/>
      <c r="FZ755" s="35"/>
      <c r="GA755" s="35"/>
      <c r="GB755" s="35"/>
      <c r="GC755" s="35"/>
      <c r="GD755" s="35"/>
      <c r="GE755" s="35"/>
      <c r="GF755" s="35"/>
      <c r="GG755" s="35"/>
      <c r="GH755" s="35"/>
      <c r="GI755" s="35"/>
      <c r="GJ755" s="35"/>
      <c r="GK755" s="35"/>
      <c r="GL755" s="35"/>
      <c r="GM755" s="35"/>
      <c r="GN755" s="35"/>
      <c r="GO755" s="35"/>
      <c r="GP755" s="35"/>
      <c r="GQ755" s="35"/>
      <c r="GR755" s="35"/>
      <c r="GS755" s="35"/>
      <c r="GT755" s="35"/>
      <c r="GU755" s="35"/>
      <c r="GV755" s="35"/>
      <c r="GW755" s="35"/>
      <c r="GX755" s="35"/>
      <c r="GY755" s="35"/>
      <c r="GZ755" s="35"/>
      <c r="HA755" s="35"/>
      <c r="HB755" s="35"/>
      <c r="HC755" s="35"/>
      <c r="HD755" s="35"/>
      <c r="HE755" s="35"/>
      <c r="HF755" s="35"/>
      <c r="HG755" s="35"/>
      <c r="HH755" s="35"/>
      <c r="HI755" s="35"/>
      <c r="HJ755" s="35"/>
      <c r="HK755" s="35"/>
      <c r="HL755" s="35"/>
      <c r="HM755" s="35"/>
      <c r="HN755" s="35"/>
      <c r="HO755" s="35"/>
      <c r="HP755" s="35"/>
      <c r="HQ755" s="35"/>
      <c r="HR755" s="35"/>
      <c r="HS755" s="35"/>
      <c r="HT755" s="35"/>
      <c r="HU755" s="35"/>
      <c r="HV755" s="35"/>
      <c r="HW755" s="35"/>
      <c r="HX755" s="35"/>
      <c r="HY755" s="35"/>
      <c r="HZ755" s="35"/>
      <c r="IA755" s="35"/>
      <c r="IB755" s="35"/>
      <c r="IC755" s="35"/>
      <c r="ID755" s="35"/>
      <c r="IE755" s="35"/>
      <c r="IF755" s="35"/>
      <c r="IG755" s="35"/>
      <c r="IH755" s="35"/>
      <c r="II755" s="35"/>
      <c r="IJ755" s="35"/>
      <c r="IK755" s="35"/>
      <c r="IL755" s="35"/>
      <c r="IM755" s="35"/>
      <c r="IN755" s="35"/>
      <c r="IO755" s="35"/>
      <c r="IP755" s="35"/>
      <c r="IQ755" s="35"/>
      <c r="IR755" s="35"/>
      <c r="IS755" s="35"/>
      <c r="IT755" s="35"/>
      <c r="IU755" s="35"/>
      <c r="IV755" s="35"/>
      <c r="IW755" s="35"/>
      <c r="IX755" s="35"/>
      <c r="IY755" s="35"/>
      <c r="IZ755" s="35"/>
      <c r="JA755" s="35"/>
      <c r="JB755" s="35"/>
      <c r="JC755" s="35"/>
      <c r="JD755" s="35"/>
      <c r="JE755" s="35"/>
    </row>
    <row r="756">
      <c r="A756" s="42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  <c r="AZ756" s="35"/>
      <c r="BA756" s="35"/>
      <c r="BB756" s="35"/>
      <c r="BC756" s="35"/>
      <c r="BD756" s="35"/>
      <c r="BE756" s="35"/>
      <c r="BF756" s="35"/>
      <c r="BG756" s="35"/>
      <c r="BH756" s="35"/>
      <c r="BI756" s="35"/>
      <c r="BJ756" s="35"/>
      <c r="BK756" s="35"/>
      <c r="BL756" s="35"/>
      <c r="BM756" s="35"/>
      <c r="BN756" s="35"/>
      <c r="BO756" s="35"/>
      <c r="BP756" s="35"/>
      <c r="BQ756" s="35"/>
      <c r="BR756" s="35"/>
      <c r="BS756" s="35"/>
      <c r="BT756" s="35"/>
      <c r="BU756" s="35"/>
      <c r="BV756" s="35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35"/>
      <c r="CO756" s="35"/>
      <c r="CP756" s="35"/>
      <c r="CQ756" s="35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35"/>
      <c r="DJ756" s="35"/>
      <c r="DK756" s="35"/>
      <c r="DL756" s="35"/>
      <c r="DM756" s="35"/>
      <c r="DN756" s="35"/>
      <c r="DO756" s="35"/>
      <c r="DP756" s="35"/>
      <c r="DQ756" s="35"/>
      <c r="DR756" s="35"/>
      <c r="DS756" s="35"/>
      <c r="DT756" s="35"/>
      <c r="DU756" s="35"/>
      <c r="DV756" s="35"/>
      <c r="DW756" s="35"/>
      <c r="DX756" s="35"/>
      <c r="DY756" s="35"/>
      <c r="DZ756" s="35"/>
      <c r="EA756" s="35"/>
      <c r="EB756" s="35"/>
      <c r="EC756" s="35"/>
      <c r="ED756" s="35"/>
      <c r="EE756" s="35"/>
      <c r="EF756" s="35"/>
      <c r="EG756" s="35"/>
      <c r="EH756" s="35"/>
      <c r="EI756" s="35"/>
      <c r="EJ756" s="35"/>
      <c r="EK756" s="35"/>
      <c r="EL756" s="35"/>
      <c r="EM756" s="35"/>
      <c r="EN756" s="35"/>
      <c r="EO756" s="35"/>
      <c r="EP756" s="35"/>
      <c r="EQ756" s="35"/>
      <c r="ER756" s="35"/>
      <c r="ES756" s="35"/>
      <c r="ET756" s="35"/>
      <c r="EU756" s="35"/>
      <c r="EV756" s="35"/>
      <c r="EW756" s="35"/>
      <c r="EX756" s="35"/>
      <c r="EY756" s="35"/>
      <c r="EZ756" s="35"/>
      <c r="FA756" s="35"/>
      <c r="FB756" s="35"/>
      <c r="FC756" s="35"/>
      <c r="FD756" s="35"/>
      <c r="FE756" s="35"/>
      <c r="FF756" s="35"/>
      <c r="FG756" s="35"/>
      <c r="FH756" s="35"/>
      <c r="FI756" s="35"/>
      <c r="FJ756" s="35"/>
      <c r="FK756" s="35"/>
      <c r="FL756" s="35"/>
      <c r="FM756" s="35"/>
      <c r="FN756" s="35"/>
      <c r="FO756" s="35"/>
      <c r="FP756" s="35"/>
      <c r="FQ756" s="35"/>
      <c r="FR756" s="35"/>
      <c r="FS756" s="35"/>
      <c r="FT756" s="35"/>
      <c r="FU756" s="35"/>
      <c r="FV756" s="35"/>
      <c r="FW756" s="35"/>
      <c r="FX756" s="35"/>
      <c r="FY756" s="35"/>
      <c r="FZ756" s="35"/>
      <c r="GA756" s="35"/>
      <c r="GB756" s="35"/>
      <c r="GC756" s="35"/>
      <c r="GD756" s="35"/>
      <c r="GE756" s="35"/>
      <c r="GF756" s="35"/>
      <c r="GG756" s="35"/>
      <c r="GH756" s="35"/>
      <c r="GI756" s="35"/>
      <c r="GJ756" s="35"/>
      <c r="GK756" s="35"/>
      <c r="GL756" s="35"/>
      <c r="GM756" s="35"/>
      <c r="GN756" s="35"/>
      <c r="GO756" s="35"/>
      <c r="GP756" s="35"/>
      <c r="GQ756" s="35"/>
      <c r="GR756" s="35"/>
      <c r="GS756" s="35"/>
      <c r="GT756" s="35"/>
      <c r="GU756" s="35"/>
      <c r="GV756" s="35"/>
      <c r="GW756" s="35"/>
      <c r="GX756" s="35"/>
      <c r="GY756" s="35"/>
      <c r="GZ756" s="35"/>
      <c r="HA756" s="35"/>
      <c r="HB756" s="35"/>
      <c r="HC756" s="35"/>
      <c r="HD756" s="35"/>
      <c r="HE756" s="35"/>
      <c r="HF756" s="35"/>
      <c r="HG756" s="35"/>
      <c r="HH756" s="35"/>
      <c r="HI756" s="35"/>
      <c r="HJ756" s="35"/>
      <c r="HK756" s="35"/>
      <c r="HL756" s="35"/>
      <c r="HM756" s="35"/>
      <c r="HN756" s="35"/>
      <c r="HO756" s="35"/>
      <c r="HP756" s="35"/>
      <c r="HQ756" s="35"/>
      <c r="HR756" s="35"/>
      <c r="HS756" s="35"/>
      <c r="HT756" s="35"/>
      <c r="HU756" s="35"/>
      <c r="HV756" s="35"/>
      <c r="HW756" s="35"/>
      <c r="HX756" s="35"/>
      <c r="HY756" s="35"/>
      <c r="HZ756" s="35"/>
      <c r="IA756" s="35"/>
      <c r="IB756" s="35"/>
      <c r="IC756" s="35"/>
      <c r="ID756" s="35"/>
      <c r="IE756" s="35"/>
      <c r="IF756" s="35"/>
      <c r="IG756" s="35"/>
      <c r="IH756" s="35"/>
      <c r="II756" s="35"/>
      <c r="IJ756" s="35"/>
      <c r="IK756" s="35"/>
      <c r="IL756" s="35"/>
      <c r="IM756" s="35"/>
      <c r="IN756" s="35"/>
      <c r="IO756" s="35"/>
      <c r="IP756" s="35"/>
      <c r="IQ756" s="35"/>
      <c r="IR756" s="35"/>
      <c r="IS756" s="35"/>
      <c r="IT756" s="35"/>
      <c r="IU756" s="35"/>
      <c r="IV756" s="35"/>
      <c r="IW756" s="35"/>
      <c r="IX756" s="35"/>
      <c r="IY756" s="35"/>
      <c r="IZ756" s="35"/>
      <c r="JA756" s="35"/>
      <c r="JB756" s="35"/>
      <c r="JC756" s="35"/>
      <c r="JD756" s="35"/>
      <c r="JE756" s="35"/>
    </row>
    <row r="757">
      <c r="A757" s="42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  <c r="AZ757" s="35"/>
      <c r="BA757" s="35"/>
      <c r="BB757" s="35"/>
      <c r="BC757" s="35"/>
      <c r="BD757" s="35"/>
      <c r="BE757" s="35"/>
      <c r="BF757" s="35"/>
      <c r="BG757" s="35"/>
      <c r="BH757" s="35"/>
      <c r="BI757" s="35"/>
      <c r="BJ757" s="35"/>
      <c r="BK757" s="35"/>
      <c r="BL757" s="35"/>
      <c r="BM757" s="35"/>
      <c r="BN757" s="35"/>
      <c r="BO757" s="35"/>
      <c r="BP757" s="35"/>
      <c r="BQ757" s="35"/>
      <c r="BR757" s="35"/>
      <c r="BS757" s="35"/>
      <c r="BT757" s="35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35"/>
      <c r="CO757" s="35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35"/>
      <c r="DJ757" s="35"/>
      <c r="DK757" s="35"/>
      <c r="DL757" s="35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35"/>
      <c r="EE757" s="35"/>
      <c r="EF757" s="35"/>
      <c r="EG757" s="35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35"/>
      <c r="EZ757" s="35"/>
      <c r="FA757" s="35"/>
      <c r="FB757" s="35"/>
      <c r="FC757" s="35"/>
      <c r="FD757" s="35"/>
      <c r="FE757" s="35"/>
      <c r="FF757" s="35"/>
      <c r="FG757" s="35"/>
      <c r="FH757" s="35"/>
      <c r="FI757" s="35"/>
      <c r="FJ757" s="35"/>
      <c r="FK757" s="35"/>
      <c r="FL757" s="35"/>
      <c r="FM757" s="35"/>
      <c r="FN757" s="35"/>
      <c r="FO757" s="35"/>
      <c r="FP757" s="35"/>
      <c r="FQ757" s="35"/>
      <c r="FR757" s="35"/>
      <c r="FS757" s="35"/>
      <c r="FT757" s="35"/>
      <c r="FU757" s="35"/>
      <c r="FV757" s="35"/>
      <c r="FW757" s="35"/>
      <c r="FX757" s="35"/>
      <c r="FY757" s="35"/>
      <c r="FZ757" s="35"/>
      <c r="GA757" s="35"/>
      <c r="GB757" s="35"/>
      <c r="GC757" s="35"/>
      <c r="GD757" s="35"/>
      <c r="GE757" s="35"/>
      <c r="GF757" s="35"/>
      <c r="GG757" s="35"/>
      <c r="GH757" s="35"/>
      <c r="GI757" s="35"/>
      <c r="GJ757" s="35"/>
      <c r="GK757" s="35"/>
      <c r="GL757" s="35"/>
      <c r="GM757" s="35"/>
      <c r="GN757" s="35"/>
      <c r="GO757" s="35"/>
      <c r="GP757" s="35"/>
      <c r="GQ757" s="35"/>
      <c r="GR757" s="35"/>
      <c r="GS757" s="35"/>
      <c r="GT757" s="35"/>
      <c r="GU757" s="35"/>
      <c r="GV757" s="35"/>
      <c r="GW757" s="35"/>
      <c r="GX757" s="35"/>
      <c r="GY757" s="35"/>
      <c r="GZ757" s="35"/>
      <c r="HA757" s="35"/>
      <c r="HB757" s="35"/>
      <c r="HC757" s="35"/>
      <c r="HD757" s="35"/>
      <c r="HE757" s="35"/>
      <c r="HF757" s="35"/>
      <c r="HG757" s="35"/>
      <c r="HH757" s="35"/>
      <c r="HI757" s="35"/>
      <c r="HJ757" s="35"/>
      <c r="HK757" s="35"/>
      <c r="HL757" s="35"/>
      <c r="HM757" s="35"/>
      <c r="HN757" s="35"/>
      <c r="HO757" s="35"/>
      <c r="HP757" s="35"/>
      <c r="HQ757" s="35"/>
      <c r="HR757" s="35"/>
      <c r="HS757" s="35"/>
      <c r="HT757" s="35"/>
      <c r="HU757" s="35"/>
      <c r="HV757" s="35"/>
      <c r="HW757" s="35"/>
      <c r="HX757" s="35"/>
      <c r="HY757" s="35"/>
      <c r="HZ757" s="35"/>
      <c r="IA757" s="35"/>
      <c r="IB757" s="35"/>
      <c r="IC757" s="35"/>
      <c r="ID757" s="35"/>
      <c r="IE757" s="35"/>
      <c r="IF757" s="35"/>
      <c r="IG757" s="35"/>
      <c r="IH757" s="35"/>
      <c r="II757" s="35"/>
      <c r="IJ757" s="35"/>
      <c r="IK757" s="35"/>
      <c r="IL757" s="35"/>
      <c r="IM757" s="35"/>
      <c r="IN757" s="35"/>
      <c r="IO757" s="35"/>
      <c r="IP757" s="35"/>
      <c r="IQ757" s="35"/>
      <c r="IR757" s="35"/>
      <c r="IS757" s="35"/>
      <c r="IT757" s="35"/>
      <c r="IU757" s="35"/>
      <c r="IV757" s="35"/>
      <c r="IW757" s="35"/>
      <c r="IX757" s="35"/>
      <c r="IY757" s="35"/>
      <c r="IZ757" s="35"/>
      <c r="JA757" s="35"/>
      <c r="JB757" s="35"/>
      <c r="JC757" s="35"/>
      <c r="JD757" s="35"/>
      <c r="JE757" s="35"/>
    </row>
    <row r="758">
      <c r="A758" s="42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  <c r="AZ758" s="35"/>
      <c r="BA758" s="35"/>
      <c r="BB758" s="35"/>
      <c r="BC758" s="35"/>
      <c r="BD758" s="35"/>
      <c r="BE758" s="35"/>
      <c r="BF758" s="35"/>
      <c r="BG758" s="35"/>
      <c r="BH758" s="35"/>
      <c r="BI758" s="35"/>
      <c r="BJ758" s="35"/>
      <c r="BK758" s="35"/>
      <c r="BL758" s="35"/>
      <c r="BM758" s="35"/>
      <c r="BN758" s="35"/>
      <c r="BO758" s="35"/>
      <c r="BP758" s="35"/>
      <c r="BQ758" s="35"/>
      <c r="BR758" s="35"/>
      <c r="BS758" s="35"/>
      <c r="BT758" s="35"/>
      <c r="BU758" s="35"/>
      <c r="BV758" s="35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35"/>
      <c r="CO758" s="35"/>
      <c r="CP758" s="35"/>
      <c r="CQ758" s="35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35"/>
      <c r="DJ758" s="35"/>
      <c r="DK758" s="35"/>
      <c r="DL758" s="35"/>
      <c r="DM758" s="35"/>
      <c r="DN758" s="35"/>
      <c r="DO758" s="35"/>
      <c r="DP758" s="35"/>
      <c r="DQ758" s="35"/>
      <c r="DR758" s="35"/>
      <c r="DS758" s="35"/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s="35"/>
      <c r="EE758" s="35"/>
      <c r="EF758" s="35"/>
      <c r="EG758" s="35"/>
      <c r="EH758" s="35"/>
      <c r="EI758" s="35"/>
      <c r="EJ758" s="35"/>
      <c r="EK758" s="35"/>
      <c r="EL758" s="35"/>
      <c r="EM758" s="35"/>
      <c r="EN758" s="35"/>
      <c r="EO758" s="35"/>
      <c r="EP758" s="35"/>
      <c r="EQ758" s="35"/>
      <c r="ER758" s="35"/>
      <c r="ES758" s="35"/>
      <c r="ET758" s="35"/>
      <c r="EU758" s="35"/>
      <c r="EV758" s="35"/>
      <c r="EW758" s="35"/>
      <c r="EX758" s="35"/>
      <c r="EY758" s="35"/>
      <c r="EZ758" s="35"/>
      <c r="FA758" s="35"/>
      <c r="FB758" s="35"/>
      <c r="FC758" s="35"/>
      <c r="FD758" s="35"/>
      <c r="FE758" s="35"/>
      <c r="FF758" s="35"/>
      <c r="FG758" s="35"/>
      <c r="FH758" s="35"/>
      <c r="FI758" s="35"/>
      <c r="FJ758" s="35"/>
      <c r="FK758" s="35"/>
      <c r="FL758" s="35"/>
      <c r="FM758" s="35"/>
      <c r="FN758" s="35"/>
      <c r="FO758" s="35"/>
      <c r="FP758" s="35"/>
      <c r="FQ758" s="35"/>
      <c r="FR758" s="35"/>
      <c r="FS758" s="35"/>
      <c r="FT758" s="35"/>
      <c r="FU758" s="35"/>
      <c r="FV758" s="35"/>
      <c r="FW758" s="35"/>
      <c r="FX758" s="35"/>
      <c r="FY758" s="35"/>
      <c r="FZ758" s="35"/>
      <c r="GA758" s="35"/>
      <c r="GB758" s="35"/>
      <c r="GC758" s="35"/>
      <c r="GD758" s="35"/>
      <c r="GE758" s="35"/>
      <c r="GF758" s="35"/>
      <c r="GG758" s="35"/>
      <c r="GH758" s="35"/>
      <c r="GI758" s="35"/>
      <c r="GJ758" s="35"/>
      <c r="GK758" s="35"/>
      <c r="GL758" s="35"/>
      <c r="GM758" s="35"/>
      <c r="GN758" s="35"/>
      <c r="GO758" s="35"/>
      <c r="GP758" s="35"/>
      <c r="GQ758" s="35"/>
      <c r="GR758" s="35"/>
      <c r="GS758" s="35"/>
      <c r="GT758" s="35"/>
      <c r="GU758" s="35"/>
      <c r="GV758" s="35"/>
      <c r="GW758" s="35"/>
      <c r="GX758" s="35"/>
      <c r="GY758" s="35"/>
      <c r="GZ758" s="35"/>
      <c r="HA758" s="35"/>
      <c r="HB758" s="35"/>
      <c r="HC758" s="35"/>
      <c r="HD758" s="35"/>
      <c r="HE758" s="35"/>
      <c r="HF758" s="35"/>
      <c r="HG758" s="35"/>
      <c r="HH758" s="35"/>
      <c r="HI758" s="35"/>
      <c r="HJ758" s="35"/>
      <c r="HK758" s="35"/>
      <c r="HL758" s="35"/>
      <c r="HM758" s="35"/>
      <c r="HN758" s="35"/>
      <c r="HO758" s="35"/>
      <c r="HP758" s="35"/>
      <c r="HQ758" s="35"/>
      <c r="HR758" s="35"/>
      <c r="HS758" s="35"/>
      <c r="HT758" s="35"/>
      <c r="HU758" s="35"/>
      <c r="HV758" s="35"/>
      <c r="HW758" s="35"/>
      <c r="HX758" s="35"/>
      <c r="HY758" s="35"/>
      <c r="HZ758" s="35"/>
      <c r="IA758" s="35"/>
      <c r="IB758" s="35"/>
      <c r="IC758" s="35"/>
      <c r="ID758" s="35"/>
      <c r="IE758" s="35"/>
      <c r="IF758" s="35"/>
      <c r="IG758" s="35"/>
      <c r="IH758" s="35"/>
      <c r="II758" s="35"/>
      <c r="IJ758" s="35"/>
      <c r="IK758" s="35"/>
      <c r="IL758" s="35"/>
      <c r="IM758" s="35"/>
      <c r="IN758" s="35"/>
      <c r="IO758" s="35"/>
      <c r="IP758" s="35"/>
      <c r="IQ758" s="35"/>
      <c r="IR758" s="35"/>
      <c r="IS758" s="35"/>
      <c r="IT758" s="35"/>
      <c r="IU758" s="35"/>
      <c r="IV758" s="35"/>
      <c r="IW758" s="35"/>
      <c r="IX758" s="35"/>
      <c r="IY758" s="35"/>
      <c r="IZ758" s="35"/>
      <c r="JA758" s="35"/>
      <c r="JB758" s="35"/>
      <c r="JC758" s="35"/>
      <c r="JD758" s="35"/>
      <c r="JE758" s="35"/>
    </row>
    <row r="759">
      <c r="A759" s="42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  <c r="AZ759" s="35"/>
      <c r="BA759" s="35"/>
      <c r="BB759" s="35"/>
      <c r="BC759" s="35"/>
      <c r="BD759" s="35"/>
      <c r="BE759" s="35"/>
      <c r="BF759" s="35"/>
      <c r="BG759" s="35"/>
      <c r="BH759" s="35"/>
      <c r="BI759" s="35"/>
      <c r="BJ759" s="35"/>
      <c r="BK759" s="35"/>
      <c r="BL759" s="35"/>
      <c r="BM759" s="35"/>
      <c r="BN759" s="35"/>
      <c r="BO759" s="35"/>
      <c r="BP759" s="35"/>
      <c r="BQ759" s="35"/>
      <c r="BR759" s="35"/>
      <c r="BS759" s="35"/>
      <c r="BT759" s="35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35"/>
      <c r="CO759" s="35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35"/>
      <c r="DJ759" s="35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35"/>
      <c r="EE759" s="35"/>
      <c r="EF759" s="35"/>
      <c r="EG759" s="35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35"/>
      <c r="EZ759" s="35"/>
      <c r="FA759" s="35"/>
      <c r="FB759" s="35"/>
      <c r="FC759" s="35"/>
      <c r="FD759" s="35"/>
      <c r="FE759" s="35"/>
      <c r="FF759" s="35"/>
      <c r="FG759" s="35"/>
      <c r="FH759" s="35"/>
      <c r="FI759" s="35"/>
      <c r="FJ759" s="35"/>
      <c r="FK759" s="35"/>
      <c r="FL759" s="35"/>
      <c r="FM759" s="35"/>
      <c r="FN759" s="35"/>
      <c r="FO759" s="35"/>
      <c r="FP759" s="35"/>
      <c r="FQ759" s="35"/>
      <c r="FR759" s="35"/>
      <c r="FS759" s="35"/>
      <c r="FT759" s="35"/>
      <c r="FU759" s="35"/>
      <c r="FV759" s="35"/>
      <c r="FW759" s="35"/>
      <c r="FX759" s="35"/>
      <c r="FY759" s="35"/>
      <c r="FZ759" s="35"/>
      <c r="GA759" s="35"/>
      <c r="GB759" s="35"/>
      <c r="GC759" s="35"/>
      <c r="GD759" s="35"/>
      <c r="GE759" s="35"/>
      <c r="GF759" s="35"/>
      <c r="GG759" s="35"/>
      <c r="GH759" s="35"/>
      <c r="GI759" s="35"/>
      <c r="GJ759" s="35"/>
      <c r="GK759" s="35"/>
      <c r="GL759" s="35"/>
      <c r="GM759" s="35"/>
      <c r="GN759" s="35"/>
      <c r="GO759" s="35"/>
      <c r="GP759" s="35"/>
      <c r="GQ759" s="35"/>
      <c r="GR759" s="35"/>
      <c r="GS759" s="35"/>
      <c r="GT759" s="35"/>
      <c r="GU759" s="35"/>
      <c r="GV759" s="35"/>
      <c r="GW759" s="35"/>
      <c r="GX759" s="35"/>
      <c r="GY759" s="35"/>
      <c r="GZ759" s="35"/>
      <c r="HA759" s="35"/>
      <c r="HB759" s="35"/>
      <c r="HC759" s="35"/>
      <c r="HD759" s="35"/>
      <c r="HE759" s="35"/>
      <c r="HF759" s="35"/>
      <c r="HG759" s="35"/>
      <c r="HH759" s="35"/>
      <c r="HI759" s="35"/>
      <c r="HJ759" s="35"/>
      <c r="HK759" s="35"/>
      <c r="HL759" s="35"/>
      <c r="HM759" s="35"/>
      <c r="HN759" s="35"/>
      <c r="HO759" s="35"/>
      <c r="HP759" s="35"/>
      <c r="HQ759" s="35"/>
      <c r="HR759" s="35"/>
      <c r="HS759" s="35"/>
      <c r="HT759" s="35"/>
      <c r="HU759" s="35"/>
      <c r="HV759" s="35"/>
      <c r="HW759" s="35"/>
      <c r="HX759" s="35"/>
      <c r="HY759" s="35"/>
      <c r="HZ759" s="35"/>
      <c r="IA759" s="35"/>
      <c r="IB759" s="35"/>
      <c r="IC759" s="35"/>
      <c r="ID759" s="35"/>
      <c r="IE759" s="35"/>
      <c r="IF759" s="35"/>
      <c r="IG759" s="35"/>
      <c r="IH759" s="35"/>
      <c r="II759" s="35"/>
      <c r="IJ759" s="35"/>
      <c r="IK759" s="35"/>
      <c r="IL759" s="35"/>
      <c r="IM759" s="35"/>
      <c r="IN759" s="35"/>
      <c r="IO759" s="35"/>
      <c r="IP759" s="35"/>
      <c r="IQ759" s="35"/>
      <c r="IR759" s="35"/>
      <c r="IS759" s="35"/>
      <c r="IT759" s="35"/>
      <c r="IU759" s="35"/>
      <c r="IV759" s="35"/>
      <c r="IW759" s="35"/>
      <c r="IX759" s="35"/>
      <c r="IY759" s="35"/>
      <c r="IZ759" s="35"/>
      <c r="JA759" s="35"/>
      <c r="JB759" s="35"/>
      <c r="JC759" s="35"/>
      <c r="JD759" s="35"/>
      <c r="JE759" s="35"/>
    </row>
    <row r="760">
      <c r="A760" s="42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  <c r="AZ760" s="35"/>
      <c r="BA760" s="35"/>
      <c r="BB760" s="35"/>
      <c r="BC760" s="35"/>
      <c r="BD760" s="35"/>
      <c r="BE760" s="35"/>
      <c r="BF760" s="35"/>
      <c r="BG760" s="35"/>
      <c r="BH760" s="35"/>
      <c r="BI760" s="35"/>
      <c r="BJ760" s="35"/>
      <c r="BK760" s="35"/>
      <c r="BL760" s="35"/>
      <c r="BM760" s="35"/>
      <c r="BN760" s="35"/>
      <c r="BO760" s="35"/>
      <c r="BP760" s="35"/>
      <c r="BQ760" s="35"/>
      <c r="BR760" s="35"/>
      <c r="BS760" s="35"/>
      <c r="BT760" s="35"/>
      <c r="BU760" s="35"/>
      <c r="BV760" s="35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35"/>
      <c r="CO760" s="35"/>
      <c r="CP760" s="35"/>
      <c r="CQ760" s="35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35"/>
      <c r="DJ760" s="35"/>
      <c r="DK760" s="35"/>
      <c r="DL760" s="35"/>
      <c r="DM760" s="35"/>
      <c r="DN760" s="35"/>
      <c r="DO760" s="35"/>
      <c r="DP760" s="35"/>
      <c r="DQ760" s="35"/>
      <c r="DR760" s="35"/>
      <c r="DS760" s="35"/>
      <c r="DT760" s="35"/>
      <c r="DU760" s="35"/>
      <c r="DV760" s="35"/>
      <c r="DW760" s="35"/>
      <c r="DX760" s="35"/>
      <c r="DY760" s="35"/>
      <c r="DZ760" s="35"/>
      <c r="EA760" s="35"/>
      <c r="EB760" s="35"/>
      <c r="EC760" s="35"/>
      <c r="ED760" s="35"/>
      <c r="EE760" s="35"/>
      <c r="EF760" s="35"/>
      <c r="EG760" s="35"/>
      <c r="EH760" s="35"/>
      <c r="EI760" s="35"/>
      <c r="EJ760" s="35"/>
      <c r="EK760" s="35"/>
      <c r="EL760" s="35"/>
      <c r="EM760" s="35"/>
      <c r="EN760" s="35"/>
      <c r="EO760" s="35"/>
      <c r="EP760" s="35"/>
      <c r="EQ760" s="35"/>
      <c r="ER760" s="35"/>
      <c r="ES760" s="35"/>
      <c r="ET760" s="35"/>
      <c r="EU760" s="35"/>
      <c r="EV760" s="35"/>
      <c r="EW760" s="35"/>
      <c r="EX760" s="35"/>
      <c r="EY760" s="35"/>
      <c r="EZ760" s="35"/>
      <c r="FA760" s="35"/>
      <c r="FB760" s="35"/>
      <c r="FC760" s="35"/>
      <c r="FD760" s="35"/>
      <c r="FE760" s="35"/>
      <c r="FF760" s="35"/>
      <c r="FG760" s="35"/>
      <c r="FH760" s="35"/>
      <c r="FI760" s="35"/>
      <c r="FJ760" s="35"/>
      <c r="FK760" s="35"/>
      <c r="FL760" s="35"/>
      <c r="FM760" s="35"/>
      <c r="FN760" s="35"/>
      <c r="FO760" s="35"/>
      <c r="FP760" s="35"/>
      <c r="FQ760" s="35"/>
      <c r="FR760" s="35"/>
      <c r="FS760" s="35"/>
      <c r="FT760" s="35"/>
      <c r="FU760" s="35"/>
      <c r="FV760" s="35"/>
      <c r="FW760" s="35"/>
      <c r="FX760" s="35"/>
      <c r="FY760" s="35"/>
      <c r="FZ760" s="35"/>
      <c r="GA760" s="35"/>
      <c r="GB760" s="35"/>
      <c r="GC760" s="35"/>
      <c r="GD760" s="35"/>
      <c r="GE760" s="35"/>
      <c r="GF760" s="35"/>
      <c r="GG760" s="35"/>
      <c r="GH760" s="35"/>
      <c r="GI760" s="35"/>
      <c r="GJ760" s="35"/>
      <c r="GK760" s="35"/>
      <c r="GL760" s="35"/>
      <c r="GM760" s="35"/>
      <c r="GN760" s="35"/>
      <c r="GO760" s="35"/>
      <c r="GP760" s="35"/>
      <c r="GQ760" s="35"/>
      <c r="GR760" s="35"/>
      <c r="GS760" s="35"/>
      <c r="GT760" s="35"/>
      <c r="GU760" s="35"/>
      <c r="GV760" s="35"/>
      <c r="GW760" s="35"/>
      <c r="GX760" s="35"/>
      <c r="GY760" s="35"/>
      <c r="GZ760" s="35"/>
      <c r="HA760" s="35"/>
      <c r="HB760" s="35"/>
      <c r="HC760" s="35"/>
      <c r="HD760" s="35"/>
      <c r="HE760" s="35"/>
      <c r="HF760" s="35"/>
      <c r="HG760" s="35"/>
      <c r="HH760" s="35"/>
      <c r="HI760" s="35"/>
      <c r="HJ760" s="35"/>
      <c r="HK760" s="35"/>
      <c r="HL760" s="35"/>
      <c r="HM760" s="35"/>
      <c r="HN760" s="35"/>
      <c r="HO760" s="35"/>
      <c r="HP760" s="35"/>
      <c r="HQ760" s="35"/>
      <c r="HR760" s="35"/>
      <c r="HS760" s="35"/>
      <c r="HT760" s="35"/>
      <c r="HU760" s="35"/>
      <c r="HV760" s="35"/>
      <c r="HW760" s="35"/>
      <c r="HX760" s="35"/>
      <c r="HY760" s="35"/>
      <c r="HZ760" s="35"/>
      <c r="IA760" s="35"/>
      <c r="IB760" s="35"/>
      <c r="IC760" s="35"/>
      <c r="ID760" s="35"/>
      <c r="IE760" s="35"/>
      <c r="IF760" s="35"/>
      <c r="IG760" s="35"/>
      <c r="IH760" s="35"/>
      <c r="II760" s="35"/>
      <c r="IJ760" s="35"/>
      <c r="IK760" s="35"/>
      <c r="IL760" s="35"/>
      <c r="IM760" s="35"/>
      <c r="IN760" s="35"/>
      <c r="IO760" s="35"/>
      <c r="IP760" s="35"/>
      <c r="IQ760" s="35"/>
      <c r="IR760" s="35"/>
      <c r="IS760" s="35"/>
      <c r="IT760" s="35"/>
      <c r="IU760" s="35"/>
      <c r="IV760" s="35"/>
      <c r="IW760" s="35"/>
      <c r="IX760" s="35"/>
      <c r="IY760" s="35"/>
      <c r="IZ760" s="35"/>
      <c r="JA760" s="35"/>
      <c r="JB760" s="35"/>
      <c r="JC760" s="35"/>
      <c r="JD760" s="35"/>
      <c r="JE760" s="35"/>
    </row>
    <row r="761">
      <c r="A761" s="42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  <c r="AZ761" s="35"/>
      <c r="BA761" s="35"/>
      <c r="BB761" s="35"/>
      <c r="BC761" s="35"/>
      <c r="BD761" s="35"/>
      <c r="BE761" s="35"/>
      <c r="BF761" s="35"/>
      <c r="BG761" s="35"/>
      <c r="BH761" s="35"/>
      <c r="BI761" s="35"/>
      <c r="BJ761" s="35"/>
      <c r="BK761" s="35"/>
      <c r="BL761" s="35"/>
      <c r="BM761" s="35"/>
      <c r="BN761" s="35"/>
      <c r="BO761" s="35"/>
      <c r="BP761" s="35"/>
      <c r="BQ761" s="35"/>
      <c r="BR761" s="35"/>
      <c r="BS761" s="35"/>
      <c r="BT761" s="35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35"/>
      <c r="CO761" s="35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35"/>
      <c r="DJ761" s="35"/>
      <c r="DK761" s="35"/>
      <c r="DL761" s="35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35"/>
      <c r="EE761" s="35"/>
      <c r="EF761" s="35"/>
      <c r="EG761" s="35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35"/>
      <c r="EZ761" s="35"/>
      <c r="FA761" s="35"/>
      <c r="FB761" s="35"/>
      <c r="FC761" s="35"/>
      <c r="FD761" s="35"/>
      <c r="FE761" s="35"/>
      <c r="FF761" s="35"/>
      <c r="FG761" s="35"/>
      <c r="FH761" s="35"/>
      <c r="FI761" s="35"/>
      <c r="FJ761" s="35"/>
      <c r="FK761" s="35"/>
      <c r="FL761" s="35"/>
      <c r="FM761" s="35"/>
      <c r="FN761" s="35"/>
      <c r="FO761" s="35"/>
      <c r="FP761" s="35"/>
      <c r="FQ761" s="35"/>
      <c r="FR761" s="35"/>
      <c r="FS761" s="35"/>
      <c r="FT761" s="35"/>
      <c r="FU761" s="35"/>
      <c r="FV761" s="35"/>
      <c r="FW761" s="35"/>
      <c r="FX761" s="35"/>
      <c r="FY761" s="35"/>
      <c r="FZ761" s="35"/>
      <c r="GA761" s="35"/>
      <c r="GB761" s="35"/>
      <c r="GC761" s="35"/>
      <c r="GD761" s="35"/>
      <c r="GE761" s="35"/>
      <c r="GF761" s="35"/>
      <c r="GG761" s="35"/>
      <c r="GH761" s="35"/>
      <c r="GI761" s="35"/>
      <c r="GJ761" s="35"/>
      <c r="GK761" s="35"/>
      <c r="GL761" s="35"/>
      <c r="GM761" s="35"/>
      <c r="GN761" s="35"/>
      <c r="GO761" s="35"/>
      <c r="GP761" s="35"/>
      <c r="GQ761" s="35"/>
      <c r="GR761" s="35"/>
      <c r="GS761" s="35"/>
      <c r="GT761" s="35"/>
      <c r="GU761" s="35"/>
      <c r="GV761" s="35"/>
      <c r="GW761" s="35"/>
      <c r="GX761" s="35"/>
      <c r="GY761" s="35"/>
      <c r="GZ761" s="35"/>
      <c r="HA761" s="35"/>
      <c r="HB761" s="35"/>
      <c r="HC761" s="35"/>
      <c r="HD761" s="35"/>
      <c r="HE761" s="35"/>
      <c r="HF761" s="35"/>
      <c r="HG761" s="35"/>
      <c r="HH761" s="35"/>
      <c r="HI761" s="35"/>
      <c r="HJ761" s="35"/>
      <c r="HK761" s="35"/>
      <c r="HL761" s="35"/>
      <c r="HM761" s="35"/>
      <c r="HN761" s="35"/>
      <c r="HO761" s="35"/>
      <c r="HP761" s="35"/>
      <c r="HQ761" s="35"/>
      <c r="HR761" s="35"/>
      <c r="HS761" s="35"/>
      <c r="HT761" s="35"/>
      <c r="HU761" s="35"/>
      <c r="HV761" s="35"/>
      <c r="HW761" s="35"/>
      <c r="HX761" s="35"/>
      <c r="HY761" s="35"/>
      <c r="HZ761" s="35"/>
      <c r="IA761" s="35"/>
      <c r="IB761" s="35"/>
      <c r="IC761" s="35"/>
      <c r="ID761" s="35"/>
      <c r="IE761" s="35"/>
      <c r="IF761" s="35"/>
      <c r="IG761" s="35"/>
      <c r="IH761" s="35"/>
      <c r="II761" s="35"/>
      <c r="IJ761" s="35"/>
      <c r="IK761" s="35"/>
      <c r="IL761" s="35"/>
      <c r="IM761" s="35"/>
      <c r="IN761" s="35"/>
      <c r="IO761" s="35"/>
      <c r="IP761" s="35"/>
      <c r="IQ761" s="35"/>
      <c r="IR761" s="35"/>
      <c r="IS761" s="35"/>
      <c r="IT761" s="35"/>
      <c r="IU761" s="35"/>
      <c r="IV761" s="35"/>
      <c r="IW761" s="35"/>
      <c r="IX761" s="35"/>
      <c r="IY761" s="35"/>
      <c r="IZ761" s="35"/>
      <c r="JA761" s="35"/>
      <c r="JB761" s="35"/>
      <c r="JC761" s="35"/>
      <c r="JD761" s="35"/>
      <c r="JE761" s="35"/>
    </row>
    <row r="762">
      <c r="A762" s="42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  <c r="AZ762" s="35"/>
      <c r="BA762" s="35"/>
      <c r="BB762" s="35"/>
      <c r="BC762" s="35"/>
      <c r="BD762" s="35"/>
      <c r="BE762" s="35"/>
      <c r="BF762" s="35"/>
      <c r="BG762" s="35"/>
      <c r="BH762" s="35"/>
      <c r="BI762" s="35"/>
      <c r="BJ762" s="35"/>
      <c r="BK762" s="35"/>
      <c r="BL762" s="35"/>
      <c r="BM762" s="35"/>
      <c r="BN762" s="35"/>
      <c r="BO762" s="35"/>
      <c r="BP762" s="35"/>
      <c r="BQ762" s="35"/>
      <c r="BR762" s="35"/>
      <c r="BS762" s="35"/>
      <c r="BT762" s="35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35"/>
      <c r="CO762" s="35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35"/>
      <c r="DJ762" s="35"/>
      <c r="DK762" s="35"/>
      <c r="DL762" s="35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35"/>
      <c r="EE762" s="35"/>
      <c r="EF762" s="35"/>
      <c r="EG762" s="35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  <c r="ER762" s="35"/>
      <c r="ES762" s="35"/>
      <c r="ET762" s="35"/>
      <c r="EU762" s="35"/>
      <c r="EV762" s="35"/>
      <c r="EW762" s="35"/>
      <c r="EX762" s="35"/>
      <c r="EY762" s="35"/>
      <c r="EZ762" s="35"/>
      <c r="FA762" s="35"/>
      <c r="FB762" s="35"/>
      <c r="FC762" s="35"/>
      <c r="FD762" s="35"/>
      <c r="FE762" s="35"/>
      <c r="FF762" s="35"/>
      <c r="FG762" s="35"/>
      <c r="FH762" s="35"/>
      <c r="FI762" s="35"/>
      <c r="FJ762" s="35"/>
      <c r="FK762" s="35"/>
      <c r="FL762" s="35"/>
      <c r="FM762" s="35"/>
      <c r="FN762" s="35"/>
      <c r="FO762" s="35"/>
      <c r="FP762" s="35"/>
      <c r="FQ762" s="35"/>
      <c r="FR762" s="35"/>
      <c r="FS762" s="35"/>
      <c r="FT762" s="35"/>
      <c r="FU762" s="35"/>
      <c r="FV762" s="35"/>
      <c r="FW762" s="35"/>
      <c r="FX762" s="35"/>
      <c r="FY762" s="35"/>
      <c r="FZ762" s="35"/>
      <c r="GA762" s="35"/>
      <c r="GB762" s="35"/>
      <c r="GC762" s="35"/>
      <c r="GD762" s="35"/>
      <c r="GE762" s="35"/>
      <c r="GF762" s="35"/>
      <c r="GG762" s="35"/>
      <c r="GH762" s="35"/>
      <c r="GI762" s="35"/>
      <c r="GJ762" s="35"/>
      <c r="GK762" s="35"/>
      <c r="GL762" s="35"/>
      <c r="GM762" s="35"/>
      <c r="GN762" s="35"/>
      <c r="GO762" s="35"/>
      <c r="GP762" s="35"/>
      <c r="GQ762" s="35"/>
      <c r="GR762" s="35"/>
      <c r="GS762" s="35"/>
      <c r="GT762" s="35"/>
      <c r="GU762" s="35"/>
      <c r="GV762" s="35"/>
      <c r="GW762" s="35"/>
      <c r="GX762" s="35"/>
      <c r="GY762" s="35"/>
      <c r="GZ762" s="35"/>
      <c r="HA762" s="35"/>
      <c r="HB762" s="35"/>
      <c r="HC762" s="35"/>
      <c r="HD762" s="35"/>
      <c r="HE762" s="35"/>
      <c r="HF762" s="35"/>
      <c r="HG762" s="35"/>
      <c r="HH762" s="35"/>
      <c r="HI762" s="35"/>
      <c r="HJ762" s="35"/>
      <c r="HK762" s="35"/>
      <c r="HL762" s="35"/>
      <c r="HM762" s="35"/>
      <c r="HN762" s="35"/>
      <c r="HO762" s="35"/>
      <c r="HP762" s="35"/>
      <c r="HQ762" s="35"/>
      <c r="HR762" s="35"/>
      <c r="HS762" s="35"/>
      <c r="HT762" s="35"/>
      <c r="HU762" s="35"/>
      <c r="HV762" s="35"/>
      <c r="HW762" s="35"/>
      <c r="HX762" s="35"/>
      <c r="HY762" s="35"/>
      <c r="HZ762" s="35"/>
      <c r="IA762" s="35"/>
      <c r="IB762" s="35"/>
      <c r="IC762" s="35"/>
      <c r="ID762" s="35"/>
      <c r="IE762" s="35"/>
      <c r="IF762" s="35"/>
      <c r="IG762" s="35"/>
      <c r="IH762" s="35"/>
      <c r="II762" s="35"/>
      <c r="IJ762" s="35"/>
      <c r="IK762" s="35"/>
      <c r="IL762" s="35"/>
      <c r="IM762" s="35"/>
      <c r="IN762" s="35"/>
      <c r="IO762" s="35"/>
      <c r="IP762" s="35"/>
      <c r="IQ762" s="35"/>
      <c r="IR762" s="35"/>
      <c r="IS762" s="35"/>
      <c r="IT762" s="35"/>
      <c r="IU762" s="35"/>
      <c r="IV762" s="35"/>
      <c r="IW762" s="35"/>
      <c r="IX762" s="35"/>
      <c r="IY762" s="35"/>
      <c r="IZ762" s="35"/>
      <c r="JA762" s="35"/>
      <c r="JB762" s="35"/>
      <c r="JC762" s="35"/>
      <c r="JD762" s="35"/>
      <c r="JE762" s="35"/>
    </row>
    <row r="763">
      <c r="A763" s="42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  <c r="AZ763" s="35"/>
      <c r="BA763" s="35"/>
      <c r="BB763" s="35"/>
      <c r="BC763" s="35"/>
      <c r="BD763" s="35"/>
      <c r="BE763" s="35"/>
      <c r="BF763" s="35"/>
      <c r="BG763" s="35"/>
      <c r="BH763" s="35"/>
      <c r="BI763" s="35"/>
      <c r="BJ763" s="35"/>
      <c r="BK763" s="35"/>
      <c r="BL763" s="35"/>
      <c r="BM763" s="35"/>
      <c r="BN763" s="35"/>
      <c r="BO763" s="35"/>
      <c r="BP763" s="35"/>
      <c r="BQ763" s="35"/>
      <c r="BR763" s="35"/>
      <c r="BS763" s="35"/>
      <c r="BT763" s="35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35"/>
      <c r="CO763" s="35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35"/>
      <c r="DJ763" s="35"/>
      <c r="DK763" s="35"/>
      <c r="DL763" s="35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35"/>
      <c r="EE763" s="35"/>
      <c r="EF763" s="35"/>
      <c r="EG763" s="35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35"/>
      <c r="EZ763" s="35"/>
      <c r="FA763" s="35"/>
      <c r="FB763" s="35"/>
      <c r="FC763" s="35"/>
      <c r="FD763" s="35"/>
      <c r="FE763" s="35"/>
      <c r="FF763" s="35"/>
      <c r="FG763" s="35"/>
      <c r="FH763" s="35"/>
      <c r="FI763" s="35"/>
      <c r="FJ763" s="35"/>
      <c r="FK763" s="35"/>
      <c r="FL763" s="35"/>
      <c r="FM763" s="35"/>
      <c r="FN763" s="35"/>
      <c r="FO763" s="35"/>
      <c r="FP763" s="35"/>
      <c r="FQ763" s="35"/>
      <c r="FR763" s="35"/>
      <c r="FS763" s="35"/>
      <c r="FT763" s="35"/>
      <c r="FU763" s="35"/>
      <c r="FV763" s="35"/>
      <c r="FW763" s="35"/>
      <c r="FX763" s="35"/>
      <c r="FY763" s="35"/>
      <c r="FZ763" s="35"/>
      <c r="GA763" s="35"/>
      <c r="GB763" s="35"/>
      <c r="GC763" s="35"/>
      <c r="GD763" s="35"/>
      <c r="GE763" s="35"/>
      <c r="GF763" s="35"/>
      <c r="GG763" s="35"/>
      <c r="GH763" s="35"/>
      <c r="GI763" s="35"/>
      <c r="GJ763" s="35"/>
      <c r="GK763" s="35"/>
      <c r="GL763" s="35"/>
      <c r="GM763" s="35"/>
      <c r="GN763" s="35"/>
      <c r="GO763" s="35"/>
      <c r="GP763" s="35"/>
      <c r="GQ763" s="35"/>
      <c r="GR763" s="35"/>
      <c r="GS763" s="35"/>
      <c r="GT763" s="35"/>
      <c r="GU763" s="35"/>
      <c r="GV763" s="35"/>
      <c r="GW763" s="35"/>
      <c r="GX763" s="35"/>
      <c r="GY763" s="35"/>
      <c r="GZ763" s="35"/>
      <c r="HA763" s="35"/>
      <c r="HB763" s="35"/>
      <c r="HC763" s="35"/>
      <c r="HD763" s="35"/>
      <c r="HE763" s="35"/>
      <c r="HF763" s="35"/>
      <c r="HG763" s="35"/>
      <c r="HH763" s="35"/>
      <c r="HI763" s="35"/>
      <c r="HJ763" s="35"/>
      <c r="HK763" s="35"/>
      <c r="HL763" s="35"/>
      <c r="HM763" s="35"/>
      <c r="HN763" s="35"/>
      <c r="HO763" s="35"/>
      <c r="HP763" s="35"/>
      <c r="HQ763" s="35"/>
      <c r="HR763" s="35"/>
      <c r="HS763" s="35"/>
      <c r="HT763" s="35"/>
      <c r="HU763" s="35"/>
      <c r="HV763" s="35"/>
      <c r="HW763" s="35"/>
      <c r="HX763" s="35"/>
      <c r="HY763" s="35"/>
      <c r="HZ763" s="35"/>
      <c r="IA763" s="35"/>
      <c r="IB763" s="35"/>
      <c r="IC763" s="35"/>
      <c r="ID763" s="35"/>
      <c r="IE763" s="35"/>
      <c r="IF763" s="35"/>
      <c r="IG763" s="35"/>
      <c r="IH763" s="35"/>
      <c r="II763" s="35"/>
      <c r="IJ763" s="35"/>
      <c r="IK763" s="35"/>
      <c r="IL763" s="35"/>
      <c r="IM763" s="35"/>
      <c r="IN763" s="35"/>
      <c r="IO763" s="35"/>
      <c r="IP763" s="35"/>
      <c r="IQ763" s="35"/>
      <c r="IR763" s="35"/>
      <c r="IS763" s="35"/>
      <c r="IT763" s="35"/>
      <c r="IU763" s="35"/>
      <c r="IV763" s="35"/>
      <c r="IW763" s="35"/>
      <c r="IX763" s="35"/>
      <c r="IY763" s="35"/>
      <c r="IZ763" s="35"/>
      <c r="JA763" s="35"/>
      <c r="JB763" s="35"/>
      <c r="JC763" s="35"/>
      <c r="JD763" s="35"/>
      <c r="JE763" s="35"/>
    </row>
    <row r="764">
      <c r="A764" s="42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  <c r="AZ764" s="35"/>
      <c r="BA764" s="35"/>
      <c r="BB764" s="35"/>
      <c r="BC764" s="35"/>
      <c r="BD764" s="35"/>
      <c r="BE764" s="35"/>
      <c r="BF764" s="35"/>
      <c r="BG764" s="35"/>
      <c r="BH764" s="35"/>
      <c r="BI764" s="35"/>
      <c r="BJ764" s="35"/>
      <c r="BK764" s="35"/>
      <c r="BL764" s="35"/>
      <c r="BM764" s="35"/>
      <c r="BN764" s="35"/>
      <c r="BO764" s="35"/>
      <c r="BP764" s="35"/>
      <c r="BQ764" s="35"/>
      <c r="BR764" s="35"/>
      <c r="BS764" s="35"/>
      <c r="BT764" s="35"/>
      <c r="BU764" s="35"/>
      <c r="BV764" s="35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35"/>
      <c r="CO764" s="35"/>
      <c r="CP764" s="35"/>
      <c r="CQ764" s="35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35"/>
      <c r="DJ764" s="35"/>
      <c r="DK764" s="35"/>
      <c r="DL764" s="35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35"/>
      <c r="EE764" s="35"/>
      <c r="EF764" s="35"/>
      <c r="EG764" s="35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  <c r="ER764" s="35"/>
      <c r="ES764" s="35"/>
      <c r="ET764" s="35"/>
      <c r="EU764" s="35"/>
      <c r="EV764" s="35"/>
      <c r="EW764" s="35"/>
      <c r="EX764" s="35"/>
      <c r="EY764" s="35"/>
      <c r="EZ764" s="35"/>
      <c r="FA764" s="35"/>
      <c r="FB764" s="35"/>
      <c r="FC764" s="35"/>
      <c r="FD764" s="35"/>
      <c r="FE764" s="35"/>
      <c r="FF764" s="35"/>
      <c r="FG764" s="35"/>
      <c r="FH764" s="35"/>
      <c r="FI764" s="35"/>
      <c r="FJ764" s="35"/>
      <c r="FK764" s="35"/>
      <c r="FL764" s="35"/>
      <c r="FM764" s="35"/>
      <c r="FN764" s="35"/>
      <c r="FO764" s="35"/>
      <c r="FP764" s="35"/>
      <c r="FQ764" s="35"/>
      <c r="FR764" s="35"/>
      <c r="FS764" s="35"/>
      <c r="FT764" s="35"/>
      <c r="FU764" s="35"/>
      <c r="FV764" s="35"/>
      <c r="FW764" s="35"/>
      <c r="FX764" s="35"/>
      <c r="FY764" s="35"/>
      <c r="FZ764" s="35"/>
      <c r="GA764" s="35"/>
      <c r="GB764" s="35"/>
      <c r="GC764" s="35"/>
      <c r="GD764" s="35"/>
      <c r="GE764" s="35"/>
      <c r="GF764" s="35"/>
      <c r="GG764" s="35"/>
      <c r="GH764" s="35"/>
      <c r="GI764" s="35"/>
      <c r="GJ764" s="35"/>
      <c r="GK764" s="35"/>
      <c r="GL764" s="35"/>
      <c r="GM764" s="35"/>
      <c r="GN764" s="35"/>
      <c r="GO764" s="35"/>
      <c r="GP764" s="35"/>
      <c r="GQ764" s="35"/>
      <c r="GR764" s="35"/>
      <c r="GS764" s="35"/>
      <c r="GT764" s="35"/>
      <c r="GU764" s="35"/>
      <c r="GV764" s="35"/>
      <c r="GW764" s="35"/>
      <c r="GX764" s="35"/>
      <c r="GY764" s="35"/>
      <c r="GZ764" s="35"/>
      <c r="HA764" s="35"/>
      <c r="HB764" s="35"/>
      <c r="HC764" s="35"/>
      <c r="HD764" s="35"/>
      <c r="HE764" s="35"/>
      <c r="HF764" s="35"/>
      <c r="HG764" s="35"/>
      <c r="HH764" s="35"/>
      <c r="HI764" s="35"/>
      <c r="HJ764" s="35"/>
      <c r="HK764" s="35"/>
      <c r="HL764" s="35"/>
      <c r="HM764" s="35"/>
      <c r="HN764" s="35"/>
      <c r="HO764" s="35"/>
      <c r="HP764" s="35"/>
      <c r="HQ764" s="35"/>
      <c r="HR764" s="35"/>
      <c r="HS764" s="35"/>
      <c r="HT764" s="35"/>
      <c r="HU764" s="35"/>
      <c r="HV764" s="35"/>
      <c r="HW764" s="35"/>
      <c r="HX764" s="35"/>
      <c r="HY764" s="35"/>
      <c r="HZ764" s="35"/>
      <c r="IA764" s="35"/>
      <c r="IB764" s="35"/>
      <c r="IC764" s="35"/>
      <c r="ID764" s="35"/>
      <c r="IE764" s="35"/>
      <c r="IF764" s="35"/>
      <c r="IG764" s="35"/>
      <c r="IH764" s="35"/>
      <c r="II764" s="35"/>
      <c r="IJ764" s="35"/>
      <c r="IK764" s="35"/>
      <c r="IL764" s="35"/>
      <c r="IM764" s="35"/>
      <c r="IN764" s="35"/>
      <c r="IO764" s="35"/>
      <c r="IP764" s="35"/>
      <c r="IQ764" s="35"/>
      <c r="IR764" s="35"/>
      <c r="IS764" s="35"/>
      <c r="IT764" s="35"/>
      <c r="IU764" s="35"/>
      <c r="IV764" s="35"/>
      <c r="IW764" s="35"/>
      <c r="IX764" s="35"/>
      <c r="IY764" s="35"/>
      <c r="IZ764" s="35"/>
      <c r="JA764" s="35"/>
      <c r="JB764" s="35"/>
      <c r="JC764" s="35"/>
      <c r="JD764" s="35"/>
      <c r="JE764" s="35"/>
    </row>
    <row r="765">
      <c r="A765" s="42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  <c r="AZ765" s="35"/>
      <c r="BA765" s="35"/>
      <c r="BB765" s="35"/>
      <c r="BC765" s="35"/>
      <c r="BD765" s="35"/>
      <c r="BE765" s="35"/>
      <c r="BF765" s="35"/>
      <c r="BG765" s="35"/>
      <c r="BH765" s="35"/>
      <c r="BI765" s="35"/>
      <c r="BJ765" s="35"/>
      <c r="BK765" s="35"/>
      <c r="BL765" s="35"/>
      <c r="BM765" s="35"/>
      <c r="BN765" s="35"/>
      <c r="BO765" s="35"/>
      <c r="BP765" s="35"/>
      <c r="BQ765" s="35"/>
      <c r="BR765" s="35"/>
      <c r="BS765" s="35"/>
      <c r="BT765" s="35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35"/>
      <c r="CO765" s="35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35"/>
      <c r="DJ765" s="35"/>
      <c r="DK765" s="35"/>
      <c r="DL765" s="35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35"/>
      <c r="EE765" s="35"/>
      <c r="EF765" s="35"/>
      <c r="EG765" s="35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35"/>
      <c r="EZ765" s="35"/>
      <c r="FA765" s="35"/>
      <c r="FB765" s="35"/>
      <c r="FC765" s="35"/>
      <c r="FD765" s="35"/>
      <c r="FE765" s="35"/>
      <c r="FF765" s="35"/>
      <c r="FG765" s="35"/>
      <c r="FH765" s="35"/>
      <c r="FI765" s="35"/>
      <c r="FJ765" s="35"/>
      <c r="FK765" s="35"/>
      <c r="FL765" s="35"/>
      <c r="FM765" s="35"/>
      <c r="FN765" s="35"/>
      <c r="FO765" s="35"/>
      <c r="FP765" s="35"/>
      <c r="FQ765" s="35"/>
      <c r="FR765" s="35"/>
      <c r="FS765" s="35"/>
      <c r="FT765" s="35"/>
      <c r="FU765" s="35"/>
      <c r="FV765" s="35"/>
      <c r="FW765" s="35"/>
      <c r="FX765" s="35"/>
      <c r="FY765" s="35"/>
      <c r="FZ765" s="35"/>
      <c r="GA765" s="35"/>
      <c r="GB765" s="35"/>
      <c r="GC765" s="35"/>
      <c r="GD765" s="35"/>
      <c r="GE765" s="35"/>
      <c r="GF765" s="35"/>
      <c r="GG765" s="35"/>
      <c r="GH765" s="35"/>
      <c r="GI765" s="35"/>
      <c r="GJ765" s="35"/>
      <c r="GK765" s="35"/>
      <c r="GL765" s="35"/>
      <c r="GM765" s="35"/>
      <c r="GN765" s="35"/>
      <c r="GO765" s="35"/>
      <c r="GP765" s="35"/>
      <c r="GQ765" s="35"/>
      <c r="GR765" s="35"/>
      <c r="GS765" s="35"/>
      <c r="GT765" s="35"/>
      <c r="GU765" s="35"/>
      <c r="GV765" s="35"/>
      <c r="GW765" s="35"/>
      <c r="GX765" s="35"/>
      <c r="GY765" s="35"/>
      <c r="GZ765" s="35"/>
      <c r="HA765" s="35"/>
      <c r="HB765" s="35"/>
      <c r="HC765" s="35"/>
      <c r="HD765" s="35"/>
      <c r="HE765" s="35"/>
      <c r="HF765" s="35"/>
      <c r="HG765" s="35"/>
      <c r="HH765" s="35"/>
      <c r="HI765" s="35"/>
      <c r="HJ765" s="35"/>
      <c r="HK765" s="35"/>
      <c r="HL765" s="35"/>
      <c r="HM765" s="35"/>
      <c r="HN765" s="35"/>
      <c r="HO765" s="35"/>
      <c r="HP765" s="35"/>
      <c r="HQ765" s="35"/>
      <c r="HR765" s="35"/>
      <c r="HS765" s="35"/>
      <c r="HT765" s="35"/>
      <c r="HU765" s="35"/>
      <c r="HV765" s="35"/>
      <c r="HW765" s="35"/>
      <c r="HX765" s="35"/>
      <c r="HY765" s="35"/>
      <c r="HZ765" s="35"/>
      <c r="IA765" s="35"/>
      <c r="IB765" s="35"/>
      <c r="IC765" s="35"/>
      <c r="ID765" s="35"/>
      <c r="IE765" s="35"/>
      <c r="IF765" s="35"/>
      <c r="IG765" s="35"/>
      <c r="IH765" s="35"/>
      <c r="II765" s="35"/>
      <c r="IJ765" s="35"/>
      <c r="IK765" s="35"/>
      <c r="IL765" s="35"/>
      <c r="IM765" s="35"/>
      <c r="IN765" s="35"/>
      <c r="IO765" s="35"/>
      <c r="IP765" s="35"/>
      <c r="IQ765" s="35"/>
      <c r="IR765" s="35"/>
      <c r="IS765" s="35"/>
      <c r="IT765" s="35"/>
      <c r="IU765" s="35"/>
      <c r="IV765" s="35"/>
      <c r="IW765" s="35"/>
      <c r="IX765" s="35"/>
      <c r="IY765" s="35"/>
      <c r="IZ765" s="35"/>
      <c r="JA765" s="35"/>
      <c r="JB765" s="35"/>
      <c r="JC765" s="35"/>
      <c r="JD765" s="35"/>
      <c r="JE765" s="35"/>
    </row>
    <row r="766">
      <c r="A766" s="42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  <c r="AZ766" s="35"/>
      <c r="BA766" s="35"/>
      <c r="BB766" s="35"/>
      <c r="BC766" s="35"/>
      <c r="BD766" s="35"/>
      <c r="BE766" s="35"/>
      <c r="BF766" s="35"/>
      <c r="BG766" s="35"/>
      <c r="BH766" s="35"/>
      <c r="BI766" s="35"/>
      <c r="BJ766" s="35"/>
      <c r="BK766" s="35"/>
      <c r="BL766" s="35"/>
      <c r="BM766" s="35"/>
      <c r="BN766" s="35"/>
      <c r="BO766" s="35"/>
      <c r="BP766" s="35"/>
      <c r="BQ766" s="35"/>
      <c r="BR766" s="35"/>
      <c r="BS766" s="35"/>
      <c r="BT766" s="35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35"/>
      <c r="CO766" s="35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35"/>
      <c r="DJ766" s="35"/>
      <c r="DK766" s="35"/>
      <c r="DL766" s="35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35"/>
      <c r="EE766" s="35"/>
      <c r="EF766" s="35"/>
      <c r="EG766" s="35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  <c r="ER766" s="35"/>
      <c r="ES766" s="35"/>
      <c r="ET766" s="35"/>
      <c r="EU766" s="35"/>
      <c r="EV766" s="35"/>
      <c r="EW766" s="35"/>
      <c r="EX766" s="35"/>
      <c r="EY766" s="35"/>
      <c r="EZ766" s="35"/>
      <c r="FA766" s="35"/>
      <c r="FB766" s="35"/>
      <c r="FC766" s="35"/>
      <c r="FD766" s="35"/>
      <c r="FE766" s="35"/>
      <c r="FF766" s="35"/>
      <c r="FG766" s="35"/>
      <c r="FH766" s="35"/>
      <c r="FI766" s="35"/>
      <c r="FJ766" s="35"/>
      <c r="FK766" s="35"/>
      <c r="FL766" s="35"/>
      <c r="FM766" s="35"/>
      <c r="FN766" s="35"/>
      <c r="FO766" s="35"/>
      <c r="FP766" s="35"/>
      <c r="FQ766" s="35"/>
      <c r="FR766" s="35"/>
      <c r="FS766" s="35"/>
      <c r="FT766" s="35"/>
      <c r="FU766" s="35"/>
      <c r="FV766" s="35"/>
      <c r="FW766" s="35"/>
      <c r="FX766" s="35"/>
      <c r="FY766" s="35"/>
      <c r="FZ766" s="35"/>
      <c r="GA766" s="35"/>
      <c r="GB766" s="35"/>
      <c r="GC766" s="35"/>
      <c r="GD766" s="35"/>
      <c r="GE766" s="35"/>
      <c r="GF766" s="35"/>
      <c r="GG766" s="35"/>
      <c r="GH766" s="35"/>
      <c r="GI766" s="35"/>
      <c r="GJ766" s="35"/>
      <c r="GK766" s="35"/>
      <c r="GL766" s="35"/>
      <c r="GM766" s="35"/>
      <c r="GN766" s="35"/>
      <c r="GO766" s="35"/>
      <c r="GP766" s="35"/>
      <c r="GQ766" s="35"/>
      <c r="GR766" s="35"/>
      <c r="GS766" s="35"/>
      <c r="GT766" s="35"/>
      <c r="GU766" s="35"/>
      <c r="GV766" s="35"/>
      <c r="GW766" s="35"/>
      <c r="GX766" s="35"/>
      <c r="GY766" s="35"/>
      <c r="GZ766" s="35"/>
      <c r="HA766" s="35"/>
      <c r="HB766" s="35"/>
      <c r="HC766" s="35"/>
      <c r="HD766" s="35"/>
      <c r="HE766" s="35"/>
      <c r="HF766" s="35"/>
      <c r="HG766" s="35"/>
      <c r="HH766" s="35"/>
      <c r="HI766" s="35"/>
      <c r="HJ766" s="35"/>
      <c r="HK766" s="35"/>
      <c r="HL766" s="35"/>
      <c r="HM766" s="35"/>
      <c r="HN766" s="35"/>
      <c r="HO766" s="35"/>
      <c r="HP766" s="35"/>
      <c r="HQ766" s="35"/>
      <c r="HR766" s="35"/>
      <c r="HS766" s="35"/>
      <c r="HT766" s="35"/>
      <c r="HU766" s="35"/>
      <c r="HV766" s="35"/>
      <c r="HW766" s="35"/>
      <c r="HX766" s="35"/>
      <c r="HY766" s="35"/>
      <c r="HZ766" s="35"/>
      <c r="IA766" s="35"/>
      <c r="IB766" s="35"/>
      <c r="IC766" s="35"/>
      <c r="ID766" s="35"/>
      <c r="IE766" s="35"/>
      <c r="IF766" s="35"/>
      <c r="IG766" s="35"/>
      <c r="IH766" s="35"/>
      <c r="II766" s="35"/>
      <c r="IJ766" s="35"/>
      <c r="IK766" s="35"/>
      <c r="IL766" s="35"/>
      <c r="IM766" s="35"/>
      <c r="IN766" s="35"/>
      <c r="IO766" s="35"/>
      <c r="IP766" s="35"/>
      <c r="IQ766" s="35"/>
      <c r="IR766" s="35"/>
      <c r="IS766" s="35"/>
      <c r="IT766" s="35"/>
      <c r="IU766" s="35"/>
      <c r="IV766" s="35"/>
      <c r="IW766" s="35"/>
      <c r="IX766" s="35"/>
      <c r="IY766" s="35"/>
      <c r="IZ766" s="35"/>
      <c r="JA766" s="35"/>
      <c r="JB766" s="35"/>
      <c r="JC766" s="35"/>
      <c r="JD766" s="35"/>
      <c r="JE766" s="35"/>
    </row>
    <row r="767">
      <c r="A767" s="42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  <c r="BC767" s="35"/>
      <c r="BD767" s="35"/>
      <c r="BE767" s="35"/>
      <c r="BF767" s="35"/>
      <c r="BG767" s="35"/>
      <c r="BH767" s="35"/>
      <c r="BI767" s="35"/>
      <c r="BJ767" s="35"/>
      <c r="BK767" s="35"/>
      <c r="BL767" s="35"/>
      <c r="BM767" s="35"/>
      <c r="BN767" s="35"/>
      <c r="BO767" s="35"/>
      <c r="BP767" s="35"/>
      <c r="BQ767" s="35"/>
      <c r="BR767" s="35"/>
      <c r="BS767" s="35"/>
      <c r="BT767" s="35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35"/>
      <c r="CO767" s="35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35"/>
      <c r="DJ767" s="35"/>
      <c r="DK767" s="35"/>
      <c r="DL767" s="35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35"/>
      <c r="EE767" s="35"/>
      <c r="EF767" s="35"/>
      <c r="EG767" s="35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  <c r="ER767" s="35"/>
      <c r="ES767" s="35"/>
      <c r="ET767" s="35"/>
      <c r="EU767" s="35"/>
      <c r="EV767" s="35"/>
      <c r="EW767" s="35"/>
      <c r="EX767" s="35"/>
      <c r="EY767" s="35"/>
      <c r="EZ767" s="35"/>
      <c r="FA767" s="35"/>
      <c r="FB767" s="35"/>
      <c r="FC767" s="35"/>
      <c r="FD767" s="35"/>
      <c r="FE767" s="35"/>
      <c r="FF767" s="35"/>
      <c r="FG767" s="35"/>
      <c r="FH767" s="35"/>
      <c r="FI767" s="35"/>
      <c r="FJ767" s="35"/>
      <c r="FK767" s="35"/>
      <c r="FL767" s="35"/>
      <c r="FM767" s="35"/>
      <c r="FN767" s="35"/>
      <c r="FO767" s="35"/>
      <c r="FP767" s="35"/>
      <c r="FQ767" s="35"/>
      <c r="FR767" s="35"/>
      <c r="FS767" s="35"/>
      <c r="FT767" s="35"/>
      <c r="FU767" s="35"/>
      <c r="FV767" s="35"/>
      <c r="FW767" s="35"/>
      <c r="FX767" s="35"/>
      <c r="FY767" s="35"/>
      <c r="FZ767" s="35"/>
      <c r="GA767" s="35"/>
      <c r="GB767" s="35"/>
      <c r="GC767" s="35"/>
      <c r="GD767" s="35"/>
      <c r="GE767" s="35"/>
      <c r="GF767" s="35"/>
      <c r="GG767" s="35"/>
      <c r="GH767" s="35"/>
      <c r="GI767" s="35"/>
      <c r="GJ767" s="35"/>
      <c r="GK767" s="35"/>
      <c r="GL767" s="35"/>
      <c r="GM767" s="35"/>
      <c r="GN767" s="35"/>
      <c r="GO767" s="35"/>
      <c r="GP767" s="35"/>
      <c r="GQ767" s="35"/>
      <c r="GR767" s="35"/>
      <c r="GS767" s="35"/>
      <c r="GT767" s="35"/>
      <c r="GU767" s="35"/>
      <c r="GV767" s="35"/>
      <c r="GW767" s="35"/>
      <c r="GX767" s="35"/>
      <c r="GY767" s="35"/>
      <c r="GZ767" s="35"/>
      <c r="HA767" s="35"/>
      <c r="HB767" s="35"/>
      <c r="HC767" s="35"/>
      <c r="HD767" s="35"/>
      <c r="HE767" s="35"/>
      <c r="HF767" s="35"/>
      <c r="HG767" s="35"/>
      <c r="HH767" s="35"/>
      <c r="HI767" s="35"/>
      <c r="HJ767" s="35"/>
      <c r="HK767" s="35"/>
      <c r="HL767" s="35"/>
      <c r="HM767" s="35"/>
      <c r="HN767" s="35"/>
      <c r="HO767" s="35"/>
      <c r="HP767" s="35"/>
      <c r="HQ767" s="35"/>
      <c r="HR767" s="35"/>
      <c r="HS767" s="35"/>
      <c r="HT767" s="35"/>
      <c r="HU767" s="35"/>
      <c r="HV767" s="35"/>
      <c r="HW767" s="35"/>
      <c r="HX767" s="35"/>
      <c r="HY767" s="35"/>
      <c r="HZ767" s="35"/>
      <c r="IA767" s="35"/>
      <c r="IB767" s="35"/>
      <c r="IC767" s="35"/>
      <c r="ID767" s="35"/>
      <c r="IE767" s="35"/>
      <c r="IF767" s="35"/>
      <c r="IG767" s="35"/>
      <c r="IH767" s="35"/>
      <c r="II767" s="35"/>
      <c r="IJ767" s="35"/>
      <c r="IK767" s="35"/>
      <c r="IL767" s="35"/>
      <c r="IM767" s="35"/>
      <c r="IN767" s="35"/>
      <c r="IO767" s="35"/>
      <c r="IP767" s="35"/>
      <c r="IQ767" s="35"/>
      <c r="IR767" s="35"/>
      <c r="IS767" s="35"/>
      <c r="IT767" s="35"/>
      <c r="IU767" s="35"/>
      <c r="IV767" s="35"/>
      <c r="IW767" s="35"/>
      <c r="IX767" s="35"/>
      <c r="IY767" s="35"/>
      <c r="IZ767" s="35"/>
      <c r="JA767" s="35"/>
      <c r="JB767" s="35"/>
      <c r="JC767" s="35"/>
      <c r="JD767" s="35"/>
      <c r="JE767" s="35"/>
    </row>
    <row r="768">
      <c r="A768" s="42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  <c r="AZ768" s="35"/>
      <c r="BA768" s="35"/>
      <c r="BB768" s="35"/>
      <c r="BC768" s="35"/>
      <c r="BD768" s="35"/>
      <c r="BE768" s="35"/>
      <c r="BF768" s="35"/>
      <c r="BG768" s="35"/>
      <c r="BH768" s="35"/>
      <c r="BI768" s="35"/>
      <c r="BJ768" s="35"/>
      <c r="BK768" s="35"/>
      <c r="BL768" s="35"/>
      <c r="BM768" s="35"/>
      <c r="BN768" s="35"/>
      <c r="BO768" s="35"/>
      <c r="BP768" s="35"/>
      <c r="BQ768" s="35"/>
      <c r="BR768" s="35"/>
      <c r="BS768" s="35"/>
      <c r="BT768" s="35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35"/>
      <c r="CO768" s="35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35"/>
      <c r="DJ768" s="35"/>
      <c r="DK768" s="35"/>
      <c r="DL768" s="35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35"/>
      <c r="EE768" s="35"/>
      <c r="EF768" s="35"/>
      <c r="EG768" s="35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  <c r="ER768" s="35"/>
      <c r="ES768" s="35"/>
      <c r="ET768" s="35"/>
      <c r="EU768" s="35"/>
      <c r="EV768" s="35"/>
      <c r="EW768" s="35"/>
      <c r="EX768" s="35"/>
      <c r="EY768" s="35"/>
      <c r="EZ768" s="35"/>
      <c r="FA768" s="35"/>
      <c r="FB768" s="35"/>
      <c r="FC768" s="35"/>
      <c r="FD768" s="35"/>
      <c r="FE768" s="35"/>
      <c r="FF768" s="35"/>
      <c r="FG768" s="35"/>
      <c r="FH768" s="35"/>
      <c r="FI768" s="35"/>
      <c r="FJ768" s="35"/>
      <c r="FK768" s="35"/>
      <c r="FL768" s="35"/>
      <c r="FM768" s="35"/>
      <c r="FN768" s="35"/>
      <c r="FO768" s="35"/>
      <c r="FP768" s="35"/>
      <c r="FQ768" s="35"/>
      <c r="FR768" s="35"/>
      <c r="FS768" s="35"/>
      <c r="FT768" s="35"/>
      <c r="FU768" s="35"/>
      <c r="FV768" s="35"/>
      <c r="FW768" s="35"/>
      <c r="FX768" s="35"/>
      <c r="FY768" s="35"/>
      <c r="FZ768" s="35"/>
      <c r="GA768" s="35"/>
      <c r="GB768" s="35"/>
      <c r="GC768" s="35"/>
      <c r="GD768" s="35"/>
      <c r="GE768" s="35"/>
      <c r="GF768" s="35"/>
      <c r="GG768" s="35"/>
      <c r="GH768" s="35"/>
      <c r="GI768" s="35"/>
      <c r="GJ768" s="35"/>
      <c r="GK768" s="35"/>
      <c r="GL768" s="35"/>
      <c r="GM768" s="35"/>
      <c r="GN768" s="35"/>
      <c r="GO768" s="35"/>
      <c r="GP768" s="35"/>
      <c r="GQ768" s="35"/>
      <c r="GR768" s="35"/>
      <c r="GS768" s="35"/>
      <c r="GT768" s="35"/>
      <c r="GU768" s="35"/>
      <c r="GV768" s="35"/>
      <c r="GW768" s="35"/>
      <c r="GX768" s="35"/>
      <c r="GY768" s="35"/>
      <c r="GZ768" s="35"/>
      <c r="HA768" s="35"/>
      <c r="HB768" s="35"/>
      <c r="HC768" s="35"/>
      <c r="HD768" s="35"/>
      <c r="HE768" s="35"/>
      <c r="HF768" s="35"/>
      <c r="HG768" s="35"/>
      <c r="HH768" s="35"/>
      <c r="HI768" s="35"/>
      <c r="HJ768" s="35"/>
      <c r="HK768" s="35"/>
      <c r="HL768" s="35"/>
      <c r="HM768" s="35"/>
      <c r="HN768" s="35"/>
      <c r="HO768" s="35"/>
      <c r="HP768" s="35"/>
      <c r="HQ768" s="35"/>
      <c r="HR768" s="35"/>
      <c r="HS768" s="35"/>
      <c r="HT768" s="35"/>
      <c r="HU768" s="35"/>
      <c r="HV768" s="35"/>
      <c r="HW768" s="35"/>
      <c r="HX768" s="35"/>
      <c r="HY768" s="35"/>
      <c r="HZ768" s="35"/>
      <c r="IA768" s="35"/>
      <c r="IB768" s="35"/>
      <c r="IC768" s="35"/>
      <c r="ID768" s="35"/>
      <c r="IE768" s="35"/>
      <c r="IF768" s="35"/>
      <c r="IG768" s="35"/>
      <c r="IH768" s="35"/>
      <c r="II768" s="35"/>
      <c r="IJ768" s="35"/>
      <c r="IK768" s="35"/>
      <c r="IL768" s="35"/>
      <c r="IM768" s="35"/>
      <c r="IN768" s="35"/>
      <c r="IO768" s="35"/>
      <c r="IP768" s="35"/>
      <c r="IQ768" s="35"/>
      <c r="IR768" s="35"/>
      <c r="IS768" s="35"/>
      <c r="IT768" s="35"/>
      <c r="IU768" s="35"/>
      <c r="IV768" s="35"/>
      <c r="IW768" s="35"/>
      <c r="IX768" s="35"/>
      <c r="IY768" s="35"/>
      <c r="IZ768" s="35"/>
      <c r="JA768" s="35"/>
      <c r="JB768" s="35"/>
      <c r="JC768" s="35"/>
      <c r="JD768" s="35"/>
      <c r="JE768" s="35"/>
    </row>
    <row r="769">
      <c r="A769" s="42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  <c r="AZ769" s="35"/>
      <c r="BA769" s="35"/>
      <c r="BB769" s="35"/>
      <c r="BC769" s="35"/>
      <c r="BD769" s="35"/>
      <c r="BE769" s="35"/>
      <c r="BF769" s="35"/>
      <c r="BG769" s="35"/>
      <c r="BH769" s="35"/>
      <c r="BI769" s="35"/>
      <c r="BJ769" s="35"/>
      <c r="BK769" s="35"/>
      <c r="BL769" s="35"/>
      <c r="BM769" s="35"/>
      <c r="BN769" s="35"/>
      <c r="BO769" s="35"/>
      <c r="BP769" s="35"/>
      <c r="BQ769" s="35"/>
      <c r="BR769" s="35"/>
      <c r="BS769" s="35"/>
      <c r="BT769" s="35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35"/>
      <c r="CO769" s="35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35"/>
      <c r="DJ769" s="35"/>
      <c r="DK769" s="35"/>
      <c r="DL769" s="35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35"/>
      <c r="EE769" s="35"/>
      <c r="EF769" s="35"/>
      <c r="EG769" s="35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  <c r="ER769" s="35"/>
      <c r="ES769" s="35"/>
      <c r="ET769" s="35"/>
      <c r="EU769" s="35"/>
      <c r="EV769" s="35"/>
      <c r="EW769" s="35"/>
      <c r="EX769" s="35"/>
      <c r="EY769" s="35"/>
      <c r="EZ769" s="35"/>
      <c r="FA769" s="35"/>
      <c r="FB769" s="35"/>
      <c r="FC769" s="35"/>
      <c r="FD769" s="35"/>
      <c r="FE769" s="35"/>
      <c r="FF769" s="35"/>
      <c r="FG769" s="35"/>
      <c r="FH769" s="35"/>
      <c r="FI769" s="35"/>
      <c r="FJ769" s="35"/>
      <c r="FK769" s="35"/>
      <c r="FL769" s="35"/>
      <c r="FM769" s="35"/>
      <c r="FN769" s="35"/>
      <c r="FO769" s="35"/>
      <c r="FP769" s="35"/>
      <c r="FQ769" s="35"/>
      <c r="FR769" s="35"/>
      <c r="FS769" s="35"/>
      <c r="FT769" s="35"/>
      <c r="FU769" s="35"/>
      <c r="FV769" s="35"/>
      <c r="FW769" s="35"/>
      <c r="FX769" s="35"/>
      <c r="FY769" s="35"/>
      <c r="FZ769" s="35"/>
      <c r="GA769" s="35"/>
      <c r="GB769" s="35"/>
      <c r="GC769" s="35"/>
      <c r="GD769" s="35"/>
      <c r="GE769" s="35"/>
      <c r="GF769" s="35"/>
      <c r="GG769" s="35"/>
      <c r="GH769" s="35"/>
      <c r="GI769" s="35"/>
      <c r="GJ769" s="35"/>
      <c r="GK769" s="35"/>
      <c r="GL769" s="35"/>
      <c r="GM769" s="35"/>
      <c r="GN769" s="35"/>
      <c r="GO769" s="35"/>
      <c r="GP769" s="35"/>
      <c r="GQ769" s="35"/>
      <c r="GR769" s="35"/>
      <c r="GS769" s="35"/>
      <c r="GT769" s="35"/>
      <c r="GU769" s="35"/>
      <c r="GV769" s="35"/>
      <c r="GW769" s="35"/>
      <c r="GX769" s="35"/>
      <c r="GY769" s="35"/>
      <c r="GZ769" s="35"/>
      <c r="HA769" s="35"/>
      <c r="HB769" s="35"/>
      <c r="HC769" s="35"/>
      <c r="HD769" s="35"/>
      <c r="HE769" s="35"/>
      <c r="HF769" s="35"/>
      <c r="HG769" s="35"/>
      <c r="HH769" s="35"/>
      <c r="HI769" s="35"/>
      <c r="HJ769" s="35"/>
      <c r="HK769" s="35"/>
      <c r="HL769" s="35"/>
      <c r="HM769" s="35"/>
      <c r="HN769" s="35"/>
      <c r="HO769" s="35"/>
      <c r="HP769" s="35"/>
      <c r="HQ769" s="35"/>
      <c r="HR769" s="35"/>
      <c r="HS769" s="35"/>
      <c r="HT769" s="35"/>
      <c r="HU769" s="35"/>
      <c r="HV769" s="35"/>
      <c r="HW769" s="35"/>
      <c r="HX769" s="35"/>
      <c r="HY769" s="35"/>
      <c r="HZ769" s="35"/>
      <c r="IA769" s="35"/>
      <c r="IB769" s="35"/>
      <c r="IC769" s="35"/>
      <c r="ID769" s="35"/>
      <c r="IE769" s="35"/>
      <c r="IF769" s="35"/>
      <c r="IG769" s="35"/>
      <c r="IH769" s="35"/>
      <c r="II769" s="35"/>
      <c r="IJ769" s="35"/>
      <c r="IK769" s="35"/>
      <c r="IL769" s="35"/>
      <c r="IM769" s="35"/>
      <c r="IN769" s="35"/>
      <c r="IO769" s="35"/>
      <c r="IP769" s="35"/>
      <c r="IQ769" s="35"/>
      <c r="IR769" s="35"/>
      <c r="IS769" s="35"/>
      <c r="IT769" s="35"/>
      <c r="IU769" s="35"/>
      <c r="IV769" s="35"/>
      <c r="IW769" s="35"/>
      <c r="IX769" s="35"/>
      <c r="IY769" s="35"/>
      <c r="IZ769" s="35"/>
      <c r="JA769" s="35"/>
      <c r="JB769" s="35"/>
      <c r="JC769" s="35"/>
      <c r="JD769" s="35"/>
      <c r="JE769" s="35"/>
    </row>
    <row r="770">
      <c r="A770" s="42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  <c r="AZ770" s="35"/>
      <c r="BA770" s="35"/>
      <c r="BB770" s="35"/>
      <c r="BC770" s="35"/>
      <c r="BD770" s="35"/>
      <c r="BE770" s="35"/>
      <c r="BF770" s="35"/>
      <c r="BG770" s="35"/>
      <c r="BH770" s="35"/>
      <c r="BI770" s="35"/>
      <c r="BJ770" s="35"/>
      <c r="BK770" s="35"/>
      <c r="BL770" s="35"/>
      <c r="BM770" s="35"/>
      <c r="BN770" s="35"/>
      <c r="BO770" s="35"/>
      <c r="BP770" s="35"/>
      <c r="BQ770" s="35"/>
      <c r="BR770" s="35"/>
      <c r="BS770" s="35"/>
      <c r="BT770" s="35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35"/>
      <c r="CO770" s="35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35"/>
      <c r="DJ770" s="35"/>
      <c r="DK770" s="35"/>
      <c r="DL770" s="35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35"/>
      <c r="EE770" s="35"/>
      <c r="EF770" s="35"/>
      <c r="EG770" s="35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  <c r="ER770" s="35"/>
      <c r="ES770" s="35"/>
      <c r="ET770" s="35"/>
      <c r="EU770" s="35"/>
      <c r="EV770" s="35"/>
      <c r="EW770" s="35"/>
      <c r="EX770" s="35"/>
      <c r="EY770" s="35"/>
      <c r="EZ770" s="35"/>
      <c r="FA770" s="35"/>
      <c r="FB770" s="35"/>
      <c r="FC770" s="35"/>
      <c r="FD770" s="35"/>
      <c r="FE770" s="35"/>
      <c r="FF770" s="35"/>
      <c r="FG770" s="35"/>
      <c r="FH770" s="35"/>
      <c r="FI770" s="35"/>
      <c r="FJ770" s="35"/>
      <c r="FK770" s="35"/>
      <c r="FL770" s="35"/>
      <c r="FM770" s="35"/>
      <c r="FN770" s="35"/>
      <c r="FO770" s="35"/>
      <c r="FP770" s="35"/>
      <c r="FQ770" s="35"/>
      <c r="FR770" s="35"/>
      <c r="FS770" s="35"/>
      <c r="FT770" s="35"/>
      <c r="FU770" s="35"/>
      <c r="FV770" s="35"/>
      <c r="FW770" s="35"/>
      <c r="FX770" s="35"/>
      <c r="FY770" s="35"/>
      <c r="FZ770" s="35"/>
      <c r="GA770" s="35"/>
      <c r="GB770" s="35"/>
      <c r="GC770" s="35"/>
      <c r="GD770" s="35"/>
      <c r="GE770" s="35"/>
      <c r="GF770" s="35"/>
      <c r="GG770" s="35"/>
      <c r="GH770" s="35"/>
      <c r="GI770" s="35"/>
      <c r="GJ770" s="35"/>
      <c r="GK770" s="35"/>
      <c r="GL770" s="35"/>
      <c r="GM770" s="35"/>
      <c r="GN770" s="35"/>
      <c r="GO770" s="35"/>
      <c r="GP770" s="35"/>
      <c r="GQ770" s="35"/>
      <c r="GR770" s="35"/>
      <c r="GS770" s="35"/>
      <c r="GT770" s="35"/>
      <c r="GU770" s="35"/>
      <c r="GV770" s="35"/>
      <c r="GW770" s="35"/>
      <c r="GX770" s="35"/>
      <c r="GY770" s="35"/>
      <c r="GZ770" s="35"/>
      <c r="HA770" s="35"/>
      <c r="HB770" s="35"/>
      <c r="HC770" s="35"/>
      <c r="HD770" s="35"/>
      <c r="HE770" s="35"/>
      <c r="HF770" s="35"/>
      <c r="HG770" s="35"/>
      <c r="HH770" s="35"/>
      <c r="HI770" s="35"/>
      <c r="HJ770" s="35"/>
      <c r="HK770" s="35"/>
      <c r="HL770" s="35"/>
      <c r="HM770" s="35"/>
      <c r="HN770" s="35"/>
      <c r="HO770" s="35"/>
      <c r="HP770" s="35"/>
      <c r="HQ770" s="35"/>
      <c r="HR770" s="35"/>
      <c r="HS770" s="35"/>
      <c r="HT770" s="35"/>
      <c r="HU770" s="35"/>
      <c r="HV770" s="35"/>
      <c r="HW770" s="35"/>
      <c r="HX770" s="35"/>
      <c r="HY770" s="35"/>
      <c r="HZ770" s="35"/>
      <c r="IA770" s="35"/>
      <c r="IB770" s="35"/>
      <c r="IC770" s="35"/>
      <c r="ID770" s="35"/>
      <c r="IE770" s="35"/>
      <c r="IF770" s="35"/>
      <c r="IG770" s="35"/>
      <c r="IH770" s="35"/>
      <c r="II770" s="35"/>
      <c r="IJ770" s="35"/>
      <c r="IK770" s="35"/>
      <c r="IL770" s="35"/>
      <c r="IM770" s="35"/>
      <c r="IN770" s="35"/>
      <c r="IO770" s="35"/>
      <c r="IP770" s="35"/>
      <c r="IQ770" s="35"/>
      <c r="IR770" s="35"/>
      <c r="IS770" s="35"/>
      <c r="IT770" s="35"/>
      <c r="IU770" s="35"/>
      <c r="IV770" s="35"/>
      <c r="IW770" s="35"/>
      <c r="IX770" s="35"/>
      <c r="IY770" s="35"/>
      <c r="IZ770" s="35"/>
      <c r="JA770" s="35"/>
      <c r="JB770" s="35"/>
      <c r="JC770" s="35"/>
      <c r="JD770" s="35"/>
      <c r="JE770" s="35"/>
    </row>
    <row r="771">
      <c r="A771" s="42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  <c r="AZ771" s="35"/>
      <c r="BA771" s="35"/>
      <c r="BB771" s="35"/>
      <c r="BC771" s="35"/>
      <c r="BD771" s="35"/>
      <c r="BE771" s="35"/>
      <c r="BF771" s="35"/>
      <c r="BG771" s="35"/>
      <c r="BH771" s="35"/>
      <c r="BI771" s="35"/>
      <c r="BJ771" s="35"/>
      <c r="BK771" s="35"/>
      <c r="BL771" s="35"/>
      <c r="BM771" s="35"/>
      <c r="BN771" s="35"/>
      <c r="BO771" s="35"/>
      <c r="BP771" s="35"/>
      <c r="BQ771" s="35"/>
      <c r="BR771" s="35"/>
      <c r="BS771" s="35"/>
      <c r="BT771" s="35"/>
      <c r="BU771" s="35"/>
      <c r="BV771" s="35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35"/>
      <c r="CO771" s="35"/>
      <c r="CP771" s="35"/>
      <c r="CQ771" s="35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35"/>
      <c r="DJ771" s="35"/>
      <c r="DK771" s="35"/>
      <c r="DL771" s="35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35"/>
      <c r="EE771" s="35"/>
      <c r="EF771" s="35"/>
      <c r="EG771" s="35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  <c r="ER771" s="35"/>
      <c r="ES771" s="35"/>
      <c r="ET771" s="35"/>
      <c r="EU771" s="35"/>
      <c r="EV771" s="35"/>
      <c r="EW771" s="35"/>
      <c r="EX771" s="35"/>
      <c r="EY771" s="35"/>
      <c r="EZ771" s="35"/>
      <c r="FA771" s="35"/>
      <c r="FB771" s="35"/>
      <c r="FC771" s="35"/>
      <c r="FD771" s="35"/>
      <c r="FE771" s="35"/>
      <c r="FF771" s="35"/>
      <c r="FG771" s="35"/>
      <c r="FH771" s="35"/>
      <c r="FI771" s="35"/>
      <c r="FJ771" s="35"/>
      <c r="FK771" s="35"/>
      <c r="FL771" s="35"/>
      <c r="FM771" s="35"/>
      <c r="FN771" s="35"/>
      <c r="FO771" s="35"/>
      <c r="FP771" s="35"/>
      <c r="FQ771" s="35"/>
      <c r="FR771" s="35"/>
      <c r="FS771" s="35"/>
      <c r="FT771" s="35"/>
      <c r="FU771" s="35"/>
      <c r="FV771" s="35"/>
      <c r="FW771" s="35"/>
      <c r="FX771" s="35"/>
      <c r="FY771" s="35"/>
      <c r="FZ771" s="35"/>
      <c r="GA771" s="35"/>
      <c r="GB771" s="35"/>
      <c r="GC771" s="35"/>
      <c r="GD771" s="35"/>
      <c r="GE771" s="35"/>
      <c r="GF771" s="35"/>
      <c r="GG771" s="35"/>
      <c r="GH771" s="35"/>
      <c r="GI771" s="35"/>
      <c r="GJ771" s="35"/>
      <c r="GK771" s="35"/>
      <c r="GL771" s="35"/>
      <c r="GM771" s="35"/>
      <c r="GN771" s="35"/>
      <c r="GO771" s="35"/>
      <c r="GP771" s="35"/>
      <c r="GQ771" s="35"/>
      <c r="GR771" s="35"/>
      <c r="GS771" s="35"/>
      <c r="GT771" s="35"/>
      <c r="GU771" s="35"/>
      <c r="GV771" s="35"/>
      <c r="GW771" s="35"/>
      <c r="GX771" s="35"/>
      <c r="GY771" s="35"/>
      <c r="GZ771" s="35"/>
      <c r="HA771" s="35"/>
      <c r="HB771" s="35"/>
      <c r="HC771" s="35"/>
      <c r="HD771" s="35"/>
      <c r="HE771" s="35"/>
      <c r="HF771" s="35"/>
      <c r="HG771" s="35"/>
      <c r="HH771" s="35"/>
      <c r="HI771" s="35"/>
      <c r="HJ771" s="35"/>
      <c r="HK771" s="35"/>
      <c r="HL771" s="35"/>
      <c r="HM771" s="35"/>
      <c r="HN771" s="35"/>
      <c r="HO771" s="35"/>
      <c r="HP771" s="35"/>
      <c r="HQ771" s="35"/>
      <c r="HR771" s="35"/>
      <c r="HS771" s="35"/>
      <c r="HT771" s="35"/>
      <c r="HU771" s="35"/>
      <c r="HV771" s="35"/>
      <c r="HW771" s="35"/>
      <c r="HX771" s="35"/>
      <c r="HY771" s="35"/>
      <c r="HZ771" s="35"/>
      <c r="IA771" s="35"/>
      <c r="IB771" s="35"/>
      <c r="IC771" s="35"/>
      <c r="ID771" s="35"/>
      <c r="IE771" s="35"/>
      <c r="IF771" s="35"/>
      <c r="IG771" s="35"/>
      <c r="IH771" s="35"/>
      <c r="II771" s="35"/>
      <c r="IJ771" s="35"/>
      <c r="IK771" s="35"/>
      <c r="IL771" s="35"/>
      <c r="IM771" s="35"/>
      <c r="IN771" s="35"/>
      <c r="IO771" s="35"/>
      <c r="IP771" s="35"/>
      <c r="IQ771" s="35"/>
      <c r="IR771" s="35"/>
      <c r="IS771" s="35"/>
      <c r="IT771" s="35"/>
      <c r="IU771" s="35"/>
      <c r="IV771" s="35"/>
      <c r="IW771" s="35"/>
      <c r="IX771" s="35"/>
      <c r="IY771" s="35"/>
      <c r="IZ771" s="35"/>
      <c r="JA771" s="35"/>
      <c r="JB771" s="35"/>
      <c r="JC771" s="35"/>
      <c r="JD771" s="35"/>
      <c r="JE771" s="35"/>
    </row>
    <row r="772">
      <c r="A772" s="42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  <c r="AZ772" s="35"/>
      <c r="BA772" s="35"/>
      <c r="BB772" s="35"/>
      <c r="BC772" s="35"/>
      <c r="BD772" s="35"/>
      <c r="BE772" s="35"/>
      <c r="BF772" s="35"/>
      <c r="BG772" s="35"/>
      <c r="BH772" s="35"/>
      <c r="BI772" s="35"/>
      <c r="BJ772" s="35"/>
      <c r="BK772" s="35"/>
      <c r="BL772" s="35"/>
      <c r="BM772" s="35"/>
      <c r="BN772" s="35"/>
      <c r="BO772" s="35"/>
      <c r="BP772" s="35"/>
      <c r="BQ772" s="35"/>
      <c r="BR772" s="35"/>
      <c r="BS772" s="35"/>
      <c r="BT772" s="35"/>
      <c r="BU772" s="35"/>
      <c r="BV772" s="35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35"/>
      <c r="CO772" s="35"/>
      <c r="CP772" s="35"/>
      <c r="CQ772" s="35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35"/>
      <c r="DJ772" s="35"/>
      <c r="DK772" s="35"/>
      <c r="DL772" s="35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35"/>
      <c r="EE772" s="35"/>
      <c r="EF772" s="35"/>
      <c r="EG772" s="35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  <c r="ER772" s="35"/>
      <c r="ES772" s="35"/>
      <c r="ET772" s="35"/>
      <c r="EU772" s="35"/>
      <c r="EV772" s="35"/>
      <c r="EW772" s="35"/>
      <c r="EX772" s="35"/>
      <c r="EY772" s="35"/>
      <c r="EZ772" s="35"/>
      <c r="FA772" s="35"/>
      <c r="FB772" s="35"/>
      <c r="FC772" s="35"/>
      <c r="FD772" s="35"/>
      <c r="FE772" s="35"/>
      <c r="FF772" s="35"/>
      <c r="FG772" s="35"/>
      <c r="FH772" s="35"/>
      <c r="FI772" s="35"/>
      <c r="FJ772" s="35"/>
      <c r="FK772" s="35"/>
      <c r="FL772" s="35"/>
      <c r="FM772" s="35"/>
      <c r="FN772" s="35"/>
      <c r="FO772" s="35"/>
      <c r="FP772" s="35"/>
      <c r="FQ772" s="35"/>
      <c r="FR772" s="35"/>
      <c r="FS772" s="35"/>
      <c r="FT772" s="35"/>
      <c r="FU772" s="35"/>
      <c r="FV772" s="35"/>
      <c r="FW772" s="35"/>
      <c r="FX772" s="35"/>
      <c r="FY772" s="35"/>
      <c r="FZ772" s="35"/>
      <c r="GA772" s="35"/>
      <c r="GB772" s="35"/>
      <c r="GC772" s="35"/>
      <c r="GD772" s="35"/>
      <c r="GE772" s="35"/>
      <c r="GF772" s="35"/>
      <c r="GG772" s="35"/>
      <c r="GH772" s="35"/>
      <c r="GI772" s="35"/>
      <c r="GJ772" s="35"/>
      <c r="GK772" s="35"/>
      <c r="GL772" s="35"/>
      <c r="GM772" s="35"/>
      <c r="GN772" s="35"/>
      <c r="GO772" s="35"/>
      <c r="GP772" s="35"/>
      <c r="GQ772" s="35"/>
      <c r="GR772" s="35"/>
      <c r="GS772" s="35"/>
      <c r="GT772" s="35"/>
      <c r="GU772" s="35"/>
      <c r="GV772" s="35"/>
      <c r="GW772" s="35"/>
      <c r="GX772" s="35"/>
      <c r="GY772" s="35"/>
      <c r="GZ772" s="35"/>
      <c r="HA772" s="35"/>
      <c r="HB772" s="35"/>
      <c r="HC772" s="35"/>
      <c r="HD772" s="35"/>
      <c r="HE772" s="35"/>
      <c r="HF772" s="35"/>
      <c r="HG772" s="35"/>
      <c r="HH772" s="35"/>
      <c r="HI772" s="35"/>
      <c r="HJ772" s="35"/>
      <c r="HK772" s="35"/>
      <c r="HL772" s="35"/>
      <c r="HM772" s="35"/>
      <c r="HN772" s="35"/>
      <c r="HO772" s="35"/>
      <c r="HP772" s="35"/>
      <c r="HQ772" s="35"/>
      <c r="HR772" s="35"/>
      <c r="HS772" s="35"/>
      <c r="HT772" s="35"/>
      <c r="HU772" s="35"/>
      <c r="HV772" s="35"/>
      <c r="HW772" s="35"/>
      <c r="HX772" s="35"/>
      <c r="HY772" s="35"/>
      <c r="HZ772" s="35"/>
      <c r="IA772" s="35"/>
      <c r="IB772" s="35"/>
      <c r="IC772" s="35"/>
      <c r="ID772" s="35"/>
      <c r="IE772" s="35"/>
      <c r="IF772" s="35"/>
      <c r="IG772" s="35"/>
      <c r="IH772" s="35"/>
      <c r="II772" s="35"/>
      <c r="IJ772" s="35"/>
      <c r="IK772" s="35"/>
      <c r="IL772" s="35"/>
      <c r="IM772" s="35"/>
      <c r="IN772" s="35"/>
      <c r="IO772" s="35"/>
      <c r="IP772" s="35"/>
      <c r="IQ772" s="35"/>
      <c r="IR772" s="35"/>
      <c r="IS772" s="35"/>
      <c r="IT772" s="35"/>
      <c r="IU772" s="35"/>
      <c r="IV772" s="35"/>
      <c r="IW772" s="35"/>
      <c r="IX772" s="35"/>
      <c r="IY772" s="35"/>
      <c r="IZ772" s="35"/>
      <c r="JA772" s="35"/>
      <c r="JB772" s="35"/>
      <c r="JC772" s="35"/>
      <c r="JD772" s="35"/>
      <c r="JE772" s="35"/>
    </row>
    <row r="773">
      <c r="A773" s="42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  <c r="AZ773" s="35"/>
      <c r="BA773" s="35"/>
      <c r="BB773" s="35"/>
      <c r="BC773" s="35"/>
      <c r="BD773" s="35"/>
      <c r="BE773" s="35"/>
      <c r="BF773" s="35"/>
      <c r="BG773" s="35"/>
      <c r="BH773" s="35"/>
      <c r="BI773" s="35"/>
      <c r="BJ773" s="35"/>
      <c r="BK773" s="35"/>
      <c r="BL773" s="35"/>
      <c r="BM773" s="35"/>
      <c r="BN773" s="35"/>
      <c r="BO773" s="35"/>
      <c r="BP773" s="35"/>
      <c r="BQ773" s="35"/>
      <c r="BR773" s="35"/>
      <c r="BS773" s="35"/>
      <c r="BT773" s="35"/>
      <c r="BU773" s="35"/>
      <c r="BV773" s="35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35"/>
      <c r="CO773" s="35"/>
      <c r="CP773" s="35"/>
      <c r="CQ773" s="35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35"/>
      <c r="DJ773" s="35"/>
      <c r="DK773" s="35"/>
      <c r="DL773" s="35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35"/>
      <c r="EE773" s="35"/>
      <c r="EF773" s="35"/>
      <c r="EG773" s="35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  <c r="ER773" s="35"/>
      <c r="ES773" s="35"/>
      <c r="ET773" s="35"/>
      <c r="EU773" s="35"/>
      <c r="EV773" s="35"/>
      <c r="EW773" s="35"/>
      <c r="EX773" s="35"/>
      <c r="EY773" s="35"/>
      <c r="EZ773" s="35"/>
      <c r="FA773" s="35"/>
      <c r="FB773" s="35"/>
      <c r="FC773" s="35"/>
      <c r="FD773" s="35"/>
      <c r="FE773" s="35"/>
      <c r="FF773" s="35"/>
      <c r="FG773" s="35"/>
      <c r="FH773" s="35"/>
      <c r="FI773" s="35"/>
      <c r="FJ773" s="35"/>
      <c r="FK773" s="35"/>
      <c r="FL773" s="35"/>
      <c r="FM773" s="35"/>
      <c r="FN773" s="35"/>
      <c r="FO773" s="35"/>
      <c r="FP773" s="35"/>
      <c r="FQ773" s="35"/>
      <c r="FR773" s="35"/>
      <c r="FS773" s="35"/>
      <c r="FT773" s="35"/>
      <c r="FU773" s="35"/>
      <c r="FV773" s="35"/>
      <c r="FW773" s="35"/>
      <c r="FX773" s="35"/>
      <c r="FY773" s="35"/>
      <c r="FZ773" s="35"/>
      <c r="GA773" s="35"/>
      <c r="GB773" s="35"/>
      <c r="GC773" s="35"/>
      <c r="GD773" s="35"/>
      <c r="GE773" s="35"/>
      <c r="GF773" s="35"/>
      <c r="GG773" s="35"/>
      <c r="GH773" s="35"/>
      <c r="GI773" s="35"/>
      <c r="GJ773" s="35"/>
      <c r="GK773" s="35"/>
      <c r="GL773" s="35"/>
      <c r="GM773" s="35"/>
      <c r="GN773" s="35"/>
      <c r="GO773" s="35"/>
      <c r="GP773" s="35"/>
      <c r="GQ773" s="35"/>
      <c r="GR773" s="35"/>
      <c r="GS773" s="35"/>
      <c r="GT773" s="35"/>
      <c r="GU773" s="35"/>
      <c r="GV773" s="35"/>
      <c r="GW773" s="35"/>
      <c r="GX773" s="35"/>
      <c r="GY773" s="35"/>
      <c r="GZ773" s="35"/>
      <c r="HA773" s="35"/>
      <c r="HB773" s="35"/>
      <c r="HC773" s="35"/>
      <c r="HD773" s="35"/>
      <c r="HE773" s="35"/>
      <c r="HF773" s="35"/>
      <c r="HG773" s="35"/>
      <c r="HH773" s="35"/>
      <c r="HI773" s="35"/>
      <c r="HJ773" s="35"/>
      <c r="HK773" s="35"/>
      <c r="HL773" s="35"/>
      <c r="HM773" s="35"/>
      <c r="HN773" s="35"/>
      <c r="HO773" s="35"/>
      <c r="HP773" s="35"/>
      <c r="HQ773" s="35"/>
      <c r="HR773" s="35"/>
      <c r="HS773" s="35"/>
      <c r="HT773" s="35"/>
      <c r="HU773" s="35"/>
      <c r="HV773" s="35"/>
      <c r="HW773" s="35"/>
      <c r="HX773" s="35"/>
      <c r="HY773" s="35"/>
      <c r="HZ773" s="35"/>
      <c r="IA773" s="35"/>
      <c r="IB773" s="35"/>
      <c r="IC773" s="35"/>
      <c r="ID773" s="35"/>
      <c r="IE773" s="35"/>
      <c r="IF773" s="35"/>
      <c r="IG773" s="35"/>
      <c r="IH773" s="35"/>
      <c r="II773" s="35"/>
      <c r="IJ773" s="35"/>
      <c r="IK773" s="35"/>
      <c r="IL773" s="35"/>
      <c r="IM773" s="35"/>
      <c r="IN773" s="35"/>
      <c r="IO773" s="35"/>
      <c r="IP773" s="35"/>
      <c r="IQ773" s="35"/>
      <c r="IR773" s="35"/>
      <c r="IS773" s="35"/>
      <c r="IT773" s="35"/>
      <c r="IU773" s="35"/>
      <c r="IV773" s="35"/>
      <c r="IW773" s="35"/>
      <c r="IX773" s="35"/>
      <c r="IY773" s="35"/>
      <c r="IZ773" s="35"/>
      <c r="JA773" s="35"/>
      <c r="JB773" s="35"/>
      <c r="JC773" s="35"/>
      <c r="JD773" s="35"/>
      <c r="JE773" s="35"/>
    </row>
    <row r="774">
      <c r="A774" s="42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  <c r="AZ774" s="35"/>
      <c r="BA774" s="35"/>
      <c r="BB774" s="35"/>
      <c r="BC774" s="35"/>
      <c r="BD774" s="35"/>
      <c r="BE774" s="35"/>
      <c r="BF774" s="35"/>
      <c r="BG774" s="35"/>
      <c r="BH774" s="35"/>
      <c r="BI774" s="35"/>
      <c r="BJ774" s="35"/>
      <c r="BK774" s="35"/>
      <c r="BL774" s="35"/>
      <c r="BM774" s="35"/>
      <c r="BN774" s="35"/>
      <c r="BO774" s="35"/>
      <c r="BP774" s="35"/>
      <c r="BQ774" s="35"/>
      <c r="BR774" s="35"/>
      <c r="BS774" s="35"/>
      <c r="BT774" s="35"/>
      <c r="BU774" s="35"/>
      <c r="BV774" s="35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35"/>
      <c r="CO774" s="35"/>
      <c r="CP774" s="35"/>
      <c r="CQ774" s="35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35"/>
      <c r="DJ774" s="35"/>
      <c r="DK774" s="35"/>
      <c r="DL774" s="35"/>
      <c r="DM774" s="35"/>
      <c r="DN774" s="35"/>
      <c r="DO774" s="35"/>
      <c r="DP774" s="35"/>
      <c r="DQ774" s="35"/>
      <c r="DR774" s="35"/>
      <c r="DS774" s="35"/>
      <c r="DT774" s="35"/>
      <c r="DU774" s="35"/>
      <c r="DV774" s="35"/>
      <c r="DW774" s="35"/>
      <c r="DX774" s="35"/>
      <c r="DY774" s="35"/>
      <c r="DZ774" s="35"/>
      <c r="EA774" s="35"/>
      <c r="EB774" s="35"/>
      <c r="EC774" s="35"/>
      <c r="ED774" s="35"/>
      <c r="EE774" s="35"/>
      <c r="EF774" s="35"/>
      <c r="EG774" s="35"/>
      <c r="EH774" s="35"/>
      <c r="EI774" s="35"/>
      <c r="EJ774" s="35"/>
      <c r="EK774" s="35"/>
      <c r="EL774" s="35"/>
      <c r="EM774" s="35"/>
      <c r="EN774" s="35"/>
      <c r="EO774" s="35"/>
      <c r="EP774" s="35"/>
      <c r="EQ774" s="35"/>
      <c r="ER774" s="35"/>
      <c r="ES774" s="35"/>
      <c r="ET774" s="35"/>
      <c r="EU774" s="35"/>
      <c r="EV774" s="35"/>
      <c r="EW774" s="35"/>
      <c r="EX774" s="35"/>
      <c r="EY774" s="35"/>
      <c r="EZ774" s="35"/>
      <c r="FA774" s="35"/>
      <c r="FB774" s="35"/>
      <c r="FC774" s="35"/>
      <c r="FD774" s="35"/>
      <c r="FE774" s="35"/>
      <c r="FF774" s="35"/>
      <c r="FG774" s="35"/>
      <c r="FH774" s="35"/>
      <c r="FI774" s="35"/>
      <c r="FJ774" s="35"/>
      <c r="FK774" s="35"/>
      <c r="FL774" s="35"/>
      <c r="FM774" s="35"/>
      <c r="FN774" s="35"/>
      <c r="FO774" s="35"/>
      <c r="FP774" s="35"/>
      <c r="FQ774" s="35"/>
      <c r="FR774" s="35"/>
      <c r="FS774" s="35"/>
      <c r="FT774" s="35"/>
      <c r="FU774" s="35"/>
      <c r="FV774" s="35"/>
      <c r="FW774" s="35"/>
      <c r="FX774" s="35"/>
      <c r="FY774" s="35"/>
      <c r="FZ774" s="35"/>
      <c r="GA774" s="35"/>
      <c r="GB774" s="35"/>
      <c r="GC774" s="35"/>
      <c r="GD774" s="35"/>
      <c r="GE774" s="35"/>
      <c r="GF774" s="35"/>
      <c r="GG774" s="35"/>
      <c r="GH774" s="35"/>
      <c r="GI774" s="35"/>
      <c r="GJ774" s="35"/>
      <c r="GK774" s="35"/>
      <c r="GL774" s="35"/>
      <c r="GM774" s="35"/>
      <c r="GN774" s="35"/>
      <c r="GO774" s="35"/>
      <c r="GP774" s="35"/>
      <c r="GQ774" s="35"/>
      <c r="GR774" s="35"/>
      <c r="GS774" s="35"/>
      <c r="GT774" s="35"/>
      <c r="GU774" s="35"/>
      <c r="GV774" s="35"/>
      <c r="GW774" s="35"/>
      <c r="GX774" s="35"/>
      <c r="GY774" s="35"/>
      <c r="GZ774" s="35"/>
      <c r="HA774" s="35"/>
      <c r="HB774" s="35"/>
      <c r="HC774" s="35"/>
      <c r="HD774" s="35"/>
      <c r="HE774" s="35"/>
      <c r="HF774" s="35"/>
      <c r="HG774" s="35"/>
      <c r="HH774" s="35"/>
      <c r="HI774" s="35"/>
      <c r="HJ774" s="35"/>
      <c r="HK774" s="35"/>
      <c r="HL774" s="35"/>
      <c r="HM774" s="35"/>
      <c r="HN774" s="35"/>
      <c r="HO774" s="35"/>
      <c r="HP774" s="35"/>
      <c r="HQ774" s="35"/>
      <c r="HR774" s="35"/>
      <c r="HS774" s="35"/>
      <c r="HT774" s="35"/>
      <c r="HU774" s="35"/>
      <c r="HV774" s="35"/>
      <c r="HW774" s="35"/>
      <c r="HX774" s="35"/>
      <c r="HY774" s="35"/>
      <c r="HZ774" s="35"/>
      <c r="IA774" s="35"/>
      <c r="IB774" s="35"/>
      <c r="IC774" s="35"/>
      <c r="ID774" s="35"/>
      <c r="IE774" s="35"/>
      <c r="IF774" s="35"/>
      <c r="IG774" s="35"/>
      <c r="IH774" s="35"/>
      <c r="II774" s="35"/>
      <c r="IJ774" s="35"/>
      <c r="IK774" s="35"/>
      <c r="IL774" s="35"/>
      <c r="IM774" s="35"/>
      <c r="IN774" s="35"/>
      <c r="IO774" s="35"/>
      <c r="IP774" s="35"/>
      <c r="IQ774" s="35"/>
      <c r="IR774" s="35"/>
      <c r="IS774" s="35"/>
      <c r="IT774" s="35"/>
      <c r="IU774" s="35"/>
      <c r="IV774" s="35"/>
      <c r="IW774" s="35"/>
      <c r="IX774" s="35"/>
      <c r="IY774" s="35"/>
      <c r="IZ774" s="35"/>
      <c r="JA774" s="35"/>
      <c r="JB774" s="35"/>
      <c r="JC774" s="35"/>
      <c r="JD774" s="35"/>
      <c r="JE774" s="35"/>
    </row>
    <row r="775">
      <c r="A775" s="42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  <c r="AZ775" s="35"/>
      <c r="BA775" s="35"/>
      <c r="BB775" s="35"/>
      <c r="BC775" s="35"/>
      <c r="BD775" s="35"/>
      <c r="BE775" s="35"/>
      <c r="BF775" s="35"/>
      <c r="BG775" s="35"/>
      <c r="BH775" s="35"/>
      <c r="BI775" s="35"/>
      <c r="BJ775" s="35"/>
      <c r="BK775" s="35"/>
      <c r="BL775" s="35"/>
      <c r="BM775" s="35"/>
      <c r="BN775" s="35"/>
      <c r="BO775" s="35"/>
      <c r="BP775" s="35"/>
      <c r="BQ775" s="35"/>
      <c r="BR775" s="35"/>
      <c r="BS775" s="35"/>
      <c r="BT775" s="35"/>
      <c r="BU775" s="35"/>
      <c r="BV775" s="35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35"/>
      <c r="CO775" s="35"/>
      <c r="CP775" s="35"/>
      <c r="CQ775" s="35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35"/>
      <c r="DJ775" s="35"/>
      <c r="DK775" s="35"/>
      <c r="DL775" s="35"/>
      <c r="DM775" s="35"/>
      <c r="DN775" s="35"/>
      <c r="DO775" s="35"/>
      <c r="DP775" s="35"/>
      <c r="DQ775" s="35"/>
      <c r="DR775" s="35"/>
      <c r="DS775" s="35"/>
      <c r="DT775" s="35"/>
      <c r="DU775" s="35"/>
      <c r="DV775" s="35"/>
      <c r="DW775" s="35"/>
      <c r="DX775" s="35"/>
      <c r="DY775" s="35"/>
      <c r="DZ775" s="35"/>
      <c r="EA775" s="35"/>
      <c r="EB775" s="35"/>
      <c r="EC775" s="35"/>
      <c r="ED775" s="35"/>
      <c r="EE775" s="35"/>
      <c r="EF775" s="35"/>
      <c r="EG775" s="35"/>
      <c r="EH775" s="35"/>
      <c r="EI775" s="35"/>
      <c r="EJ775" s="35"/>
      <c r="EK775" s="35"/>
      <c r="EL775" s="35"/>
      <c r="EM775" s="35"/>
      <c r="EN775" s="35"/>
      <c r="EO775" s="35"/>
      <c r="EP775" s="35"/>
      <c r="EQ775" s="35"/>
      <c r="ER775" s="35"/>
      <c r="ES775" s="35"/>
      <c r="ET775" s="35"/>
      <c r="EU775" s="35"/>
      <c r="EV775" s="35"/>
      <c r="EW775" s="35"/>
      <c r="EX775" s="35"/>
      <c r="EY775" s="35"/>
      <c r="EZ775" s="35"/>
      <c r="FA775" s="35"/>
      <c r="FB775" s="35"/>
      <c r="FC775" s="35"/>
      <c r="FD775" s="35"/>
      <c r="FE775" s="35"/>
      <c r="FF775" s="35"/>
      <c r="FG775" s="35"/>
      <c r="FH775" s="35"/>
      <c r="FI775" s="35"/>
      <c r="FJ775" s="35"/>
      <c r="FK775" s="35"/>
      <c r="FL775" s="35"/>
      <c r="FM775" s="35"/>
      <c r="FN775" s="35"/>
      <c r="FO775" s="35"/>
      <c r="FP775" s="35"/>
      <c r="FQ775" s="35"/>
      <c r="FR775" s="35"/>
      <c r="FS775" s="35"/>
      <c r="FT775" s="35"/>
      <c r="FU775" s="35"/>
      <c r="FV775" s="35"/>
      <c r="FW775" s="35"/>
      <c r="FX775" s="35"/>
      <c r="FY775" s="35"/>
      <c r="FZ775" s="35"/>
      <c r="GA775" s="35"/>
      <c r="GB775" s="35"/>
      <c r="GC775" s="35"/>
      <c r="GD775" s="35"/>
      <c r="GE775" s="35"/>
      <c r="GF775" s="35"/>
      <c r="GG775" s="35"/>
      <c r="GH775" s="35"/>
      <c r="GI775" s="35"/>
      <c r="GJ775" s="35"/>
      <c r="GK775" s="35"/>
      <c r="GL775" s="35"/>
      <c r="GM775" s="35"/>
      <c r="GN775" s="35"/>
      <c r="GO775" s="35"/>
      <c r="GP775" s="35"/>
      <c r="GQ775" s="35"/>
      <c r="GR775" s="35"/>
      <c r="GS775" s="35"/>
      <c r="GT775" s="35"/>
      <c r="GU775" s="35"/>
      <c r="GV775" s="35"/>
      <c r="GW775" s="35"/>
      <c r="GX775" s="35"/>
      <c r="GY775" s="35"/>
      <c r="GZ775" s="35"/>
      <c r="HA775" s="35"/>
      <c r="HB775" s="35"/>
      <c r="HC775" s="35"/>
      <c r="HD775" s="35"/>
      <c r="HE775" s="35"/>
      <c r="HF775" s="35"/>
      <c r="HG775" s="35"/>
      <c r="HH775" s="35"/>
      <c r="HI775" s="35"/>
      <c r="HJ775" s="35"/>
      <c r="HK775" s="35"/>
      <c r="HL775" s="35"/>
      <c r="HM775" s="35"/>
      <c r="HN775" s="35"/>
      <c r="HO775" s="35"/>
      <c r="HP775" s="35"/>
      <c r="HQ775" s="35"/>
      <c r="HR775" s="35"/>
      <c r="HS775" s="35"/>
      <c r="HT775" s="35"/>
      <c r="HU775" s="35"/>
      <c r="HV775" s="35"/>
      <c r="HW775" s="35"/>
      <c r="HX775" s="35"/>
      <c r="HY775" s="35"/>
      <c r="HZ775" s="35"/>
      <c r="IA775" s="35"/>
      <c r="IB775" s="35"/>
      <c r="IC775" s="35"/>
      <c r="ID775" s="35"/>
      <c r="IE775" s="35"/>
      <c r="IF775" s="35"/>
      <c r="IG775" s="35"/>
      <c r="IH775" s="35"/>
      <c r="II775" s="35"/>
      <c r="IJ775" s="35"/>
      <c r="IK775" s="35"/>
      <c r="IL775" s="35"/>
      <c r="IM775" s="35"/>
      <c r="IN775" s="35"/>
      <c r="IO775" s="35"/>
      <c r="IP775" s="35"/>
      <c r="IQ775" s="35"/>
      <c r="IR775" s="35"/>
      <c r="IS775" s="35"/>
      <c r="IT775" s="35"/>
      <c r="IU775" s="35"/>
      <c r="IV775" s="35"/>
      <c r="IW775" s="35"/>
      <c r="IX775" s="35"/>
      <c r="IY775" s="35"/>
      <c r="IZ775" s="35"/>
      <c r="JA775" s="35"/>
      <c r="JB775" s="35"/>
      <c r="JC775" s="35"/>
      <c r="JD775" s="35"/>
      <c r="JE775" s="35"/>
    </row>
    <row r="776">
      <c r="A776" s="42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  <c r="AZ776" s="35"/>
      <c r="BA776" s="35"/>
      <c r="BB776" s="35"/>
      <c r="BC776" s="35"/>
      <c r="BD776" s="35"/>
      <c r="BE776" s="35"/>
      <c r="BF776" s="35"/>
      <c r="BG776" s="35"/>
      <c r="BH776" s="35"/>
      <c r="BI776" s="35"/>
      <c r="BJ776" s="35"/>
      <c r="BK776" s="35"/>
      <c r="BL776" s="35"/>
      <c r="BM776" s="35"/>
      <c r="BN776" s="35"/>
      <c r="BO776" s="35"/>
      <c r="BP776" s="35"/>
      <c r="BQ776" s="35"/>
      <c r="BR776" s="35"/>
      <c r="BS776" s="35"/>
      <c r="BT776" s="35"/>
      <c r="BU776" s="35"/>
      <c r="BV776" s="35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35"/>
      <c r="CO776" s="35"/>
      <c r="CP776" s="35"/>
      <c r="CQ776" s="35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35"/>
      <c r="DJ776" s="35"/>
      <c r="DK776" s="35"/>
      <c r="DL776" s="35"/>
      <c r="DM776" s="35"/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s="35"/>
      <c r="EE776" s="35"/>
      <c r="EF776" s="35"/>
      <c r="EG776" s="35"/>
      <c r="EH776" s="35"/>
      <c r="EI776" s="35"/>
      <c r="EJ776" s="35"/>
      <c r="EK776" s="35"/>
      <c r="EL776" s="35"/>
      <c r="EM776" s="35"/>
      <c r="EN776" s="35"/>
      <c r="EO776" s="35"/>
      <c r="EP776" s="35"/>
      <c r="EQ776" s="35"/>
      <c r="ER776" s="35"/>
      <c r="ES776" s="35"/>
      <c r="ET776" s="35"/>
      <c r="EU776" s="35"/>
      <c r="EV776" s="35"/>
      <c r="EW776" s="35"/>
      <c r="EX776" s="35"/>
      <c r="EY776" s="35"/>
      <c r="EZ776" s="35"/>
      <c r="FA776" s="35"/>
      <c r="FB776" s="35"/>
      <c r="FC776" s="35"/>
      <c r="FD776" s="35"/>
      <c r="FE776" s="35"/>
      <c r="FF776" s="35"/>
      <c r="FG776" s="35"/>
      <c r="FH776" s="35"/>
      <c r="FI776" s="35"/>
      <c r="FJ776" s="35"/>
      <c r="FK776" s="35"/>
      <c r="FL776" s="35"/>
      <c r="FM776" s="35"/>
      <c r="FN776" s="35"/>
      <c r="FO776" s="35"/>
      <c r="FP776" s="35"/>
      <c r="FQ776" s="35"/>
      <c r="FR776" s="35"/>
      <c r="FS776" s="35"/>
      <c r="FT776" s="35"/>
      <c r="FU776" s="35"/>
      <c r="FV776" s="35"/>
      <c r="FW776" s="35"/>
      <c r="FX776" s="35"/>
      <c r="FY776" s="35"/>
      <c r="FZ776" s="35"/>
      <c r="GA776" s="35"/>
      <c r="GB776" s="35"/>
      <c r="GC776" s="35"/>
      <c r="GD776" s="35"/>
      <c r="GE776" s="35"/>
      <c r="GF776" s="35"/>
      <c r="GG776" s="35"/>
      <c r="GH776" s="35"/>
      <c r="GI776" s="35"/>
      <c r="GJ776" s="35"/>
      <c r="GK776" s="35"/>
      <c r="GL776" s="35"/>
      <c r="GM776" s="35"/>
      <c r="GN776" s="35"/>
      <c r="GO776" s="35"/>
      <c r="GP776" s="35"/>
      <c r="GQ776" s="35"/>
      <c r="GR776" s="35"/>
      <c r="GS776" s="35"/>
      <c r="GT776" s="35"/>
      <c r="GU776" s="35"/>
      <c r="GV776" s="35"/>
      <c r="GW776" s="35"/>
      <c r="GX776" s="35"/>
      <c r="GY776" s="35"/>
      <c r="GZ776" s="35"/>
      <c r="HA776" s="35"/>
      <c r="HB776" s="35"/>
      <c r="HC776" s="35"/>
      <c r="HD776" s="35"/>
      <c r="HE776" s="35"/>
      <c r="HF776" s="35"/>
      <c r="HG776" s="35"/>
      <c r="HH776" s="35"/>
      <c r="HI776" s="35"/>
      <c r="HJ776" s="35"/>
      <c r="HK776" s="35"/>
      <c r="HL776" s="35"/>
      <c r="HM776" s="35"/>
      <c r="HN776" s="35"/>
      <c r="HO776" s="35"/>
      <c r="HP776" s="35"/>
      <c r="HQ776" s="35"/>
      <c r="HR776" s="35"/>
      <c r="HS776" s="35"/>
      <c r="HT776" s="35"/>
      <c r="HU776" s="35"/>
      <c r="HV776" s="35"/>
      <c r="HW776" s="35"/>
      <c r="HX776" s="35"/>
      <c r="HY776" s="35"/>
      <c r="HZ776" s="35"/>
      <c r="IA776" s="35"/>
      <c r="IB776" s="35"/>
      <c r="IC776" s="35"/>
      <c r="ID776" s="35"/>
      <c r="IE776" s="35"/>
      <c r="IF776" s="35"/>
      <c r="IG776" s="35"/>
      <c r="IH776" s="35"/>
      <c r="II776" s="35"/>
      <c r="IJ776" s="35"/>
      <c r="IK776" s="35"/>
      <c r="IL776" s="35"/>
      <c r="IM776" s="35"/>
      <c r="IN776" s="35"/>
      <c r="IO776" s="35"/>
      <c r="IP776" s="35"/>
      <c r="IQ776" s="35"/>
      <c r="IR776" s="35"/>
      <c r="IS776" s="35"/>
      <c r="IT776" s="35"/>
      <c r="IU776" s="35"/>
      <c r="IV776" s="35"/>
      <c r="IW776" s="35"/>
      <c r="IX776" s="35"/>
      <c r="IY776" s="35"/>
      <c r="IZ776" s="35"/>
      <c r="JA776" s="35"/>
      <c r="JB776" s="35"/>
      <c r="JC776" s="35"/>
      <c r="JD776" s="35"/>
      <c r="JE776" s="35"/>
    </row>
    <row r="777">
      <c r="A777" s="42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  <c r="AZ777" s="35"/>
      <c r="BA777" s="35"/>
      <c r="BB777" s="35"/>
      <c r="BC777" s="35"/>
      <c r="BD777" s="35"/>
      <c r="BE777" s="35"/>
      <c r="BF777" s="35"/>
      <c r="BG777" s="35"/>
      <c r="BH777" s="35"/>
      <c r="BI777" s="35"/>
      <c r="BJ777" s="35"/>
      <c r="BK777" s="35"/>
      <c r="BL777" s="35"/>
      <c r="BM777" s="35"/>
      <c r="BN777" s="35"/>
      <c r="BO777" s="35"/>
      <c r="BP777" s="35"/>
      <c r="BQ777" s="35"/>
      <c r="BR777" s="35"/>
      <c r="BS777" s="35"/>
      <c r="BT777" s="35"/>
      <c r="BU777" s="35"/>
      <c r="BV777" s="35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35"/>
      <c r="CO777" s="35"/>
      <c r="CP777" s="35"/>
      <c r="CQ777" s="35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35"/>
      <c r="DJ777" s="35"/>
      <c r="DK777" s="35"/>
      <c r="DL777" s="35"/>
      <c r="DM777" s="35"/>
      <c r="DN777" s="35"/>
      <c r="DO777" s="35"/>
      <c r="DP777" s="35"/>
      <c r="DQ777" s="35"/>
      <c r="DR777" s="35"/>
      <c r="DS777" s="35"/>
      <c r="DT777" s="35"/>
      <c r="DU777" s="35"/>
      <c r="DV777" s="35"/>
      <c r="DW777" s="35"/>
      <c r="DX777" s="35"/>
      <c r="DY777" s="35"/>
      <c r="DZ777" s="35"/>
      <c r="EA777" s="35"/>
      <c r="EB777" s="35"/>
      <c r="EC777" s="35"/>
      <c r="ED777" s="35"/>
      <c r="EE777" s="35"/>
      <c r="EF777" s="35"/>
      <c r="EG777" s="35"/>
      <c r="EH777" s="35"/>
      <c r="EI777" s="35"/>
      <c r="EJ777" s="35"/>
      <c r="EK777" s="35"/>
      <c r="EL777" s="35"/>
      <c r="EM777" s="35"/>
      <c r="EN777" s="35"/>
      <c r="EO777" s="35"/>
      <c r="EP777" s="35"/>
      <c r="EQ777" s="35"/>
      <c r="ER777" s="35"/>
      <c r="ES777" s="35"/>
      <c r="ET777" s="35"/>
      <c r="EU777" s="35"/>
      <c r="EV777" s="35"/>
      <c r="EW777" s="35"/>
      <c r="EX777" s="35"/>
      <c r="EY777" s="35"/>
      <c r="EZ777" s="35"/>
      <c r="FA777" s="35"/>
      <c r="FB777" s="35"/>
      <c r="FC777" s="35"/>
      <c r="FD777" s="35"/>
      <c r="FE777" s="35"/>
      <c r="FF777" s="35"/>
      <c r="FG777" s="35"/>
      <c r="FH777" s="35"/>
      <c r="FI777" s="35"/>
      <c r="FJ777" s="35"/>
      <c r="FK777" s="35"/>
      <c r="FL777" s="35"/>
      <c r="FM777" s="35"/>
      <c r="FN777" s="35"/>
      <c r="FO777" s="35"/>
      <c r="FP777" s="35"/>
      <c r="FQ777" s="35"/>
      <c r="FR777" s="35"/>
      <c r="FS777" s="35"/>
      <c r="FT777" s="35"/>
      <c r="FU777" s="35"/>
      <c r="FV777" s="35"/>
      <c r="FW777" s="35"/>
      <c r="FX777" s="35"/>
      <c r="FY777" s="35"/>
      <c r="FZ777" s="35"/>
      <c r="GA777" s="35"/>
      <c r="GB777" s="35"/>
      <c r="GC777" s="35"/>
      <c r="GD777" s="35"/>
      <c r="GE777" s="35"/>
      <c r="GF777" s="35"/>
      <c r="GG777" s="35"/>
      <c r="GH777" s="35"/>
      <c r="GI777" s="35"/>
      <c r="GJ777" s="35"/>
      <c r="GK777" s="35"/>
      <c r="GL777" s="35"/>
      <c r="GM777" s="35"/>
      <c r="GN777" s="35"/>
      <c r="GO777" s="35"/>
      <c r="GP777" s="35"/>
      <c r="GQ777" s="35"/>
      <c r="GR777" s="35"/>
      <c r="GS777" s="35"/>
      <c r="GT777" s="35"/>
      <c r="GU777" s="35"/>
      <c r="GV777" s="35"/>
      <c r="GW777" s="35"/>
      <c r="GX777" s="35"/>
      <c r="GY777" s="35"/>
      <c r="GZ777" s="35"/>
      <c r="HA777" s="35"/>
      <c r="HB777" s="35"/>
      <c r="HC777" s="35"/>
      <c r="HD777" s="35"/>
      <c r="HE777" s="35"/>
      <c r="HF777" s="35"/>
      <c r="HG777" s="35"/>
      <c r="HH777" s="35"/>
      <c r="HI777" s="35"/>
      <c r="HJ777" s="35"/>
      <c r="HK777" s="35"/>
      <c r="HL777" s="35"/>
      <c r="HM777" s="35"/>
      <c r="HN777" s="35"/>
      <c r="HO777" s="35"/>
      <c r="HP777" s="35"/>
      <c r="HQ777" s="35"/>
      <c r="HR777" s="35"/>
      <c r="HS777" s="35"/>
      <c r="HT777" s="35"/>
      <c r="HU777" s="35"/>
      <c r="HV777" s="35"/>
      <c r="HW777" s="35"/>
      <c r="HX777" s="35"/>
      <c r="HY777" s="35"/>
      <c r="HZ777" s="35"/>
      <c r="IA777" s="35"/>
      <c r="IB777" s="35"/>
      <c r="IC777" s="35"/>
      <c r="ID777" s="35"/>
      <c r="IE777" s="35"/>
      <c r="IF777" s="35"/>
      <c r="IG777" s="35"/>
      <c r="IH777" s="35"/>
      <c r="II777" s="35"/>
      <c r="IJ777" s="35"/>
      <c r="IK777" s="35"/>
      <c r="IL777" s="35"/>
      <c r="IM777" s="35"/>
      <c r="IN777" s="35"/>
      <c r="IO777" s="35"/>
      <c r="IP777" s="35"/>
      <c r="IQ777" s="35"/>
      <c r="IR777" s="35"/>
      <c r="IS777" s="35"/>
      <c r="IT777" s="35"/>
      <c r="IU777" s="35"/>
      <c r="IV777" s="35"/>
      <c r="IW777" s="35"/>
      <c r="IX777" s="35"/>
      <c r="IY777" s="35"/>
      <c r="IZ777" s="35"/>
      <c r="JA777" s="35"/>
      <c r="JB777" s="35"/>
      <c r="JC777" s="35"/>
      <c r="JD777" s="35"/>
      <c r="JE777" s="35"/>
    </row>
    <row r="778">
      <c r="A778" s="42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  <c r="AZ778" s="35"/>
      <c r="BA778" s="35"/>
      <c r="BB778" s="35"/>
      <c r="BC778" s="35"/>
      <c r="BD778" s="35"/>
      <c r="BE778" s="35"/>
      <c r="BF778" s="35"/>
      <c r="BG778" s="35"/>
      <c r="BH778" s="35"/>
      <c r="BI778" s="35"/>
      <c r="BJ778" s="35"/>
      <c r="BK778" s="35"/>
      <c r="BL778" s="35"/>
      <c r="BM778" s="35"/>
      <c r="BN778" s="35"/>
      <c r="BO778" s="35"/>
      <c r="BP778" s="35"/>
      <c r="BQ778" s="35"/>
      <c r="BR778" s="35"/>
      <c r="BS778" s="35"/>
      <c r="BT778" s="35"/>
      <c r="BU778" s="35"/>
      <c r="BV778" s="35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35"/>
      <c r="CO778" s="35"/>
      <c r="CP778" s="35"/>
      <c r="CQ778" s="35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35"/>
      <c r="DJ778" s="35"/>
      <c r="DK778" s="35"/>
      <c r="DL778" s="35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s="35"/>
      <c r="EE778" s="35"/>
      <c r="EF778" s="35"/>
      <c r="EG778" s="35"/>
      <c r="EH778" s="35"/>
      <c r="EI778" s="35"/>
      <c r="EJ778" s="35"/>
      <c r="EK778" s="35"/>
      <c r="EL778" s="35"/>
      <c r="EM778" s="35"/>
      <c r="EN778" s="35"/>
      <c r="EO778" s="35"/>
      <c r="EP778" s="35"/>
      <c r="EQ778" s="35"/>
      <c r="ER778" s="35"/>
      <c r="ES778" s="35"/>
      <c r="ET778" s="35"/>
      <c r="EU778" s="35"/>
      <c r="EV778" s="35"/>
      <c r="EW778" s="35"/>
      <c r="EX778" s="35"/>
      <c r="EY778" s="35"/>
      <c r="EZ778" s="35"/>
      <c r="FA778" s="35"/>
      <c r="FB778" s="35"/>
      <c r="FC778" s="35"/>
      <c r="FD778" s="35"/>
      <c r="FE778" s="35"/>
      <c r="FF778" s="35"/>
      <c r="FG778" s="35"/>
      <c r="FH778" s="35"/>
      <c r="FI778" s="35"/>
      <c r="FJ778" s="35"/>
      <c r="FK778" s="35"/>
      <c r="FL778" s="35"/>
      <c r="FM778" s="35"/>
      <c r="FN778" s="35"/>
      <c r="FO778" s="35"/>
      <c r="FP778" s="35"/>
      <c r="FQ778" s="35"/>
      <c r="FR778" s="35"/>
      <c r="FS778" s="35"/>
      <c r="FT778" s="35"/>
      <c r="FU778" s="35"/>
      <c r="FV778" s="35"/>
      <c r="FW778" s="35"/>
      <c r="FX778" s="35"/>
      <c r="FY778" s="35"/>
      <c r="FZ778" s="35"/>
      <c r="GA778" s="35"/>
      <c r="GB778" s="35"/>
      <c r="GC778" s="35"/>
      <c r="GD778" s="35"/>
      <c r="GE778" s="35"/>
      <c r="GF778" s="35"/>
      <c r="GG778" s="35"/>
      <c r="GH778" s="35"/>
      <c r="GI778" s="35"/>
      <c r="GJ778" s="35"/>
      <c r="GK778" s="35"/>
      <c r="GL778" s="35"/>
      <c r="GM778" s="35"/>
      <c r="GN778" s="35"/>
      <c r="GO778" s="35"/>
      <c r="GP778" s="35"/>
      <c r="GQ778" s="35"/>
      <c r="GR778" s="35"/>
      <c r="GS778" s="35"/>
      <c r="GT778" s="35"/>
      <c r="GU778" s="35"/>
      <c r="GV778" s="35"/>
      <c r="GW778" s="35"/>
      <c r="GX778" s="35"/>
      <c r="GY778" s="35"/>
      <c r="GZ778" s="35"/>
      <c r="HA778" s="35"/>
      <c r="HB778" s="35"/>
      <c r="HC778" s="35"/>
      <c r="HD778" s="35"/>
      <c r="HE778" s="35"/>
      <c r="HF778" s="35"/>
      <c r="HG778" s="35"/>
      <c r="HH778" s="35"/>
      <c r="HI778" s="35"/>
      <c r="HJ778" s="35"/>
      <c r="HK778" s="35"/>
      <c r="HL778" s="35"/>
      <c r="HM778" s="35"/>
      <c r="HN778" s="35"/>
      <c r="HO778" s="35"/>
      <c r="HP778" s="35"/>
      <c r="HQ778" s="35"/>
      <c r="HR778" s="35"/>
      <c r="HS778" s="35"/>
      <c r="HT778" s="35"/>
      <c r="HU778" s="35"/>
      <c r="HV778" s="35"/>
      <c r="HW778" s="35"/>
      <c r="HX778" s="35"/>
      <c r="HY778" s="35"/>
      <c r="HZ778" s="35"/>
      <c r="IA778" s="35"/>
      <c r="IB778" s="35"/>
      <c r="IC778" s="35"/>
      <c r="ID778" s="35"/>
      <c r="IE778" s="35"/>
      <c r="IF778" s="35"/>
      <c r="IG778" s="35"/>
      <c r="IH778" s="35"/>
      <c r="II778" s="35"/>
      <c r="IJ778" s="35"/>
      <c r="IK778" s="35"/>
      <c r="IL778" s="35"/>
      <c r="IM778" s="35"/>
      <c r="IN778" s="35"/>
      <c r="IO778" s="35"/>
      <c r="IP778" s="35"/>
      <c r="IQ778" s="35"/>
      <c r="IR778" s="35"/>
      <c r="IS778" s="35"/>
      <c r="IT778" s="35"/>
      <c r="IU778" s="35"/>
      <c r="IV778" s="35"/>
      <c r="IW778" s="35"/>
      <c r="IX778" s="35"/>
      <c r="IY778" s="35"/>
      <c r="IZ778" s="35"/>
      <c r="JA778" s="35"/>
      <c r="JB778" s="35"/>
      <c r="JC778" s="35"/>
      <c r="JD778" s="35"/>
      <c r="JE778" s="35"/>
    </row>
    <row r="779">
      <c r="A779" s="42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  <c r="AZ779" s="35"/>
      <c r="BA779" s="35"/>
      <c r="BB779" s="35"/>
      <c r="BC779" s="35"/>
      <c r="BD779" s="35"/>
      <c r="BE779" s="35"/>
      <c r="BF779" s="35"/>
      <c r="BG779" s="35"/>
      <c r="BH779" s="35"/>
      <c r="BI779" s="35"/>
      <c r="BJ779" s="35"/>
      <c r="BK779" s="35"/>
      <c r="BL779" s="35"/>
      <c r="BM779" s="35"/>
      <c r="BN779" s="35"/>
      <c r="BO779" s="35"/>
      <c r="BP779" s="35"/>
      <c r="BQ779" s="35"/>
      <c r="BR779" s="35"/>
      <c r="BS779" s="35"/>
      <c r="BT779" s="35"/>
      <c r="BU779" s="35"/>
      <c r="BV779" s="35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35"/>
      <c r="CO779" s="35"/>
      <c r="CP779" s="35"/>
      <c r="CQ779" s="35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35"/>
      <c r="DJ779" s="35"/>
      <c r="DK779" s="35"/>
      <c r="DL779" s="35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s="35"/>
      <c r="EE779" s="35"/>
      <c r="EF779" s="35"/>
      <c r="EG779" s="35"/>
      <c r="EH779" s="35"/>
      <c r="EI779" s="35"/>
      <c r="EJ779" s="35"/>
      <c r="EK779" s="35"/>
      <c r="EL779" s="35"/>
      <c r="EM779" s="35"/>
      <c r="EN779" s="35"/>
      <c r="EO779" s="35"/>
      <c r="EP779" s="35"/>
      <c r="EQ779" s="35"/>
      <c r="ER779" s="35"/>
      <c r="ES779" s="35"/>
      <c r="ET779" s="35"/>
      <c r="EU779" s="35"/>
      <c r="EV779" s="35"/>
      <c r="EW779" s="35"/>
      <c r="EX779" s="35"/>
      <c r="EY779" s="35"/>
      <c r="EZ779" s="35"/>
      <c r="FA779" s="35"/>
      <c r="FB779" s="35"/>
      <c r="FC779" s="35"/>
      <c r="FD779" s="35"/>
      <c r="FE779" s="35"/>
      <c r="FF779" s="35"/>
      <c r="FG779" s="35"/>
      <c r="FH779" s="35"/>
      <c r="FI779" s="35"/>
      <c r="FJ779" s="35"/>
      <c r="FK779" s="35"/>
      <c r="FL779" s="35"/>
      <c r="FM779" s="35"/>
      <c r="FN779" s="35"/>
      <c r="FO779" s="35"/>
      <c r="FP779" s="35"/>
      <c r="FQ779" s="35"/>
      <c r="FR779" s="35"/>
      <c r="FS779" s="35"/>
      <c r="FT779" s="35"/>
      <c r="FU779" s="35"/>
      <c r="FV779" s="35"/>
      <c r="FW779" s="35"/>
      <c r="FX779" s="35"/>
      <c r="FY779" s="35"/>
      <c r="FZ779" s="35"/>
      <c r="GA779" s="35"/>
      <c r="GB779" s="35"/>
      <c r="GC779" s="35"/>
      <c r="GD779" s="35"/>
      <c r="GE779" s="35"/>
      <c r="GF779" s="35"/>
      <c r="GG779" s="35"/>
      <c r="GH779" s="35"/>
      <c r="GI779" s="35"/>
      <c r="GJ779" s="35"/>
      <c r="GK779" s="35"/>
      <c r="GL779" s="35"/>
      <c r="GM779" s="35"/>
      <c r="GN779" s="35"/>
      <c r="GO779" s="35"/>
      <c r="GP779" s="35"/>
      <c r="GQ779" s="35"/>
      <c r="GR779" s="35"/>
      <c r="GS779" s="35"/>
      <c r="GT779" s="35"/>
      <c r="GU779" s="35"/>
      <c r="GV779" s="35"/>
      <c r="GW779" s="35"/>
      <c r="GX779" s="35"/>
      <c r="GY779" s="35"/>
      <c r="GZ779" s="35"/>
      <c r="HA779" s="35"/>
      <c r="HB779" s="35"/>
      <c r="HC779" s="35"/>
      <c r="HD779" s="35"/>
      <c r="HE779" s="35"/>
      <c r="HF779" s="35"/>
      <c r="HG779" s="35"/>
      <c r="HH779" s="35"/>
      <c r="HI779" s="35"/>
      <c r="HJ779" s="35"/>
      <c r="HK779" s="35"/>
      <c r="HL779" s="35"/>
      <c r="HM779" s="35"/>
      <c r="HN779" s="35"/>
      <c r="HO779" s="35"/>
      <c r="HP779" s="35"/>
      <c r="HQ779" s="35"/>
      <c r="HR779" s="35"/>
      <c r="HS779" s="35"/>
      <c r="HT779" s="35"/>
      <c r="HU779" s="35"/>
      <c r="HV779" s="35"/>
      <c r="HW779" s="35"/>
      <c r="HX779" s="35"/>
      <c r="HY779" s="35"/>
      <c r="HZ779" s="35"/>
      <c r="IA779" s="35"/>
      <c r="IB779" s="35"/>
      <c r="IC779" s="35"/>
      <c r="ID779" s="35"/>
      <c r="IE779" s="35"/>
      <c r="IF779" s="35"/>
      <c r="IG779" s="35"/>
      <c r="IH779" s="35"/>
      <c r="II779" s="35"/>
      <c r="IJ779" s="35"/>
      <c r="IK779" s="35"/>
      <c r="IL779" s="35"/>
      <c r="IM779" s="35"/>
      <c r="IN779" s="35"/>
      <c r="IO779" s="35"/>
      <c r="IP779" s="35"/>
      <c r="IQ779" s="35"/>
      <c r="IR779" s="35"/>
      <c r="IS779" s="35"/>
      <c r="IT779" s="35"/>
      <c r="IU779" s="35"/>
      <c r="IV779" s="35"/>
      <c r="IW779" s="35"/>
      <c r="IX779" s="35"/>
      <c r="IY779" s="35"/>
      <c r="IZ779" s="35"/>
      <c r="JA779" s="35"/>
      <c r="JB779" s="35"/>
      <c r="JC779" s="35"/>
      <c r="JD779" s="35"/>
      <c r="JE779" s="35"/>
    </row>
    <row r="780">
      <c r="A780" s="42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  <c r="AZ780" s="35"/>
      <c r="BA780" s="35"/>
      <c r="BB780" s="35"/>
      <c r="BC780" s="35"/>
      <c r="BD780" s="35"/>
      <c r="BE780" s="35"/>
      <c r="BF780" s="35"/>
      <c r="BG780" s="35"/>
      <c r="BH780" s="35"/>
      <c r="BI780" s="35"/>
      <c r="BJ780" s="35"/>
      <c r="BK780" s="35"/>
      <c r="BL780" s="35"/>
      <c r="BM780" s="35"/>
      <c r="BN780" s="35"/>
      <c r="BO780" s="35"/>
      <c r="BP780" s="35"/>
      <c r="BQ780" s="35"/>
      <c r="BR780" s="35"/>
      <c r="BS780" s="35"/>
      <c r="BT780" s="35"/>
      <c r="BU780" s="35"/>
      <c r="BV780" s="35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35"/>
      <c r="CO780" s="35"/>
      <c r="CP780" s="35"/>
      <c r="CQ780" s="35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35"/>
      <c r="DJ780" s="35"/>
      <c r="DK780" s="35"/>
      <c r="DL780" s="35"/>
      <c r="DM780" s="35"/>
      <c r="DN780" s="35"/>
      <c r="DO780" s="35"/>
      <c r="DP780" s="35"/>
      <c r="DQ780" s="35"/>
      <c r="DR780" s="35"/>
      <c r="DS780" s="35"/>
      <c r="DT780" s="35"/>
      <c r="DU780" s="35"/>
      <c r="DV780" s="35"/>
      <c r="DW780" s="35"/>
      <c r="DX780" s="35"/>
      <c r="DY780" s="35"/>
      <c r="DZ780" s="35"/>
      <c r="EA780" s="35"/>
      <c r="EB780" s="35"/>
      <c r="EC780" s="35"/>
      <c r="ED780" s="35"/>
      <c r="EE780" s="35"/>
      <c r="EF780" s="35"/>
      <c r="EG780" s="35"/>
      <c r="EH780" s="35"/>
      <c r="EI780" s="35"/>
      <c r="EJ780" s="35"/>
      <c r="EK780" s="35"/>
      <c r="EL780" s="35"/>
      <c r="EM780" s="35"/>
      <c r="EN780" s="35"/>
      <c r="EO780" s="35"/>
      <c r="EP780" s="35"/>
      <c r="EQ780" s="35"/>
      <c r="ER780" s="35"/>
      <c r="ES780" s="35"/>
      <c r="ET780" s="35"/>
      <c r="EU780" s="35"/>
      <c r="EV780" s="35"/>
      <c r="EW780" s="35"/>
      <c r="EX780" s="35"/>
      <c r="EY780" s="35"/>
      <c r="EZ780" s="35"/>
      <c r="FA780" s="35"/>
      <c r="FB780" s="35"/>
      <c r="FC780" s="35"/>
      <c r="FD780" s="35"/>
      <c r="FE780" s="35"/>
      <c r="FF780" s="35"/>
      <c r="FG780" s="35"/>
      <c r="FH780" s="35"/>
      <c r="FI780" s="35"/>
      <c r="FJ780" s="35"/>
      <c r="FK780" s="35"/>
      <c r="FL780" s="35"/>
      <c r="FM780" s="35"/>
      <c r="FN780" s="35"/>
      <c r="FO780" s="35"/>
      <c r="FP780" s="35"/>
      <c r="FQ780" s="35"/>
      <c r="FR780" s="35"/>
      <c r="FS780" s="35"/>
      <c r="FT780" s="35"/>
      <c r="FU780" s="35"/>
      <c r="FV780" s="35"/>
      <c r="FW780" s="35"/>
      <c r="FX780" s="35"/>
      <c r="FY780" s="35"/>
      <c r="FZ780" s="35"/>
      <c r="GA780" s="35"/>
      <c r="GB780" s="35"/>
      <c r="GC780" s="35"/>
      <c r="GD780" s="35"/>
      <c r="GE780" s="35"/>
      <c r="GF780" s="35"/>
      <c r="GG780" s="35"/>
      <c r="GH780" s="35"/>
      <c r="GI780" s="35"/>
      <c r="GJ780" s="35"/>
      <c r="GK780" s="35"/>
      <c r="GL780" s="35"/>
      <c r="GM780" s="35"/>
      <c r="GN780" s="35"/>
      <c r="GO780" s="35"/>
      <c r="GP780" s="35"/>
      <c r="GQ780" s="35"/>
      <c r="GR780" s="35"/>
      <c r="GS780" s="35"/>
      <c r="GT780" s="35"/>
      <c r="GU780" s="35"/>
      <c r="GV780" s="35"/>
      <c r="GW780" s="35"/>
      <c r="GX780" s="35"/>
      <c r="GY780" s="35"/>
      <c r="GZ780" s="35"/>
      <c r="HA780" s="35"/>
      <c r="HB780" s="35"/>
      <c r="HC780" s="35"/>
      <c r="HD780" s="35"/>
      <c r="HE780" s="35"/>
      <c r="HF780" s="35"/>
      <c r="HG780" s="35"/>
      <c r="HH780" s="35"/>
      <c r="HI780" s="35"/>
      <c r="HJ780" s="35"/>
      <c r="HK780" s="35"/>
      <c r="HL780" s="35"/>
      <c r="HM780" s="35"/>
      <c r="HN780" s="35"/>
      <c r="HO780" s="35"/>
      <c r="HP780" s="35"/>
      <c r="HQ780" s="35"/>
      <c r="HR780" s="35"/>
      <c r="HS780" s="35"/>
      <c r="HT780" s="35"/>
      <c r="HU780" s="35"/>
      <c r="HV780" s="35"/>
      <c r="HW780" s="35"/>
      <c r="HX780" s="35"/>
      <c r="HY780" s="35"/>
      <c r="HZ780" s="35"/>
      <c r="IA780" s="35"/>
      <c r="IB780" s="35"/>
      <c r="IC780" s="35"/>
      <c r="ID780" s="35"/>
      <c r="IE780" s="35"/>
      <c r="IF780" s="35"/>
      <c r="IG780" s="35"/>
      <c r="IH780" s="35"/>
      <c r="II780" s="35"/>
      <c r="IJ780" s="35"/>
      <c r="IK780" s="35"/>
      <c r="IL780" s="35"/>
      <c r="IM780" s="35"/>
      <c r="IN780" s="35"/>
      <c r="IO780" s="35"/>
      <c r="IP780" s="35"/>
      <c r="IQ780" s="35"/>
      <c r="IR780" s="35"/>
      <c r="IS780" s="35"/>
      <c r="IT780" s="35"/>
      <c r="IU780" s="35"/>
      <c r="IV780" s="35"/>
      <c r="IW780" s="35"/>
      <c r="IX780" s="35"/>
      <c r="IY780" s="35"/>
      <c r="IZ780" s="35"/>
      <c r="JA780" s="35"/>
      <c r="JB780" s="35"/>
      <c r="JC780" s="35"/>
      <c r="JD780" s="35"/>
      <c r="JE780" s="35"/>
    </row>
    <row r="781">
      <c r="A781" s="42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  <c r="AZ781" s="35"/>
      <c r="BA781" s="35"/>
      <c r="BB781" s="35"/>
      <c r="BC781" s="35"/>
      <c r="BD781" s="35"/>
      <c r="BE781" s="35"/>
      <c r="BF781" s="35"/>
      <c r="BG781" s="35"/>
      <c r="BH781" s="35"/>
      <c r="BI781" s="35"/>
      <c r="BJ781" s="35"/>
      <c r="BK781" s="35"/>
      <c r="BL781" s="35"/>
      <c r="BM781" s="35"/>
      <c r="BN781" s="35"/>
      <c r="BO781" s="35"/>
      <c r="BP781" s="35"/>
      <c r="BQ781" s="35"/>
      <c r="BR781" s="35"/>
      <c r="BS781" s="35"/>
      <c r="BT781" s="35"/>
      <c r="BU781" s="35"/>
      <c r="BV781" s="35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35"/>
      <c r="CO781" s="35"/>
      <c r="CP781" s="35"/>
      <c r="CQ781" s="35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35"/>
      <c r="DJ781" s="35"/>
      <c r="DK781" s="35"/>
      <c r="DL781" s="35"/>
      <c r="DM781" s="35"/>
      <c r="DN781" s="35"/>
      <c r="DO781" s="35"/>
      <c r="DP781" s="35"/>
      <c r="DQ781" s="35"/>
      <c r="DR781" s="35"/>
      <c r="DS781" s="35"/>
      <c r="DT781" s="35"/>
      <c r="DU781" s="35"/>
      <c r="DV781" s="35"/>
      <c r="DW781" s="35"/>
      <c r="DX781" s="35"/>
      <c r="DY781" s="35"/>
      <c r="DZ781" s="35"/>
      <c r="EA781" s="35"/>
      <c r="EB781" s="35"/>
      <c r="EC781" s="35"/>
      <c r="ED781" s="35"/>
      <c r="EE781" s="35"/>
      <c r="EF781" s="35"/>
      <c r="EG781" s="35"/>
      <c r="EH781" s="35"/>
      <c r="EI781" s="35"/>
      <c r="EJ781" s="35"/>
      <c r="EK781" s="35"/>
      <c r="EL781" s="35"/>
      <c r="EM781" s="35"/>
      <c r="EN781" s="35"/>
      <c r="EO781" s="35"/>
      <c r="EP781" s="35"/>
      <c r="EQ781" s="35"/>
      <c r="ER781" s="35"/>
      <c r="ES781" s="35"/>
      <c r="ET781" s="35"/>
      <c r="EU781" s="35"/>
      <c r="EV781" s="35"/>
      <c r="EW781" s="35"/>
      <c r="EX781" s="35"/>
      <c r="EY781" s="35"/>
      <c r="EZ781" s="35"/>
      <c r="FA781" s="35"/>
      <c r="FB781" s="35"/>
      <c r="FC781" s="35"/>
      <c r="FD781" s="35"/>
      <c r="FE781" s="35"/>
      <c r="FF781" s="35"/>
      <c r="FG781" s="35"/>
      <c r="FH781" s="35"/>
      <c r="FI781" s="35"/>
      <c r="FJ781" s="35"/>
      <c r="FK781" s="35"/>
      <c r="FL781" s="35"/>
      <c r="FM781" s="35"/>
      <c r="FN781" s="35"/>
      <c r="FO781" s="35"/>
      <c r="FP781" s="35"/>
      <c r="FQ781" s="35"/>
      <c r="FR781" s="35"/>
      <c r="FS781" s="35"/>
      <c r="FT781" s="35"/>
      <c r="FU781" s="35"/>
      <c r="FV781" s="35"/>
      <c r="FW781" s="35"/>
      <c r="FX781" s="35"/>
      <c r="FY781" s="35"/>
      <c r="FZ781" s="35"/>
      <c r="GA781" s="35"/>
      <c r="GB781" s="35"/>
      <c r="GC781" s="35"/>
      <c r="GD781" s="35"/>
      <c r="GE781" s="35"/>
      <c r="GF781" s="35"/>
      <c r="GG781" s="35"/>
      <c r="GH781" s="35"/>
      <c r="GI781" s="35"/>
      <c r="GJ781" s="35"/>
      <c r="GK781" s="35"/>
      <c r="GL781" s="35"/>
      <c r="GM781" s="35"/>
      <c r="GN781" s="35"/>
      <c r="GO781" s="35"/>
      <c r="GP781" s="35"/>
      <c r="GQ781" s="35"/>
      <c r="GR781" s="35"/>
      <c r="GS781" s="35"/>
      <c r="GT781" s="35"/>
      <c r="GU781" s="35"/>
      <c r="GV781" s="35"/>
      <c r="GW781" s="35"/>
      <c r="GX781" s="35"/>
      <c r="GY781" s="35"/>
      <c r="GZ781" s="35"/>
      <c r="HA781" s="35"/>
      <c r="HB781" s="35"/>
      <c r="HC781" s="35"/>
      <c r="HD781" s="35"/>
      <c r="HE781" s="35"/>
      <c r="HF781" s="35"/>
      <c r="HG781" s="35"/>
      <c r="HH781" s="35"/>
      <c r="HI781" s="35"/>
      <c r="HJ781" s="35"/>
      <c r="HK781" s="35"/>
      <c r="HL781" s="35"/>
      <c r="HM781" s="35"/>
      <c r="HN781" s="35"/>
      <c r="HO781" s="35"/>
      <c r="HP781" s="35"/>
      <c r="HQ781" s="35"/>
      <c r="HR781" s="35"/>
      <c r="HS781" s="35"/>
      <c r="HT781" s="35"/>
      <c r="HU781" s="35"/>
      <c r="HV781" s="35"/>
      <c r="HW781" s="35"/>
      <c r="HX781" s="35"/>
      <c r="HY781" s="35"/>
      <c r="HZ781" s="35"/>
      <c r="IA781" s="35"/>
      <c r="IB781" s="35"/>
      <c r="IC781" s="35"/>
      <c r="ID781" s="35"/>
      <c r="IE781" s="35"/>
      <c r="IF781" s="35"/>
      <c r="IG781" s="35"/>
      <c r="IH781" s="35"/>
      <c r="II781" s="35"/>
      <c r="IJ781" s="35"/>
      <c r="IK781" s="35"/>
      <c r="IL781" s="35"/>
      <c r="IM781" s="35"/>
      <c r="IN781" s="35"/>
      <c r="IO781" s="35"/>
      <c r="IP781" s="35"/>
      <c r="IQ781" s="35"/>
      <c r="IR781" s="35"/>
      <c r="IS781" s="35"/>
      <c r="IT781" s="35"/>
      <c r="IU781" s="35"/>
      <c r="IV781" s="35"/>
      <c r="IW781" s="35"/>
      <c r="IX781" s="35"/>
      <c r="IY781" s="35"/>
      <c r="IZ781" s="35"/>
      <c r="JA781" s="35"/>
      <c r="JB781" s="35"/>
      <c r="JC781" s="35"/>
      <c r="JD781" s="35"/>
      <c r="JE781" s="35"/>
    </row>
    <row r="782">
      <c r="A782" s="42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  <c r="AZ782" s="35"/>
      <c r="BA782" s="35"/>
      <c r="BB782" s="35"/>
      <c r="BC782" s="35"/>
      <c r="BD782" s="35"/>
      <c r="BE782" s="35"/>
      <c r="BF782" s="35"/>
      <c r="BG782" s="35"/>
      <c r="BH782" s="35"/>
      <c r="BI782" s="35"/>
      <c r="BJ782" s="35"/>
      <c r="BK782" s="35"/>
      <c r="BL782" s="35"/>
      <c r="BM782" s="35"/>
      <c r="BN782" s="35"/>
      <c r="BO782" s="35"/>
      <c r="BP782" s="35"/>
      <c r="BQ782" s="35"/>
      <c r="BR782" s="35"/>
      <c r="BS782" s="35"/>
      <c r="BT782" s="35"/>
      <c r="BU782" s="35"/>
      <c r="BV782" s="35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35"/>
      <c r="CO782" s="35"/>
      <c r="CP782" s="35"/>
      <c r="CQ782" s="35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35"/>
      <c r="DJ782" s="35"/>
      <c r="DK782" s="35"/>
      <c r="DL782" s="35"/>
      <c r="DM782" s="35"/>
      <c r="DN782" s="35"/>
      <c r="DO782" s="35"/>
      <c r="DP782" s="35"/>
      <c r="DQ782" s="35"/>
      <c r="DR782" s="35"/>
      <c r="DS782" s="35"/>
      <c r="DT782" s="35"/>
      <c r="DU782" s="35"/>
      <c r="DV782" s="35"/>
      <c r="DW782" s="35"/>
      <c r="DX782" s="35"/>
      <c r="DY782" s="35"/>
      <c r="DZ782" s="35"/>
      <c r="EA782" s="35"/>
      <c r="EB782" s="35"/>
      <c r="EC782" s="35"/>
      <c r="ED782" s="35"/>
      <c r="EE782" s="35"/>
      <c r="EF782" s="35"/>
      <c r="EG782" s="35"/>
      <c r="EH782" s="35"/>
      <c r="EI782" s="35"/>
      <c r="EJ782" s="35"/>
      <c r="EK782" s="35"/>
      <c r="EL782" s="35"/>
      <c r="EM782" s="35"/>
      <c r="EN782" s="35"/>
      <c r="EO782" s="35"/>
      <c r="EP782" s="35"/>
      <c r="EQ782" s="35"/>
      <c r="ER782" s="35"/>
      <c r="ES782" s="35"/>
      <c r="ET782" s="35"/>
      <c r="EU782" s="35"/>
      <c r="EV782" s="35"/>
      <c r="EW782" s="35"/>
      <c r="EX782" s="35"/>
      <c r="EY782" s="35"/>
      <c r="EZ782" s="35"/>
      <c r="FA782" s="35"/>
      <c r="FB782" s="35"/>
      <c r="FC782" s="35"/>
      <c r="FD782" s="35"/>
      <c r="FE782" s="35"/>
      <c r="FF782" s="35"/>
      <c r="FG782" s="35"/>
      <c r="FH782" s="35"/>
      <c r="FI782" s="35"/>
      <c r="FJ782" s="35"/>
      <c r="FK782" s="35"/>
      <c r="FL782" s="35"/>
      <c r="FM782" s="35"/>
      <c r="FN782" s="35"/>
      <c r="FO782" s="35"/>
      <c r="FP782" s="35"/>
      <c r="FQ782" s="35"/>
      <c r="FR782" s="35"/>
      <c r="FS782" s="35"/>
      <c r="FT782" s="35"/>
      <c r="FU782" s="35"/>
      <c r="FV782" s="35"/>
      <c r="FW782" s="35"/>
      <c r="FX782" s="35"/>
      <c r="FY782" s="35"/>
      <c r="FZ782" s="35"/>
      <c r="GA782" s="35"/>
      <c r="GB782" s="35"/>
      <c r="GC782" s="35"/>
      <c r="GD782" s="35"/>
      <c r="GE782" s="35"/>
      <c r="GF782" s="35"/>
      <c r="GG782" s="35"/>
      <c r="GH782" s="35"/>
      <c r="GI782" s="35"/>
      <c r="GJ782" s="35"/>
      <c r="GK782" s="35"/>
      <c r="GL782" s="35"/>
      <c r="GM782" s="35"/>
      <c r="GN782" s="35"/>
      <c r="GO782" s="35"/>
      <c r="GP782" s="35"/>
      <c r="GQ782" s="35"/>
      <c r="GR782" s="35"/>
      <c r="GS782" s="35"/>
      <c r="GT782" s="35"/>
      <c r="GU782" s="35"/>
      <c r="GV782" s="35"/>
      <c r="GW782" s="35"/>
      <c r="GX782" s="35"/>
      <c r="GY782" s="35"/>
      <c r="GZ782" s="35"/>
      <c r="HA782" s="35"/>
      <c r="HB782" s="35"/>
      <c r="HC782" s="35"/>
      <c r="HD782" s="35"/>
      <c r="HE782" s="35"/>
      <c r="HF782" s="35"/>
      <c r="HG782" s="35"/>
      <c r="HH782" s="35"/>
      <c r="HI782" s="35"/>
      <c r="HJ782" s="35"/>
      <c r="HK782" s="35"/>
      <c r="HL782" s="35"/>
      <c r="HM782" s="35"/>
      <c r="HN782" s="35"/>
      <c r="HO782" s="35"/>
      <c r="HP782" s="35"/>
      <c r="HQ782" s="35"/>
      <c r="HR782" s="35"/>
      <c r="HS782" s="35"/>
      <c r="HT782" s="35"/>
      <c r="HU782" s="35"/>
      <c r="HV782" s="35"/>
      <c r="HW782" s="35"/>
      <c r="HX782" s="35"/>
      <c r="HY782" s="35"/>
      <c r="HZ782" s="35"/>
      <c r="IA782" s="35"/>
      <c r="IB782" s="35"/>
      <c r="IC782" s="35"/>
      <c r="ID782" s="35"/>
      <c r="IE782" s="35"/>
      <c r="IF782" s="35"/>
      <c r="IG782" s="35"/>
      <c r="IH782" s="35"/>
      <c r="II782" s="35"/>
      <c r="IJ782" s="35"/>
      <c r="IK782" s="35"/>
      <c r="IL782" s="35"/>
      <c r="IM782" s="35"/>
      <c r="IN782" s="35"/>
      <c r="IO782" s="35"/>
      <c r="IP782" s="35"/>
      <c r="IQ782" s="35"/>
      <c r="IR782" s="35"/>
      <c r="IS782" s="35"/>
      <c r="IT782" s="35"/>
      <c r="IU782" s="35"/>
      <c r="IV782" s="35"/>
      <c r="IW782" s="35"/>
      <c r="IX782" s="35"/>
      <c r="IY782" s="35"/>
      <c r="IZ782" s="35"/>
      <c r="JA782" s="35"/>
      <c r="JB782" s="35"/>
      <c r="JC782" s="35"/>
      <c r="JD782" s="35"/>
      <c r="JE782" s="35"/>
    </row>
    <row r="783">
      <c r="A783" s="42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  <c r="AZ783" s="35"/>
      <c r="BA783" s="35"/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/>
      <c r="BP783" s="35"/>
      <c r="BQ783" s="35"/>
      <c r="BR783" s="35"/>
      <c r="BS783" s="35"/>
      <c r="BT783" s="35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35"/>
      <c r="CO783" s="35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35"/>
      <c r="DJ783" s="35"/>
      <c r="DK783" s="35"/>
      <c r="DL783" s="35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/>
      <c r="DW783" s="35"/>
      <c r="DX783" s="35"/>
      <c r="DY783" s="35"/>
      <c r="DZ783" s="35"/>
      <c r="EA783" s="35"/>
      <c r="EB783" s="35"/>
      <c r="EC783" s="35"/>
      <c r="ED783" s="35"/>
      <c r="EE783" s="35"/>
      <c r="EF783" s="35"/>
      <c r="EG783" s="35"/>
      <c r="EH783" s="35"/>
      <c r="EI783" s="35"/>
      <c r="EJ783" s="35"/>
      <c r="EK783" s="35"/>
      <c r="EL783" s="35"/>
      <c r="EM783" s="35"/>
      <c r="EN783" s="35"/>
      <c r="EO783" s="35"/>
      <c r="EP783" s="35"/>
      <c r="EQ783" s="35"/>
      <c r="ER783" s="35"/>
      <c r="ES783" s="35"/>
      <c r="ET783" s="35"/>
      <c r="EU783" s="35"/>
      <c r="EV783" s="35"/>
      <c r="EW783" s="35"/>
      <c r="EX783" s="35"/>
      <c r="EY783" s="35"/>
      <c r="EZ783" s="35"/>
      <c r="FA783" s="35"/>
      <c r="FB783" s="35"/>
      <c r="FC783" s="35"/>
      <c r="FD783" s="35"/>
      <c r="FE783" s="35"/>
      <c r="FF783" s="35"/>
      <c r="FG783" s="35"/>
      <c r="FH783" s="35"/>
      <c r="FI783" s="35"/>
      <c r="FJ783" s="35"/>
      <c r="FK783" s="35"/>
      <c r="FL783" s="35"/>
      <c r="FM783" s="35"/>
      <c r="FN783" s="35"/>
      <c r="FO783" s="35"/>
      <c r="FP783" s="35"/>
      <c r="FQ783" s="35"/>
      <c r="FR783" s="35"/>
      <c r="FS783" s="35"/>
      <c r="FT783" s="35"/>
      <c r="FU783" s="35"/>
      <c r="FV783" s="35"/>
      <c r="FW783" s="35"/>
      <c r="FX783" s="35"/>
      <c r="FY783" s="35"/>
      <c r="FZ783" s="35"/>
      <c r="GA783" s="35"/>
      <c r="GB783" s="35"/>
      <c r="GC783" s="35"/>
      <c r="GD783" s="35"/>
      <c r="GE783" s="35"/>
      <c r="GF783" s="35"/>
      <c r="GG783" s="35"/>
      <c r="GH783" s="35"/>
      <c r="GI783" s="35"/>
      <c r="GJ783" s="35"/>
      <c r="GK783" s="35"/>
      <c r="GL783" s="35"/>
      <c r="GM783" s="35"/>
      <c r="GN783" s="35"/>
      <c r="GO783" s="35"/>
      <c r="GP783" s="35"/>
      <c r="GQ783" s="35"/>
      <c r="GR783" s="35"/>
      <c r="GS783" s="35"/>
      <c r="GT783" s="35"/>
      <c r="GU783" s="35"/>
      <c r="GV783" s="35"/>
      <c r="GW783" s="35"/>
      <c r="GX783" s="35"/>
      <c r="GY783" s="35"/>
      <c r="GZ783" s="35"/>
      <c r="HA783" s="35"/>
      <c r="HB783" s="35"/>
      <c r="HC783" s="35"/>
      <c r="HD783" s="35"/>
      <c r="HE783" s="35"/>
      <c r="HF783" s="35"/>
      <c r="HG783" s="35"/>
      <c r="HH783" s="35"/>
      <c r="HI783" s="35"/>
      <c r="HJ783" s="35"/>
      <c r="HK783" s="35"/>
      <c r="HL783" s="35"/>
      <c r="HM783" s="35"/>
      <c r="HN783" s="35"/>
      <c r="HO783" s="35"/>
      <c r="HP783" s="35"/>
      <c r="HQ783" s="35"/>
      <c r="HR783" s="35"/>
      <c r="HS783" s="35"/>
      <c r="HT783" s="35"/>
      <c r="HU783" s="35"/>
      <c r="HV783" s="35"/>
      <c r="HW783" s="35"/>
      <c r="HX783" s="35"/>
      <c r="HY783" s="35"/>
      <c r="HZ783" s="35"/>
      <c r="IA783" s="35"/>
      <c r="IB783" s="35"/>
      <c r="IC783" s="35"/>
      <c r="ID783" s="35"/>
      <c r="IE783" s="35"/>
      <c r="IF783" s="35"/>
      <c r="IG783" s="35"/>
      <c r="IH783" s="35"/>
      <c r="II783" s="35"/>
      <c r="IJ783" s="35"/>
      <c r="IK783" s="35"/>
      <c r="IL783" s="35"/>
      <c r="IM783" s="35"/>
      <c r="IN783" s="35"/>
      <c r="IO783" s="35"/>
      <c r="IP783" s="35"/>
      <c r="IQ783" s="35"/>
      <c r="IR783" s="35"/>
      <c r="IS783" s="35"/>
      <c r="IT783" s="35"/>
      <c r="IU783" s="35"/>
      <c r="IV783" s="35"/>
      <c r="IW783" s="35"/>
      <c r="IX783" s="35"/>
      <c r="IY783" s="35"/>
      <c r="IZ783" s="35"/>
      <c r="JA783" s="35"/>
      <c r="JB783" s="35"/>
      <c r="JC783" s="35"/>
      <c r="JD783" s="35"/>
      <c r="JE783" s="35"/>
    </row>
    <row r="784">
      <c r="A784" s="42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  <c r="AZ784" s="35"/>
      <c r="BA784" s="35"/>
      <c r="BB784" s="35"/>
      <c r="BC784" s="35"/>
      <c r="BD784" s="35"/>
      <c r="BE784" s="35"/>
      <c r="BF784" s="35"/>
      <c r="BG784" s="35"/>
      <c r="BH784" s="35"/>
      <c r="BI784" s="35"/>
      <c r="BJ784" s="35"/>
      <c r="BK784" s="35"/>
      <c r="BL784" s="35"/>
      <c r="BM784" s="35"/>
      <c r="BN784" s="35"/>
      <c r="BO784" s="35"/>
      <c r="BP784" s="35"/>
      <c r="BQ784" s="35"/>
      <c r="BR784" s="35"/>
      <c r="BS784" s="35"/>
      <c r="BT784" s="35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35"/>
      <c r="CO784" s="35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35"/>
      <c r="DJ784" s="35"/>
      <c r="DK784" s="35"/>
      <c r="DL784" s="35"/>
      <c r="DM784" s="35"/>
      <c r="DN784" s="35"/>
      <c r="DO784" s="35"/>
      <c r="DP784" s="35"/>
      <c r="DQ784" s="35"/>
      <c r="DR784" s="35"/>
      <c r="DS784" s="35"/>
      <c r="DT784" s="35"/>
      <c r="DU784" s="35"/>
      <c r="DV784" s="35"/>
      <c r="DW784" s="35"/>
      <c r="DX784" s="35"/>
      <c r="DY784" s="35"/>
      <c r="DZ784" s="35"/>
      <c r="EA784" s="35"/>
      <c r="EB784" s="35"/>
      <c r="EC784" s="35"/>
      <c r="ED784" s="35"/>
      <c r="EE784" s="35"/>
      <c r="EF784" s="35"/>
      <c r="EG784" s="35"/>
      <c r="EH784" s="35"/>
      <c r="EI784" s="35"/>
      <c r="EJ784" s="35"/>
      <c r="EK784" s="35"/>
      <c r="EL784" s="35"/>
      <c r="EM784" s="35"/>
      <c r="EN784" s="35"/>
      <c r="EO784" s="35"/>
      <c r="EP784" s="35"/>
      <c r="EQ784" s="35"/>
      <c r="ER784" s="35"/>
      <c r="ES784" s="35"/>
      <c r="ET784" s="35"/>
      <c r="EU784" s="35"/>
      <c r="EV784" s="35"/>
      <c r="EW784" s="35"/>
      <c r="EX784" s="35"/>
      <c r="EY784" s="35"/>
      <c r="EZ784" s="35"/>
      <c r="FA784" s="35"/>
      <c r="FB784" s="35"/>
      <c r="FC784" s="35"/>
      <c r="FD784" s="35"/>
      <c r="FE784" s="35"/>
      <c r="FF784" s="35"/>
      <c r="FG784" s="35"/>
      <c r="FH784" s="35"/>
      <c r="FI784" s="35"/>
      <c r="FJ784" s="35"/>
      <c r="FK784" s="35"/>
      <c r="FL784" s="35"/>
      <c r="FM784" s="35"/>
      <c r="FN784" s="35"/>
      <c r="FO784" s="35"/>
      <c r="FP784" s="35"/>
      <c r="FQ784" s="35"/>
      <c r="FR784" s="35"/>
      <c r="FS784" s="35"/>
      <c r="FT784" s="35"/>
      <c r="FU784" s="35"/>
      <c r="FV784" s="35"/>
      <c r="FW784" s="35"/>
      <c r="FX784" s="35"/>
      <c r="FY784" s="35"/>
      <c r="FZ784" s="35"/>
      <c r="GA784" s="35"/>
      <c r="GB784" s="35"/>
      <c r="GC784" s="35"/>
      <c r="GD784" s="35"/>
      <c r="GE784" s="35"/>
      <c r="GF784" s="35"/>
      <c r="GG784" s="35"/>
      <c r="GH784" s="35"/>
      <c r="GI784" s="35"/>
      <c r="GJ784" s="35"/>
      <c r="GK784" s="35"/>
      <c r="GL784" s="35"/>
      <c r="GM784" s="35"/>
      <c r="GN784" s="35"/>
      <c r="GO784" s="35"/>
      <c r="GP784" s="35"/>
      <c r="GQ784" s="35"/>
      <c r="GR784" s="35"/>
      <c r="GS784" s="35"/>
      <c r="GT784" s="35"/>
      <c r="GU784" s="35"/>
      <c r="GV784" s="35"/>
      <c r="GW784" s="35"/>
      <c r="GX784" s="35"/>
      <c r="GY784" s="35"/>
      <c r="GZ784" s="35"/>
      <c r="HA784" s="35"/>
      <c r="HB784" s="35"/>
      <c r="HC784" s="35"/>
      <c r="HD784" s="35"/>
      <c r="HE784" s="35"/>
      <c r="HF784" s="35"/>
      <c r="HG784" s="35"/>
      <c r="HH784" s="35"/>
      <c r="HI784" s="35"/>
      <c r="HJ784" s="35"/>
      <c r="HK784" s="35"/>
      <c r="HL784" s="35"/>
      <c r="HM784" s="35"/>
      <c r="HN784" s="35"/>
      <c r="HO784" s="35"/>
      <c r="HP784" s="35"/>
      <c r="HQ784" s="35"/>
      <c r="HR784" s="35"/>
      <c r="HS784" s="35"/>
      <c r="HT784" s="35"/>
      <c r="HU784" s="35"/>
      <c r="HV784" s="35"/>
      <c r="HW784" s="35"/>
      <c r="HX784" s="35"/>
      <c r="HY784" s="35"/>
      <c r="HZ784" s="35"/>
      <c r="IA784" s="35"/>
      <c r="IB784" s="35"/>
      <c r="IC784" s="35"/>
      <c r="ID784" s="35"/>
      <c r="IE784" s="35"/>
      <c r="IF784" s="35"/>
      <c r="IG784" s="35"/>
      <c r="IH784" s="35"/>
      <c r="II784" s="35"/>
      <c r="IJ784" s="35"/>
      <c r="IK784" s="35"/>
      <c r="IL784" s="35"/>
      <c r="IM784" s="35"/>
      <c r="IN784" s="35"/>
      <c r="IO784" s="35"/>
      <c r="IP784" s="35"/>
      <c r="IQ784" s="35"/>
      <c r="IR784" s="35"/>
      <c r="IS784" s="35"/>
      <c r="IT784" s="35"/>
      <c r="IU784" s="35"/>
      <c r="IV784" s="35"/>
      <c r="IW784" s="35"/>
      <c r="IX784" s="35"/>
      <c r="IY784" s="35"/>
      <c r="IZ784" s="35"/>
      <c r="JA784" s="35"/>
      <c r="JB784" s="35"/>
      <c r="JC784" s="35"/>
      <c r="JD784" s="35"/>
      <c r="JE784" s="35"/>
    </row>
    <row r="785">
      <c r="A785" s="42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  <c r="AZ785" s="35"/>
      <c r="BA785" s="35"/>
      <c r="BB785" s="35"/>
      <c r="BC785" s="35"/>
      <c r="BD785" s="35"/>
      <c r="BE785" s="35"/>
      <c r="BF785" s="35"/>
      <c r="BG785" s="35"/>
      <c r="BH785" s="35"/>
      <c r="BI785" s="35"/>
      <c r="BJ785" s="35"/>
      <c r="BK785" s="35"/>
      <c r="BL785" s="35"/>
      <c r="BM785" s="35"/>
      <c r="BN785" s="35"/>
      <c r="BO785" s="35"/>
      <c r="BP785" s="35"/>
      <c r="BQ785" s="35"/>
      <c r="BR785" s="35"/>
      <c r="BS785" s="35"/>
      <c r="BT785" s="35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35"/>
      <c r="CO785" s="35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35"/>
      <c r="DJ785" s="35"/>
      <c r="DK785" s="35"/>
      <c r="DL785" s="35"/>
      <c r="DM785" s="35"/>
      <c r="DN785" s="35"/>
      <c r="DO785" s="35"/>
      <c r="DP785" s="35"/>
      <c r="DQ785" s="35"/>
      <c r="DR785" s="35"/>
      <c r="DS785" s="35"/>
      <c r="DT785" s="35"/>
      <c r="DU785" s="35"/>
      <c r="DV785" s="35"/>
      <c r="DW785" s="35"/>
      <c r="DX785" s="35"/>
      <c r="DY785" s="35"/>
      <c r="DZ785" s="35"/>
      <c r="EA785" s="35"/>
      <c r="EB785" s="35"/>
      <c r="EC785" s="35"/>
      <c r="ED785" s="35"/>
      <c r="EE785" s="35"/>
      <c r="EF785" s="35"/>
      <c r="EG785" s="35"/>
      <c r="EH785" s="35"/>
      <c r="EI785" s="35"/>
      <c r="EJ785" s="35"/>
      <c r="EK785" s="35"/>
      <c r="EL785" s="35"/>
      <c r="EM785" s="35"/>
      <c r="EN785" s="35"/>
      <c r="EO785" s="35"/>
      <c r="EP785" s="35"/>
      <c r="EQ785" s="35"/>
      <c r="ER785" s="35"/>
      <c r="ES785" s="35"/>
      <c r="ET785" s="35"/>
      <c r="EU785" s="35"/>
      <c r="EV785" s="35"/>
      <c r="EW785" s="35"/>
      <c r="EX785" s="35"/>
      <c r="EY785" s="35"/>
      <c r="EZ785" s="35"/>
      <c r="FA785" s="35"/>
      <c r="FB785" s="35"/>
      <c r="FC785" s="35"/>
      <c r="FD785" s="35"/>
      <c r="FE785" s="35"/>
      <c r="FF785" s="35"/>
      <c r="FG785" s="35"/>
      <c r="FH785" s="35"/>
      <c r="FI785" s="35"/>
      <c r="FJ785" s="35"/>
      <c r="FK785" s="35"/>
      <c r="FL785" s="35"/>
      <c r="FM785" s="35"/>
      <c r="FN785" s="35"/>
      <c r="FO785" s="35"/>
      <c r="FP785" s="35"/>
      <c r="FQ785" s="35"/>
      <c r="FR785" s="35"/>
      <c r="FS785" s="35"/>
      <c r="FT785" s="35"/>
      <c r="FU785" s="35"/>
      <c r="FV785" s="35"/>
      <c r="FW785" s="35"/>
      <c r="FX785" s="35"/>
      <c r="FY785" s="35"/>
      <c r="FZ785" s="35"/>
      <c r="GA785" s="35"/>
      <c r="GB785" s="35"/>
      <c r="GC785" s="35"/>
      <c r="GD785" s="35"/>
      <c r="GE785" s="35"/>
      <c r="GF785" s="35"/>
      <c r="GG785" s="35"/>
      <c r="GH785" s="35"/>
      <c r="GI785" s="35"/>
      <c r="GJ785" s="35"/>
      <c r="GK785" s="35"/>
      <c r="GL785" s="35"/>
      <c r="GM785" s="35"/>
      <c r="GN785" s="35"/>
      <c r="GO785" s="35"/>
      <c r="GP785" s="35"/>
      <c r="GQ785" s="35"/>
      <c r="GR785" s="35"/>
      <c r="GS785" s="35"/>
      <c r="GT785" s="35"/>
      <c r="GU785" s="35"/>
      <c r="GV785" s="35"/>
      <c r="GW785" s="35"/>
      <c r="GX785" s="35"/>
      <c r="GY785" s="35"/>
      <c r="GZ785" s="35"/>
      <c r="HA785" s="35"/>
      <c r="HB785" s="35"/>
      <c r="HC785" s="35"/>
      <c r="HD785" s="35"/>
      <c r="HE785" s="35"/>
      <c r="HF785" s="35"/>
      <c r="HG785" s="35"/>
      <c r="HH785" s="35"/>
      <c r="HI785" s="35"/>
      <c r="HJ785" s="35"/>
      <c r="HK785" s="35"/>
      <c r="HL785" s="35"/>
      <c r="HM785" s="35"/>
      <c r="HN785" s="35"/>
      <c r="HO785" s="35"/>
      <c r="HP785" s="35"/>
      <c r="HQ785" s="35"/>
      <c r="HR785" s="35"/>
      <c r="HS785" s="35"/>
      <c r="HT785" s="35"/>
      <c r="HU785" s="35"/>
      <c r="HV785" s="35"/>
      <c r="HW785" s="35"/>
      <c r="HX785" s="35"/>
      <c r="HY785" s="35"/>
      <c r="HZ785" s="35"/>
      <c r="IA785" s="35"/>
      <c r="IB785" s="35"/>
      <c r="IC785" s="35"/>
      <c r="ID785" s="35"/>
      <c r="IE785" s="35"/>
      <c r="IF785" s="35"/>
      <c r="IG785" s="35"/>
      <c r="IH785" s="35"/>
      <c r="II785" s="35"/>
      <c r="IJ785" s="35"/>
      <c r="IK785" s="35"/>
      <c r="IL785" s="35"/>
      <c r="IM785" s="35"/>
      <c r="IN785" s="35"/>
      <c r="IO785" s="35"/>
      <c r="IP785" s="35"/>
      <c r="IQ785" s="35"/>
      <c r="IR785" s="35"/>
      <c r="IS785" s="35"/>
      <c r="IT785" s="35"/>
      <c r="IU785" s="35"/>
      <c r="IV785" s="35"/>
      <c r="IW785" s="35"/>
      <c r="IX785" s="35"/>
      <c r="IY785" s="35"/>
      <c r="IZ785" s="35"/>
      <c r="JA785" s="35"/>
      <c r="JB785" s="35"/>
      <c r="JC785" s="35"/>
      <c r="JD785" s="35"/>
      <c r="JE785" s="35"/>
    </row>
    <row r="786">
      <c r="A786" s="42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  <c r="AZ786" s="35"/>
      <c r="BA786" s="35"/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/>
      <c r="BP786" s="35"/>
      <c r="BQ786" s="35"/>
      <c r="BR786" s="35"/>
      <c r="BS786" s="35"/>
      <c r="BT786" s="35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35"/>
      <c r="CO786" s="35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35"/>
      <c r="DJ786" s="35"/>
      <c r="DK786" s="35"/>
      <c r="DL786" s="35"/>
      <c r="DM786" s="35"/>
      <c r="DN786" s="35"/>
      <c r="DO786" s="35"/>
      <c r="DP786" s="35"/>
      <c r="DQ786" s="35"/>
      <c r="DR786" s="35"/>
      <c r="DS786" s="35"/>
      <c r="DT786" s="35"/>
      <c r="DU786" s="35"/>
      <c r="DV786" s="35"/>
      <c r="DW786" s="35"/>
      <c r="DX786" s="35"/>
      <c r="DY786" s="35"/>
      <c r="DZ786" s="35"/>
      <c r="EA786" s="35"/>
      <c r="EB786" s="35"/>
      <c r="EC786" s="35"/>
      <c r="ED786" s="35"/>
      <c r="EE786" s="35"/>
      <c r="EF786" s="35"/>
      <c r="EG786" s="35"/>
      <c r="EH786" s="35"/>
      <c r="EI786" s="35"/>
      <c r="EJ786" s="35"/>
      <c r="EK786" s="35"/>
      <c r="EL786" s="35"/>
      <c r="EM786" s="35"/>
      <c r="EN786" s="35"/>
      <c r="EO786" s="35"/>
      <c r="EP786" s="35"/>
      <c r="EQ786" s="35"/>
      <c r="ER786" s="35"/>
      <c r="ES786" s="35"/>
      <c r="ET786" s="35"/>
      <c r="EU786" s="35"/>
      <c r="EV786" s="35"/>
      <c r="EW786" s="35"/>
      <c r="EX786" s="35"/>
      <c r="EY786" s="35"/>
      <c r="EZ786" s="35"/>
      <c r="FA786" s="35"/>
      <c r="FB786" s="35"/>
      <c r="FC786" s="35"/>
      <c r="FD786" s="35"/>
      <c r="FE786" s="35"/>
      <c r="FF786" s="35"/>
      <c r="FG786" s="35"/>
      <c r="FH786" s="35"/>
      <c r="FI786" s="35"/>
      <c r="FJ786" s="35"/>
      <c r="FK786" s="35"/>
      <c r="FL786" s="35"/>
      <c r="FM786" s="35"/>
      <c r="FN786" s="35"/>
      <c r="FO786" s="35"/>
      <c r="FP786" s="35"/>
      <c r="FQ786" s="35"/>
      <c r="FR786" s="35"/>
      <c r="FS786" s="35"/>
      <c r="FT786" s="35"/>
      <c r="FU786" s="35"/>
      <c r="FV786" s="35"/>
      <c r="FW786" s="35"/>
      <c r="FX786" s="35"/>
      <c r="FY786" s="35"/>
      <c r="FZ786" s="35"/>
      <c r="GA786" s="35"/>
      <c r="GB786" s="35"/>
      <c r="GC786" s="35"/>
      <c r="GD786" s="35"/>
      <c r="GE786" s="35"/>
      <c r="GF786" s="35"/>
      <c r="GG786" s="35"/>
      <c r="GH786" s="35"/>
      <c r="GI786" s="35"/>
      <c r="GJ786" s="35"/>
      <c r="GK786" s="35"/>
      <c r="GL786" s="35"/>
      <c r="GM786" s="35"/>
      <c r="GN786" s="35"/>
      <c r="GO786" s="35"/>
      <c r="GP786" s="35"/>
      <c r="GQ786" s="35"/>
      <c r="GR786" s="35"/>
      <c r="GS786" s="35"/>
      <c r="GT786" s="35"/>
      <c r="GU786" s="35"/>
      <c r="GV786" s="35"/>
      <c r="GW786" s="35"/>
      <c r="GX786" s="35"/>
      <c r="GY786" s="35"/>
      <c r="GZ786" s="35"/>
      <c r="HA786" s="35"/>
      <c r="HB786" s="35"/>
      <c r="HC786" s="35"/>
      <c r="HD786" s="35"/>
      <c r="HE786" s="35"/>
      <c r="HF786" s="35"/>
      <c r="HG786" s="35"/>
      <c r="HH786" s="35"/>
      <c r="HI786" s="35"/>
      <c r="HJ786" s="35"/>
      <c r="HK786" s="35"/>
      <c r="HL786" s="35"/>
      <c r="HM786" s="35"/>
      <c r="HN786" s="35"/>
      <c r="HO786" s="35"/>
      <c r="HP786" s="35"/>
      <c r="HQ786" s="35"/>
      <c r="HR786" s="35"/>
      <c r="HS786" s="35"/>
      <c r="HT786" s="35"/>
      <c r="HU786" s="35"/>
      <c r="HV786" s="35"/>
      <c r="HW786" s="35"/>
      <c r="HX786" s="35"/>
      <c r="HY786" s="35"/>
      <c r="HZ786" s="35"/>
      <c r="IA786" s="35"/>
      <c r="IB786" s="35"/>
      <c r="IC786" s="35"/>
      <c r="ID786" s="35"/>
      <c r="IE786" s="35"/>
      <c r="IF786" s="35"/>
      <c r="IG786" s="35"/>
      <c r="IH786" s="35"/>
      <c r="II786" s="35"/>
      <c r="IJ786" s="35"/>
      <c r="IK786" s="35"/>
      <c r="IL786" s="35"/>
      <c r="IM786" s="35"/>
      <c r="IN786" s="35"/>
      <c r="IO786" s="35"/>
      <c r="IP786" s="35"/>
      <c r="IQ786" s="35"/>
      <c r="IR786" s="35"/>
      <c r="IS786" s="35"/>
      <c r="IT786" s="35"/>
      <c r="IU786" s="35"/>
      <c r="IV786" s="35"/>
      <c r="IW786" s="35"/>
      <c r="IX786" s="35"/>
      <c r="IY786" s="35"/>
      <c r="IZ786" s="35"/>
      <c r="JA786" s="35"/>
      <c r="JB786" s="35"/>
      <c r="JC786" s="35"/>
      <c r="JD786" s="35"/>
      <c r="JE786" s="35"/>
    </row>
    <row r="787">
      <c r="A787" s="42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  <c r="AZ787" s="35"/>
      <c r="BA787" s="35"/>
      <c r="BB787" s="35"/>
      <c r="BC787" s="35"/>
      <c r="BD787" s="35"/>
      <c r="BE787" s="35"/>
      <c r="BF787" s="35"/>
      <c r="BG787" s="35"/>
      <c r="BH787" s="35"/>
      <c r="BI787" s="35"/>
      <c r="BJ787" s="35"/>
      <c r="BK787" s="35"/>
      <c r="BL787" s="35"/>
      <c r="BM787" s="35"/>
      <c r="BN787" s="35"/>
      <c r="BO787" s="35"/>
      <c r="BP787" s="35"/>
      <c r="BQ787" s="35"/>
      <c r="BR787" s="35"/>
      <c r="BS787" s="35"/>
      <c r="BT787" s="35"/>
      <c r="BU787" s="35"/>
      <c r="BV787" s="35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35"/>
      <c r="CO787" s="35"/>
      <c r="CP787" s="35"/>
      <c r="CQ787" s="35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35"/>
      <c r="DJ787" s="35"/>
      <c r="DK787" s="35"/>
      <c r="DL787" s="35"/>
      <c r="DM787" s="35"/>
      <c r="DN787" s="35"/>
      <c r="DO787" s="35"/>
      <c r="DP787" s="35"/>
      <c r="DQ787" s="35"/>
      <c r="DR787" s="35"/>
      <c r="DS787" s="35"/>
      <c r="DT787" s="35"/>
      <c r="DU787" s="35"/>
      <c r="DV787" s="35"/>
      <c r="DW787" s="35"/>
      <c r="DX787" s="35"/>
      <c r="DY787" s="35"/>
      <c r="DZ787" s="35"/>
      <c r="EA787" s="35"/>
      <c r="EB787" s="35"/>
      <c r="EC787" s="35"/>
      <c r="ED787" s="35"/>
      <c r="EE787" s="35"/>
      <c r="EF787" s="35"/>
      <c r="EG787" s="35"/>
      <c r="EH787" s="35"/>
      <c r="EI787" s="35"/>
      <c r="EJ787" s="35"/>
      <c r="EK787" s="35"/>
      <c r="EL787" s="35"/>
      <c r="EM787" s="35"/>
      <c r="EN787" s="35"/>
      <c r="EO787" s="35"/>
      <c r="EP787" s="35"/>
      <c r="EQ787" s="35"/>
      <c r="ER787" s="35"/>
      <c r="ES787" s="35"/>
      <c r="ET787" s="35"/>
      <c r="EU787" s="35"/>
      <c r="EV787" s="35"/>
      <c r="EW787" s="35"/>
      <c r="EX787" s="35"/>
      <c r="EY787" s="35"/>
      <c r="EZ787" s="35"/>
      <c r="FA787" s="35"/>
      <c r="FB787" s="35"/>
      <c r="FC787" s="35"/>
      <c r="FD787" s="35"/>
      <c r="FE787" s="35"/>
      <c r="FF787" s="35"/>
      <c r="FG787" s="35"/>
      <c r="FH787" s="35"/>
      <c r="FI787" s="35"/>
      <c r="FJ787" s="35"/>
      <c r="FK787" s="35"/>
      <c r="FL787" s="35"/>
      <c r="FM787" s="35"/>
      <c r="FN787" s="35"/>
      <c r="FO787" s="35"/>
      <c r="FP787" s="35"/>
      <c r="FQ787" s="35"/>
      <c r="FR787" s="35"/>
      <c r="FS787" s="35"/>
      <c r="FT787" s="35"/>
      <c r="FU787" s="35"/>
      <c r="FV787" s="35"/>
      <c r="FW787" s="35"/>
      <c r="FX787" s="35"/>
      <c r="FY787" s="35"/>
      <c r="FZ787" s="35"/>
      <c r="GA787" s="35"/>
      <c r="GB787" s="35"/>
      <c r="GC787" s="35"/>
      <c r="GD787" s="35"/>
      <c r="GE787" s="35"/>
      <c r="GF787" s="35"/>
      <c r="GG787" s="35"/>
      <c r="GH787" s="35"/>
      <c r="GI787" s="35"/>
      <c r="GJ787" s="35"/>
      <c r="GK787" s="35"/>
      <c r="GL787" s="35"/>
      <c r="GM787" s="35"/>
      <c r="GN787" s="35"/>
      <c r="GO787" s="35"/>
      <c r="GP787" s="35"/>
      <c r="GQ787" s="35"/>
      <c r="GR787" s="35"/>
      <c r="GS787" s="35"/>
      <c r="GT787" s="35"/>
      <c r="GU787" s="35"/>
      <c r="GV787" s="35"/>
      <c r="GW787" s="35"/>
      <c r="GX787" s="35"/>
      <c r="GY787" s="35"/>
      <c r="GZ787" s="35"/>
      <c r="HA787" s="35"/>
      <c r="HB787" s="35"/>
      <c r="HC787" s="35"/>
      <c r="HD787" s="35"/>
      <c r="HE787" s="35"/>
      <c r="HF787" s="35"/>
      <c r="HG787" s="35"/>
      <c r="HH787" s="35"/>
      <c r="HI787" s="35"/>
      <c r="HJ787" s="35"/>
      <c r="HK787" s="35"/>
      <c r="HL787" s="35"/>
      <c r="HM787" s="35"/>
      <c r="HN787" s="35"/>
      <c r="HO787" s="35"/>
      <c r="HP787" s="35"/>
      <c r="HQ787" s="35"/>
      <c r="HR787" s="35"/>
      <c r="HS787" s="35"/>
      <c r="HT787" s="35"/>
      <c r="HU787" s="35"/>
      <c r="HV787" s="35"/>
      <c r="HW787" s="35"/>
      <c r="HX787" s="35"/>
      <c r="HY787" s="35"/>
      <c r="HZ787" s="35"/>
      <c r="IA787" s="35"/>
      <c r="IB787" s="35"/>
      <c r="IC787" s="35"/>
      <c r="ID787" s="35"/>
      <c r="IE787" s="35"/>
      <c r="IF787" s="35"/>
      <c r="IG787" s="35"/>
      <c r="IH787" s="35"/>
      <c r="II787" s="35"/>
      <c r="IJ787" s="35"/>
      <c r="IK787" s="35"/>
      <c r="IL787" s="35"/>
      <c r="IM787" s="35"/>
      <c r="IN787" s="35"/>
      <c r="IO787" s="35"/>
      <c r="IP787" s="35"/>
      <c r="IQ787" s="35"/>
      <c r="IR787" s="35"/>
      <c r="IS787" s="35"/>
      <c r="IT787" s="35"/>
      <c r="IU787" s="35"/>
      <c r="IV787" s="35"/>
      <c r="IW787" s="35"/>
      <c r="IX787" s="35"/>
      <c r="IY787" s="35"/>
      <c r="IZ787" s="35"/>
      <c r="JA787" s="35"/>
      <c r="JB787" s="35"/>
      <c r="JC787" s="35"/>
      <c r="JD787" s="35"/>
      <c r="JE787" s="35"/>
    </row>
    <row r="788">
      <c r="A788" s="42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  <c r="AZ788" s="35"/>
      <c r="BA788" s="35"/>
      <c r="BB788" s="35"/>
      <c r="BC788" s="35"/>
      <c r="BD788" s="35"/>
      <c r="BE788" s="35"/>
      <c r="BF788" s="35"/>
      <c r="BG788" s="35"/>
      <c r="BH788" s="35"/>
      <c r="BI788" s="35"/>
      <c r="BJ788" s="35"/>
      <c r="BK788" s="35"/>
      <c r="BL788" s="35"/>
      <c r="BM788" s="35"/>
      <c r="BN788" s="35"/>
      <c r="BO788" s="35"/>
      <c r="BP788" s="35"/>
      <c r="BQ788" s="35"/>
      <c r="BR788" s="35"/>
      <c r="BS788" s="35"/>
      <c r="BT788" s="35"/>
      <c r="BU788" s="35"/>
      <c r="BV788" s="35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35"/>
      <c r="CO788" s="35"/>
      <c r="CP788" s="35"/>
      <c r="CQ788" s="35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35"/>
      <c r="DJ788" s="35"/>
      <c r="DK788" s="35"/>
      <c r="DL788" s="35"/>
      <c r="DM788" s="35"/>
      <c r="DN788" s="35"/>
      <c r="DO788" s="35"/>
      <c r="DP788" s="35"/>
      <c r="DQ788" s="35"/>
      <c r="DR788" s="35"/>
      <c r="DS788" s="35"/>
      <c r="DT788" s="35"/>
      <c r="DU788" s="35"/>
      <c r="DV788" s="35"/>
      <c r="DW788" s="35"/>
      <c r="DX788" s="35"/>
      <c r="DY788" s="35"/>
      <c r="DZ788" s="35"/>
      <c r="EA788" s="35"/>
      <c r="EB788" s="35"/>
      <c r="EC788" s="35"/>
      <c r="ED788" s="35"/>
      <c r="EE788" s="35"/>
      <c r="EF788" s="35"/>
      <c r="EG788" s="35"/>
      <c r="EH788" s="35"/>
      <c r="EI788" s="35"/>
      <c r="EJ788" s="35"/>
      <c r="EK788" s="35"/>
      <c r="EL788" s="35"/>
      <c r="EM788" s="35"/>
      <c r="EN788" s="35"/>
      <c r="EO788" s="35"/>
      <c r="EP788" s="35"/>
      <c r="EQ788" s="35"/>
      <c r="ER788" s="35"/>
      <c r="ES788" s="35"/>
      <c r="ET788" s="35"/>
      <c r="EU788" s="35"/>
      <c r="EV788" s="35"/>
      <c r="EW788" s="35"/>
      <c r="EX788" s="35"/>
      <c r="EY788" s="35"/>
      <c r="EZ788" s="35"/>
      <c r="FA788" s="35"/>
      <c r="FB788" s="35"/>
      <c r="FC788" s="35"/>
      <c r="FD788" s="35"/>
      <c r="FE788" s="35"/>
      <c r="FF788" s="35"/>
      <c r="FG788" s="35"/>
      <c r="FH788" s="35"/>
      <c r="FI788" s="35"/>
      <c r="FJ788" s="35"/>
      <c r="FK788" s="35"/>
      <c r="FL788" s="35"/>
      <c r="FM788" s="35"/>
      <c r="FN788" s="35"/>
      <c r="FO788" s="35"/>
      <c r="FP788" s="35"/>
      <c r="FQ788" s="35"/>
      <c r="FR788" s="35"/>
      <c r="FS788" s="35"/>
      <c r="FT788" s="35"/>
      <c r="FU788" s="35"/>
      <c r="FV788" s="35"/>
      <c r="FW788" s="35"/>
      <c r="FX788" s="35"/>
      <c r="FY788" s="35"/>
      <c r="FZ788" s="35"/>
      <c r="GA788" s="35"/>
      <c r="GB788" s="35"/>
      <c r="GC788" s="35"/>
      <c r="GD788" s="35"/>
      <c r="GE788" s="35"/>
      <c r="GF788" s="35"/>
      <c r="GG788" s="35"/>
      <c r="GH788" s="35"/>
      <c r="GI788" s="35"/>
      <c r="GJ788" s="35"/>
      <c r="GK788" s="35"/>
      <c r="GL788" s="35"/>
      <c r="GM788" s="35"/>
      <c r="GN788" s="35"/>
      <c r="GO788" s="35"/>
      <c r="GP788" s="35"/>
      <c r="GQ788" s="35"/>
      <c r="GR788" s="35"/>
      <c r="GS788" s="35"/>
      <c r="GT788" s="35"/>
      <c r="GU788" s="35"/>
      <c r="GV788" s="35"/>
      <c r="GW788" s="35"/>
      <c r="GX788" s="35"/>
      <c r="GY788" s="35"/>
      <c r="GZ788" s="35"/>
      <c r="HA788" s="35"/>
      <c r="HB788" s="35"/>
      <c r="HC788" s="35"/>
      <c r="HD788" s="35"/>
      <c r="HE788" s="35"/>
      <c r="HF788" s="35"/>
      <c r="HG788" s="35"/>
      <c r="HH788" s="35"/>
      <c r="HI788" s="35"/>
      <c r="HJ788" s="35"/>
      <c r="HK788" s="35"/>
      <c r="HL788" s="35"/>
      <c r="HM788" s="35"/>
      <c r="HN788" s="35"/>
      <c r="HO788" s="35"/>
      <c r="HP788" s="35"/>
      <c r="HQ788" s="35"/>
      <c r="HR788" s="35"/>
      <c r="HS788" s="35"/>
      <c r="HT788" s="35"/>
      <c r="HU788" s="35"/>
      <c r="HV788" s="35"/>
      <c r="HW788" s="35"/>
      <c r="HX788" s="35"/>
      <c r="HY788" s="35"/>
      <c r="HZ788" s="35"/>
      <c r="IA788" s="35"/>
      <c r="IB788" s="35"/>
      <c r="IC788" s="35"/>
      <c r="ID788" s="35"/>
      <c r="IE788" s="35"/>
      <c r="IF788" s="35"/>
      <c r="IG788" s="35"/>
      <c r="IH788" s="35"/>
      <c r="II788" s="35"/>
      <c r="IJ788" s="35"/>
      <c r="IK788" s="35"/>
      <c r="IL788" s="35"/>
      <c r="IM788" s="35"/>
      <c r="IN788" s="35"/>
      <c r="IO788" s="35"/>
      <c r="IP788" s="35"/>
      <c r="IQ788" s="35"/>
      <c r="IR788" s="35"/>
      <c r="IS788" s="35"/>
      <c r="IT788" s="35"/>
      <c r="IU788" s="35"/>
      <c r="IV788" s="35"/>
      <c r="IW788" s="35"/>
      <c r="IX788" s="35"/>
      <c r="IY788" s="35"/>
      <c r="IZ788" s="35"/>
      <c r="JA788" s="35"/>
      <c r="JB788" s="35"/>
      <c r="JC788" s="35"/>
      <c r="JD788" s="35"/>
      <c r="JE788" s="35"/>
    </row>
    <row r="789">
      <c r="A789" s="42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  <c r="AZ789" s="35"/>
      <c r="BA789" s="35"/>
      <c r="BB789" s="35"/>
      <c r="BC789" s="35"/>
      <c r="BD789" s="35"/>
      <c r="BE789" s="35"/>
      <c r="BF789" s="35"/>
      <c r="BG789" s="35"/>
      <c r="BH789" s="35"/>
      <c r="BI789" s="35"/>
      <c r="BJ789" s="35"/>
      <c r="BK789" s="35"/>
      <c r="BL789" s="35"/>
      <c r="BM789" s="35"/>
      <c r="BN789" s="35"/>
      <c r="BO789" s="35"/>
      <c r="BP789" s="35"/>
      <c r="BQ789" s="35"/>
      <c r="BR789" s="35"/>
      <c r="BS789" s="35"/>
      <c r="BT789" s="35"/>
      <c r="BU789" s="35"/>
      <c r="BV789" s="35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35"/>
      <c r="CO789" s="35"/>
      <c r="CP789" s="35"/>
      <c r="CQ789" s="35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35"/>
      <c r="DJ789" s="35"/>
      <c r="DK789" s="35"/>
      <c r="DL789" s="35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s="35"/>
      <c r="EE789" s="35"/>
      <c r="EF789" s="35"/>
      <c r="EG789" s="35"/>
      <c r="EH789" s="35"/>
      <c r="EI789" s="35"/>
      <c r="EJ789" s="35"/>
      <c r="EK789" s="35"/>
      <c r="EL789" s="35"/>
      <c r="EM789" s="35"/>
      <c r="EN789" s="35"/>
      <c r="EO789" s="35"/>
      <c r="EP789" s="35"/>
      <c r="EQ789" s="35"/>
      <c r="ER789" s="35"/>
      <c r="ES789" s="35"/>
      <c r="ET789" s="35"/>
      <c r="EU789" s="35"/>
      <c r="EV789" s="35"/>
      <c r="EW789" s="35"/>
      <c r="EX789" s="35"/>
      <c r="EY789" s="35"/>
      <c r="EZ789" s="35"/>
      <c r="FA789" s="35"/>
      <c r="FB789" s="35"/>
      <c r="FC789" s="35"/>
      <c r="FD789" s="35"/>
      <c r="FE789" s="35"/>
      <c r="FF789" s="35"/>
      <c r="FG789" s="35"/>
      <c r="FH789" s="35"/>
      <c r="FI789" s="35"/>
      <c r="FJ789" s="35"/>
      <c r="FK789" s="35"/>
      <c r="FL789" s="35"/>
      <c r="FM789" s="35"/>
      <c r="FN789" s="35"/>
      <c r="FO789" s="35"/>
      <c r="FP789" s="35"/>
      <c r="FQ789" s="35"/>
      <c r="FR789" s="35"/>
      <c r="FS789" s="35"/>
      <c r="FT789" s="35"/>
      <c r="FU789" s="35"/>
      <c r="FV789" s="35"/>
      <c r="FW789" s="35"/>
      <c r="FX789" s="35"/>
      <c r="FY789" s="35"/>
      <c r="FZ789" s="35"/>
      <c r="GA789" s="35"/>
      <c r="GB789" s="35"/>
      <c r="GC789" s="35"/>
      <c r="GD789" s="35"/>
      <c r="GE789" s="35"/>
      <c r="GF789" s="35"/>
      <c r="GG789" s="35"/>
      <c r="GH789" s="35"/>
      <c r="GI789" s="35"/>
      <c r="GJ789" s="35"/>
      <c r="GK789" s="35"/>
      <c r="GL789" s="35"/>
      <c r="GM789" s="35"/>
      <c r="GN789" s="35"/>
      <c r="GO789" s="35"/>
      <c r="GP789" s="35"/>
      <c r="GQ789" s="35"/>
      <c r="GR789" s="35"/>
      <c r="GS789" s="35"/>
      <c r="GT789" s="35"/>
      <c r="GU789" s="35"/>
      <c r="GV789" s="35"/>
      <c r="GW789" s="35"/>
      <c r="GX789" s="35"/>
      <c r="GY789" s="35"/>
      <c r="GZ789" s="35"/>
      <c r="HA789" s="35"/>
      <c r="HB789" s="35"/>
      <c r="HC789" s="35"/>
      <c r="HD789" s="35"/>
      <c r="HE789" s="35"/>
      <c r="HF789" s="35"/>
      <c r="HG789" s="35"/>
      <c r="HH789" s="35"/>
      <c r="HI789" s="35"/>
      <c r="HJ789" s="35"/>
      <c r="HK789" s="35"/>
      <c r="HL789" s="35"/>
      <c r="HM789" s="35"/>
      <c r="HN789" s="35"/>
      <c r="HO789" s="35"/>
      <c r="HP789" s="35"/>
      <c r="HQ789" s="35"/>
      <c r="HR789" s="35"/>
      <c r="HS789" s="35"/>
      <c r="HT789" s="35"/>
      <c r="HU789" s="35"/>
      <c r="HV789" s="35"/>
      <c r="HW789" s="35"/>
      <c r="HX789" s="35"/>
      <c r="HY789" s="35"/>
      <c r="HZ789" s="35"/>
      <c r="IA789" s="35"/>
      <c r="IB789" s="35"/>
      <c r="IC789" s="35"/>
      <c r="ID789" s="35"/>
      <c r="IE789" s="35"/>
      <c r="IF789" s="35"/>
      <c r="IG789" s="35"/>
      <c r="IH789" s="35"/>
      <c r="II789" s="35"/>
      <c r="IJ789" s="35"/>
      <c r="IK789" s="35"/>
      <c r="IL789" s="35"/>
      <c r="IM789" s="35"/>
      <c r="IN789" s="35"/>
      <c r="IO789" s="35"/>
      <c r="IP789" s="35"/>
      <c r="IQ789" s="35"/>
      <c r="IR789" s="35"/>
      <c r="IS789" s="35"/>
      <c r="IT789" s="35"/>
      <c r="IU789" s="35"/>
      <c r="IV789" s="35"/>
      <c r="IW789" s="35"/>
      <c r="IX789" s="35"/>
      <c r="IY789" s="35"/>
      <c r="IZ789" s="35"/>
      <c r="JA789" s="35"/>
      <c r="JB789" s="35"/>
      <c r="JC789" s="35"/>
      <c r="JD789" s="35"/>
      <c r="JE789" s="35"/>
    </row>
    <row r="790">
      <c r="A790" s="42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  <c r="AZ790" s="35"/>
      <c r="BA790" s="35"/>
      <c r="BB790" s="35"/>
      <c r="BC790" s="35"/>
      <c r="BD790" s="35"/>
      <c r="BE790" s="35"/>
      <c r="BF790" s="35"/>
      <c r="BG790" s="35"/>
      <c r="BH790" s="35"/>
      <c r="BI790" s="35"/>
      <c r="BJ790" s="35"/>
      <c r="BK790" s="35"/>
      <c r="BL790" s="35"/>
      <c r="BM790" s="35"/>
      <c r="BN790" s="35"/>
      <c r="BO790" s="35"/>
      <c r="BP790" s="35"/>
      <c r="BQ790" s="35"/>
      <c r="BR790" s="35"/>
      <c r="BS790" s="35"/>
      <c r="BT790" s="35"/>
      <c r="BU790" s="35"/>
      <c r="BV790" s="35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35"/>
      <c r="CO790" s="35"/>
      <c r="CP790" s="35"/>
      <c r="CQ790" s="35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35"/>
      <c r="DJ790" s="35"/>
      <c r="DK790" s="35"/>
      <c r="DL790" s="35"/>
      <c r="DM790" s="35"/>
      <c r="DN790" s="35"/>
      <c r="DO790" s="35"/>
      <c r="DP790" s="35"/>
      <c r="DQ790" s="35"/>
      <c r="DR790" s="35"/>
      <c r="DS790" s="35"/>
      <c r="DT790" s="35"/>
      <c r="DU790" s="35"/>
      <c r="DV790" s="35"/>
      <c r="DW790" s="35"/>
      <c r="DX790" s="35"/>
      <c r="DY790" s="35"/>
      <c r="DZ790" s="35"/>
      <c r="EA790" s="35"/>
      <c r="EB790" s="35"/>
      <c r="EC790" s="35"/>
      <c r="ED790" s="35"/>
      <c r="EE790" s="35"/>
      <c r="EF790" s="35"/>
      <c r="EG790" s="35"/>
      <c r="EH790" s="35"/>
      <c r="EI790" s="35"/>
      <c r="EJ790" s="35"/>
      <c r="EK790" s="35"/>
      <c r="EL790" s="35"/>
      <c r="EM790" s="35"/>
      <c r="EN790" s="35"/>
      <c r="EO790" s="35"/>
      <c r="EP790" s="35"/>
      <c r="EQ790" s="35"/>
      <c r="ER790" s="35"/>
      <c r="ES790" s="35"/>
      <c r="ET790" s="35"/>
      <c r="EU790" s="35"/>
      <c r="EV790" s="35"/>
      <c r="EW790" s="35"/>
      <c r="EX790" s="35"/>
      <c r="EY790" s="35"/>
      <c r="EZ790" s="35"/>
      <c r="FA790" s="35"/>
      <c r="FB790" s="35"/>
      <c r="FC790" s="35"/>
      <c r="FD790" s="35"/>
      <c r="FE790" s="35"/>
      <c r="FF790" s="35"/>
      <c r="FG790" s="35"/>
      <c r="FH790" s="35"/>
      <c r="FI790" s="35"/>
      <c r="FJ790" s="35"/>
      <c r="FK790" s="35"/>
      <c r="FL790" s="35"/>
      <c r="FM790" s="35"/>
      <c r="FN790" s="35"/>
      <c r="FO790" s="35"/>
      <c r="FP790" s="35"/>
      <c r="FQ790" s="35"/>
      <c r="FR790" s="35"/>
      <c r="FS790" s="35"/>
      <c r="FT790" s="35"/>
      <c r="FU790" s="35"/>
      <c r="FV790" s="35"/>
      <c r="FW790" s="35"/>
      <c r="FX790" s="35"/>
      <c r="FY790" s="35"/>
      <c r="FZ790" s="35"/>
      <c r="GA790" s="35"/>
      <c r="GB790" s="35"/>
      <c r="GC790" s="35"/>
      <c r="GD790" s="35"/>
      <c r="GE790" s="35"/>
      <c r="GF790" s="35"/>
      <c r="GG790" s="35"/>
      <c r="GH790" s="35"/>
      <c r="GI790" s="35"/>
      <c r="GJ790" s="35"/>
      <c r="GK790" s="35"/>
      <c r="GL790" s="35"/>
      <c r="GM790" s="35"/>
      <c r="GN790" s="35"/>
      <c r="GO790" s="35"/>
      <c r="GP790" s="35"/>
      <c r="GQ790" s="35"/>
      <c r="GR790" s="35"/>
      <c r="GS790" s="35"/>
      <c r="GT790" s="35"/>
      <c r="GU790" s="35"/>
      <c r="GV790" s="35"/>
      <c r="GW790" s="35"/>
      <c r="GX790" s="35"/>
      <c r="GY790" s="35"/>
      <c r="GZ790" s="35"/>
      <c r="HA790" s="35"/>
      <c r="HB790" s="35"/>
      <c r="HC790" s="35"/>
      <c r="HD790" s="35"/>
      <c r="HE790" s="35"/>
      <c r="HF790" s="35"/>
      <c r="HG790" s="35"/>
      <c r="HH790" s="35"/>
      <c r="HI790" s="35"/>
      <c r="HJ790" s="35"/>
      <c r="HK790" s="35"/>
      <c r="HL790" s="35"/>
      <c r="HM790" s="35"/>
      <c r="HN790" s="35"/>
      <c r="HO790" s="35"/>
      <c r="HP790" s="35"/>
      <c r="HQ790" s="35"/>
      <c r="HR790" s="35"/>
      <c r="HS790" s="35"/>
      <c r="HT790" s="35"/>
      <c r="HU790" s="35"/>
      <c r="HV790" s="35"/>
      <c r="HW790" s="35"/>
      <c r="HX790" s="35"/>
      <c r="HY790" s="35"/>
      <c r="HZ790" s="35"/>
      <c r="IA790" s="35"/>
      <c r="IB790" s="35"/>
      <c r="IC790" s="35"/>
      <c r="ID790" s="35"/>
      <c r="IE790" s="35"/>
      <c r="IF790" s="35"/>
      <c r="IG790" s="35"/>
      <c r="IH790" s="35"/>
      <c r="II790" s="35"/>
      <c r="IJ790" s="35"/>
      <c r="IK790" s="35"/>
      <c r="IL790" s="35"/>
      <c r="IM790" s="35"/>
      <c r="IN790" s="35"/>
      <c r="IO790" s="35"/>
      <c r="IP790" s="35"/>
      <c r="IQ790" s="35"/>
      <c r="IR790" s="35"/>
      <c r="IS790" s="35"/>
      <c r="IT790" s="35"/>
      <c r="IU790" s="35"/>
      <c r="IV790" s="35"/>
      <c r="IW790" s="35"/>
      <c r="IX790" s="35"/>
      <c r="IY790" s="35"/>
      <c r="IZ790" s="35"/>
      <c r="JA790" s="35"/>
      <c r="JB790" s="35"/>
      <c r="JC790" s="35"/>
      <c r="JD790" s="35"/>
      <c r="JE790" s="35"/>
    </row>
    <row r="791">
      <c r="A791" s="42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  <c r="AZ791" s="35"/>
      <c r="BA791" s="35"/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35"/>
      <c r="BS791" s="35"/>
      <c r="BT791" s="35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35"/>
      <c r="CO791" s="35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35"/>
      <c r="DJ791" s="35"/>
      <c r="DK791" s="35"/>
      <c r="DL791" s="35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35"/>
      <c r="EE791" s="35"/>
      <c r="EF791" s="35"/>
      <c r="EG791" s="35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  <c r="ER791" s="35"/>
      <c r="ES791" s="35"/>
      <c r="ET791" s="35"/>
      <c r="EU791" s="35"/>
      <c r="EV791" s="35"/>
      <c r="EW791" s="35"/>
      <c r="EX791" s="35"/>
      <c r="EY791" s="35"/>
      <c r="EZ791" s="35"/>
      <c r="FA791" s="35"/>
      <c r="FB791" s="35"/>
      <c r="FC791" s="35"/>
      <c r="FD791" s="35"/>
      <c r="FE791" s="35"/>
      <c r="FF791" s="35"/>
      <c r="FG791" s="35"/>
      <c r="FH791" s="35"/>
      <c r="FI791" s="35"/>
      <c r="FJ791" s="35"/>
      <c r="FK791" s="35"/>
      <c r="FL791" s="35"/>
      <c r="FM791" s="35"/>
      <c r="FN791" s="35"/>
      <c r="FO791" s="35"/>
      <c r="FP791" s="35"/>
      <c r="FQ791" s="35"/>
      <c r="FR791" s="35"/>
      <c r="FS791" s="35"/>
      <c r="FT791" s="35"/>
      <c r="FU791" s="35"/>
      <c r="FV791" s="35"/>
      <c r="FW791" s="35"/>
      <c r="FX791" s="35"/>
      <c r="FY791" s="35"/>
      <c r="FZ791" s="35"/>
      <c r="GA791" s="35"/>
      <c r="GB791" s="35"/>
      <c r="GC791" s="35"/>
      <c r="GD791" s="35"/>
      <c r="GE791" s="35"/>
      <c r="GF791" s="35"/>
      <c r="GG791" s="35"/>
      <c r="GH791" s="35"/>
      <c r="GI791" s="35"/>
      <c r="GJ791" s="35"/>
      <c r="GK791" s="35"/>
      <c r="GL791" s="35"/>
      <c r="GM791" s="35"/>
      <c r="GN791" s="35"/>
      <c r="GO791" s="35"/>
      <c r="GP791" s="35"/>
      <c r="GQ791" s="35"/>
      <c r="GR791" s="35"/>
      <c r="GS791" s="35"/>
      <c r="GT791" s="35"/>
      <c r="GU791" s="35"/>
      <c r="GV791" s="35"/>
      <c r="GW791" s="35"/>
      <c r="GX791" s="35"/>
      <c r="GY791" s="35"/>
      <c r="GZ791" s="35"/>
      <c r="HA791" s="35"/>
      <c r="HB791" s="35"/>
      <c r="HC791" s="35"/>
      <c r="HD791" s="35"/>
      <c r="HE791" s="35"/>
      <c r="HF791" s="35"/>
      <c r="HG791" s="35"/>
      <c r="HH791" s="35"/>
      <c r="HI791" s="35"/>
      <c r="HJ791" s="35"/>
      <c r="HK791" s="35"/>
      <c r="HL791" s="35"/>
      <c r="HM791" s="35"/>
      <c r="HN791" s="35"/>
      <c r="HO791" s="35"/>
      <c r="HP791" s="35"/>
      <c r="HQ791" s="35"/>
      <c r="HR791" s="35"/>
      <c r="HS791" s="35"/>
      <c r="HT791" s="35"/>
      <c r="HU791" s="35"/>
      <c r="HV791" s="35"/>
      <c r="HW791" s="35"/>
      <c r="HX791" s="35"/>
      <c r="HY791" s="35"/>
      <c r="HZ791" s="35"/>
      <c r="IA791" s="35"/>
      <c r="IB791" s="35"/>
      <c r="IC791" s="35"/>
      <c r="ID791" s="35"/>
      <c r="IE791" s="35"/>
      <c r="IF791" s="35"/>
      <c r="IG791" s="35"/>
      <c r="IH791" s="35"/>
      <c r="II791" s="35"/>
      <c r="IJ791" s="35"/>
      <c r="IK791" s="35"/>
      <c r="IL791" s="35"/>
      <c r="IM791" s="35"/>
      <c r="IN791" s="35"/>
      <c r="IO791" s="35"/>
      <c r="IP791" s="35"/>
      <c r="IQ791" s="35"/>
      <c r="IR791" s="35"/>
      <c r="IS791" s="35"/>
      <c r="IT791" s="35"/>
      <c r="IU791" s="35"/>
      <c r="IV791" s="35"/>
      <c r="IW791" s="35"/>
      <c r="IX791" s="35"/>
      <c r="IY791" s="35"/>
      <c r="IZ791" s="35"/>
      <c r="JA791" s="35"/>
      <c r="JB791" s="35"/>
      <c r="JC791" s="35"/>
      <c r="JD791" s="35"/>
      <c r="JE791" s="35"/>
    </row>
    <row r="792">
      <c r="A792" s="42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  <c r="AZ792" s="35"/>
      <c r="BA792" s="35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M792" s="35"/>
      <c r="BN792" s="35"/>
      <c r="BO792" s="35"/>
      <c r="BP792" s="35"/>
      <c r="BQ792" s="35"/>
      <c r="BR792" s="35"/>
      <c r="BS792" s="35"/>
      <c r="BT792" s="35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35"/>
      <c r="CO792" s="35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35"/>
      <c r="DJ792" s="35"/>
      <c r="DK792" s="35"/>
      <c r="DL792" s="35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35"/>
      <c r="EE792" s="35"/>
      <c r="EF792" s="35"/>
      <c r="EG792" s="35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  <c r="ER792" s="35"/>
      <c r="ES792" s="35"/>
      <c r="ET792" s="35"/>
      <c r="EU792" s="35"/>
      <c r="EV792" s="35"/>
      <c r="EW792" s="35"/>
      <c r="EX792" s="35"/>
      <c r="EY792" s="35"/>
      <c r="EZ792" s="35"/>
      <c r="FA792" s="35"/>
      <c r="FB792" s="35"/>
      <c r="FC792" s="35"/>
      <c r="FD792" s="35"/>
      <c r="FE792" s="35"/>
      <c r="FF792" s="35"/>
      <c r="FG792" s="35"/>
      <c r="FH792" s="35"/>
      <c r="FI792" s="35"/>
      <c r="FJ792" s="35"/>
      <c r="FK792" s="35"/>
      <c r="FL792" s="35"/>
      <c r="FM792" s="35"/>
      <c r="FN792" s="35"/>
      <c r="FO792" s="35"/>
      <c r="FP792" s="35"/>
      <c r="FQ792" s="35"/>
      <c r="FR792" s="35"/>
      <c r="FS792" s="35"/>
      <c r="FT792" s="35"/>
      <c r="FU792" s="35"/>
      <c r="FV792" s="35"/>
      <c r="FW792" s="35"/>
      <c r="FX792" s="35"/>
      <c r="FY792" s="35"/>
      <c r="FZ792" s="35"/>
      <c r="GA792" s="35"/>
      <c r="GB792" s="35"/>
      <c r="GC792" s="35"/>
      <c r="GD792" s="35"/>
      <c r="GE792" s="35"/>
      <c r="GF792" s="35"/>
      <c r="GG792" s="35"/>
      <c r="GH792" s="35"/>
      <c r="GI792" s="35"/>
      <c r="GJ792" s="35"/>
      <c r="GK792" s="35"/>
      <c r="GL792" s="35"/>
      <c r="GM792" s="35"/>
      <c r="GN792" s="35"/>
      <c r="GO792" s="35"/>
      <c r="GP792" s="35"/>
      <c r="GQ792" s="35"/>
      <c r="GR792" s="35"/>
      <c r="GS792" s="35"/>
      <c r="GT792" s="35"/>
      <c r="GU792" s="35"/>
      <c r="GV792" s="35"/>
      <c r="GW792" s="35"/>
      <c r="GX792" s="35"/>
      <c r="GY792" s="35"/>
      <c r="GZ792" s="35"/>
      <c r="HA792" s="35"/>
      <c r="HB792" s="35"/>
      <c r="HC792" s="35"/>
      <c r="HD792" s="35"/>
      <c r="HE792" s="35"/>
      <c r="HF792" s="35"/>
      <c r="HG792" s="35"/>
      <c r="HH792" s="35"/>
      <c r="HI792" s="35"/>
      <c r="HJ792" s="35"/>
      <c r="HK792" s="35"/>
      <c r="HL792" s="35"/>
      <c r="HM792" s="35"/>
      <c r="HN792" s="35"/>
      <c r="HO792" s="35"/>
      <c r="HP792" s="35"/>
      <c r="HQ792" s="35"/>
      <c r="HR792" s="35"/>
      <c r="HS792" s="35"/>
      <c r="HT792" s="35"/>
      <c r="HU792" s="35"/>
      <c r="HV792" s="35"/>
      <c r="HW792" s="35"/>
      <c r="HX792" s="35"/>
      <c r="HY792" s="35"/>
      <c r="HZ792" s="35"/>
      <c r="IA792" s="35"/>
      <c r="IB792" s="35"/>
      <c r="IC792" s="35"/>
      <c r="ID792" s="35"/>
      <c r="IE792" s="35"/>
      <c r="IF792" s="35"/>
      <c r="IG792" s="35"/>
      <c r="IH792" s="35"/>
      <c r="II792" s="35"/>
      <c r="IJ792" s="35"/>
      <c r="IK792" s="35"/>
      <c r="IL792" s="35"/>
      <c r="IM792" s="35"/>
      <c r="IN792" s="35"/>
      <c r="IO792" s="35"/>
      <c r="IP792" s="35"/>
      <c r="IQ792" s="35"/>
      <c r="IR792" s="35"/>
      <c r="IS792" s="35"/>
      <c r="IT792" s="35"/>
      <c r="IU792" s="35"/>
      <c r="IV792" s="35"/>
      <c r="IW792" s="35"/>
      <c r="IX792" s="35"/>
      <c r="IY792" s="35"/>
      <c r="IZ792" s="35"/>
      <c r="JA792" s="35"/>
      <c r="JB792" s="35"/>
      <c r="JC792" s="35"/>
      <c r="JD792" s="35"/>
      <c r="JE792" s="35"/>
    </row>
    <row r="793">
      <c r="A793" s="42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  <c r="BA793" s="35"/>
      <c r="BB793" s="35"/>
      <c r="BC793" s="35"/>
      <c r="BD793" s="35"/>
      <c r="BE793" s="35"/>
      <c r="BF793" s="35"/>
      <c r="BG793" s="35"/>
      <c r="BH793" s="35"/>
      <c r="BI793" s="35"/>
      <c r="BJ793" s="35"/>
      <c r="BK793" s="35"/>
      <c r="BL793" s="35"/>
      <c r="BM793" s="35"/>
      <c r="BN793" s="35"/>
      <c r="BO793" s="35"/>
      <c r="BP793" s="35"/>
      <c r="BQ793" s="35"/>
      <c r="BR793" s="35"/>
      <c r="BS793" s="35"/>
      <c r="BT793" s="35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35"/>
      <c r="CO793" s="35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35"/>
      <c r="DJ793" s="35"/>
      <c r="DK793" s="35"/>
      <c r="DL793" s="35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35"/>
      <c r="EE793" s="35"/>
      <c r="EF793" s="35"/>
      <c r="EG793" s="35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  <c r="ER793" s="35"/>
      <c r="ES793" s="35"/>
      <c r="ET793" s="35"/>
      <c r="EU793" s="35"/>
      <c r="EV793" s="35"/>
      <c r="EW793" s="35"/>
      <c r="EX793" s="35"/>
      <c r="EY793" s="35"/>
      <c r="EZ793" s="35"/>
      <c r="FA793" s="35"/>
      <c r="FB793" s="35"/>
      <c r="FC793" s="35"/>
      <c r="FD793" s="35"/>
      <c r="FE793" s="35"/>
      <c r="FF793" s="35"/>
      <c r="FG793" s="35"/>
      <c r="FH793" s="35"/>
      <c r="FI793" s="35"/>
      <c r="FJ793" s="35"/>
      <c r="FK793" s="35"/>
      <c r="FL793" s="35"/>
      <c r="FM793" s="35"/>
      <c r="FN793" s="35"/>
      <c r="FO793" s="35"/>
      <c r="FP793" s="35"/>
      <c r="FQ793" s="35"/>
      <c r="FR793" s="35"/>
      <c r="FS793" s="35"/>
      <c r="FT793" s="35"/>
      <c r="FU793" s="35"/>
      <c r="FV793" s="35"/>
      <c r="FW793" s="35"/>
      <c r="FX793" s="35"/>
      <c r="FY793" s="35"/>
      <c r="FZ793" s="35"/>
      <c r="GA793" s="35"/>
      <c r="GB793" s="35"/>
      <c r="GC793" s="35"/>
      <c r="GD793" s="35"/>
      <c r="GE793" s="35"/>
      <c r="GF793" s="35"/>
      <c r="GG793" s="35"/>
      <c r="GH793" s="35"/>
      <c r="GI793" s="35"/>
      <c r="GJ793" s="35"/>
      <c r="GK793" s="35"/>
      <c r="GL793" s="35"/>
      <c r="GM793" s="35"/>
      <c r="GN793" s="35"/>
      <c r="GO793" s="35"/>
      <c r="GP793" s="35"/>
      <c r="GQ793" s="35"/>
      <c r="GR793" s="35"/>
      <c r="GS793" s="35"/>
      <c r="GT793" s="35"/>
      <c r="GU793" s="35"/>
      <c r="GV793" s="35"/>
      <c r="GW793" s="35"/>
      <c r="GX793" s="35"/>
      <c r="GY793" s="35"/>
      <c r="GZ793" s="35"/>
      <c r="HA793" s="35"/>
      <c r="HB793" s="35"/>
      <c r="HC793" s="35"/>
      <c r="HD793" s="35"/>
      <c r="HE793" s="35"/>
      <c r="HF793" s="35"/>
      <c r="HG793" s="35"/>
      <c r="HH793" s="35"/>
      <c r="HI793" s="35"/>
      <c r="HJ793" s="35"/>
      <c r="HK793" s="35"/>
      <c r="HL793" s="35"/>
      <c r="HM793" s="35"/>
      <c r="HN793" s="35"/>
      <c r="HO793" s="35"/>
      <c r="HP793" s="35"/>
      <c r="HQ793" s="35"/>
      <c r="HR793" s="35"/>
      <c r="HS793" s="35"/>
      <c r="HT793" s="35"/>
      <c r="HU793" s="35"/>
      <c r="HV793" s="35"/>
      <c r="HW793" s="35"/>
      <c r="HX793" s="35"/>
      <c r="HY793" s="35"/>
      <c r="HZ793" s="35"/>
      <c r="IA793" s="35"/>
      <c r="IB793" s="35"/>
      <c r="IC793" s="35"/>
      <c r="ID793" s="35"/>
      <c r="IE793" s="35"/>
      <c r="IF793" s="35"/>
      <c r="IG793" s="35"/>
      <c r="IH793" s="35"/>
      <c r="II793" s="35"/>
      <c r="IJ793" s="35"/>
      <c r="IK793" s="35"/>
      <c r="IL793" s="35"/>
      <c r="IM793" s="35"/>
      <c r="IN793" s="35"/>
      <c r="IO793" s="35"/>
      <c r="IP793" s="35"/>
      <c r="IQ793" s="35"/>
      <c r="IR793" s="35"/>
      <c r="IS793" s="35"/>
      <c r="IT793" s="35"/>
      <c r="IU793" s="35"/>
      <c r="IV793" s="35"/>
      <c r="IW793" s="35"/>
      <c r="IX793" s="35"/>
      <c r="IY793" s="35"/>
      <c r="IZ793" s="35"/>
      <c r="JA793" s="35"/>
      <c r="JB793" s="35"/>
      <c r="JC793" s="35"/>
      <c r="JD793" s="35"/>
      <c r="JE793" s="35"/>
    </row>
    <row r="794">
      <c r="A794" s="42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  <c r="BA794" s="35"/>
      <c r="BB794" s="35"/>
      <c r="BC794" s="35"/>
      <c r="BD794" s="35"/>
      <c r="BE794" s="35"/>
      <c r="BF794" s="35"/>
      <c r="BG794" s="35"/>
      <c r="BH794" s="35"/>
      <c r="BI794" s="35"/>
      <c r="BJ794" s="35"/>
      <c r="BK794" s="35"/>
      <c r="BL794" s="35"/>
      <c r="BM794" s="35"/>
      <c r="BN794" s="35"/>
      <c r="BO794" s="35"/>
      <c r="BP794" s="35"/>
      <c r="BQ794" s="35"/>
      <c r="BR794" s="35"/>
      <c r="BS794" s="35"/>
      <c r="BT794" s="35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35"/>
      <c r="CO794" s="35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35"/>
      <c r="DJ794" s="35"/>
      <c r="DK794" s="35"/>
      <c r="DL794" s="35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35"/>
      <c r="EE794" s="35"/>
      <c r="EF794" s="35"/>
      <c r="EG794" s="35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  <c r="ER794" s="35"/>
      <c r="ES794" s="35"/>
      <c r="ET794" s="35"/>
      <c r="EU794" s="35"/>
      <c r="EV794" s="35"/>
      <c r="EW794" s="35"/>
      <c r="EX794" s="35"/>
      <c r="EY794" s="35"/>
      <c r="EZ794" s="35"/>
      <c r="FA794" s="35"/>
      <c r="FB794" s="35"/>
      <c r="FC794" s="35"/>
      <c r="FD794" s="35"/>
      <c r="FE794" s="35"/>
      <c r="FF794" s="35"/>
      <c r="FG794" s="35"/>
      <c r="FH794" s="35"/>
      <c r="FI794" s="35"/>
      <c r="FJ794" s="35"/>
      <c r="FK794" s="35"/>
      <c r="FL794" s="35"/>
      <c r="FM794" s="35"/>
      <c r="FN794" s="35"/>
      <c r="FO794" s="35"/>
      <c r="FP794" s="35"/>
      <c r="FQ794" s="35"/>
      <c r="FR794" s="35"/>
      <c r="FS794" s="35"/>
      <c r="FT794" s="35"/>
      <c r="FU794" s="35"/>
      <c r="FV794" s="35"/>
      <c r="FW794" s="35"/>
      <c r="FX794" s="35"/>
      <c r="FY794" s="35"/>
      <c r="FZ794" s="35"/>
      <c r="GA794" s="35"/>
      <c r="GB794" s="35"/>
      <c r="GC794" s="35"/>
      <c r="GD794" s="35"/>
      <c r="GE794" s="35"/>
      <c r="GF794" s="35"/>
      <c r="GG794" s="35"/>
      <c r="GH794" s="35"/>
      <c r="GI794" s="35"/>
      <c r="GJ794" s="35"/>
      <c r="GK794" s="35"/>
      <c r="GL794" s="35"/>
      <c r="GM794" s="35"/>
      <c r="GN794" s="35"/>
      <c r="GO794" s="35"/>
      <c r="GP794" s="35"/>
      <c r="GQ794" s="35"/>
      <c r="GR794" s="35"/>
      <c r="GS794" s="35"/>
      <c r="GT794" s="35"/>
      <c r="GU794" s="35"/>
      <c r="GV794" s="35"/>
      <c r="GW794" s="35"/>
      <c r="GX794" s="35"/>
      <c r="GY794" s="35"/>
      <c r="GZ794" s="35"/>
      <c r="HA794" s="35"/>
      <c r="HB794" s="35"/>
      <c r="HC794" s="35"/>
      <c r="HD794" s="35"/>
      <c r="HE794" s="35"/>
      <c r="HF794" s="35"/>
      <c r="HG794" s="35"/>
      <c r="HH794" s="35"/>
      <c r="HI794" s="35"/>
      <c r="HJ794" s="35"/>
      <c r="HK794" s="35"/>
      <c r="HL794" s="35"/>
      <c r="HM794" s="35"/>
      <c r="HN794" s="35"/>
      <c r="HO794" s="35"/>
      <c r="HP794" s="35"/>
      <c r="HQ794" s="35"/>
      <c r="HR794" s="35"/>
      <c r="HS794" s="35"/>
      <c r="HT794" s="35"/>
      <c r="HU794" s="35"/>
      <c r="HV794" s="35"/>
      <c r="HW794" s="35"/>
      <c r="HX794" s="35"/>
      <c r="HY794" s="35"/>
      <c r="HZ794" s="35"/>
      <c r="IA794" s="35"/>
      <c r="IB794" s="35"/>
      <c r="IC794" s="35"/>
      <c r="ID794" s="35"/>
      <c r="IE794" s="35"/>
      <c r="IF794" s="35"/>
      <c r="IG794" s="35"/>
      <c r="IH794" s="35"/>
      <c r="II794" s="35"/>
      <c r="IJ794" s="35"/>
      <c r="IK794" s="35"/>
      <c r="IL794" s="35"/>
      <c r="IM794" s="35"/>
      <c r="IN794" s="35"/>
      <c r="IO794" s="35"/>
      <c r="IP794" s="35"/>
      <c r="IQ794" s="35"/>
      <c r="IR794" s="35"/>
      <c r="IS794" s="35"/>
      <c r="IT794" s="35"/>
      <c r="IU794" s="35"/>
      <c r="IV794" s="35"/>
      <c r="IW794" s="35"/>
      <c r="IX794" s="35"/>
      <c r="IY794" s="35"/>
      <c r="IZ794" s="35"/>
      <c r="JA794" s="35"/>
      <c r="JB794" s="35"/>
      <c r="JC794" s="35"/>
      <c r="JD794" s="35"/>
      <c r="JE794" s="35"/>
    </row>
    <row r="795">
      <c r="A795" s="42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  <c r="AZ795" s="35"/>
      <c r="BA795" s="35"/>
      <c r="BB795" s="35"/>
      <c r="BC795" s="35"/>
      <c r="BD795" s="35"/>
      <c r="BE795" s="35"/>
      <c r="BF795" s="35"/>
      <c r="BG795" s="35"/>
      <c r="BH795" s="35"/>
      <c r="BI795" s="35"/>
      <c r="BJ795" s="35"/>
      <c r="BK795" s="35"/>
      <c r="BL795" s="35"/>
      <c r="BM795" s="35"/>
      <c r="BN795" s="35"/>
      <c r="BO795" s="35"/>
      <c r="BP795" s="35"/>
      <c r="BQ795" s="35"/>
      <c r="BR795" s="35"/>
      <c r="BS795" s="35"/>
      <c r="BT795" s="35"/>
      <c r="BU795" s="35"/>
      <c r="BV795" s="35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35"/>
      <c r="CO795" s="35"/>
      <c r="CP795" s="35"/>
      <c r="CQ795" s="35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35"/>
      <c r="DJ795" s="35"/>
      <c r="DK795" s="35"/>
      <c r="DL795" s="35"/>
      <c r="DM795" s="35"/>
      <c r="DN795" s="35"/>
      <c r="DO795" s="35"/>
      <c r="DP795" s="35"/>
      <c r="DQ795" s="35"/>
      <c r="DR795" s="35"/>
      <c r="DS795" s="35"/>
      <c r="DT795" s="35"/>
      <c r="DU795" s="35"/>
      <c r="DV795" s="35"/>
      <c r="DW795" s="35"/>
      <c r="DX795" s="35"/>
      <c r="DY795" s="35"/>
      <c r="DZ795" s="35"/>
      <c r="EA795" s="35"/>
      <c r="EB795" s="35"/>
      <c r="EC795" s="35"/>
      <c r="ED795" s="35"/>
      <c r="EE795" s="35"/>
      <c r="EF795" s="35"/>
      <c r="EG795" s="35"/>
      <c r="EH795" s="35"/>
      <c r="EI795" s="35"/>
      <c r="EJ795" s="35"/>
      <c r="EK795" s="35"/>
      <c r="EL795" s="35"/>
      <c r="EM795" s="35"/>
      <c r="EN795" s="35"/>
      <c r="EO795" s="35"/>
      <c r="EP795" s="35"/>
      <c r="EQ795" s="35"/>
      <c r="ER795" s="35"/>
      <c r="ES795" s="35"/>
      <c r="ET795" s="35"/>
      <c r="EU795" s="35"/>
      <c r="EV795" s="35"/>
      <c r="EW795" s="35"/>
      <c r="EX795" s="35"/>
      <c r="EY795" s="35"/>
      <c r="EZ795" s="35"/>
      <c r="FA795" s="35"/>
      <c r="FB795" s="35"/>
      <c r="FC795" s="35"/>
      <c r="FD795" s="35"/>
      <c r="FE795" s="35"/>
      <c r="FF795" s="35"/>
      <c r="FG795" s="35"/>
      <c r="FH795" s="35"/>
      <c r="FI795" s="35"/>
      <c r="FJ795" s="35"/>
      <c r="FK795" s="35"/>
      <c r="FL795" s="35"/>
      <c r="FM795" s="35"/>
      <c r="FN795" s="35"/>
      <c r="FO795" s="35"/>
      <c r="FP795" s="35"/>
      <c r="FQ795" s="35"/>
      <c r="FR795" s="35"/>
      <c r="FS795" s="35"/>
      <c r="FT795" s="35"/>
      <c r="FU795" s="35"/>
      <c r="FV795" s="35"/>
      <c r="FW795" s="35"/>
      <c r="FX795" s="35"/>
      <c r="FY795" s="35"/>
      <c r="FZ795" s="35"/>
      <c r="GA795" s="35"/>
      <c r="GB795" s="35"/>
      <c r="GC795" s="35"/>
      <c r="GD795" s="35"/>
      <c r="GE795" s="35"/>
      <c r="GF795" s="35"/>
      <c r="GG795" s="35"/>
      <c r="GH795" s="35"/>
      <c r="GI795" s="35"/>
      <c r="GJ795" s="35"/>
      <c r="GK795" s="35"/>
      <c r="GL795" s="35"/>
      <c r="GM795" s="35"/>
      <c r="GN795" s="35"/>
      <c r="GO795" s="35"/>
      <c r="GP795" s="35"/>
      <c r="GQ795" s="35"/>
      <c r="GR795" s="35"/>
      <c r="GS795" s="35"/>
      <c r="GT795" s="35"/>
      <c r="GU795" s="35"/>
      <c r="GV795" s="35"/>
      <c r="GW795" s="35"/>
      <c r="GX795" s="35"/>
      <c r="GY795" s="35"/>
      <c r="GZ795" s="35"/>
      <c r="HA795" s="35"/>
      <c r="HB795" s="35"/>
      <c r="HC795" s="35"/>
      <c r="HD795" s="35"/>
      <c r="HE795" s="35"/>
      <c r="HF795" s="35"/>
      <c r="HG795" s="35"/>
      <c r="HH795" s="35"/>
      <c r="HI795" s="35"/>
      <c r="HJ795" s="35"/>
      <c r="HK795" s="35"/>
      <c r="HL795" s="35"/>
      <c r="HM795" s="35"/>
      <c r="HN795" s="35"/>
      <c r="HO795" s="35"/>
      <c r="HP795" s="35"/>
      <c r="HQ795" s="35"/>
      <c r="HR795" s="35"/>
      <c r="HS795" s="35"/>
      <c r="HT795" s="35"/>
      <c r="HU795" s="35"/>
      <c r="HV795" s="35"/>
      <c r="HW795" s="35"/>
      <c r="HX795" s="35"/>
      <c r="HY795" s="35"/>
      <c r="HZ795" s="35"/>
      <c r="IA795" s="35"/>
      <c r="IB795" s="35"/>
      <c r="IC795" s="35"/>
      <c r="ID795" s="35"/>
      <c r="IE795" s="35"/>
      <c r="IF795" s="35"/>
      <c r="IG795" s="35"/>
      <c r="IH795" s="35"/>
      <c r="II795" s="35"/>
      <c r="IJ795" s="35"/>
      <c r="IK795" s="35"/>
      <c r="IL795" s="35"/>
      <c r="IM795" s="35"/>
      <c r="IN795" s="35"/>
      <c r="IO795" s="35"/>
      <c r="IP795" s="35"/>
      <c r="IQ795" s="35"/>
      <c r="IR795" s="35"/>
      <c r="IS795" s="35"/>
      <c r="IT795" s="35"/>
      <c r="IU795" s="35"/>
      <c r="IV795" s="35"/>
      <c r="IW795" s="35"/>
      <c r="IX795" s="35"/>
      <c r="IY795" s="35"/>
      <c r="IZ795" s="35"/>
      <c r="JA795" s="35"/>
      <c r="JB795" s="35"/>
      <c r="JC795" s="35"/>
      <c r="JD795" s="35"/>
      <c r="JE795" s="35"/>
    </row>
    <row r="796">
      <c r="A796" s="42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  <c r="AZ796" s="35"/>
      <c r="BA796" s="35"/>
      <c r="BB796" s="35"/>
      <c r="BC796" s="35"/>
      <c r="BD796" s="35"/>
      <c r="BE796" s="35"/>
      <c r="BF796" s="35"/>
      <c r="BG796" s="35"/>
      <c r="BH796" s="35"/>
      <c r="BI796" s="35"/>
      <c r="BJ796" s="35"/>
      <c r="BK796" s="35"/>
      <c r="BL796" s="35"/>
      <c r="BM796" s="35"/>
      <c r="BN796" s="35"/>
      <c r="BO796" s="35"/>
      <c r="BP796" s="35"/>
      <c r="BQ796" s="35"/>
      <c r="BR796" s="35"/>
      <c r="BS796" s="35"/>
      <c r="BT796" s="35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35"/>
      <c r="CO796" s="35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35"/>
      <c r="DJ796" s="35"/>
      <c r="DK796" s="35"/>
      <c r="DL796" s="35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35"/>
      <c r="EE796" s="35"/>
      <c r="EF796" s="35"/>
      <c r="EG796" s="35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35"/>
      <c r="EZ796" s="35"/>
      <c r="FA796" s="35"/>
      <c r="FB796" s="35"/>
      <c r="FC796" s="35"/>
      <c r="FD796" s="35"/>
      <c r="FE796" s="35"/>
      <c r="FF796" s="35"/>
      <c r="FG796" s="35"/>
      <c r="FH796" s="35"/>
      <c r="FI796" s="35"/>
      <c r="FJ796" s="35"/>
      <c r="FK796" s="35"/>
      <c r="FL796" s="35"/>
      <c r="FM796" s="35"/>
      <c r="FN796" s="35"/>
      <c r="FO796" s="35"/>
      <c r="FP796" s="35"/>
      <c r="FQ796" s="35"/>
      <c r="FR796" s="35"/>
      <c r="FS796" s="35"/>
      <c r="FT796" s="35"/>
      <c r="FU796" s="35"/>
      <c r="FV796" s="35"/>
      <c r="FW796" s="35"/>
      <c r="FX796" s="35"/>
      <c r="FY796" s="35"/>
      <c r="FZ796" s="35"/>
      <c r="GA796" s="35"/>
      <c r="GB796" s="35"/>
      <c r="GC796" s="35"/>
      <c r="GD796" s="35"/>
      <c r="GE796" s="35"/>
      <c r="GF796" s="35"/>
      <c r="GG796" s="35"/>
      <c r="GH796" s="35"/>
      <c r="GI796" s="35"/>
      <c r="GJ796" s="35"/>
      <c r="GK796" s="35"/>
      <c r="GL796" s="35"/>
      <c r="GM796" s="35"/>
      <c r="GN796" s="35"/>
      <c r="GO796" s="35"/>
      <c r="GP796" s="35"/>
      <c r="GQ796" s="35"/>
      <c r="GR796" s="35"/>
      <c r="GS796" s="35"/>
      <c r="GT796" s="35"/>
      <c r="GU796" s="35"/>
      <c r="GV796" s="35"/>
      <c r="GW796" s="35"/>
      <c r="GX796" s="35"/>
      <c r="GY796" s="35"/>
      <c r="GZ796" s="35"/>
      <c r="HA796" s="35"/>
      <c r="HB796" s="35"/>
      <c r="HC796" s="35"/>
      <c r="HD796" s="35"/>
      <c r="HE796" s="35"/>
      <c r="HF796" s="35"/>
      <c r="HG796" s="35"/>
      <c r="HH796" s="35"/>
      <c r="HI796" s="35"/>
      <c r="HJ796" s="35"/>
      <c r="HK796" s="35"/>
      <c r="HL796" s="35"/>
      <c r="HM796" s="35"/>
      <c r="HN796" s="35"/>
      <c r="HO796" s="35"/>
      <c r="HP796" s="35"/>
      <c r="HQ796" s="35"/>
      <c r="HR796" s="35"/>
      <c r="HS796" s="35"/>
      <c r="HT796" s="35"/>
      <c r="HU796" s="35"/>
      <c r="HV796" s="35"/>
      <c r="HW796" s="35"/>
      <c r="HX796" s="35"/>
      <c r="HY796" s="35"/>
      <c r="HZ796" s="35"/>
      <c r="IA796" s="35"/>
      <c r="IB796" s="35"/>
      <c r="IC796" s="35"/>
      <c r="ID796" s="35"/>
      <c r="IE796" s="35"/>
      <c r="IF796" s="35"/>
      <c r="IG796" s="35"/>
      <c r="IH796" s="35"/>
      <c r="II796" s="35"/>
      <c r="IJ796" s="35"/>
      <c r="IK796" s="35"/>
      <c r="IL796" s="35"/>
      <c r="IM796" s="35"/>
      <c r="IN796" s="35"/>
      <c r="IO796" s="35"/>
      <c r="IP796" s="35"/>
      <c r="IQ796" s="35"/>
      <c r="IR796" s="35"/>
      <c r="IS796" s="35"/>
      <c r="IT796" s="35"/>
      <c r="IU796" s="35"/>
      <c r="IV796" s="35"/>
      <c r="IW796" s="35"/>
      <c r="IX796" s="35"/>
      <c r="IY796" s="35"/>
      <c r="IZ796" s="35"/>
      <c r="JA796" s="35"/>
      <c r="JB796" s="35"/>
      <c r="JC796" s="35"/>
      <c r="JD796" s="35"/>
      <c r="JE796" s="35"/>
    </row>
    <row r="797">
      <c r="A797" s="42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35"/>
      <c r="BA797" s="35"/>
      <c r="BB797" s="35"/>
      <c r="BC797" s="35"/>
      <c r="BD797" s="35"/>
      <c r="BE797" s="35"/>
      <c r="BF797" s="35"/>
      <c r="BG797" s="35"/>
      <c r="BH797" s="35"/>
      <c r="BI797" s="35"/>
      <c r="BJ797" s="35"/>
      <c r="BK797" s="35"/>
      <c r="BL797" s="35"/>
      <c r="BM797" s="35"/>
      <c r="BN797" s="35"/>
      <c r="BO797" s="35"/>
      <c r="BP797" s="35"/>
      <c r="BQ797" s="35"/>
      <c r="BR797" s="35"/>
      <c r="BS797" s="35"/>
      <c r="BT797" s="35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35"/>
      <c r="CO797" s="35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35"/>
      <c r="DJ797" s="35"/>
      <c r="DK797" s="35"/>
      <c r="DL797" s="35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35"/>
      <c r="EE797" s="35"/>
      <c r="EF797" s="35"/>
      <c r="EG797" s="35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35"/>
      <c r="EZ797" s="35"/>
      <c r="FA797" s="35"/>
      <c r="FB797" s="35"/>
      <c r="FC797" s="35"/>
      <c r="FD797" s="35"/>
      <c r="FE797" s="35"/>
      <c r="FF797" s="35"/>
      <c r="FG797" s="35"/>
      <c r="FH797" s="35"/>
      <c r="FI797" s="35"/>
      <c r="FJ797" s="35"/>
      <c r="FK797" s="35"/>
      <c r="FL797" s="35"/>
      <c r="FM797" s="35"/>
      <c r="FN797" s="35"/>
      <c r="FO797" s="35"/>
      <c r="FP797" s="35"/>
      <c r="FQ797" s="35"/>
      <c r="FR797" s="35"/>
      <c r="FS797" s="35"/>
      <c r="FT797" s="35"/>
      <c r="FU797" s="35"/>
      <c r="FV797" s="35"/>
      <c r="FW797" s="35"/>
      <c r="FX797" s="35"/>
      <c r="FY797" s="35"/>
      <c r="FZ797" s="35"/>
      <c r="GA797" s="35"/>
      <c r="GB797" s="35"/>
      <c r="GC797" s="35"/>
      <c r="GD797" s="35"/>
      <c r="GE797" s="35"/>
      <c r="GF797" s="35"/>
      <c r="GG797" s="35"/>
      <c r="GH797" s="35"/>
      <c r="GI797" s="35"/>
      <c r="GJ797" s="35"/>
      <c r="GK797" s="35"/>
      <c r="GL797" s="35"/>
      <c r="GM797" s="35"/>
      <c r="GN797" s="35"/>
      <c r="GO797" s="35"/>
      <c r="GP797" s="35"/>
      <c r="GQ797" s="35"/>
      <c r="GR797" s="35"/>
      <c r="GS797" s="35"/>
      <c r="GT797" s="35"/>
      <c r="GU797" s="35"/>
      <c r="GV797" s="35"/>
      <c r="GW797" s="35"/>
      <c r="GX797" s="35"/>
      <c r="GY797" s="35"/>
      <c r="GZ797" s="35"/>
      <c r="HA797" s="35"/>
      <c r="HB797" s="35"/>
      <c r="HC797" s="35"/>
      <c r="HD797" s="35"/>
      <c r="HE797" s="35"/>
      <c r="HF797" s="35"/>
      <c r="HG797" s="35"/>
      <c r="HH797" s="35"/>
      <c r="HI797" s="35"/>
      <c r="HJ797" s="35"/>
      <c r="HK797" s="35"/>
      <c r="HL797" s="35"/>
      <c r="HM797" s="35"/>
      <c r="HN797" s="35"/>
      <c r="HO797" s="35"/>
      <c r="HP797" s="35"/>
      <c r="HQ797" s="35"/>
      <c r="HR797" s="35"/>
      <c r="HS797" s="35"/>
      <c r="HT797" s="35"/>
      <c r="HU797" s="35"/>
      <c r="HV797" s="35"/>
      <c r="HW797" s="35"/>
      <c r="HX797" s="35"/>
      <c r="HY797" s="35"/>
      <c r="HZ797" s="35"/>
      <c r="IA797" s="35"/>
      <c r="IB797" s="35"/>
      <c r="IC797" s="35"/>
      <c r="ID797" s="35"/>
      <c r="IE797" s="35"/>
      <c r="IF797" s="35"/>
      <c r="IG797" s="35"/>
      <c r="IH797" s="35"/>
      <c r="II797" s="35"/>
      <c r="IJ797" s="35"/>
      <c r="IK797" s="35"/>
      <c r="IL797" s="35"/>
      <c r="IM797" s="35"/>
      <c r="IN797" s="35"/>
      <c r="IO797" s="35"/>
      <c r="IP797" s="35"/>
      <c r="IQ797" s="35"/>
      <c r="IR797" s="35"/>
      <c r="IS797" s="35"/>
      <c r="IT797" s="35"/>
      <c r="IU797" s="35"/>
      <c r="IV797" s="35"/>
      <c r="IW797" s="35"/>
      <c r="IX797" s="35"/>
      <c r="IY797" s="35"/>
      <c r="IZ797" s="35"/>
      <c r="JA797" s="35"/>
      <c r="JB797" s="35"/>
      <c r="JC797" s="35"/>
      <c r="JD797" s="35"/>
      <c r="JE797" s="35"/>
    </row>
    <row r="798">
      <c r="A798" s="42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  <c r="AZ798" s="35"/>
      <c r="BA798" s="35"/>
      <c r="BB798" s="35"/>
      <c r="BC798" s="35"/>
      <c r="BD798" s="35"/>
      <c r="BE798" s="35"/>
      <c r="BF798" s="35"/>
      <c r="BG798" s="35"/>
      <c r="BH798" s="35"/>
      <c r="BI798" s="35"/>
      <c r="BJ798" s="35"/>
      <c r="BK798" s="35"/>
      <c r="BL798" s="35"/>
      <c r="BM798" s="35"/>
      <c r="BN798" s="35"/>
      <c r="BO798" s="35"/>
      <c r="BP798" s="35"/>
      <c r="BQ798" s="35"/>
      <c r="BR798" s="35"/>
      <c r="BS798" s="35"/>
      <c r="BT798" s="35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35"/>
      <c r="CO798" s="35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35"/>
      <c r="DJ798" s="35"/>
      <c r="DK798" s="35"/>
      <c r="DL798" s="35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35"/>
      <c r="EE798" s="35"/>
      <c r="EF798" s="35"/>
      <c r="EG798" s="35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35"/>
      <c r="EZ798" s="35"/>
      <c r="FA798" s="35"/>
      <c r="FB798" s="35"/>
      <c r="FC798" s="35"/>
      <c r="FD798" s="35"/>
      <c r="FE798" s="35"/>
      <c r="FF798" s="35"/>
      <c r="FG798" s="35"/>
      <c r="FH798" s="35"/>
      <c r="FI798" s="35"/>
      <c r="FJ798" s="35"/>
      <c r="FK798" s="35"/>
      <c r="FL798" s="35"/>
      <c r="FM798" s="35"/>
      <c r="FN798" s="35"/>
      <c r="FO798" s="35"/>
      <c r="FP798" s="35"/>
      <c r="FQ798" s="35"/>
      <c r="FR798" s="35"/>
      <c r="FS798" s="35"/>
      <c r="FT798" s="35"/>
      <c r="FU798" s="35"/>
      <c r="FV798" s="35"/>
      <c r="FW798" s="35"/>
      <c r="FX798" s="35"/>
      <c r="FY798" s="35"/>
      <c r="FZ798" s="35"/>
      <c r="GA798" s="35"/>
      <c r="GB798" s="35"/>
      <c r="GC798" s="35"/>
      <c r="GD798" s="35"/>
      <c r="GE798" s="35"/>
      <c r="GF798" s="35"/>
      <c r="GG798" s="35"/>
      <c r="GH798" s="35"/>
      <c r="GI798" s="35"/>
      <c r="GJ798" s="35"/>
      <c r="GK798" s="35"/>
      <c r="GL798" s="35"/>
      <c r="GM798" s="35"/>
      <c r="GN798" s="35"/>
      <c r="GO798" s="35"/>
      <c r="GP798" s="35"/>
      <c r="GQ798" s="35"/>
      <c r="GR798" s="35"/>
      <c r="GS798" s="35"/>
      <c r="GT798" s="35"/>
      <c r="GU798" s="35"/>
      <c r="GV798" s="35"/>
      <c r="GW798" s="35"/>
      <c r="GX798" s="35"/>
      <c r="GY798" s="35"/>
      <c r="GZ798" s="35"/>
      <c r="HA798" s="35"/>
      <c r="HB798" s="35"/>
      <c r="HC798" s="35"/>
      <c r="HD798" s="35"/>
      <c r="HE798" s="35"/>
      <c r="HF798" s="35"/>
      <c r="HG798" s="35"/>
      <c r="HH798" s="35"/>
      <c r="HI798" s="35"/>
      <c r="HJ798" s="35"/>
      <c r="HK798" s="35"/>
      <c r="HL798" s="35"/>
      <c r="HM798" s="35"/>
      <c r="HN798" s="35"/>
      <c r="HO798" s="35"/>
      <c r="HP798" s="35"/>
      <c r="HQ798" s="35"/>
      <c r="HR798" s="35"/>
      <c r="HS798" s="35"/>
      <c r="HT798" s="35"/>
      <c r="HU798" s="35"/>
      <c r="HV798" s="35"/>
      <c r="HW798" s="35"/>
      <c r="HX798" s="35"/>
      <c r="HY798" s="35"/>
      <c r="HZ798" s="35"/>
      <c r="IA798" s="35"/>
      <c r="IB798" s="35"/>
      <c r="IC798" s="35"/>
      <c r="ID798" s="35"/>
      <c r="IE798" s="35"/>
      <c r="IF798" s="35"/>
      <c r="IG798" s="35"/>
      <c r="IH798" s="35"/>
      <c r="II798" s="35"/>
      <c r="IJ798" s="35"/>
      <c r="IK798" s="35"/>
      <c r="IL798" s="35"/>
      <c r="IM798" s="35"/>
      <c r="IN798" s="35"/>
      <c r="IO798" s="35"/>
      <c r="IP798" s="35"/>
      <c r="IQ798" s="35"/>
      <c r="IR798" s="35"/>
      <c r="IS798" s="35"/>
      <c r="IT798" s="35"/>
      <c r="IU798" s="35"/>
      <c r="IV798" s="35"/>
      <c r="IW798" s="35"/>
      <c r="IX798" s="35"/>
      <c r="IY798" s="35"/>
      <c r="IZ798" s="35"/>
      <c r="JA798" s="35"/>
      <c r="JB798" s="35"/>
      <c r="JC798" s="35"/>
      <c r="JD798" s="35"/>
      <c r="JE798" s="35"/>
    </row>
    <row r="799">
      <c r="A799" s="42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  <c r="AZ799" s="35"/>
      <c r="BA799" s="35"/>
      <c r="BB799" s="35"/>
      <c r="BC799" s="35"/>
      <c r="BD799" s="35"/>
      <c r="BE799" s="35"/>
      <c r="BF799" s="35"/>
      <c r="BG799" s="35"/>
      <c r="BH799" s="35"/>
      <c r="BI799" s="35"/>
      <c r="BJ799" s="35"/>
      <c r="BK799" s="35"/>
      <c r="BL799" s="35"/>
      <c r="BM799" s="35"/>
      <c r="BN799" s="35"/>
      <c r="BO799" s="35"/>
      <c r="BP799" s="35"/>
      <c r="BQ799" s="35"/>
      <c r="BR799" s="35"/>
      <c r="BS799" s="35"/>
      <c r="BT799" s="35"/>
      <c r="BU799" s="35"/>
      <c r="BV799" s="35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35"/>
      <c r="CO799" s="35"/>
      <c r="CP799" s="35"/>
      <c r="CQ799" s="35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35"/>
      <c r="DJ799" s="35"/>
      <c r="DK799" s="35"/>
      <c r="DL799" s="35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35"/>
      <c r="EE799" s="35"/>
      <c r="EF799" s="35"/>
      <c r="EG799" s="35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  <c r="ER799" s="35"/>
      <c r="ES799" s="35"/>
      <c r="ET799" s="35"/>
      <c r="EU799" s="35"/>
      <c r="EV799" s="35"/>
      <c r="EW799" s="35"/>
      <c r="EX799" s="35"/>
      <c r="EY799" s="35"/>
      <c r="EZ799" s="35"/>
      <c r="FA799" s="35"/>
      <c r="FB799" s="35"/>
      <c r="FC799" s="35"/>
      <c r="FD799" s="35"/>
      <c r="FE799" s="35"/>
      <c r="FF799" s="35"/>
      <c r="FG799" s="35"/>
      <c r="FH799" s="35"/>
      <c r="FI799" s="35"/>
      <c r="FJ799" s="35"/>
      <c r="FK799" s="35"/>
      <c r="FL799" s="35"/>
      <c r="FM799" s="35"/>
      <c r="FN799" s="35"/>
      <c r="FO799" s="35"/>
      <c r="FP799" s="35"/>
      <c r="FQ799" s="35"/>
      <c r="FR799" s="35"/>
      <c r="FS799" s="35"/>
      <c r="FT799" s="35"/>
      <c r="FU799" s="35"/>
      <c r="FV799" s="35"/>
      <c r="FW799" s="35"/>
      <c r="FX799" s="35"/>
      <c r="FY799" s="35"/>
      <c r="FZ799" s="35"/>
      <c r="GA799" s="35"/>
      <c r="GB799" s="35"/>
      <c r="GC799" s="35"/>
      <c r="GD799" s="35"/>
      <c r="GE799" s="35"/>
      <c r="GF799" s="35"/>
      <c r="GG799" s="35"/>
      <c r="GH799" s="35"/>
      <c r="GI799" s="35"/>
      <c r="GJ799" s="35"/>
      <c r="GK799" s="35"/>
      <c r="GL799" s="35"/>
      <c r="GM799" s="35"/>
      <c r="GN799" s="35"/>
      <c r="GO799" s="35"/>
      <c r="GP799" s="35"/>
      <c r="GQ799" s="35"/>
      <c r="GR799" s="35"/>
      <c r="GS799" s="35"/>
      <c r="GT799" s="35"/>
      <c r="GU799" s="35"/>
      <c r="GV799" s="35"/>
      <c r="GW799" s="35"/>
      <c r="GX799" s="35"/>
      <c r="GY799" s="35"/>
      <c r="GZ799" s="35"/>
      <c r="HA799" s="35"/>
      <c r="HB799" s="35"/>
      <c r="HC799" s="35"/>
      <c r="HD799" s="35"/>
      <c r="HE799" s="35"/>
      <c r="HF799" s="35"/>
      <c r="HG799" s="35"/>
      <c r="HH799" s="35"/>
      <c r="HI799" s="35"/>
      <c r="HJ799" s="35"/>
      <c r="HK799" s="35"/>
      <c r="HL799" s="35"/>
      <c r="HM799" s="35"/>
      <c r="HN799" s="35"/>
      <c r="HO799" s="35"/>
      <c r="HP799" s="35"/>
      <c r="HQ799" s="35"/>
      <c r="HR799" s="35"/>
      <c r="HS799" s="35"/>
      <c r="HT799" s="35"/>
      <c r="HU799" s="35"/>
      <c r="HV799" s="35"/>
      <c r="HW799" s="35"/>
      <c r="HX799" s="35"/>
      <c r="HY799" s="35"/>
      <c r="HZ799" s="35"/>
      <c r="IA799" s="35"/>
      <c r="IB799" s="35"/>
      <c r="IC799" s="35"/>
      <c r="ID799" s="35"/>
      <c r="IE799" s="35"/>
      <c r="IF799" s="35"/>
      <c r="IG799" s="35"/>
      <c r="IH799" s="35"/>
      <c r="II799" s="35"/>
      <c r="IJ799" s="35"/>
      <c r="IK799" s="35"/>
      <c r="IL799" s="35"/>
      <c r="IM799" s="35"/>
      <c r="IN799" s="35"/>
      <c r="IO799" s="35"/>
      <c r="IP799" s="35"/>
      <c r="IQ799" s="35"/>
      <c r="IR799" s="35"/>
      <c r="IS799" s="35"/>
      <c r="IT799" s="35"/>
      <c r="IU799" s="35"/>
      <c r="IV799" s="35"/>
      <c r="IW799" s="35"/>
      <c r="IX799" s="35"/>
      <c r="IY799" s="35"/>
      <c r="IZ799" s="35"/>
      <c r="JA799" s="35"/>
      <c r="JB799" s="35"/>
      <c r="JC799" s="35"/>
      <c r="JD799" s="35"/>
      <c r="JE799" s="35"/>
    </row>
    <row r="800">
      <c r="A800" s="42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35"/>
      <c r="BA800" s="35"/>
      <c r="BB800" s="35"/>
      <c r="BC800" s="35"/>
      <c r="BD800" s="35"/>
      <c r="BE800" s="35"/>
      <c r="BF800" s="35"/>
      <c r="BG800" s="35"/>
      <c r="BH800" s="35"/>
      <c r="BI800" s="35"/>
      <c r="BJ800" s="35"/>
      <c r="BK800" s="35"/>
      <c r="BL800" s="35"/>
      <c r="BM800" s="35"/>
      <c r="BN800" s="35"/>
      <c r="BO800" s="35"/>
      <c r="BP800" s="35"/>
      <c r="BQ800" s="35"/>
      <c r="BR800" s="35"/>
      <c r="BS800" s="35"/>
      <c r="BT800" s="35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35"/>
      <c r="CO800" s="35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35"/>
      <c r="DJ800" s="35"/>
      <c r="DK800" s="35"/>
      <c r="DL800" s="35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35"/>
      <c r="EE800" s="35"/>
      <c r="EF800" s="35"/>
      <c r="EG800" s="35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  <c r="ER800" s="35"/>
      <c r="ES800" s="35"/>
      <c r="ET800" s="35"/>
      <c r="EU800" s="35"/>
      <c r="EV800" s="35"/>
      <c r="EW800" s="35"/>
      <c r="EX800" s="35"/>
      <c r="EY800" s="35"/>
      <c r="EZ800" s="35"/>
      <c r="FA800" s="35"/>
      <c r="FB800" s="35"/>
      <c r="FC800" s="35"/>
      <c r="FD800" s="35"/>
      <c r="FE800" s="35"/>
      <c r="FF800" s="35"/>
      <c r="FG800" s="35"/>
      <c r="FH800" s="35"/>
      <c r="FI800" s="35"/>
      <c r="FJ800" s="35"/>
      <c r="FK800" s="35"/>
      <c r="FL800" s="35"/>
      <c r="FM800" s="35"/>
      <c r="FN800" s="35"/>
      <c r="FO800" s="35"/>
      <c r="FP800" s="35"/>
      <c r="FQ800" s="35"/>
      <c r="FR800" s="35"/>
      <c r="FS800" s="35"/>
      <c r="FT800" s="35"/>
      <c r="FU800" s="35"/>
      <c r="FV800" s="35"/>
      <c r="FW800" s="35"/>
      <c r="FX800" s="35"/>
      <c r="FY800" s="35"/>
      <c r="FZ800" s="35"/>
      <c r="GA800" s="35"/>
      <c r="GB800" s="35"/>
      <c r="GC800" s="35"/>
      <c r="GD800" s="35"/>
      <c r="GE800" s="35"/>
      <c r="GF800" s="35"/>
      <c r="GG800" s="35"/>
      <c r="GH800" s="35"/>
      <c r="GI800" s="35"/>
      <c r="GJ800" s="35"/>
      <c r="GK800" s="35"/>
      <c r="GL800" s="35"/>
      <c r="GM800" s="35"/>
      <c r="GN800" s="35"/>
      <c r="GO800" s="35"/>
      <c r="GP800" s="35"/>
      <c r="GQ800" s="35"/>
      <c r="GR800" s="35"/>
      <c r="GS800" s="35"/>
      <c r="GT800" s="35"/>
      <c r="GU800" s="35"/>
      <c r="GV800" s="35"/>
      <c r="GW800" s="35"/>
      <c r="GX800" s="35"/>
      <c r="GY800" s="35"/>
      <c r="GZ800" s="35"/>
      <c r="HA800" s="35"/>
      <c r="HB800" s="35"/>
      <c r="HC800" s="35"/>
      <c r="HD800" s="35"/>
      <c r="HE800" s="35"/>
      <c r="HF800" s="35"/>
      <c r="HG800" s="35"/>
      <c r="HH800" s="35"/>
      <c r="HI800" s="35"/>
      <c r="HJ800" s="35"/>
      <c r="HK800" s="35"/>
      <c r="HL800" s="35"/>
      <c r="HM800" s="35"/>
      <c r="HN800" s="35"/>
      <c r="HO800" s="35"/>
      <c r="HP800" s="35"/>
      <c r="HQ800" s="35"/>
      <c r="HR800" s="35"/>
      <c r="HS800" s="35"/>
      <c r="HT800" s="35"/>
      <c r="HU800" s="35"/>
      <c r="HV800" s="35"/>
      <c r="HW800" s="35"/>
      <c r="HX800" s="35"/>
      <c r="HY800" s="35"/>
      <c r="HZ800" s="35"/>
      <c r="IA800" s="35"/>
      <c r="IB800" s="35"/>
      <c r="IC800" s="35"/>
      <c r="ID800" s="35"/>
      <c r="IE800" s="35"/>
      <c r="IF800" s="35"/>
      <c r="IG800" s="35"/>
      <c r="IH800" s="35"/>
      <c r="II800" s="35"/>
      <c r="IJ800" s="35"/>
      <c r="IK800" s="35"/>
      <c r="IL800" s="35"/>
      <c r="IM800" s="35"/>
      <c r="IN800" s="35"/>
      <c r="IO800" s="35"/>
      <c r="IP800" s="35"/>
      <c r="IQ800" s="35"/>
      <c r="IR800" s="35"/>
      <c r="IS800" s="35"/>
      <c r="IT800" s="35"/>
      <c r="IU800" s="35"/>
      <c r="IV800" s="35"/>
      <c r="IW800" s="35"/>
      <c r="IX800" s="35"/>
      <c r="IY800" s="35"/>
      <c r="IZ800" s="35"/>
      <c r="JA800" s="35"/>
      <c r="JB800" s="35"/>
      <c r="JC800" s="35"/>
      <c r="JD800" s="35"/>
      <c r="JE800" s="35"/>
    </row>
    <row r="801">
      <c r="A801" s="42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  <c r="AZ801" s="35"/>
      <c r="BA801" s="35"/>
      <c r="BB801" s="35"/>
      <c r="BC801" s="35"/>
      <c r="BD801" s="35"/>
      <c r="BE801" s="35"/>
      <c r="BF801" s="35"/>
      <c r="BG801" s="35"/>
      <c r="BH801" s="35"/>
      <c r="BI801" s="35"/>
      <c r="BJ801" s="35"/>
      <c r="BK801" s="35"/>
      <c r="BL801" s="35"/>
      <c r="BM801" s="35"/>
      <c r="BN801" s="35"/>
      <c r="BO801" s="35"/>
      <c r="BP801" s="35"/>
      <c r="BQ801" s="35"/>
      <c r="BR801" s="35"/>
      <c r="BS801" s="35"/>
      <c r="BT801" s="35"/>
      <c r="BU801" s="35"/>
      <c r="BV801" s="35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35"/>
      <c r="CO801" s="35"/>
      <c r="CP801" s="35"/>
      <c r="CQ801" s="35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35"/>
      <c r="DJ801" s="35"/>
      <c r="DK801" s="35"/>
      <c r="DL801" s="35"/>
      <c r="DM801" s="35"/>
      <c r="DN801" s="35"/>
      <c r="DO801" s="35"/>
      <c r="DP801" s="35"/>
      <c r="DQ801" s="35"/>
      <c r="DR801" s="35"/>
      <c r="DS801" s="35"/>
      <c r="DT801" s="35"/>
      <c r="DU801" s="35"/>
      <c r="DV801" s="35"/>
      <c r="DW801" s="35"/>
      <c r="DX801" s="35"/>
      <c r="DY801" s="35"/>
      <c r="DZ801" s="35"/>
      <c r="EA801" s="35"/>
      <c r="EB801" s="35"/>
      <c r="EC801" s="35"/>
      <c r="ED801" s="35"/>
      <c r="EE801" s="35"/>
      <c r="EF801" s="35"/>
      <c r="EG801" s="35"/>
      <c r="EH801" s="35"/>
      <c r="EI801" s="35"/>
      <c r="EJ801" s="35"/>
      <c r="EK801" s="35"/>
      <c r="EL801" s="35"/>
      <c r="EM801" s="35"/>
      <c r="EN801" s="35"/>
      <c r="EO801" s="35"/>
      <c r="EP801" s="35"/>
      <c r="EQ801" s="35"/>
      <c r="ER801" s="35"/>
      <c r="ES801" s="35"/>
      <c r="ET801" s="35"/>
      <c r="EU801" s="35"/>
      <c r="EV801" s="35"/>
      <c r="EW801" s="35"/>
      <c r="EX801" s="35"/>
      <c r="EY801" s="35"/>
      <c r="EZ801" s="35"/>
      <c r="FA801" s="35"/>
      <c r="FB801" s="35"/>
      <c r="FC801" s="35"/>
      <c r="FD801" s="35"/>
      <c r="FE801" s="35"/>
      <c r="FF801" s="35"/>
      <c r="FG801" s="35"/>
      <c r="FH801" s="35"/>
      <c r="FI801" s="35"/>
      <c r="FJ801" s="35"/>
      <c r="FK801" s="35"/>
      <c r="FL801" s="35"/>
      <c r="FM801" s="35"/>
      <c r="FN801" s="35"/>
      <c r="FO801" s="35"/>
      <c r="FP801" s="35"/>
      <c r="FQ801" s="35"/>
      <c r="FR801" s="35"/>
      <c r="FS801" s="35"/>
      <c r="FT801" s="35"/>
      <c r="FU801" s="35"/>
      <c r="FV801" s="35"/>
      <c r="FW801" s="35"/>
      <c r="FX801" s="35"/>
      <c r="FY801" s="35"/>
      <c r="FZ801" s="35"/>
      <c r="GA801" s="35"/>
      <c r="GB801" s="35"/>
      <c r="GC801" s="35"/>
      <c r="GD801" s="35"/>
      <c r="GE801" s="35"/>
      <c r="GF801" s="35"/>
      <c r="GG801" s="35"/>
      <c r="GH801" s="35"/>
      <c r="GI801" s="35"/>
      <c r="GJ801" s="35"/>
      <c r="GK801" s="35"/>
      <c r="GL801" s="35"/>
      <c r="GM801" s="35"/>
      <c r="GN801" s="35"/>
      <c r="GO801" s="35"/>
      <c r="GP801" s="35"/>
      <c r="GQ801" s="35"/>
      <c r="GR801" s="35"/>
      <c r="GS801" s="35"/>
      <c r="GT801" s="35"/>
      <c r="GU801" s="35"/>
      <c r="GV801" s="35"/>
      <c r="GW801" s="35"/>
      <c r="GX801" s="35"/>
      <c r="GY801" s="35"/>
      <c r="GZ801" s="35"/>
      <c r="HA801" s="35"/>
      <c r="HB801" s="35"/>
      <c r="HC801" s="35"/>
      <c r="HD801" s="35"/>
      <c r="HE801" s="35"/>
      <c r="HF801" s="35"/>
      <c r="HG801" s="35"/>
      <c r="HH801" s="35"/>
      <c r="HI801" s="35"/>
      <c r="HJ801" s="35"/>
      <c r="HK801" s="35"/>
      <c r="HL801" s="35"/>
      <c r="HM801" s="35"/>
      <c r="HN801" s="35"/>
      <c r="HO801" s="35"/>
      <c r="HP801" s="35"/>
      <c r="HQ801" s="35"/>
      <c r="HR801" s="35"/>
      <c r="HS801" s="35"/>
      <c r="HT801" s="35"/>
      <c r="HU801" s="35"/>
      <c r="HV801" s="35"/>
      <c r="HW801" s="35"/>
      <c r="HX801" s="35"/>
      <c r="HY801" s="35"/>
      <c r="HZ801" s="35"/>
      <c r="IA801" s="35"/>
      <c r="IB801" s="35"/>
      <c r="IC801" s="35"/>
      <c r="ID801" s="35"/>
      <c r="IE801" s="35"/>
      <c r="IF801" s="35"/>
      <c r="IG801" s="35"/>
      <c r="IH801" s="35"/>
      <c r="II801" s="35"/>
      <c r="IJ801" s="35"/>
      <c r="IK801" s="35"/>
      <c r="IL801" s="35"/>
      <c r="IM801" s="35"/>
      <c r="IN801" s="35"/>
      <c r="IO801" s="35"/>
      <c r="IP801" s="35"/>
      <c r="IQ801" s="35"/>
      <c r="IR801" s="35"/>
      <c r="IS801" s="35"/>
      <c r="IT801" s="35"/>
      <c r="IU801" s="35"/>
      <c r="IV801" s="35"/>
      <c r="IW801" s="35"/>
      <c r="IX801" s="35"/>
      <c r="IY801" s="35"/>
      <c r="IZ801" s="35"/>
      <c r="JA801" s="35"/>
      <c r="JB801" s="35"/>
      <c r="JC801" s="35"/>
      <c r="JD801" s="35"/>
      <c r="JE801" s="35"/>
    </row>
    <row r="802">
      <c r="A802" s="42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35"/>
      <c r="BA802" s="35"/>
      <c r="BB802" s="35"/>
      <c r="BC802" s="35"/>
      <c r="BD802" s="35"/>
      <c r="BE802" s="35"/>
      <c r="BF802" s="35"/>
      <c r="BG802" s="35"/>
      <c r="BH802" s="35"/>
      <c r="BI802" s="35"/>
      <c r="BJ802" s="35"/>
      <c r="BK802" s="35"/>
      <c r="BL802" s="35"/>
      <c r="BM802" s="35"/>
      <c r="BN802" s="35"/>
      <c r="BO802" s="35"/>
      <c r="BP802" s="35"/>
      <c r="BQ802" s="35"/>
      <c r="BR802" s="35"/>
      <c r="BS802" s="35"/>
      <c r="BT802" s="35"/>
      <c r="BU802" s="35"/>
      <c r="BV802" s="35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35"/>
      <c r="CO802" s="35"/>
      <c r="CP802" s="35"/>
      <c r="CQ802" s="35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35"/>
      <c r="DJ802" s="35"/>
      <c r="DK802" s="35"/>
      <c r="DL802" s="35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35"/>
      <c r="EE802" s="35"/>
      <c r="EF802" s="35"/>
      <c r="EG802" s="35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  <c r="ER802" s="35"/>
      <c r="ES802" s="35"/>
      <c r="ET802" s="35"/>
      <c r="EU802" s="35"/>
      <c r="EV802" s="35"/>
      <c r="EW802" s="35"/>
      <c r="EX802" s="35"/>
      <c r="EY802" s="35"/>
      <c r="EZ802" s="35"/>
      <c r="FA802" s="35"/>
      <c r="FB802" s="35"/>
      <c r="FC802" s="35"/>
      <c r="FD802" s="35"/>
      <c r="FE802" s="35"/>
      <c r="FF802" s="35"/>
      <c r="FG802" s="35"/>
      <c r="FH802" s="35"/>
      <c r="FI802" s="35"/>
      <c r="FJ802" s="35"/>
      <c r="FK802" s="35"/>
      <c r="FL802" s="35"/>
      <c r="FM802" s="35"/>
      <c r="FN802" s="35"/>
      <c r="FO802" s="35"/>
      <c r="FP802" s="35"/>
      <c r="FQ802" s="35"/>
      <c r="FR802" s="35"/>
      <c r="FS802" s="35"/>
      <c r="FT802" s="35"/>
      <c r="FU802" s="35"/>
      <c r="FV802" s="35"/>
      <c r="FW802" s="35"/>
      <c r="FX802" s="35"/>
      <c r="FY802" s="35"/>
      <c r="FZ802" s="35"/>
      <c r="GA802" s="35"/>
      <c r="GB802" s="35"/>
      <c r="GC802" s="35"/>
      <c r="GD802" s="35"/>
      <c r="GE802" s="35"/>
      <c r="GF802" s="35"/>
      <c r="GG802" s="35"/>
      <c r="GH802" s="35"/>
      <c r="GI802" s="35"/>
      <c r="GJ802" s="35"/>
      <c r="GK802" s="35"/>
      <c r="GL802" s="35"/>
      <c r="GM802" s="35"/>
      <c r="GN802" s="35"/>
      <c r="GO802" s="35"/>
      <c r="GP802" s="35"/>
      <c r="GQ802" s="35"/>
      <c r="GR802" s="35"/>
      <c r="GS802" s="35"/>
      <c r="GT802" s="35"/>
      <c r="GU802" s="35"/>
      <c r="GV802" s="35"/>
      <c r="GW802" s="35"/>
      <c r="GX802" s="35"/>
      <c r="GY802" s="35"/>
      <c r="GZ802" s="35"/>
      <c r="HA802" s="35"/>
      <c r="HB802" s="35"/>
      <c r="HC802" s="35"/>
      <c r="HD802" s="35"/>
      <c r="HE802" s="35"/>
      <c r="HF802" s="35"/>
      <c r="HG802" s="35"/>
      <c r="HH802" s="35"/>
      <c r="HI802" s="35"/>
      <c r="HJ802" s="35"/>
      <c r="HK802" s="35"/>
      <c r="HL802" s="35"/>
      <c r="HM802" s="35"/>
      <c r="HN802" s="35"/>
      <c r="HO802" s="35"/>
      <c r="HP802" s="35"/>
      <c r="HQ802" s="35"/>
      <c r="HR802" s="35"/>
      <c r="HS802" s="35"/>
      <c r="HT802" s="35"/>
      <c r="HU802" s="35"/>
      <c r="HV802" s="35"/>
      <c r="HW802" s="35"/>
      <c r="HX802" s="35"/>
      <c r="HY802" s="35"/>
      <c r="HZ802" s="35"/>
      <c r="IA802" s="35"/>
      <c r="IB802" s="35"/>
      <c r="IC802" s="35"/>
      <c r="ID802" s="35"/>
      <c r="IE802" s="35"/>
      <c r="IF802" s="35"/>
      <c r="IG802" s="35"/>
      <c r="IH802" s="35"/>
      <c r="II802" s="35"/>
      <c r="IJ802" s="35"/>
      <c r="IK802" s="35"/>
      <c r="IL802" s="35"/>
      <c r="IM802" s="35"/>
      <c r="IN802" s="35"/>
      <c r="IO802" s="35"/>
      <c r="IP802" s="35"/>
      <c r="IQ802" s="35"/>
      <c r="IR802" s="35"/>
      <c r="IS802" s="35"/>
      <c r="IT802" s="35"/>
      <c r="IU802" s="35"/>
      <c r="IV802" s="35"/>
      <c r="IW802" s="35"/>
      <c r="IX802" s="35"/>
      <c r="IY802" s="35"/>
      <c r="IZ802" s="35"/>
      <c r="JA802" s="35"/>
      <c r="JB802" s="35"/>
      <c r="JC802" s="35"/>
      <c r="JD802" s="35"/>
      <c r="JE802" s="35"/>
    </row>
    <row r="803">
      <c r="A803" s="42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  <c r="AZ803" s="35"/>
      <c r="BA803" s="35"/>
      <c r="BB803" s="35"/>
      <c r="BC803" s="35"/>
      <c r="BD803" s="35"/>
      <c r="BE803" s="35"/>
      <c r="BF803" s="35"/>
      <c r="BG803" s="35"/>
      <c r="BH803" s="35"/>
      <c r="BI803" s="35"/>
      <c r="BJ803" s="35"/>
      <c r="BK803" s="35"/>
      <c r="BL803" s="35"/>
      <c r="BM803" s="35"/>
      <c r="BN803" s="35"/>
      <c r="BO803" s="35"/>
      <c r="BP803" s="35"/>
      <c r="BQ803" s="35"/>
      <c r="BR803" s="35"/>
      <c r="BS803" s="35"/>
      <c r="BT803" s="35"/>
      <c r="BU803" s="35"/>
      <c r="BV803" s="35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35"/>
      <c r="CO803" s="35"/>
      <c r="CP803" s="35"/>
      <c r="CQ803" s="35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35"/>
      <c r="DJ803" s="35"/>
      <c r="DK803" s="35"/>
      <c r="DL803" s="35"/>
      <c r="DM803" s="35"/>
      <c r="DN803" s="35"/>
      <c r="DO803" s="35"/>
      <c r="DP803" s="35"/>
      <c r="DQ803" s="35"/>
      <c r="DR803" s="35"/>
      <c r="DS803" s="35"/>
      <c r="DT803" s="35"/>
      <c r="DU803" s="35"/>
      <c r="DV803" s="35"/>
      <c r="DW803" s="35"/>
      <c r="DX803" s="35"/>
      <c r="DY803" s="35"/>
      <c r="DZ803" s="35"/>
      <c r="EA803" s="35"/>
      <c r="EB803" s="35"/>
      <c r="EC803" s="35"/>
      <c r="ED803" s="35"/>
      <c r="EE803" s="35"/>
      <c r="EF803" s="35"/>
      <c r="EG803" s="35"/>
      <c r="EH803" s="35"/>
      <c r="EI803" s="35"/>
      <c r="EJ803" s="35"/>
      <c r="EK803" s="35"/>
      <c r="EL803" s="35"/>
      <c r="EM803" s="35"/>
      <c r="EN803" s="35"/>
      <c r="EO803" s="35"/>
      <c r="EP803" s="35"/>
      <c r="EQ803" s="35"/>
      <c r="ER803" s="35"/>
      <c r="ES803" s="35"/>
      <c r="ET803" s="35"/>
      <c r="EU803" s="35"/>
      <c r="EV803" s="35"/>
      <c r="EW803" s="35"/>
      <c r="EX803" s="35"/>
      <c r="EY803" s="35"/>
      <c r="EZ803" s="35"/>
      <c r="FA803" s="35"/>
      <c r="FB803" s="35"/>
      <c r="FC803" s="35"/>
      <c r="FD803" s="35"/>
      <c r="FE803" s="35"/>
      <c r="FF803" s="35"/>
      <c r="FG803" s="35"/>
      <c r="FH803" s="35"/>
      <c r="FI803" s="35"/>
      <c r="FJ803" s="35"/>
      <c r="FK803" s="35"/>
      <c r="FL803" s="35"/>
      <c r="FM803" s="35"/>
      <c r="FN803" s="35"/>
      <c r="FO803" s="35"/>
      <c r="FP803" s="35"/>
      <c r="FQ803" s="35"/>
      <c r="FR803" s="35"/>
      <c r="FS803" s="35"/>
      <c r="FT803" s="35"/>
      <c r="FU803" s="35"/>
      <c r="FV803" s="35"/>
      <c r="FW803" s="35"/>
      <c r="FX803" s="35"/>
      <c r="FY803" s="35"/>
      <c r="FZ803" s="35"/>
      <c r="GA803" s="35"/>
      <c r="GB803" s="35"/>
      <c r="GC803" s="35"/>
      <c r="GD803" s="35"/>
      <c r="GE803" s="35"/>
      <c r="GF803" s="35"/>
      <c r="GG803" s="35"/>
      <c r="GH803" s="35"/>
      <c r="GI803" s="35"/>
      <c r="GJ803" s="35"/>
      <c r="GK803" s="35"/>
      <c r="GL803" s="35"/>
      <c r="GM803" s="35"/>
      <c r="GN803" s="35"/>
      <c r="GO803" s="35"/>
      <c r="GP803" s="35"/>
      <c r="GQ803" s="35"/>
      <c r="GR803" s="35"/>
      <c r="GS803" s="35"/>
      <c r="GT803" s="35"/>
      <c r="GU803" s="35"/>
      <c r="GV803" s="35"/>
      <c r="GW803" s="35"/>
      <c r="GX803" s="35"/>
      <c r="GY803" s="35"/>
      <c r="GZ803" s="35"/>
      <c r="HA803" s="35"/>
      <c r="HB803" s="35"/>
      <c r="HC803" s="35"/>
      <c r="HD803" s="35"/>
      <c r="HE803" s="35"/>
      <c r="HF803" s="35"/>
      <c r="HG803" s="35"/>
      <c r="HH803" s="35"/>
      <c r="HI803" s="35"/>
      <c r="HJ803" s="35"/>
      <c r="HK803" s="35"/>
      <c r="HL803" s="35"/>
      <c r="HM803" s="35"/>
      <c r="HN803" s="35"/>
      <c r="HO803" s="35"/>
      <c r="HP803" s="35"/>
      <c r="HQ803" s="35"/>
      <c r="HR803" s="35"/>
      <c r="HS803" s="35"/>
      <c r="HT803" s="35"/>
      <c r="HU803" s="35"/>
      <c r="HV803" s="35"/>
      <c r="HW803" s="35"/>
      <c r="HX803" s="35"/>
      <c r="HY803" s="35"/>
      <c r="HZ803" s="35"/>
      <c r="IA803" s="35"/>
      <c r="IB803" s="35"/>
      <c r="IC803" s="35"/>
      <c r="ID803" s="35"/>
      <c r="IE803" s="35"/>
      <c r="IF803" s="35"/>
      <c r="IG803" s="35"/>
      <c r="IH803" s="35"/>
      <c r="II803" s="35"/>
      <c r="IJ803" s="35"/>
      <c r="IK803" s="35"/>
      <c r="IL803" s="35"/>
      <c r="IM803" s="35"/>
      <c r="IN803" s="35"/>
      <c r="IO803" s="35"/>
      <c r="IP803" s="35"/>
      <c r="IQ803" s="35"/>
      <c r="IR803" s="35"/>
      <c r="IS803" s="35"/>
      <c r="IT803" s="35"/>
      <c r="IU803" s="35"/>
      <c r="IV803" s="35"/>
      <c r="IW803" s="35"/>
      <c r="IX803" s="35"/>
      <c r="IY803" s="35"/>
      <c r="IZ803" s="35"/>
      <c r="JA803" s="35"/>
      <c r="JB803" s="35"/>
      <c r="JC803" s="35"/>
      <c r="JD803" s="35"/>
      <c r="JE803" s="35"/>
    </row>
    <row r="804">
      <c r="A804" s="42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35"/>
      <c r="BA804" s="35"/>
      <c r="BB804" s="35"/>
      <c r="BC804" s="35"/>
      <c r="BD804" s="35"/>
      <c r="BE804" s="35"/>
      <c r="BF804" s="35"/>
      <c r="BG804" s="35"/>
      <c r="BH804" s="35"/>
      <c r="BI804" s="35"/>
      <c r="BJ804" s="35"/>
      <c r="BK804" s="35"/>
      <c r="BL804" s="35"/>
      <c r="BM804" s="35"/>
      <c r="BN804" s="35"/>
      <c r="BO804" s="35"/>
      <c r="BP804" s="35"/>
      <c r="BQ804" s="35"/>
      <c r="BR804" s="35"/>
      <c r="BS804" s="35"/>
      <c r="BT804" s="35"/>
      <c r="BU804" s="35"/>
      <c r="BV804" s="35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35"/>
      <c r="CO804" s="35"/>
      <c r="CP804" s="35"/>
      <c r="CQ804" s="35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35"/>
      <c r="DJ804" s="35"/>
      <c r="DK804" s="35"/>
      <c r="DL804" s="35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35"/>
      <c r="EE804" s="35"/>
      <c r="EF804" s="35"/>
      <c r="EG804" s="35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  <c r="ER804" s="35"/>
      <c r="ES804" s="35"/>
      <c r="ET804" s="35"/>
      <c r="EU804" s="35"/>
      <c r="EV804" s="35"/>
      <c r="EW804" s="35"/>
      <c r="EX804" s="35"/>
      <c r="EY804" s="35"/>
      <c r="EZ804" s="35"/>
      <c r="FA804" s="35"/>
      <c r="FB804" s="35"/>
      <c r="FC804" s="35"/>
      <c r="FD804" s="35"/>
      <c r="FE804" s="35"/>
      <c r="FF804" s="35"/>
      <c r="FG804" s="35"/>
      <c r="FH804" s="35"/>
      <c r="FI804" s="35"/>
      <c r="FJ804" s="35"/>
      <c r="FK804" s="35"/>
      <c r="FL804" s="35"/>
      <c r="FM804" s="35"/>
      <c r="FN804" s="35"/>
      <c r="FO804" s="35"/>
      <c r="FP804" s="35"/>
      <c r="FQ804" s="35"/>
      <c r="FR804" s="35"/>
      <c r="FS804" s="35"/>
      <c r="FT804" s="35"/>
      <c r="FU804" s="35"/>
      <c r="FV804" s="35"/>
      <c r="FW804" s="35"/>
      <c r="FX804" s="35"/>
      <c r="FY804" s="35"/>
      <c r="FZ804" s="35"/>
      <c r="GA804" s="35"/>
      <c r="GB804" s="35"/>
      <c r="GC804" s="35"/>
      <c r="GD804" s="35"/>
      <c r="GE804" s="35"/>
      <c r="GF804" s="35"/>
      <c r="GG804" s="35"/>
      <c r="GH804" s="35"/>
      <c r="GI804" s="35"/>
      <c r="GJ804" s="35"/>
      <c r="GK804" s="35"/>
      <c r="GL804" s="35"/>
      <c r="GM804" s="35"/>
      <c r="GN804" s="35"/>
      <c r="GO804" s="35"/>
      <c r="GP804" s="35"/>
      <c r="GQ804" s="35"/>
      <c r="GR804" s="35"/>
      <c r="GS804" s="35"/>
      <c r="GT804" s="35"/>
      <c r="GU804" s="35"/>
      <c r="GV804" s="35"/>
      <c r="GW804" s="35"/>
      <c r="GX804" s="35"/>
      <c r="GY804" s="35"/>
      <c r="GZ804" s="35"/>
      <c r="HA804" s="35"/>
      <c r="HB804" s="35"/>
      <c r="HC804" s="35"/>
      <c r="HD804" s="35"/>
      <c r="HE804" s="35"/>
      <c r="HF804" s="35"/>
      <c r="HG804" s="35"/>
      <c r="HH804" s="35"/>
      <c r="HI804" s="35"/>
      <c r="HJ804" s="35"/>
      <c r="HK804" s="35"/>
      <c r="HL804" s="35"/>
      <c r="HM804" s="35"/>
      <c r="HN804" s="35"/>
      <c r="HO804" s="35"/>
      <c r="HP804" s="35"/>
      <c r="HQ804" s="35"/>
      <c r="HR804" s="35"/>
      <c r="HS804" s="35"/>
      <c r="HT804" s="35"/>
      <c r="HU804" s="35"/>
      <c r="HV804" s="35"/>
      <c r="HW804" s="35"/>
      <c r="HX804" s="35"/>
      <c r="HY804" s="35"/>
      <c r="HZ804" s="35"/>
      <c r="IA804" s="35"/>
      <c r="IB804" s="35"/>
      <c r="IC804" s="35"/>
      <c r="ID804" s="35"/>
      <c r="IE804" s="35"/>
      <c r="IF804" s="35"/>
      <c r="IG804" s="35"/>
      <c r="IH804" s="35"/>
      <c r="II804" s="35"/>
      <c r="IJ804" s="35"/>
      <c r="IK804" s="35"/>
      <c r="IL804" s="35"/>
      <c r="IM804" s="35"/>
      <c r="IN804" s="35"/>
      <c r="IO804" s="35"/>
      <c r="IP804" s="35"/>
      <c r="IQ804" s="35"/>
      <c r="IR804" s="35"/>
      <c r="IS804" s="35"/>
      <c r="IT804" s="35"/>
      <c r="IU804" s="35"/>
      <c r="IV804" s="35"/>
      <c r="IW804" s="35"/>
      <c r="IX804" s="35"/>
      <c r="IY804" s="35"/>
      <c r="IZ804" s="35"/>
      <c r="JA804" s="35"/>
      <c r="JB804" s="35"/>
      <c r="JC804" s="35"/>
      <c r="JD804" s="35"/>
      <c r="JE804" s="35"/>
    </row>
    <row r="805">
      <c r="A805" s="42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  <c r="AZ805" s="35"/>
      <c r="BA805" s="35"/>
      <c r="BB805" s="35"/>
      <c r="BC805" s="35"/>
      <c r="BD805" s="35"/>
      <c r="BE805" s="35"/>
      <c r="BF805" s="35"/>
      <c r="BG805" s="35"/>
      <c r="BH805" s="35"/>
      <c r="BI805" s="35"/>
      <c r="BJ805" s="35"/>
      <c r="BK805" s="35"/>
      <c r="BL805" s="35"/>
      <c r="BM805" s="35"/>
      <c r="BN805" s="35"/>
      <c r="BO805" s="35"/>
      <c r="BP805" s="35"/>
      <c r="BQ805" s="35"/>
      <c r="BR805" s="35"/>
      <c r="BS805" s="35"/>
      <c r="BT805" s="35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35"/>
      <c r="CO805" s="35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35"/>
      <c r="DJ805" s="35"/>
      <c r="DK805" s="35"/>
      <c r="DL805" s="35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35"/>
      <c r="EE805" s="35"/>
      <c r="EF805" s="35"/>
      <c r="EG805" s="35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  <c r="ER805" s="35"/>
      <c r="ES805" s="35"/>
      <c r="ET805" s="35"/>
      <c r="EU805" s="35"/>
      <c r="EV805" s="35"/>
      <c r="EW805" s="35"/>
      <c r="EX805" s="35"/>
      <c r="EY805" s="35"/>
      <c r="EZ805" s="35"/>
      <c r="FA805" s="35"/>
      <c r="FB805" s="35"/>
      <c r="FC805" s="35"/>
      <c r="FD805" s="35"/>
      <c r="FE805" s="35"/>
      <c r="FF805" s="35"/>
      <c r="FG805" s="35"/>
      <c r="FH805" s="35"/>
      <c r="FI805" s="35"/>
      <c r="FJ805" s="35"/>
      <c r="FK805" s="35"/>
      <c r="FL805" s="35"/>
      <c r="FM805" s="35"/>
      <c r="FN805" s="35"/>
      <c r="FO805" s="35"/>
      <c r="FP805" s="35"/>
      <c r="FQ805" s="35"/>
      <c r="FR805" s="35"/>
      <c r="FS805" s="35"/>
      <c r="FT805" s="35"/>
      <c r="FU805" s="35"/>
      <c r="FV805" s="35"/>
      <c r="FW805" s="35"/>
      <c r="FX805" s="35"/>
      <c r="FY805" s="35"/>
      <c r="FZ805" s="35"/>
      <c r="GA805" s="35"/>
      <c r="GB805" s="35"/>
      <c r="GC805" s="35"/>
      <c r="GD805" s="35"/>
      <c r="GE805" s="35"/>
      <c r="GF805" s="35"/>
      <c r="GG805" s="35"/>
      <c r="GH805" s="35"/>
      <c r="GI805" s="35"/>
      <c r="GJ805" s="35"/>
      <c r="GK805" s="35"/>
      <c r="GL805" s="35"/>
      <c r="GM805" s="35"/>
      <c r="GN805" s="35"/>
      <c r="GO805" s="35"/>
      <c r="GP805" s="35"/>
      <c r="GQ805" s="35"/>
      <c r="GR805" s="35"/>
      <c r="GS805" s="35"/>
      <c r="GT805" s="35"/>
      <c r="GU805" s="35"/>
      <c r="GV805" s="35"/>
      <c r="GW805" s="35"/>
      <c r="GX805" s="35"/>
      <c r="GY805" s="35"/>
      <c r="GZ805" s="35"/>
      <c r="HA805" s="35"/>
      <c r="HB805" s="35"/>
      <c r="HC805" s="35"/>
      <c r="HD805" s="35"/>
      <c r="HE805" s="35"/>
      <c r="HF805" s="35"/>
      <c r="HG805" s="35"/>
      <c r="HH805" s="35"/>
      <c r="HI805" s="35"/>
      <c r="HJ805" s="35"/>
      <c r="HK805" s="35"/>
      <c r="HL805" s="35"/>
      <c r="HM805" s="35"/>
      <c r="HN805" s="35"/>
      <c r="HO805" s="35"/>
      <c r="HP805" s="35"/>
      <c r="HQ805" s="35"/>
      <c r="HR805" s="35"/>
      <c r="HS805" s="35"/>
      <c r="HT805" s="35"/>
      <c r="HU805" s="35"/>
      <c r="HV805" s="35"/>
      <c r="HW805" s="35"/>
      <c r="HX805" s="35"/>
      <c r="HY805" s="35"/>
      <c r="HZ805" s="35"/>
      <c r="IA805" s="35"/>
      <c r="IB805" s="35"/>
      <c r="IC805" s="35"/>
      <c r="ID805" s="35"/>
      <c r="IE805" s="35"/>
      <c r="IF805" s="35"/>
      <c r="IG805" s="35"/>
      <c r="IH805" s="35"/>
      <c r="II805" s="35"/>
      <c r="IJ805" s="35"/>
      <c r="IK805" s="35"/>
      <c r="IL805" s="35"/>
      <c r="IM805" s="35"/>
      <c r="IN805" s="35"/>
      <c r="IO805" s="35"/>
      <c r="IP805" s="35"/>
      <c r="IQ805" s="35"/>
      <c r="IR805" s="35"/>
      <c r="IS805" s="35"/>
      <c r="IT805" s="35"/>
      <c r="IU805" s="35"/>
      <c r="IV805" s="35"/>
      <c r="IW805" s="35"/>
      <c r="IX805" s="35"/>
      <c r="IY805" s="35"/>
      <c r="IZ805" s="35"/>
      <c r="JA805" s="35"/>
      <c r="JB805" s="35"/>
      <c r="JC805" s="35"/>
      <c r="JD805" s="35"/>
      <c r="JE805" s="35"/>
    </row>
    <row r="806">
      <c r="A806" s="42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35"/>
      <c r="BA806" s="35"/>
      <c r="BB806" s="35"/>
      <c r="BC806" s="35"/>
      <c r="BD806" s="35"/>
      <c r="BE806" s="35"/>
      <c r="BF806" s="35"/>
      <c r="BG806" s="35"/>
      <c r="BH806" s="35"/>
      <c r="BI806" s="35"/>
      <c r="BJ806" s="35"/>
      <c r="BK806" s="35"/>
      <c r="BL806" s="35"/>
      <c r="BM806" s="35"/>
      <c r="BN806" s="35"/>
      <c r="BO806" s="35"/>
      <c r="BP806" s="35"/>
      <c r="BQ806" s="35"/>
      <c r="BR806" s="35"/>
      <c r="BS806" s="35"/>
      <c r="BT806" s="35"/>
      <c r="BU806" s="35"/>
      <c r="BV806" s="35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35"/>
      <c r="CO806" s="35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35"/>
      <c r="DJ806" s="35"/>
      <c r="DK806" s="35"/>
      <c r="DL806" s="35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/>
      <c r="EA806" s="35"/>
      <c r="EB806" s="35"/>
      <c r="EC806" s="35"/>
      <c r="ED806" s="35"/>
      <c r="EE806" s="35"/>
      <c r="EF806" s="35"/>
      <c r="EG806" s="35"/>
      <c r="EH806" s="35"/>
      <c r="EI806" s="35"/>
      <c r="EJ806" s="35"/>
      <c r="EK806" s="35"/>
      <c r="EL806" s="35"/>
      <c r="EM806" s="35"/>
      <c r="EN806" s="35"/>
      <c r="EO806" s="35"/>
      <c r="EP806" s="35"/>
      <c r="EQ806" s="35"/>
      <c r="ER806" s="35"/>
      <c r="ES806" s="35"/>
      <c r="ET806" s="35"/>
      <c r="EU806" s="35"/>
      <c r="EV806" s="35"/>
      <c r="EW806" s="35"/>
      <c r="EX806" s="35"/>
      <c r="EY806" s="35"/>
      <c r="EZ806" s="35"/>
      <c r="FA806" s="35"/>
      <c r="FB806" s="35"/>
      <c r="FC806" s="35"/>
      <c r="FD806" s="35"/>
      <c r="FE806" s="35"/>
      <c r="FF806" s="35"/>
      <c r="FG806" s="35"/>
      <c r="FH806" s="35"/>
      <c r="FI806" s="35"/>
      <c r="FJ806" s="35"/>
      <c r="FK806" s="35"/>
      <c r="FL806" s="35"/>
      <c r="FM806" s="35"/>
      <c r="FN806" s="35"/>
      <c r="FO806" s="35"/>
      <c r="FP806" s="35"/>
      <c r="FQ806" s="35"/>
      <c r="FR806" s="35"/>
      <c r="FS806" s="35"/>
      <c r="FT806" s="35"/>
      <c r="FU806" s="35"/>
      <c r="FV806" s="35"/>
      <c r="FW806" s="35"/>
      <c r="FX806" s="35"/>
      <c r="FY806" s="35"/>
      <c r="FZ806" s="35"/>
      <c r="GA806" s="35"/>
      <c r="GB806" s="35"/>
      <c r="GC806" s="35"/>
      <c r="GD806" s="35"/>
      <c r="GE806" s="35"/>
      <c r="GF806" s="35"/>
      <c r="GG806" s="35"/>
      <c r="GH806" s="35"/>
      <c r="GI806" s="35"/>
      <c r="GJ806" s="35"/>
      <c r="GK806" s="35"/>
      <c r="GL806" s="35"/>
      <c r="GM806" s="35"/>
      <c r="GN806" s="35"/>
      <c r="GO806" s="35"/>
      <c r="GP806" s="35"/>
      <c r="GQ806" s="35"/>
      <c r="GR806" s="35"/>
      <c r="GS806" s="35"/>
      <c r="GT806" s="35"/>
      <c r="GU806" s="35"/>
      <c r="GV806" s="35"/>
      <c r="GW806" s="35"/>
      <c r="GX806" s="35"/>
      <c r="GY806" s="35"/>
      <c r="GZ806" s="35"/>
      <c r="HA806" s="35"/>
      <c r="HB806" s="35"/>
      <c r="HC806" s="35"/>
      <c r="HD806" s="35"/>
      <c r="HE806" s="35"/>
      <c r="HF806" s="35"/>
      <c r="HG806" s="35"/>
      <c r="HH806" s="35"/>
      <c r="HI806" s="35"/>
      <c r="HJ806" s="35"/>
      <c r="HK806" s="35"/>
      <c r="HL806" s="35"/>
      <c r="HM806" s="35"/>
      <c r="HN806" s="35"/>
      <c r="HO806" s="35"/>
      <c r="HP806" s="35"/>
      <c r="HQ806" s="35"/>
      <c r="HR806" s="35"/>
      <c r="HS806" s="35"/>
      <c r="HT806" s="35"/>
      <c r="HU806" s="35"/>
      <c r="HV806" s="35"/>
      <c r="HW806" s="35"/>
      <c r="HX806" s="35"/>
      <c r="HY806" s="35"/>
      <c r="HZ806" s="35"/>
      <c r="IA806" s="35"/>
      <c r="IB806" s="35"/>
      <c r="IC806" s="35"/>
      <c r="ID806" s="35"/>
      <c r="IE806" s="35"/>
      <c r="IF806" s="35"/>
      <c r="IG806" s="35"/>
      <c r="IH806" s="35"/>
      <c r="II806" s="35"/>
      <c r="IJ806" s="35"/>
      <c r="IK806" s="35"/>
      <c r="IL806" s="35"/>
      <c r="IM806" s="35"/>
      <c r="IN806" s="35"/>
      <c r="IO806" s="35"/>
      <c r="IP806" s="35"/>
      <c r="IQ806" s="35"/>
      <c r="IR806" s="35"/>
      <c r="IS806" s="35"/>
      <c r="IT806" s="35"/>
      <c r="IU806" s="35"/>
      <c r="IV806" s="35"/>
      <c r="IW806" s="35"/>
      <c r="IX806" s="35"/>
      <c r="IY806" s="35"/>
      <c r="IZ806" s="35"/>
      <c r="JA806" s="35"/>
      <c r="JB806" s="35"/>
      <c r="JC806" s="35"/>
      <c r="JD806" s="35"/>
      <c r="JE806" s="35"/>
    </row>
    <row r="807">
      <c r="A807" s="42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  <c r="AZ807" s="35"/>
      <c r="BA807" s="35"/>
      <c r="BB807" s="35"/>
      <c r="BC807" s="35"/>
      <c r="BD807" s="35"/>
      <c r="BE807" s="35"/>
      <c r="BF807" s="35"/>
      <c r="BG807" s="35"/>
      <c r="BH807" s="35"/>
      <c r="BI807" s="35"/>
      <c r="BJ807" s="35"/>
      <c r="BK807" s="35"/>
      <c r="BL807" s="35"/>
      <c r="BM807" s="35"/>
      <c r="BN807" s="35"/>
      <c r="BO807" s="35"/>
      <c r="BP807" s="35"/>
      <c r="BQ807" s="35"/>
      <c r="BR807" s="35"/>
      <c r="BS807" s="35"/>
      <c r="BT807" s="35"/>
      <c r="BU807" s="35"/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35"/>
      <c r="CO807" s="35"/>
      <c r="CP807" s="35"/>
      <c r="CQ807" s="35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35"/>
      <c r="DJ807" s="35"/>
      <c r="DK807" s="35"/>
      <c r="DL807" s="35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s="35"/>
      <c r="EE807" s="35"/>
      <c r="EF807" s="35"/>
      <c r="EG807" s="35"/>
      <c r="EH807" s="35"/>
      <c r="EI807" s="35"/>
      <c r="EJ807" s="35"/>
      <c r="EK807" s="35"/>
      <c r="EL807" s="35"/>
      <c r="EM807" s="35"/>
      <c r="EN807" s="35"/>
      <c r="EO807" s="35"/>
      <c r="EP807" s="35"/>
      <c r="EQ807" s="35"/>
      <c r="ER807" s="35"/>
      <c r="ES807" s="35"/>
      <c r="ET807" s="35"/>
      <c r="EU807" s="35"/>
      <c r="EV807" s="35"/>
      <c r="EW807" s="35"/>
      <c r="EX807" s="35"/>
      <c r="EY807" s="35"/>
      <c r="EZ807" s="35"/>
      <c r="FA807" s="35"/>
      <c r="FB807" s="35"/>
      <c r="FC807" s="35"/>
      <c r="FD807" s="35"/>
      <c r="FE807" s="35"/>
      <c r="FF807" s="35"/>
      <c r="FG807" s="35"/>
      <c r="FH807" s="35"/>
      <c r="FI807" s="35"/>
      <c r="FJ807" s="35"/>
      <c r="FK807" s="35"/>
      <c r="FL807" s="35"/>
      <c r="FM807" s="35"/>
      <c r="FN807" s="35"/>
      <c r="FO807" s="35"/>
      <c r="FP807" s="35"/>
      <c r="FQ807" s="35"/>
      <c r="FR807" s="35"/>
      <c r="FS807" s="35"/>
      <c r="FT807" s="35"/>
      <c r="FU807" s="35"/>
      <c r="FV807" s="35"/>
      <c r="FW807" s="35"/>
      <c r="FX807" s="35"/>
      <c r="FY807" s="35"/>
      <c r="FZ807" s="35"/>
      <c r="GA807" s="35"/>
      <c r="GB807" s="35"/>
      <c r="GC807" s="35"/>
      <c r="GD807" s="35"/>
      <c r="GE807" s="35"/>
      <c r="GF807" s="35"/>
      <c r="GG807" s="35"/>
      <c r="GH807" s="35"/>
      <c r="GI807" s="35"/>
      <c r="GJ807" s="35"/>
      <c r="GK807" s="35"/>
      <c r="GL807" s="35"/>
      <c r="GM807" s="35"/>
      <c r="GN807" s="35"/>
      <c r="GO807" s="35"/>
      <c r="GP807" s="35"/>
      <c r="GQ807" s="35"/>
      <c r="GR807" s="35"/>
      <c r="GS807" s="35"/>
      <c r="GT807" s="35"/>
      <c r="GU807" s="35"/>
      <c r="GV807" s="35"/>
      <c r="GW807" s="35"/>
      <c r="GX807" s="35"/>
      <c r="GY807" s="35"/>
      <c r="GZ807" s="35"/>
      <c r="HA807" s="35"/>
      <c r="HB807" s="35"/>
      <c r="HC807" s="35"/>
      <c r="HD807" s="35"/>
      <c r="HE807" s="35"/>
      <c r="HF807" s="35"/>
      <c r="HG807" s="35"/>
      <c r="HH807" s="35"/>
      <c r="HI807" s="35"/>
      <c r="HJ807" s="35"/>
      <c r="HK807" s="35"/>
      <c r="HL807" s="35"/>
      <c r="HM807" s="35"/>
      <c r="HN807" s="35"/>
      <c r="HO807" s="35"/>
      <c r="HP807" s="35"/>
      <c r="HQ807" s="35"/>
      <c r="HR807" s="35"/>
      <c r="HS807" s="35"/>
      <c r="HT807" s="35"/>
      <c r="HU807" s="35"/>
      <c r="HV807" s="35"/>
      <c r="HW807" s="35"/>
      <c r="HX807" s="35"/>
      <c r="HY807" s="35"/>
      <c r="HZ807" s="35"/>
      <c r="IA807" s="35"/>
      <c r="IB807" s="35"/>
      <c r="IC807" s="35"/>
      <c r="ID807" s="35"/>
      <c r="IE807" s="35"/>
      <c r="IF807" s="35"/>
      <c r="IG807" s="35"/>
      <c r="IH807" s="35"/>
      <c r="II807" s="35"/>
      <c r="IJ807" s="35"/>
      <c r="IK807" s="35"/>
      <c r="IL807" s="35"/>
      <c r="IM807" s="35"/>
      <c r="IN807" s="35"/>
      <c r="IO807" s="35"/>
      <c r="IP807" s="35"/>
      <c r="IQ807" s="35"/>
      <c r="IR807" s="35"/>
      <c r="IS807" s="35"/>
      <c r="IT807" s="35"/>
      <c r="IU807" s="35"/>
      <c r="IV807" s="35"/>
      <c r="IW807" s="35"/>
      <c r="IX807" s="35"/>
      <c r="IY807" s="35"/>
      <c r="IZ807" s="35"/>
      <c r="JA807" s="35"/>
      <c r="JB807" s="35"/>
      <c r="JC807" s="35"/>
      <c r="JD807" s="35"/>
      <c r="JE807" s="35"/>
    </row>
    <row r="808">
      <c r="A808" s="42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35"/>
      <c r="BA808" s="35"/>
      <c r="BB808" s="35"/>
      <c r="BC808" s="35"/>
      <c r="BD808" s="35"/>
      <c r="BE808" s="35"/>
      <c r="BF808" s="35"/>
      <c r="BG808" s="35"/>
      <c r="BH808" s="35"/>
      <c r="BI808" s="35"/>
      <c r="BJ808" s="35"/>
      <c r="BK808" s="35"/>
      <c r="BL808" s="35"/>
      <c r="BM808" s="35"/>
      <c r="BN808" s="35"/>
      <c r="BO808" s="35"/>
      <c r="BP808" s="35"/>
      <c r="BQ808" s="35"/>
      <c r="BR808" s="35"/>
      <c r="BS808" s="35"/>
      <c r="BT808" s="35"/>
      <c r="BU808" s="35"/>
      <c r="BV808" s="35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35"/>
      <c r="CO808" s="35"/>
      <c r="CP808" s="35"/>
      <c r="CQ808" s="35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35"/>
      <c r="DJ808" s="35"/>
      <c r="DK808" s="35"/>
      <c r="DL808" s="35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35"/>
      <c r="EE808" s="35"/>
      <c r="EF808" s="35"/>
      <c r="EG808" s="35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  <c r="ER808" s="35"/>
      <c r="ES808" s="35"/>
      <c r="ET808" s="35"/>
      <c r="EU808" s="35"/>
      <c r="EV808" s="35"/>
      <c r="EW808" s="35"/>
      <c r="EX808" s="35"/>
      <c r="EY808" s="35"/>
      <c r="EZ808" s="35"/>
      <c r="FA808" s="35"/>
      <c r="FB808" s="35"/>
      <c r="FC808" s="35"/>
      <c r="FD808" s="35"/>
      <c r="FE808" s="35"/>
      <c r="FF808" s="35"/>
      <c r="FG808" s="35"/>
      <c r="FH808" s="35"/>
      <c r="FI808" s="35"/>
      <c r="FJ808" s="35"/>
      <c r="FK808" s="35"/>
      <c r="FL808" s="35"/>
      <c r="FM808" s="35"/>
      <c r="FN808" s="35"/>
      <c r="FO808" s="35"/>
      <c r="FP808" s="35"/>
      <c r="FQ808" s="35"/>
      <c r="FR808" s="35"/>
      <c r="FS808" s="35"/>
      <c r="FT808" s="35"/>
      <c r="FU808" s="35"/>
      <c r="FV808" s="35"/>
      <c r="FW808" s="35"/>
      <c r="FX808" s="35"/>
      <c r="FY808" s="35"/>
      <c r="FZ808" s="35"/>
      <c r="GA808" s="35"/>
      <c r="GB808" s="35"/>
      <c r="GC808" s="35"/>
      <c r="GD808" s="35"/>
      <c r="GE808" s="35"/>
      <c r="GF808" s="35"/>
      <c r="GG808" s="35"/>
      <c r="GH808" s="35"/>
      <c r="GI808" s="35"/>
      <c r="GJ808" s="35"/>
      <c r="GK808" s="35"/>
      <c r="GL808" s="35"/>
      <c r="GM808" s="35"/>
      <c r="GN808" s="35"/>
      <c r="GO808" s="35"/>
      <c r="GP808" s="35"/>
      <c r="GQ808" s="35"/>
      <c r="GR808" s="35"/>
      <c r="GS808" s="35"/>
      <c r="GT808" s="35"/>
      <c r="GU808" s="35"/>
      <c r="GV808" s="35"/>
      <c r="GW808" s="35"/>
      <c r="GX808" s="35"/>
      <c r="GY808" s="35"/>
      <c r="GZ808" s="35"/>
      <c r="HA808" s="35"/>
      <c r="HB808" s="35"/>
      <c r="HC808" s="35"/>
      <c r="HD808" s="35"/>
      <c r="HE808" s="35"/>
      <c r="HF808" s="35"/>
      <c r="HG808" s="35"/>
      <c r="HH808" s="35"/>
      <c r="HI808" s="35"/>
      <c r="HJ808" s="35"/>
      <c r="HK808" s="35"/>
      <c r="HL808" s="35"/>
      <c r="HM808" s="35"/>
      <c r="HN808" s="35"/>
      <c r="HO808" s="35"/>
      <c r="HP808" s="35"/>
      <c r="HQ808" s="35"/>
      <c r="HR808" s="35"/>
      <c r="HS808" s="35"/>
      <c r="HT808" s="35"/>
      <c r="HU808" s="35"/>
      <c r="HV808" s="35"/>
      <c r="HW808" s="35"/>
      <c r="HX808" s="35"/>
      <c r="HY808" s="35"/>
      <c r="HZ808" s="35"/>
      <c r="IA808" s="35"/>
      <c r="IB808" s="35"/>
      <c r="IC808" s="35"/>
      <c r="ID808" s="35"/>
      <c r="IE808" s="35"/>
      <c r="IF808" s="35"/>
      <c r="IG808" s="35"/>
      <c r="IH808" s="35"/>
      <c r="II808" s="35"/>
      <c r="IJ808" s="35"/>
      <c r="IK808" s="35"/>
      <c r="IL808" s="35"/>
      <c r="IM808" s="35"/>
      <c r="IN808" s="35"/>
      <c r="IO808" s="35"/>
      <c r="IP808" s="35"/>
      <c r="IQ808" s="35"/>
      <c r="IR808" s="35"/>
      <c r="IS808" s="35"/>
      <c r="IT808" s="35"/>
      <c r="IU808" s="35"/>
      <c r="IV808" s="35"/>
      <c r="IW808" s="35"/>
      <c r="IX808" s="35"/>
      <c r="IY808" s="35"/>
      <c r="IZ808" s="35"/>
      <c r="JA808" s="35"/>
      <c r="JB808" s="35"/>
      <c r="JC808" s="35"/>
      <c r="JD808" s="35"/>
      <c r="JE808" s="35"/>
    </row>
    <row r="809">
      <c r="A809" s="42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  <c r="AZ809" s="35"/>
      <c r="BA809" s="35"/>
      <c r="BB809" s="35"/>
      <c r="BC809" s="35"/>
      <c r="BD809" s="35"/>
      <c r="BE809" s="35"/>
      <c r="BF809" s="35"/>
      <c r="BG809" s="35"/>
      <c r="BH809" s="35"/>
      <c r="BI809" s="35"/>
      <c r="BJ809" s="35"/>
      <c r="BK809" s="35"/>
      <c r="BL809" s="35"/>
      <c r="BM809" s="35"/>
      <c r="BN809" s="35"/>
      <c r="BO809" s="35"/>
      <c r="BP809" s="35"/>
      <c r="BQ809" s="35"/>
      <c r="BR809" s="35"/>
      <c r="BS809" s="35"/>
      <c r="BT809" s="35"/>
      <c r="BU809" s="35"/>
      <c r="BV809" s="35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35"/>
      <c r="CO809" s="35"/>
      <c r="CP809" s="35"/>
      <c r="CQ809" s="35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35"/>
      <c r="DJ809" s="35"/>
      <c r="DK809" s="35"/>
      <c r="DL809" s="35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/>
      <c r="DW809" s="35"/>
      <c r="DX809" s="35"/>
      <c r="DY809" s="35"/>
      <c r="DZ809" s="35"/>
      <c r="EA809" s="35"/>
      <c r="EB809" s="35"/>
      <c r="EC809" s="35"/>
      <c r="ED809" s="35"/>
      <c r="EE809" s="35"/>
      <c r="EF809" s="35"/>
      <c r="EG809" s="35"/>
      <c r="EH809" s="35"/>
      <c r="EI809" s="35"/>
      <c r="EJ809" s="35"/>
      <c r="EK809" s="35"/>
      <c r="EL809" s="35"/>
      <c r="EM809" s="35"/>
      <c r="EN809" s="35"/>
      <c r="EO809" s="35"/>
      <c r="EP809" s="35"/>
      <c r="EQ809" s="35"/>
      <c r="ER809" s="35"/>
      <c r="ES809" s="35"/>
      <c r="ET809" s="35"/>
      <c r="EU809" s="35"/>
      <c r="EV809" s="35"/>
      <c r="EW809" s="35"/>
      <c r="EX809" s="35"/>
      <c r="EY809" s="35"/>
      <c r="EZ809" s="35"/>
      <c r="FA809" s="35"/>
      <c r="FB809" s="35"/>
      <c r="FC809" s="35"/>
      <c r="FD809" s="35"/>
      <c r="FE809" s="35"/>
      <c r="FF809" s="35"/>
      <c r="FG809" s="35"/>
      <c r="FH809" s="35"/>
      <c r="FI809" s="35"/>
      <c r="FJ809" s="35"/>
      <c r="FK809" s="35"/>
      <c r="FL809" s="35"/>
      <c r="FM809" s="35"/>
      <c r="FN809" s="35"/>
      <c r="FO809" s="35"/>
      <c r="FP809" s="35"/>
      <c r="FQ809" s="35"/>
      <c r="FR809" s="35"/>
      <c r="FS809" s="35"/>
      <c r="FT809" s="35"/>
      <c r="FU809" s="35"/>
      <c r="FV809" s="35"/>
      <c r="FW809" s="35"/>
      <c r="FX809" s="35"/>
      <c r="FY809" s="35"/>
      <c r="FZ809" s="35"/>
      <c r="GA809" s="35"/>
      <c r="GB809" s="35"/>
      <c r="GC809" s="35"/>
      <c r="GD809" s="35"/>
      <c r="GE809" s="35"/>
      <c r="GF809" s="35"/>
      <c r="GG809" s="35"/>
      <c r="GH809" s="35"/>
      <c r="GI809" s="35"/>
      <c r="GJ809" s="35"/>
      <c r="GK809" s="35"/>
      <c r="GL809" s="35"/>
      <c r="GM809" s="35"/>
      <c r="GN809" s="35"/>
      <c r="GO809" s="35"/>
      <c r="GP809" s="35"/>
      <c r="GQ809" s="35"/>
      <c r="GR809" s="35"/>
      <c r="GS809" s="35"/>
      <c r="GT809" s="35"/>
      <c r="GU809" s="35"/>
      <c r="GV809" s="35"/>
      <c r="GW809" s="35"/>
      <c r="GX809" s="35"/>
      <c r="GY809" s="35"/>
      <c r="GZ809" s="35"/>
      <c r="HA809" s="35"/>
      <c r="HB809" s="35"/>
      <c r="HC809" s="35"/>
      <c r="HD809" s="35"/>
      <c r="HE809" s="35"/>
      <c r="HF809" s="35"/>
      <c r="HG809" s="35"/>
      <c r="HH809" s="35"/>
      <c r="HI809" s="35"/>
      <c r="HJ809" s="35"/>
      <c r="HK809" s="35"/>
      <c r="HL809" s="35"/>
      <c r="HM809" s="35"/>
      <c r="HN809" s="35"/>
      <c r="HO809" s="35"/>
      <c r="HP809" s="35"/>
      <c r="HQ809" s="35"/>
      <c r="HR809" s="35"/>
      <c r="HS809" s="35"/>
      <c r="HT809" s="35"/>
      <c r="HU809" s="35"/>
      <c r="HV809" s="35"/>
      <c r="HW809" s="35"/>
      <c r="HX809" s="35"/>
      <c r="HY809" s="35"/>
      <c r="HZ809" s="35"/>
      <c r="IA809" s="35"/>
      <c r="IB809" s="35"/>
      <c r="IC809" s="35"/>
      <c r="ID809" s="35"/>
      <c r="IE809" s="35"/>
      <c r="IF809" s="35"/>
      <c r="IG809" s="35"/>
      <c r="IH809" s="35"/>
      <c r="II809" s="35"/>
      <c r="IJ809" s="35"/>
      <c r="IK809" s="35"/>
      <c r="IL809" s="35"/>
      <c r="IM809" s="35"/>
      <c r="IN809" s="35"/>
      <c r="IO809" s="35"/>
      <c r="IP809" s="35"/>
      <c r="IQ809" s="35"/>
      <c r="IR809" s="35"/>
      <c r="IS809" s="35"/>
      <c r="IT809" s="35"/>
      <c r="IU809" s="35"/>
      <c r="IV809" s="35"/>
      <c r="IW809" s="35"/>
      <c r="IX809" s="35"/>
      <c r="IY809" s="35"/>
      <c r="IZ809" s="35"/>
      <c r="JA809" s="35"/>
      <c r="JB809" s="35"/>
      <c r="JC809" s="35"/>
      <c r="JD809" s="35"/>
      <c r="JE809" s="35"/>
    </row>
    <row r="810">
      <c r="A810" s="42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35"/>
      <c r="BA810" s="35"/>
      <c r="BB810" s="35"/>
      <c r="BC810" s="35"/>
      <c r="BD810" s="35"/>
      <c r="BE810" s="35"/>
      <c r="BF810" s="35"/>
      <c r="BG810" s="35"/>
      <c r="BH810" s="35"/>
      <c r="BI810" s="35"/>
      <c r="BJ810" s="35"/>
      <c r="BK810" s="35"/>
      <c r="BL810" s="35"/>
      <c r="BM810" s="35"/>
      <c r="BN810" s="35"/>
      <c r="BO810" s="35"/>
      <c r="BP810" s="35"/>
      <c r="BQ810" s="35"/>
      <c r="BR810" s="35"/>
      <c r="BS810" s="35"/>
      <c r="BT810" s="35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35"/>
      <c r="CO810" s="35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35"/>
      <c r="DJ810" s="35"/>
      <c r="DK810" s="35"/>
      <c r="DL810" s="35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35"/>
      <c r="EE810" s="35"/>
      <c r="EF810" s="35"/>
      <c r="EG810" s="35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  <c r="ER810" s="35"/>
      <c r="ES810" s="35"/>
      <c r="ET810" s="35"/>
      <c r="EU810" s="35"/>
      <c r="EV810" s="35"/>
      <c r="EW810" s="35"/>
      <c r="EX810" s="35"/>
      <c r="EY810" s="35"/>
      <c r="EZ810" s="35"/>
      <c r="FA810" s="35"/>
      <c r="FB810" s="35"/>
      <c r="FC810" s="35"/>
      <c r="FD810" s="35"/>
      <c r="FE810" s="35"/>
      <c r="FF810" s="35"/>
      <c r="FG810" s="35"/>
      <c r="FH810" s="35"/>
      <c r="FI810" s="35"/>
      <c r="FJ810" s="35"/>
      <c r="FK810" s="35"/>
      <c r="FL810" s="35"/>
      <c r="FM810" s="35"/>
      <c r="FN810" s="35"/>
      <c r="FO810" s="35"/>
      <c r="FP810" s="35"/>
      <c r="FQ810" s="35"/>
      <c r="FR810" s="35"/>
      <c r="FS810" s="35"/>
      <c r="FT810" s="35"/>
      <c r="FU810" s="35"/>
      <c r="FV810" s="35"/>
      <c r="FW810" s="35"/>
      <c r="FX810" s="35"/>
      <c r="FY810" s="35"/>
      <c r="FZ810" s="35"/>
      <c r="GA810" s="35"/>
      <c r="GB810" s="35"/>
      <c r="GC810" s="35"/>
      <c r="GD810" s="35"/>
      <c r="GE810" s="35"/>
      <c r="GF810" s="35"/>
      <c r="GG810" s="35"/>
      <c r="GH810" s="35"/>
      <c r="GI810" s="35"/>
      <c r="GJ810" s="35"/>
      <c r="GK810" s="35"/>
      <c r="GL810" s="35"/>
      <c r="GM810" s="35"/>
      <c r="GN810" s="35"/>
      <c r="GO810" s="35"/>
      <c r="GP810" s="35"/>
      <c r="GQ810" s="35"/>
      <c r="GR810" s="35"/>
      <c r="GS810" s="35"/>
      <c r="GT810" s="35"/>
      <c r="GU810" s="35"/>
      <c r="GV810" s="35"/>
      <c r="GW810" s="35"/>
      <c r="GX810" s="35"/>
      <c r="GY810" s="35"/>
      <c r="GZ810" s="35"/>
      <c r="HA810" s="35"/>
      <c r="HB810" s="35"/>
      <c r="HC810" s="35"/>
      <c r="HD810" s="35"/>
      <c r="HE810" s="35"/>
      <c r="HF810" s="35"/>
      <c r="HG810" s="35"/>
      <c r="HH810" s="35"/>
      <c r="HI810" s="35"/>
      <c r="HJ810" s="35"/>
      <c r="HK810" s="35"/>
      <c r="HL810" s="35"/>
      <c r="HM810" s="35"/>
      <c r="HN810" s="35"/>
      <c r="HO810" s="35"/>
      <c r="HP810" s="35"/>
      <c r="HQ810" s="35"/>
      <c r="HR810" s="35"/>
      <c r="HS810" s="35"/>
      <c r="HT810" s="35"/>
      <c r="HU810" s="35"/>
      <c r="HV810" s="35"/>
      <c r="HW810" s="35"/>
      <c r="HX810" s="35"/>
      <c r="HY810" s="35"/>
      <c r="HZ810" s="35"/>
      <c r="IA810" s="35"/>
      <c r="IB810" s="35"/>
      <c r="IC810" s="35"/>
      <c r="ID810" s="35"/>
      <c r="IE810" s="35"/>
      <c r="IF810" s="35"/>
      <c r="IG810" s="35"/>
      <c r="IH810" s="35"/>
      <c r="II810" s="35"/>
      <c r="IJ810" s="35"/>
      <c r="IK810" s="35"/>
      <c r="IL810" s="35"/>
      <c r="IM810" s="35"/>
      <c r="IN810" s="35"/>
      <c r="IO810" s="35"/>
      <c r="IP810" s="35"/>
      <c r="IQ810" s="35"/>
      <c r="IR810" s="35"/>
      <c r="IS810" s="35"/>
      <c r="IT810" s="35"/>
      <c r="IU810" s="35"/>
      <c r="IV810" s="35"/>
      <c r="IW810" s="35"/>
      <c r="IX810" s="35"/>
      <c r="IY810" s="35"/>
      <c r="IZ810" s="35"/>
      <c r="JA810" s="35"/>
      <c r="JB810" s="35"/>
      <c r="JC810" s="35"/>
      <c r="JD810" s="35"/>
      <c r="JE810" s="35"/>
    </row>
    <row r="811">
      <c r="A811" s="42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  <c r="AZ811" s="35"/>
      <c r="BA811" s="35"/>
      <c r="BB811" s="35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M811" s="35"/>
      <c r="BN811" s="35"/>
      <c r="BO811" s="35"/>
      <c r="BP811" s="35"/>
      <c r="BQ811" s="35"/>
      <c r="BR811" s="35"/>
      <c r="BS811" s="35"/>
      <c r="BT811" s="35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35"/>
      <c r="CO811" s="35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35"/>
      <c r="DJ811" s="35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35"/>
      <c r="EE811" s="35"/>
      <c r="EF811" s="35"/>
      <c r="EG811" s="35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35"/>
      <c r="EZ811" s="35"/>
      <c r="FA811" s="35"/>
      <c r="FB811" s="35"/>
      <c r="FC811" s="35"/>
      <c r="FD811" s="35"/>
      <c r="FE811" s="35"/>
      <c r="FF811" s="35"/>
      <c r="FG811" s="35"/>
      <c r="FH811" s="35"/>
      <c r="FI811" s="35"/>
      <c r="FJ811" s="35"/>
      <c r="FK811" s="35"/>
      <c r="FL811" s="35"/>
      <c r="FM811" s="35"/>
      <c r="FN811" s="35"/>
      <c r="FO811" s="35"/>
      <c r="FP811" s="35"/>
      <c r="FQ811" s="35"/>
      <c r="FR811" s="35"/>
      <c r="FS811" s="35"/>
      <c r="FT811" s="35"/>
      <c r="FU811" s="35"/>
      <c r="FV811" s="35"/>
      <c r="FW811" s="35"/>
      <c r="FX811" s="35"/>
      <c r="FY811" s="35"/>
      <c r="FZ811" s="35"/>
      <c r="GA811" s="35"/>
      <c r="GB811" s="35"/>
      <c r="GC811" s="35"/>
      <c r="GD811" s="35"/>
      <c r="GE811" s="35"/>
      <c r="GF811" s="35"/>
      <c r="GG811" s="35"/>
      <c r="GH811" s="35"/>
      <c r="GI811" s="35"/>
      <c r="GJ811" s="35"/>
      <c r="GK811" s="35"/>
      <c r="GL811" s="35"/>
      <c r="GM811" s="35"/>
      <c r="GN811" s="35"/>
      <c r="GO811" s="35"/>
      <c r="GP811" s="35"/>
      <c r="GQ811" s="35"/>
      <c r="GR811" s="35"/>
      <c r="GS811" s="35"/>
      <c r="GT811" s="35"/>
      <c r="GU811" s="35"/>
      <c r="GV811" s="35"/>
      <c r="GW811" s="35"/>
      <c r="GX811" s="35"/>
      <c r="GY811" s="35"/>
      <c r="GZ811" s="35"/>
      <c r="HA811" s="35"/>
      <c r="HB811" s="35"/>
      <c r="HC811" s="35"/>
      <c r="HD811" s="35"/>
      <c r="HE811" s="35"/>
      <c r="HF811" s="35"/>
      <c r="HG811" s="35"/>
      <c r="HH811" s="35"/>
      <c r="HI811" s="35"/>
      <c r="HJ811" s="35"/>
      <c r="HK811" s="35"/>
      <c r="HL811" s="35"/>
      <c r="HM811" s="35"/>
      <c r="HN811" s="35"/>
      <c r="HO811" s="35"/>
      <c r="HP811" s="35"/>
      <c r="HQ811" s="35"/>
      <c r="HR811" s="35"/>
      <c r="HS811" s="35"/>
      <c r="HT811" s="35"/>
      <c r="HU811" s="35"/>
      <c r="HV811" s="35"/>
      <c r="HW811" s="35"/>
      <c r="HX811" s="35"/>
      <c r="HY811" s="35"/>
      <c r="HZ811" s="35"/>
      <c r="IA811" s="35"/>
      <c r="IB811" s="35"/>
      <c r="IC811" s="35"/>
      <c r="ID811" s="35"/>
      <c r="IE811" s="35"/>
      <c r="IF811" s="35"/>
      <c r="IG811" s="35"/>
      <c r="IH811" s="35"/>
      <c r="II811" s="35"/>
      <c r="IJ811" s="35"/>
      <c r="IK811" s="35"/>
      <c r="IL811" s="35"/>
      <c r="IM811" s="35"/>
      <c r="IN811" s="35"/>
      <c r="IO811" s="35"/>
      <c r="IP811" s="35"/>
      <c r="IQ811" s="35"/>
      <c r="IR811" s="35"/>
      <c r="IS811" s="35"/>
      <c r="IT811" s="35"/>
      <c r="IU811" s="35"/>
      <c r="IV811" s="35"/>
      <c r="IW811" s="35"/>
      <c r="IX811" s="35"/>
      <c r="IY811" s="35"/>
      <c r="IZ811" s="35"/>
      <c r="JA811" s="35"/>
      <c r="JB811" s="35"/>
      <c r="JC811" s="35"/>
      <c r="JD811" s="35"/>
      <c r="JE811" s="35"/>
    </row>
    <row r="812">
      <c r="A812" s="42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35"/>
      <c r="BA812" s="35"/>
      <c r="BB812" s="35"/>
      <c r="BC812" s="35"/>
      <c r="BD812" s="35"/>
      <c r="BE812" s="35"/>
      <c r="BF812" s="35"/>
      <c r="BG812" s="35"/>
      <c r="BH812" s="35"/>
      <c r="BI812" s="35"/>
      <c r="BJ812" s="35"/>
      <c r="BK812" s="35"/>
      <c r="BL812" s="35"/>
      <c r="BM812" s="35"/>
      <c r="BN812" s="35"/>
      <c r="BO812" s="35"/>
      <c r="BP812" s="35"/>
      <c r="BQ812" s="35"/>
      <c r="BR812" s="35"/>
      <c r="BS812" s="35"/>
      <c r="BT812" s="35"/>
      <c r="BU812" s="35"/>
      <c r="BV812" s="35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35"/>
      <c r="CO812" s="35"/>
      <c r="CP812" s="35"/>
      <c r="CQ812" s="35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35"/>
      <c r="DJ812" s="35"/>
      <c r="DK812" s="35"/>
      <c r="DL812" s="35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35"/>
      <c r="EE812" s="35"/>
      <c r="EF812" s="35"/>
      <c r="EG812" s="35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  <c r="ER812" s="35"/>
      <c r="ES812" s="35"/>
      <c r="ET812" s="35"/>
      <c r="EU812" s="35"/>
      <c r="EV812" s="35"/>
      <c r="EW812" s="35"/>
      <c r="EX812" s="35"/>
      <c r="EY812" s="35"/>
      <c r="EZ812" s="35"/>
      <c r="FA812" s="35"/>
      <c r="FB812" s="35"/>
      <c r="FC812" s="35"/>
      <c r="FD812" s="35"/>
      <c r="FE812" s="35"/>
      <c r="FF812" s="35"/>
      <c r="FG812" s="35"/>
      <c r="FH812" s="35"/>
      <c r="FI812" s="35"/>
      <c r="FJ812" s="35"/>
      <c r="FK812" s="35"/>
      <c r="FL812" s="35"/>
      <c r="FM812" s="35"/>
      <c r="FN812" s="35"/>
      <c r="FO812" s="35"/>
      <c r="FP812" s="35"/>
      <c r="FQ812" s="35"/>
      <c r="FR812" s="35"/>
      <c r="FS812" s="35"/>
      <c r="FT812" s="35"/>
      <c r="FU812" s="35"/>
      <c r="FV812" s="35"/>
      <c r="FW812" s="35"/>
      <c r="FX812" s="35"/>
      <c r="FY812" s="35"/>
      <c r="FZ812" s="35"/>
      <c r="GA812" s="35"/>
      <c r="GB812" s="35"/>
      <c r="GC812" s="35"/>
      <c r="GD812" s="35"/>
      <c r="GE812" s="35"/>
      <c r="GF812" s="35"/>
      <c r="GG812" s="35"/>
      <c r="GH812" s="35"/>
      <c r="GI812" s="35"/>
      <c r="GJ812" s="35"/>
      <c r="GK812" s="35"/>
      <c r="GL812" s="35"/>
      <c r="GM812" s="35"/>
      <c r="GN812" s="35"/>
      <c r="GO812" s="35"/>
      <c r="GP812" s="35"/>
      <c r="GQ812" s="35"/>
      <c r="GR812" s="35"/>
      <c r="GS812" s="35"/>
      <c r="GT812" s="35"/>
      <c r="GU812" s="35"/>
      <c r="GV812" s="35"/>
      <c r="GW812" s="35"/>
      <c r="GX812" s="35"/>
      <c r="GY812" s="35"/>
      <c r="GZ812" s="35"/>
      <c r="HA812" s="35"/>
      <c r="HB812" s="35"/>
      <c r="HC812" s="35"/>
      <c r="HD812" s="35"/>
      <c r="HE812" s="35"/>
      <c r="HF812" s="35"/>
      <c r="HG812" s="35"/>
      <c r="HH812" s="35"/>
      <c r="HI812" s="35"/>
      <c r="HJ812" s="35"/>
      <c r="HK812" s="35"/>
      <c r="HL812" s="35"/>
      <c r="HM812" s="35"/>
      <c r="HN812" s="35"/>
      <c r="HO812" s="35"/>
      <c r="HP812" s="35"/>
      <c r="HQ812" s="35"/>
      <c r="HR812" s="35"/>
      <c r="HS812" s="35"/>
      <c r="HT812" s="35"/>
      <c r="HU812" s="35"/>
      <c r="HV812" s="35"/>
      <c r="HW812" s="35"/>
      <c r="HX812" s="35"/>
      <c r="HY812" s="35"/>
      <c r="HZ812" s="35"/>
      <c r="IA812" s="35"/>
      <c r="IB812" s="35"/>
      <c r="IC812" s="35"/>
      <c r="ID812" s="35"/>
      <c r="IE812" s="35"/>
      <c r="IF812" s="35"/>
      <c r="IG812" s="35"/>
      <c r="IH812" s="35"/>
      <c r="II812" s="35"/>
      <c r="IJ812" s="35"/>
      <c r="IK812" s="35"/>
      <c r="IL812" s="35"/>
      <c r="IM812" s="35"/>
      <c r="IN812" s="35"/>
      <c r="IO812" s="35"/>
      <c r="IP812" s="35"/>
      <c r="IQ812" s="35"/>
      <c r="IR812" s="35"/>
      <c r="IS812" s="35"/>
      <c r="IT812" s="35"/>
      <c r="IU812" s="35"/>
      <c r="IV812" s="35"/>
      <c r="IW812" s="35"/>
      <c r="IX812" s="35"/>
      <c r="IY812" s="35"/>
      <c r="IZ812" s="35"/>
      <c r="JA812" s="35"/>
      <c r="JB812" s="35"/>
      <c r="JC812" s="35"/>
      <c r="JD812" s="35"/>
      <c r="JE812" s="35"/>
    </row>
    <row r="813">
      <c r="A813" s="42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  <c r="AZ813" s="35"/>
      <c r="BA813" s="35"/>
      <c r="BB813" s="35"/>
      <c r="BC813" s="35"/>
      <c r="BD813" s="35"/>
      <c r="BE813" s="35"/>
      <c r="BF813" s="35"/>
      <c r="BG813" s="35"/>
      <c r="BH813" s="35"/>
      <c r="BI813" s="35"/>
      <c r="BJ813" s="35"/>
      <c r="BK813" s="35"/>
      <c r="BL813" s="35"/>
      <c r="BM813" s="35"/>
      <c r="BN813" s="35"/>
      <c r="BO813" s="35"/>
      <c r="BP813" s="35"/>
      <c r="BQ813" s="35"/>
      <c r="BR813" s="35"/>
      <c r="BS813" s="35"/>
      <c r="BT813" s="35"/>
      <c r="BU813" s="35"/>
      <c r="BV813" s="35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35"/>
      <c r="CO813" s="35"/>
      <c r="CP813" s="35"/>
      <c r="CQ813" s="35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35"/>
      <c r="DJ813" s="35"/>
      <c r="DK813" s="35"/>
      <c r="DL813" s="35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35"/>
      <c r="EE813" s="35"/>
      <c r="EF813" s="35"/>
      <c r="EG813" s="35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  <c r="ER813" s="35"/>
      <c r="ES813" s="35"/>
      <c r="ET813" s="35"/>
      <c r="EU813" s="35"/>
      <c r="EV813" s="35"/>
      <c r="EW813" s="35"/>
      <c r="EX813" s="35"/>
      <c r="EY813" s="35"/>
      <c r="EZ813" s="35"/>
      <c r="FA813" s="35"/>
      <c r="FB813" s="35"/>
      <c r="FC813" s="35"/>
      <c r="FD813" s="35"/>
      <c r="FE813" s="35"/>
      <c r="FF813" s="35"/>
      <c r="FG813" s="35"/>
      <c r="FH813" s="35"/>
      <c r="FI813" s="35"/>
      <c r="FJ813" s="35"/>
      <c r="FK813" s="35"/>
      <c r="FL813" s="35"/>
      <c r="FM813" s="35"/>
      <c r="FN813" s="35"/>
      <c r="FO813" s="35"/>
      <c r="FP813" s="35"/>
      <c r="FQ813" s="35"/>
      <c r="FR813" s="35"/>
      <c r="FS813" s="35"/>
      <c r="FT813" s="35"/>
      <c r="FU813" s="35"/>
      <c r="FV813" s="35"/>
      <c r="FW813" s="35"/>
      <c r="FX813" s="35"/>
      <c r="FY813" s="35"/>
      <c r="FZ813" s="35"/>
      <c r="GA813" s="35"/>
      <c r="GB813" s="35"/>
      <c r="GC813" s="35"/>
      <c r="GD813" s="35"/>
      <c r="GE813" s="35"/>
      <c r="GF813" s="35"/>
      <c r="GG813" s="35"/>
      <c r="GH813" s="35"/>
      <c r="GI813" s="35"/>
      <c r="GJ813" s="35"/>
      <c r="GK813" s="35"/>
      <c r="GL813" s="35"/>
      <c r="GM813" s="35"/>
      <c r="GN813" s="35"/>
      <c r="GO813" s="35"/>
      <c r="GP813" s="35"/>
      <c r="GQ813" s="35"/>
      <c r="GR813" s="35"/>
      <c r="GS813" s="35"/>
      <c r="GT813" s="35"/>
      <c r="GU813" s="35"/>
      <c r="GV813" s="35"/>
      <c r="GW813" s="35"/>
      <c r="GX813" s="35"/>
      <c r="GY813" s="35"/>
      <c r="GZ813" s="35"/>
      <c r="HA813" s="35"/>
      <c r="HB813" s="35"/>
      <c r="HC813" s="35"/>
      <c r="HD813" s="35"/>
      <c r="HE813" s="35"/>
      <c r="HF813" s="35"/>
      <c r="HG813" s="35"/>
      <c r="HH813" s="35"/>
      <c r="HI813" s="35"/>
      <c r="HJ813" s="35"/>
      <c r="HK813" s="35"/>
      <c r="HL813" s="35"/>
      <c r="HM813" s="35"/>
      <c r="HN813" s="35"/>
      <c r="HO813" s="35"/>
      <c r="HP813" s="35"/>
      <c r="HQ813" s="35"/>
      <c r="HR813" s="35"/>
      <c r="HS813" s="35"/>
      <c r="HT813" s="35"/>
      <c r="HU813" s="35"/>
      <c r="HV813" s="35"/>
      <c r="HW813" s="35"/>
      <c r="HX813" s="35"/>
      <c r="HY813" s="35"/>
      <c r="HZ813" s="35"/>
      <c r="IA813" s="35"/>
      <c r="IB813" s="35"/>
      <c r="IC813" s="35"/>
      <c r="ID813" s="35"/>
      <c r="IE813" s="35"/>
      <c r="IF813" s="35"/>
      <c r="IG813" s="35"/>
      <c r="IH813" s="35"/>
      <c r="II813" s="35"/>
      <c r="IJ813" s="35"/>
      <c r="IK813" s="35"/>
      <c r="IL813" s="35"/>
      <c r="IM813" s="35"/>
      <c r="IN813" s="35"/>
      <c r="IO813" s="35"/>
      <c r="IP813" s="35"/>
      <c r="IQ813" s="35"/>
      <c r="IR813" s="35"/>
      <c r="IS813" s="35"/>
      <c r="IT813" s="35"/>
      <c r="IU813" s="35"/>
      <c r="IV813" s="35"/>
      <c r="IW813" s="35"/>
      <c r="IX813" s="35"/>
      <c r="IY813" s="35"/>
      <c r="IZ813" s="35"/>
      <c r="JA813" s="35"/>
      <c r="JB813" s="35"/>
      <c r="JC813" s="35"/>
      <c r="JD813" s="35"/>
      <c r="JE813" s="35"/>
    </row>
    <row r="814">
      <c r="A814" s="42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  <c r="AZ814" s="35"/>
      <c r="BA814" s="35"/>
      <c r="BB814" s="35"/>
      <c r="BC814" s="35"/>
      <c r="BD814" s="35"/>
      <c r="BE814" s="35"/>
      <c r="BF814" s="35"/>
      <c r="BG814" s="35"/>
      <c r="BH814" s="35"/>
      <c r="BI814" s="35"/>
      <c r="BJ814" s="35"/>
      <c r="BK814" s="35"/>
      <c r="BL814" s="35"/>
      <c r="BM814" s="35"/>
      <c r="BN814" s="35"/>
      <c r="BO814" s="35"/>
      <c r="BP814" s="35"/>
      <c r="BQ814" s="35"/>
      <c r="BR814" s="35"/>
      <c r="BS814" s="35"/>
      <c r="BT814" s="35"/>
      <c r="BU814" s="35"/>
      <c r="BV814" s="35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35"/>
      <c r="CO814" s="35"/>
      <c r="CP814" s="35"/>
      <c r="CQ814" s="35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35"/>
      <c r="DJ814" s="35"/>
      <c r="DK814" s="35"/>
      <c r="DL814" s="35"/>
      <c r="DM814" s="35"/>
      <c r="DN814" s="35"/>
      <c r="DO814" s="35"/>
      <c r="DP814" s="35"/>
      <c r="DQ814" s="35"/>
      <c r="DR814" s="35"/>
      <c r="DS814" s="35"/>
      <c r="DT814" s="35"/>
      <c r="DU814" s="35"/>
      <c r="DV814" s="35"/>
      <c r="DW814" s="35"/>
      <c r="DX814" s="35"/>
      <c r="DY814" s="35"/>
      <c r="DZ814" s="35"/>
      <c r="EA814" s="35"/>
      <c r="EB814" s="35"/>
      <c r="EC814" s="35"/>
      <c r="ED814" s="35"/>
      <c r="EE814" s="35"/>
      <c r="EF814" s="35"/>
      <c r="EG814" s="35"/>
      <c r="EH814" s="35"/>
      <c r="EI814" s="35"/>
      <c r="EJ814" s="35"/>
      <c r="EK814" s="35"/>
      <c r="EL814" s="35"/>
      <c r="EM814" s="35"/>
      <c r="EN814" s="35"/>
      <c r="EO814" s="35"/>
      <c r="EP814" s="35"/>
      <c r="EQ814" s="35"/>
      <c r="ER814" s="35"/>
      <c r="ES814" s="35"/>
      <c r="ET814" s="35"/>
      <c r="EU814" s="35"/>
      <c r="EV814" s="35"/>
      <c r="EW814" s="35"/>
      <c r="EX814" s="35"/>
      <c r="EY814" s="35"/>
      <c r="EZ814" s="35"/>
      <c r="FA814" s="35"/>
      <c r="FB814" s="35"/>
      <c r="FC814" s="35"/>
      <c r="FD814" s="35"/>
      <c r="FE814" s="35"/>
      <c r="FF814" s="35"/>
      <c r="FG814" s="35"/>
      <c r="FH814" s="35"/>
      <c r="FI814" s="35"/>
      <c r="FJ814" s="35"/>
      <c r="FK814" s="35"/>
      <c r="FL814" s="35"/>
      <c r="FM814" s="35"/>
      <c r="FN814" s="35"/>
      <c r="FO814" s="35"/>
      <c r="FP814" s="35"/>
      <c r="FQ814" s="35"/>
      <c r="FR814" s="35"/>
      <c r="FS814" s="35"/>
      <c r="FT814" s="35"/>
      <c r="FU814" s="35"/>
      <c r="FV814" s="35"/>
      <c r="FW814" s="35"/>
      <c r="FX814" s="35"/>
      <c r="FY814" s="35"/>
      <c r="FZ814" s="35"/>
      <c r="GA814" s="35"/>
      <c r="GB814" s="35"/>
      <c r="GC814" s="35"/>
      <c r="GD814" s="35"/>
      <c r="GE814" s="35"/>
      <c r="GF814" s="35"/>
      <c r="GG814" s="35"/>
      <c r="GH814" s="35"/>
      <c r="GI814" s="35"/>
      <c r="GJ814" s="35"/>
      <c r="GK814" s="35"/>
      <c r="GL814" s="35"/>
      <c r="GM814" s="35"/>
      <c r="GN814" s="35"/>
      <c r="GO814" s="35"/>
      <c r="GP814" s="35"/>
      <c r="GQ814" s="35"/>
      <c r="GR814" s="35"/>
      <c r="GS814" s="35"/>
      <c r="GT814" s="35"/>
      <c r="GU814" s="35"/>
      <c r="GV814" s="35"/>
      <c r="GW814" s="35"/>
      <c r="GX814" s="35"/>
      <c r="GY814" s="35"/>
      <c r="GZ814" s="35"/>
      <c r="HA814" s="35"/>
      <c r="HB814" s="35"/>
      <c r="HC814" s="35"/>
      <c r="HD814" s="35"/>
      <c r="HE814" s="35"/>
      <c r="HF814" s="35"/>
      <c r="HG814" s="35"/>
      <c r="HH814" s="35"/>
      <c r="HI814" s="35"/>
      <c r="HJ814" s="35"/>
      <c r="HK814" s="35"/>
      <c r="HL814" s="35"/>
      <c r="HM814" s="35"/>
      <c r="HN814" s="35"/>
      <c r="HO814" s="35"/>
      <c r="HP814" s="35"/>
      <c r="HQ814" s="35"/>
      <c r="HR814" s="35"/>
      <c r="HS814" s="35"/>
      <c r="HT814" s="35"/>
      <c r="HU814" s="35"/>
      <c r="HV814" s="35"/>
      <c r="HW814" s="35"/>
      <c r="HX814" s="35"/>
      <c r="HY814" s="35"/>
      <c r="HZ814" s="35"/>
      <c r="IA814" s="35"/>
      <c r="IB814" s="35"/>
      <c r="IC814" s="35"/>
      <c r="ID814" s="35"/>
      <c r="IE814" s="35"/>
      <c r="IF814" s="35"/>
      <c r="IG814" s="35"/>
      <c r="IH814" s="35"/>
      <c r="II814" s="35"/>
      <c r="IJ814" s="35"/>
      <c r="IK814" s="35"/>
      <c r="IL814" s="35"/>
      <c r="IM814" s="35"/>
      <c r="IN814" s="35"/>
      <c r="IO814" s="35"/>
      <c r="IP814" s="35"/>
      <c r="IQ814" s="35"/>
      <c r="IR814" s="35"/>
      <c r="IS814" s="35"/>
      <c r="IT814" s="35"/>
      <c r="IU814" s="35"/>
      <c r="IV814" s="35"/>
      <c r="IW814" s="35"/>
      <c r="IX814" s="35"/>
      <c r="IY814" s="35"/>
      <c r="IZ814" s="35"/>
      <c r="JA814" s="35"/>
      <c r="JB814" s="35"/>
      <c r="JC814" s="35"/>
      <c r="JD814" s="35"/>
      <c r="JE814" s="35"/>
    </row>
    <row r="815">
      <c r="A815" s="42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35"/>
      <c r="BA815" s="35"/>
      <c r="BB815" s="35"/>
      <c r="BC815" s="35"/>
      <c r="BD815" s="35"/>
      <c r="BE815" s="35"/>
      <c r="BF815" s="35"/>
      <c r="BG815" s="35"/>
      <c r="BH815" s="35"/>
      <c r="BI815" s="35"/>
      <c r="BJ815" s="35"/>
      <c r="BK815" s="35"/>
      <c r="BL815" s="35"/>
      <c r="BM815" s="35"/>
      <c r="BN815" s="35"/>
      <c r="BO815" s="35"/>
      <c r="BP815" s="35"/>
      <c r="BQ815" s="35"/>
      <c r="BR815" s="35"/>
      <c r="BS815" s="35"/>
      <c r="BT815" s="35"/>
      <c r="BU815" s="35"/>
      <c r="BV815" s="35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35"/>
      <c r="CO815" s="35"/>
      <c r="CP815" s="35"/>
      <c r="CQ815" s="35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35"/>
      <c r="DJ815" s="35"/>
      <c r="DK815" s="35"/>
      <c r="DL815" s="35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/>
      <c r="EA815" s="35"/>
      <c r="EB815" s="35"/>
      <c r="EC815" s="35"/>
      <c r="ED815" s="35"/>
      <c r="EE815" s="35"/>
      <c r="EF815" s="35"/>
      <c r="EG815" s="35"/>
      <c r="EH815" s="35"/>
      <c r="EI815" s="35"/>
      <c r="EJ815" s="35"/>
      <c r="EK815" s="35"/>
      <c r="EL815" s="35"/>
      <c r="EM815" s="35"/>
      <c r="EN815" s="35"/>
      <c r="EO815" s="35"/>
      <c r="EP815" s="35"/>
      <c r="EQ815" s="35"/>
      <c r="ER815" s="35"/>
      <c r="ES815" s="35"/>
      <c r="ET815" s="35"/>
      <c r="EU815" s="35"/>
      <c r="EV815" s="35"/>
      <c r="EW815" s="35"/>
      <c r="EX815" s="35"/>
      <c r="EY815" s="35"/>
      <c r="EZ815" s="35"/>
      <c r="FA815" s="35"/>
      <c r="FB815" s="35"/>
      <c r="FC815" s="35"/>
      <c r="FD815" s="35"/>
      <c r="FE815" s="35"/>
      <c r="FF815" s="35"/>
      <c r="FG815" s="35"/>
      <c r="FH815" s="35"/>
      <c r="FI815" s="35"/>
      <c r="FJ815" s="35"/>
      <c r="FK815" s="35"/>
      <c r="FL815" s="35"/>
      <c r="FM815" s="35"/>
      <c r="FN815" s="35"/>
      <c r="FO815" s="35"/>
      <c r="FP815" s="35"/>
      <c r="FQ815" s="35"/>
      <c r="FR815" s="35"/>
      <c r="FS815" s="35"/>
      <c r="FT815" s="35"/>
      <c r="FU815" s="35"/>
      <c r="FV815" s="35"/>
      <c r="FW815" s="35"/>
      <c r="FX815" s="35"/>
      <c r="FY815" s="35"/>
      <c r="FZ815" s="35"/>
      <c r="GA815" s="35"/>
      <c r="GB815" s="35"/>
      <c r="GC815" s="35"/>
      <c r="GD815" s="35"/>
      <c r="GE815" s="35"/>
      <c r="GF815" s="35"/>
      <c r="GG815" s="35"/>
      <c r="GH815" s="35"/>
      <c r="GI815" s="35"/>
      <c r="GJ815" s="35"/>
      <c r="GK815" s="35"/>
      <c r="GL815" s="35"/>
      <c r="GM815" s="35"/>
      <c r="GN815" s="35"/>
      <c r="GO815" s="35"/>
      <c r="GP815" s="35"/>
      <c r="GQ815" s="35"/>
      <c r="GR815" s="35"/>
      <c r="GS815" s="35"/>
      <c r="GT815" s="35"/>
      <c r="GU815" s="35"/>
      <c r="GV815" s="35"/>
      <c r="GW815" s="35"/>
      <c r="GX815" s="35"/>
      <c r="GY815" s="35"/>
      <c r="GZ815" s="35"/>
      <c r="HA815" s="35"/>
      <c r="HB815" s="35"/>
      <c r="HC815" s="35"/>
      <c r="HD815" s="35"/>
      <c r="HE815" s="35"/>
      <c r="HF815" s="35"/>
      <c r="HG815" s="35"/>
      <c r="HH815" s="35"/>
      <c r="HI815" s="35"/>
      <c r="HJ815" s="35"/>
      <c r="HK815" s="35"/>
      <c r="HL815" s="35"/>
      <c r="HM815" s="35"/>
      <c r="HN815" s="35"/>
      <c r="HO815" s="35"/>
      <c r="HP815" s="35"/>
      <c r="HQ815" s="35"/>
      <c r="HR815" s="35"/>
      <c r="HS815" s="35"/>
      <c r="HT815" s="35"/>
      <c r="HU815" s="35"/>
      <c r="HV815" s="35"/>
      <c r="HW815" s="35"/>
      <c r="HX815" s="35"/>
      <c r="HY815" s="35"/>
      <c r="HZ815" s="35"/>
      <c r="IA815" s="35"/>
      <c r="IB815" s="35"/>
      <c r="IC815" s="35"/>
      <c r="ID815" s="35"/>
      <c r="IE815" s="35"/>
      <c r="IF815" s="35"/>
      <c r="IG815" s="35"/>
      <c r="IH815" s="35"/>
      <c r="II815" s="35"/>
      <c r="IJ815" s="35"/>
      <c r="IK815" s="35"/>
      <c r="IL815" s="35"/>
      <c r="IM815" s="35"/>
      <c r="IN815" s="35"/>
      <c r="IO815" s="35"/>
      <c r="IP815" s="35"/>
      <c r="IQ815" s="35"/>
      <c r="IR815" s="35"/>
      <c r="IS815" s="35"/>
      <c r="IT815" s="35"/>
      <c r="IU815" s="35"/>
      <c r="IV815" s="35"/>
      <c r="IW815" s="35"/>
      <c r="IX815" s="35"/>
      <c r="IY815" s="35"/>
      <c r="IZ815" s="35"/>
      <c r="JA815" s="35"/>
      <c r="JB815" s="35"/>
      <c r="JC815" s="35"/>
      <c r="JD815" s="35"/>
      <c r="JE815" s="35"/>
    </row>
    <row r="816">
      <c r="A816" s="42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  <c r="AZ816" s="35"/>
      <c r="BA816" s="35"/>
      <c r="BB816" s="35"/>
      <c r="BC816" s="35"/>
      <c r="BD816" s="35"/>
      <c r="BE816" s="35"/>
      <c r="BF816" s="35"/>
      <c r="BG816" s="35"/>
      <c r="BH816" s="35"/>
      <c r="BI816" s="35"/>
      <c r="BJ816" s="35"/>
      <c r="BK816" s="35"/>
      <c r="BL816" s="35"/>
      <c r="BM816" s="35"/>
      <c r="BN816" s="35"/>
      <c r="BO816" s="35"/>
      <c r="BP816" s="35"/>
      <c r="BQ816" s="35"/>
      <c r="BR816" s="35"/>
      <c r="BS816" s="35"/>
      <c r="BT816" s="35"/>
      <c r="BU816" s="35"/>
      <c r="BV816" s="35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35"/>
      <c r="CO816" s="35"/>
      <c r="CP816" s="35"/>
      <c r="CQ816" s="35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35"/>
      <c r="DJ816" s="35"/>
      <c r="DK816" s="35"/>
      <c r="DL816" s="35"/>
      <c r="DM816" s="35"/>
      <c r="DN816" s="35"/>
      <c r="DO816" s="35"/>
      <c r="DP816" s="35"/>
      <c r="DQ816" s="35"/>
      <c r="DR816" s="35"/>
      <c r="DS816" s="35"/>
      <c r="DT816" s="35"/>
      <c r="DU816" s="35"/>
      <c r="DV816" s="35"/>
      <c r="DW816" s="35"/>
      <c r="DX816" s="35"/>
      <c r="DY816" s="35"/>
      <c r="DZ816" s="35"/>
      <c r="EA816" s="35"/>
      <c r="EB816" s="35"/>
      <c r="EC816" s="35"/>
      <c r="ED816" s="35"/>
      <c r="EE816" s="35"/>
      <c r="EF816" s="35"/>
      <c r="EG816" s="35"/>
      <c r="EH816" s="35"/>
      <c r="EI816" s="35"/>
      <c r="EJ816" s="35"/>
      <c r="EK816" s="35"/>
      <c r="EL816" s="35"/>
      <c r="EM816" s="35"/>
      <c r="EN816" s="35"/>
      <c r="EO816" s="35"/>
      <c r="EP816" s="35"/>
      <c r="EQ816" s="35"/>
      <c r="ER816" s="35"/>
      <c r="ES816" s="35"/>
      <c r="ET816" s="35"/>
      <c r="EU816" s="35"/>
      <c r="EV816" s="35"/>
      <c r="EW816" s="35"/>
      <c r="EX816" s="35"/>
      <c r="EY816" s="35"/>
      <c r="EZ816" s="35"/>
      <c r="FA816" s="35"/>
      <c r="FB816" s="35"/>
      <c r="FC816" s="35"/>
      <c r="FD816" s="35"/>
      <c r="FE816" s="35"/>
      <c r="FF816" s="35"/>
      <c r="FG816" s="35"/>
      <c r="FH816" s="35"/>
      <c r="FI816" s="35"/>
      <c r="FJ816" s="35"/>
      <c r="FK816" s="35"/>
      <c r="FL816" s="35"/>
      <c r="FM816" s="35"/>
      <c r="FN816" s="35"/>
      <c r="FO816" s="35"/>
      <c r="FP816" s="35"/>
      <c r="FQ816" s="35"/>
      <c r="FR816" s="35"/>
      <c r="FS816" s="35"/>
      <c r="FT816" s="35"/>
      <c r="FU816" s="35"/>
      <c r="FV816" s="35"/>
      <c r="FW816" s="35"/>
      <c r="FX816" s="35"/>
      <c r="FY816" s="35"/>
      <c r="FZ816" s="35"/>
      <c r="GA816" s="35"/>
      <c r="GB816" s="35"/>
      <c r="GC816" s="35"/>
      <c r="GD816" s="35"/>
      <c r="GE816" s="35"/>
      <c r="GF816" s="35"/>
      <c r="GG816" s="35"/>
      <c r="GH816" s="35"/>
      <c r="GI816" s="35"/>
      <c r="GJ816" s="35"/>
      <c r="GK816" s="35"/>
      <c r="GL816" s="35"/>
      <c r="GM816" s="35"/>
      <c r="GN816" s="35"/>
      <c r="GO816" s="35"/>
      <c r="GP816" s="35"/>
      <c r="GQ816" s="35"/>
      <c r="GR816" s="35"/>
      <c r="GS816" s="35"/>
      <c r="GT816" s="35"/>
      <c r="GU816" s="35"/>
      <c r="GV816" s="35"/>
      <c r="GW816" s="35"/>
      <c r="GX816" s="35"/>
      <c r="GY816" s="35"/>
      <c r="GZ816" s="35"/>
      <c r="HA816" s="35"/>
      <c r="HB816" s="35"/>
      <c r="HC816" s="35"/>
      <c r="HD816" s="35"/>
      <c r="HE816" s="35"/>
      <c r="HF816" s="35"/>
      <c r="HG816" s="35"/>
      <c r="HH816" s="35"/>
      <c r="HI816" s="35"/>
      <c r="HJ816" s="35"/>
      <c r="HK816" s="35"/>
      <c r="HL816" s="35"/>
      <c r="HM816" s="35"/>
      <c r="HN816" s="35"/>
      <c r="HO816" s="35"/>
      <c r="HP816" s="35"/>
      <c r="HQ816" s="35"/>
      <c r="HR816" s="35"/>
      <c r="HS816" s="35"/>
      <c r="HT816" s="35"/>
      <c r="HU816" s="35"/>
      <c r="HV816" s="35"/>
      <c r="HW816" s="35"/>
      <c r="HX816" s="35"/>
      <c r="HY816" s="35"/>
      <c r="HZ816" s="35"/>
      <c r="IA816" s="35"/>
      <c r="IB816" s="35"/>
      <c r="IC816" s="35"/>
      <c r="ID816" s="35"/>
      <c r="IE816" s="35"/>
      <c r="IF816" s="35"/>
      <c r="IG816" s="35"/>
      <c r="IH816" s="35"/>
      <c r="II816" s="35"/>
      <c r="IJ816" s="35"/>
      <c r="IK816" s="35"/>
      <c r="IL816" s="35"/>
      <c r="IM816" s="35"/>
      <c r="IN816" s="35"/>
      <c r="IO816" s="35"/>
      <c r="IP816" s="35"/>
      <c r="IQ816" s="35"/>
      <c r="IR816" s="35"/>
      <c r="IS816" s="35"/>
      <c r="IT816" s="35"/>
      <c r="IU816" s="35"/>
      <c r="IV816" s="35"/>
      <c r="IW816" s="35"/>
      <c r="IX816" s="35"/>
      <c r="IY816" s="35"/>
      <c r="IZ816" s="35"/>
      <c r="JA816" s="35"/>
      <c r="JB816" s="35"/>
      <c r="JC816" s="35"/>
      <c r="JD816" s="35"/>
      <c r="JE816" s="35"/>
    </row>
    <row r="817">
      <c r="A817" s="42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  <c r="AZ817" s="35"/>
      <c r="BA817" s="35"/>
      <c r="BB817" s="35"/>
      <c r="BC817" s="35"/>
      <c r="BD817" s="35"/>
      <c r="BE817" s="35"/>
      <c r="BF817" s="35"/>
      <c r="BG817" s="35"/>
      <c r="BH817" s="35"/>
      <c r="BI817" s="35"/>
      <c r="BJ817" s="35"/>
      <c r="BK817" s="35"/>
      <c r="BL817" s="35"/>
      <c r="BM817" s="35"/>
      <c r="BN817" s="35"/>
      <c r="BO817" s="35"/>
      <c r="BP817" s="35"/>
      <c r="BQ817" s="35"/>
      <c r="BR817" s="35"/>
      <c r="BS817" s="35"/>
      <c r="BT817" s="35"/>
      <c r="BU817" s="35"/>
      <c r="BV817" s="35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35"/>
      <c r="CO817" s="35"/>
      <c r="CP817" s="35"/>
      <c r="CQ817" s="35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35"/>
      <c r="DJ817" s="35"/>
      <c r="DK817" s="35"/>
      <c r="DL817" s="35"/>
      <c r="DM817" s="35"/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s="35"/>
      <c r="EE817" s="35"/>
      <c r="EF817" s="35"/>
      <c r="EG817" s="35"/>
      <c r="EH817" s="35"/>
      <c r="EI817" s="35"/>
      <c r="EJ817" s="35"/>
      <c r="EK817" s="35"/>
      <c r="EL817" s="35"/>
      <c r="EM817" s="35"/>
      <c r="EN817" s="35"/>
      <c r="EO817" s="35"/>
      <c r="EP817" s="35"/>
      <c r="EQ817" s="35"/>
      <c r="ER817" s="35"/>
      <c r="ES817" s="35"/>
      <c r="ET817" s="35"/>
      <c r="EU817" s="35"/>
      <c r="EV817" s="35"/>
      <c r="EW817" s="35"/>
      <c r="EX817" s="35"/>
      <c r="EY817" s="35"/>
      <c r="EZ817" s="35"/>
      <c r="FA817" s="35"/>
      <c r="FB817" s="35"/>
      <c r="FC817" s="35"/>
      <c r="FD817" s="35"/>
      <c r="FE817" s="35"/>
      <c r="FF817" s="35"/>
      <c r="FG817" s="35"/>
      <c r="FH817" s="35"/>
      <c r="FI817" s="35"/>
      <c r="FJ817" s="35"/>
      <c r="FK817" s="35"/>
      <c r="FL817" s="35"/>
      <c r="FM817" s="35"/>
      <c r="FN817" s="35"/>
      <c r="FO817" s="35"/>
      <c r="FP817" s="35"/>
      <c r="FQ817" s="35"/>
      <c r="FR817" s="35"/>
      <c r="FS817" s="35"/>
      <c r="FT817" s="35"/>
      <c r="FU817" s="35"/>
      <c r="FV817" s="35"/>
      <c r="FW817" s="35"/>
      <c r="FX817" s="35"/>
      <c r="FY817" s="35"/>
      <c r="FZ817" s="35"/>
      <c r="GA817" s="35"/>
      <c r="GB817" s="35"/>
      <c r="GC817" s="35"/>
      <c r="GD817" s="35"/>
      <c r="GE817" s="35"/>
      <c r="GF817" s="35"/>
      <c r="GG817" s="35"/>
      <c r="GH817" s="35"/>
      <c r="GI817" s="35"/>
      <c r="GJ817" s="35"/>
      <c r="GK817" s="35"/>
      <c r="GL817" s="35"/>
      <c r="GM817" s="35"/>
      <c r="GN817" s="35"/>
      <c r="GO817" s="35"/>
      <c r="GP817" s="35"/>
      <c r="GQ817" s="35"/>
      <c r="GR817" s="35"/>
      <c r="GS817" s="35"/>
      <c r="GT817" s="35"/>
      <c r="GU817" s="35"/>
      <c r="GV817" s="35"/>
      <c r="GW817" s="35"/>
      <c r="GX817" s="35"/>
      <c r="GY817" s="35"/>
      <c r="GZ817" s="35"/>
      <c r="HA817" s="35"/>
      <c r="HB817" s="35"/>
      <c r="HC817" s="35"/>
      <c r="HD817" s="35"/>
      <c r="HE817" s="35"/>
      <c r="HF817" s="35"/>
      <c r="HG817" s="35"/>
      <c r="HH817" s="35"/>
      <c r="HI817" s="35"/>
      <c r="HJ817" s="35"/>
      <c r="HK817" s="35"/>
      <c r="HL817" s="35"/>
      <c r="HM817" s="35"/>
      <c r="HN817" s="35"/>
      <c r="HO817" s="35"/>
      <c r="HP817" s="35"/>
      <c r="HQ817" s="35"/>
      <c r="HR817" s="35"/>
      <c r="HS817" s="35"/>
      <c r="HT817" s="35"/>
      <c r="HU817" s="35"/>
      <c r="HV817" s="35"/>
      <c r="HW817" s="35"/>
      <c r="HX817" s="35"/>
      <c r="HY817" s="35"/>
      <c r="HZ817" s="35"/>
      <c r="IA817" s="35"/>
      <c r="IB817" s="35"/>
      <c r="IC817" s="35"/>
      <c r="ID817" s="35"/>
      <c r="IE817" s="35"/>
      <c r="IF817" s="35"/>
      <c r="IG817" s="35"/>
      <c r="IH817" s="35"/>
      <c r="II817" s="35"/>
      <c r="IJ817" s="35"/>
      <c r="IK817" s="35"/>
      <c r="IL817" s="35"/>
      <c r="IM817" s="35"/>
      <c r="IN817" s="35"/>
      <c r="IO817" s="35"/>
      <c r="IP817" s="35"/>
      <c r="IQ817" s="35"/>
      <c r="IR817" s="35"/>
      <c r="IS817" s="35"/>
      <c r="IT817" s="35"/>
      <c r="IU817" s="35"/>
      <c r="IV817" s="35"/>
      <c r="IW817" s="35"/>
      <c r="IX817" s="35"/>
      <c r="IY817" s="35"/>
      <c r="IZ817" s="35"/>
      <c r="JA817" s="35"/>
      <c r="JB817" s="35"/>
      <c r="JC817" s="35"/>
      <c r="JD817" s="35"/>
      <c r="JE817" s="35"/>
    </row>
    <row r="818">
      <c r="A818" s="42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35"/>
      <c r="BA818" s="35"/>
      <c r="BB818" s="35"/>
      <c r="BC818" s="35"/>
      <c r="BD818" s="35"/>
      <c r="BE818" s="35"/>
      <c r="BF818" s="35"/>
      <c r="BG818" s="35"/>
      <c r="BH818" s="35"/>
      <c r="BI818" s="35"/>
      <c r="BJ818" s="35"/>
      <c r="BK818" s="35"/>
      <c r="BL818" s="35"/>
      <c r="BM818" s="35"/>
      <c r="BN818" s="35"/>
      <c r="BO818" s="35"/>
      <c r="BP818" s="35"/>
      <c r="BQ818" s="35"/>
      <c r="BR818" s="35"/>
      <c r="BS818" s="35"/>
      <c r="BT818" s="35"/>
      <c r="BU818" s="35"/>
      <c r="BV818" s="35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35"/>
      <c r="CO818" s="35"/>
      <c r="CP818" s="35"/>
      <c r="CQ818" s="35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35"/>
      <c r="DJ818" s="35"/>
      <c r="DK818" s="35"/>
      <c r="DL818" s="35"/>
      <c r="DM818" s="35"/>
      <c r="DN818" s="35"/>
      <c r="DO818" s="35"/>
      <c r="DP818" s="35"/>
      <c r="DQ818" s="35"/>
      <c r="DR818" s="35"/>
      <c r="DS818" s="35"/>
      <c r="DT818" s="35"/>
      <c r="DU818" s="35"/>
      <c r="DV818" s="35"/>
      <c r="DW818" s="35"/>
      <c r="DX818" s="35"/>
      <c r="DY818" s="35"/>
      <c r="DZ818" s="35"/>
      <c r="EA818" s="35"/>
      <c r="EB818" s="35"/>
      <c r="EC818" s="35"/>
      <c r="ED818" s="35"/>
      <c r="EE818" s="35"/>
      <c r="EF818" s="35"/>
      <c r="EG818" s="35"/>
      <c r="EH818" s="35"/>
      <c r="EI818" s="35"/>
      <c r="EJ818" s="35"/>
      <c r="EK818" s="35"/>
      <c r="EL818" s="35"/>
      <c r="EM818" s="35"/>
      <c r="EN818" s="35"/>
      <c r="EO818" s="35"/>
      <c r="EP818" s="35"/>
      <c r="EQ818" s="35"/>
      <c r="ER818" s="35"/>
      <c r="ES818" s="35"/>
      <c r="ET818" s="35"/>
      <c r="EU818" s="35"/>
      <c r="EV818" s="35"/>
      <c r="EW818" s="35"/>
      <c r="EX818" s="35"/>
      <c r="EY818" s="35"/>
      <c r="EZ818" s="35"/>
      <c r="FA818" s="35"/>
      <c r="FB818" s="35"/>
      <c r="FC818" s="35"/>
      <c r="FD818" s="35"/>
      <c r="FE818" s="35"/>
      <c r="FF818" s="35"/>
      <c r="FG818" s="35"/>
      <c r="FH818" s="35"/>
      <c r="FI818" s="35"/>
      <c r="FJ818" s="35"/>
      <c r="FK818" s="35"/>
      <c r="FL818" s="35"/>
      <c r="FM818" s="35"/>
      <c r="FN818" s="35"/>
      <c r="FO818" s="35"/>
      <c r="FP818" s="35"/>
      <c r="FQ818" s="35"/>
      <c r="FR818" s="35"/>
      <c r="FS818" s="35"/>
      <c r="FT818" s="35"/>
      <c r="FU818" s="35"/>
      <c r="FV818" s="35"/>
      <c r="FW818" s="35"/>
      <c r="FX818" s="35"/>
      <c r="FY818" s="35"/>
      <c r="FZ818" s="35"/>
      <c r="GA818" s="35"/>
      <c r="GB818" s="35"/>
      <c r="GC818" s="35"/>
      <c r="GD818" s="35"/>
      <c r="GE818" s="35"/>
      <c r="GF818" s="35"/>
      <c r="GG818" s="35"/>
      <c r="GH818" s="35"/>
      <c r="GI818" s="35"/>
      <c r="GJ818" s="35"/>
      <c r="GK818" s="35"/>
      <c r="GL818" s="35"/>
      <c r="GM818" s="35"/>
      <c r="GN818" s="35"/>
      <c r="GO818" s="35"/>
      <c r="GP818" s="35"/>
      <c r="GQ818" s="35"/>
      <c r="GR818" s="35"/>
      <c r="GS818" s="35"/>
      <c r="GT818" s="35"/>
      <c r="GU818" s="35"/>
      <c r="GV818" s="35"/>
      <c r="GW818" s="35"/>
      <c r="GX818" s="35"/>
      <c r="GY818" s="35"/>
      <c r="GZ818" s="35"/>
      <c r="HA818" s="35"/>
      <c r="HB818" s="35"/>
      <c r="HC818" s="35"/>
      <c r="HD818" s="35"/>
      <c r="HE818" s="35"/>
      <c r="HF818" s="35"/>
      <c r="HG818" s="35"/>
      <c r="HH818" s="35"/>
      <c r="HI818" s="35"/>
      <c r="HJ818" s="35"/>
      <c r="HK818" s="35"/>
      <c r="HL818" s="35"/>
      <c r="HM818" s="35"/>
      <c r="HN818" s="35"/>
      <c r="HO818" s="35"/>
      <c r="HP818" s="35"/>
      <c r="HQ818" s="35"/>
      <c r="HR818" s="35"/>
      <c r="HS818" s="35"/>
      <c r="HT818" s="35"/>
      <c r="HU818" s="35"/>
      <c r="HV818" s="35"/>
      <c r="HW818" s="35"/>
      <c r="HX818" s="35"/>
      <c r="HY818" s="35"/>
      <c r="HZ818" s="35"/>
      <c r="IA818" s="35"/>
      <c r="IB818" s="35"/>
      <c r="IC818" s="35"/>
      <c r="ID818" s="35"/>
      <c r="IE818" s="35"/>
      <c r="IF818" s="35"/>
      <c r="IG818" s="35"/>
      <c r="IH818" s="35"/>
      <c r="II818" s="35"/>
      <c r="IJ818" s="35"/>
      <c r="IK818" s="35"/>
      <c r="IL818" s="35"/>
      <c r="IM818" s="35"/>
      <c r="IN818" s="35"/>
      <c r="IO818" s="35"/>
      <c r="IP818" s="35"/>
      <c r="IQ818" s="35"/>
      <c r="IR818" s="35"/>
      <c r="IS818" s="35"/>
      <c r="IT818" s="35"/>
      <c r="IU818" s="35"/>
      <c r="IV818" s="35"/>
      <c r="IW818" s="35"/>
      <c r="IX818" s="35"/>
      <c r="IY818" s="35"/>
      <c r="IZ818" s="35"/>
      <c r="JA818" s="35"/>
      <c r="JB818" s="35"/>
      <c r="JC818" s="35"/>
      <c r="JD818" s="35"/>
      <c r="JE818" s="35"/>
    </row>
    <row r="819">
      <c r="A819" s="42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  <c r="AZ819" s="35"/>
      <c r="BA819" s="35"/>
      <c r="BB819" s="35"/>
      <c r="BC819" s="35"/>
      <c r="BD819" s="35"/>
      <c r="BE819" s="35"/>
      <c r="BF819" s="35"/>
      <c r="BG819" s="35"/>
      <c r="BH819" s="35"/>
      <c r="BI819" s="35"/>
      <c r="BJ819" s="35"/>
      <c r="BK819" s="35"/>
      <c r="BL819" s="35"/>
      <c r="BM819" s="35"/>
      <c r="BN819" s="35"/>
      <c r="BO819" s="35"/>
      <c r="BP819" s="35"/>
      <c r="BQ819" s="35"/>
      <c r="BR819" s="35"/>
      <c r="BS819" s="35"/>
      <c r="BT819" s="35"/>
      <c r="BU819" s="35"/>
      <c r="BV819" s="35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35"/>
      <c r="CO819" s="35"/>
      <c r="CP819" s="35"/>
      <c r="CQ819" s="35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35"/>
      <c r="DJ819" s="35"/>
      <c r="DK819" s="35"/>
      <c r="DL819" s="35"/>
      <c r="DM819" s="35"/>
      <c r="DN819" s="35"/>
      <c r="DO819" s="35"/>
      <c r="DP819" s="35"/>
      <c r="DQ819" s="35"/>
      <c r="DR819" s="35"/>
      <c r="DS819" s="35"/>
      <c r="DT819" s="35"/>
      <c r="DU819" s="35"/>
      <c r="DV819" s="35"/>
      <c r="DW819" s="35"/>
      <c r="DX819" s="35"/>
      <c r="DY819" s="35"/>
      <c r="DZ819" s="35"/>
      <c r="EA819" s="35"/>
      <c r="EB819" s="35"/>
      <c r="EC819" s="35"/>
      <c r="ED819" s="35"/>
      <c r="EE819" s="35"/>
      <c r="EF819" s="35"/>
      <c r="EG819" s="35"/>
      <c r="EH819" s="35"/>
      <c r="EI819" s="35"/>
      <c r="EJ819" s="35"/>
      <c r="EK819" s="35"/>
      <c r="EL819" s="35"/>
      <c r="EM819" s="35"/>
      <c r="EN819" s="35"/>
      <c r="EO819" s="35"/>
      <c r="EP819" s="35"/>
      <c r="EQ819" s="35"/>
      <c r="ER819" s="35"/>
      <c r="ES819" s="35"/>
      <c r="ET819" s="35"/>
      <c r="EU819" s="35"/>
      <c r="EV819" s="35"/>
      <c r="EW819" s="35"/>
      <c r="EX819" s="35"/>
      <c r="EY819" s="35"/>
      <c r="EZ819" s="35"/>
      <c r="FA819" s="35"/>
      <c r="FB819" s="35"/>
      <c r="FC819" s="35"/>
      <c r="FD819" s="35"/>
      <c r="FE819" s="35"/>
      <c r="FF819" s="35"/>
      <c r="FG819" s="35"/>
      <c r="FH819" s="35"/>
      <c r="FI819" s="35"/>
      <c r="FJ819" s="35"/>
      <c r="FK819" s="35"/>
      <c r="FL819" s="35"/>
      <c r="FM819" s="35"/>
      <c r="FN819" s="35"/>
      <c r="FO819" s="35"/>
      <c r="FP819" s="35"/>
      <c r="FQ819" s="35"/>
      <c r="FR819" s="35"/>
      <c r="FS819" s="35"/>
      <c r="FT819" s="35"/>
      <c r="FU819" s="35"/>
      <c r="FV819" s="35"/>
      <c r="FW819" s="35"/>
      <c r="FX819" s="35"/>
      <c r="FY819" s="35"/>
      <c r="FZ819" s="35"/>
      <c r="GA819" s="35"/>
      <c r="GB819" s="35"/>
      <c r="GC819" s="35"/>
      <c r="GD819" s="35"/>
      <c r="GE819" s="35"/>
      <c r="GF819" s="35"/>
      <c r="GG819" s="35"/>
      <c r="GH819" s="35"/>
      <c r="GI819" s="35"/>
      <c r="GJ819" s="35"/>
      <c r="GK819" s="35"/>
      <c r="GL819" s="35"/>
      <c r="GM819" s="35"/>
      <c r="GN819" s="35"/>
      <c r="GO819" s="35"/>
      <c r="GP819" s="35"/>
      <c r="GQ819" s="35"/>
      <c r="GR819" s="35"/>
      <c r="GS819" s="35"/>
      <c r="GT819" s="35"/>
      <c r="GU819" s="35"/>
      <c r="GV819" s="35"/>
      <c r="GW819" s="35"/>
      <c r="GX819" s="35"/>
      <c r="GY819" s="35"/>
      <c r="GZ819" s="35"/>
      <c r="HA819" s="35"/>
      <c r="HB819" s="35"/>
      <c r="HC819" s="35"/>
      <c r="HD819" s="35"/>
      <c r="HE819" s="35"/>
      <c r="HF819" s="35"/>
      <c r="HG819" s="35"/>
      <c r="HH819" s="35"/>
      <c r="HI819" s="35"/>
      <c r="HJ819" s="35"/>
      <c r="HK819" s="35"/>
      <c r="HL819" s="35"/>
      <c r="HM819" s="35"/>
      <c r="HN819" s="35"/>
      <c r="HO819" s="35"/>
      <c r="HP819" s="35"/>
      <c r="HQ819" s="35"/>
      <c r="HR819" s="35"/>
      <c r="HS819" s="35"/>
      <c r="HT819" s="35"/>
      <c r="HU819" s="35"/>
      <c r="HV819" s="35"/>
      <c r="HW819" s="35"/>
      <c r="HX819" s="35"/>
      <c r="HY819" s="35"/>
      <c r="HZ819" s="35"/>
      <c r="IA819" s="35"/>
      <c r="IB819" s="35"/>
      <c r="IC819" s="35"/>
      <c r="ID819" s="35"/>
      <c r="IE819" s="35"/>
      <c r="IF819" s="35"/>
      <c r="IG819" s="35"/>
      <c r="IH819" s="35"/>
      <c r="II819" s="35"/>
      <c r="IJ819" s="35"/>
      <c r="IK819" s="35"/>
      <c r="IL819" s="35"/>
      <c r="IM819" s="35"/>
      <c r="IN819" s="35"/>
      <c r="IO819" s="35"/>
      <c r="IP819" s="35"/>
      <c r="IQ819" s="35"/>
      <c r="IR819" s="35"/>
      <c r="IS819" s="35"/>
      <c r="IT819" s="35"/>
      <c r="IU819" s="35"/>
      <c r="IV819" s="35"/>
      <c r="IW819" s="35"/>
      <c r="IX819" s="35"/>
      <c r="IY819" s="35"/>
      <c r="IZ819" s="35"/>
      <c r="JA819" s="35"/>
      <c r="JB819" s="35"/>
      <c r="JC819" s="35"/>
      <c r="JD819" s="35"/>
      <c r="JE819" s="35"/>
    </row>
    <row r="820">
      <c r="A820" s="42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35"/>
      <c r="BA820" s="35"/>
      <c r="BB820" s="35"/>
      <c r="BC820" s="35"/>
      <c r="BD820" s="35"/>
      <c r="BE820" s="35"/>
      <c r="BF820" s="35"/>
      <c r="BG820" s="35"/>
      <c r="BH820" s="35"/>
      <c r="BI820" s="35"/>
      <c r="BJ820" s="35"/>
      <c r="BK820" s="35"/>
      <c r="BL820" s="35"/>
      <c r="BM820" s="35"/>
      <c r="BN820" s="35"/>
      <c r="BO820" s="35"/>
      <c r="BP820" s="35"/>
      <c r="BQ820" s="35"/>
      <c r="BR820" s="35"/>
      <c r="BS820" s="35"/>
      <c r="BT820" s="35"/>
      <c r="BU820" s="35"/>
      <c r="BV820" s="35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35"/>
      <c r="CO820" s="35"/>
      <c r="CP820" s="35"/>
      <c r="CQ820" s="35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35"/>
      <c r="DJ820" s="35"/>
      <c r="DK820" s="35"/>
      <c r="DL820" s="35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s="35"/>
      <c r="EE820" s="35"/>
      <c r="EF820" s="35"/>
      <c r="EG820" s="35"/>
      <c r="EH820" s="35"/>
      <c r="EI820" s="35"/>
      <c r="EJ820" s="35"/>
      <c r="EK820" s="35"/>
      <c r="EL820" s="35"/>
      <c r="EM820" s="35"/>
      <c r="EN820" s="35"/>
      <c r="EO820" s="35"/>
      <c r="EP820" s="35"/>
      <c r="EQ820" s="35"/>
      <c r="ER820" s="35"/>
      <c r="ES820" s="35"/>
      <c r="ET820" s="35"/>
      <c r="EU820" s="35"/>
      <c r="EV820" s="35"/>
      <c r="EW820" s="35"/>
      <c r="EX820" s="35"/>
      <c r="EY820" s="35"/>
      <c r="EZ820" s="35"/>
      <c r="FA820" s="35"/>
      <c r="FB820" s="35"/>
      <c r="FC820" s="35"/>
      <c r="FD820" s="35"/>
      <c r="FE820" s="35"/>
      <c r="FF820" s="35"/>
      <c r="FG820" s="35"/>
      <c r="FH820" s="35"/>
      <c r="FI820" s="35"/>
      <c r="FJ820" s="35"/>
      <c r="FK820" s="35"/>
      <c r="FL820" s="35"/>
      <c r="FM820" s="35"/>
      <c r="FN820" s="35"/>
      <c r="FO820" s="35"/>
      <c r="FP820" s="35"/>
      <c r="FQ820" s="35"/>
      <c r="FR820" s="35"/>
      <c r="FS820" s="35"/>
      <c r="FT820" s="35"/>
      <c r="FU820" s="35"/>
      <c r="FV820" s="35"/>
      <c r="FW820" s="35"/>
      <c r="FX820" s="35"/>
      <c r="FY820" s="35"/>
      <c r="FZ820" s="35"/>
      <c r="GA820" s="35"/>
      <c r="GB820" s="35"/>
      <c r="GC820" s="35"/>
      <c r="GD820" s="35"/>
      <c r="GE820" s="35"/>
      <c r="GF820" s="35"/>
      <c r="GG820" s="35"/>
      <c r="GH820" s="35"/>
      <c r="GI820" s="35"/>
      <c r="GJ820" s="35"/>
      <c r="GK820" s="35"/>
      <c r="GL820" s="35"/>
      <c r="GM820" s="35"/>
      <c r="GN820" s="35"/>
      <c r="GO820" s="35"/>
      <c r="GP820" s="35"/>
      <c r="GQ820" s="35"/>
      <c r="GR820" s="35"/>
      <c r="GS820" s="35"/>
      <c r="GT820" s="35"/>
      <c r="GU820" s="35"/>
      <c r="GV820" s="35"/>
      <c r="GW820" s="35"/>
      <c r="GX820" s="35"/>
      <c r="GY820" s="35"/>
      <c r="GZ820" s="35"/>
      <c r="HA820" s="35"/>
      <c r="HB820" s="35"/>
      <c r="HC820" s="35"/>
      <c r="HD820" s="35"/>
      <c r="HE820" s="35"/>
      <c r="HF820" s="35"/>
      <c r="HG820" s="35"/>
      <c r="HH820" s="35"/>
      <c r="HI820" s="35"/>
      <c r="HJ820" s="35"/>
      <c r="HK820" s="35"/>
      <c r="HL820" s="35"/>
      <c r="HM820" s="35"/>
      <c r="HN820" s="35"/>
      <c r="HO820" s="35"/>
      <c r="HP820" s="35"/>
      <c r="HQ820" s="35"/>
      <c r="HR820" s="35"/>
      <c r="HS820" s="35"/>
      <c r="HT820" s="35"/>
      <c r="HU820" s="35"/>
      <c r="HV820" s="35"/>
      <c r="HW820" s="35"/>
      <c r="HX820" s="35"/>
      <c r="HY820" s="35"/>
      <c r="HZ820" s="35"/>
      <c r="IA820" s="35"/>
      <c r="IB820" s="35"/>
      <c r="IC820" s="35"/>
      <c r="ID820" s="35"/>
      <c r="IE820" s="35"/>
      <c r="IF820" s="35"/>
      <c r="IG820" s="35"/>
      <c r="IH820" s="35"/>
      <c r="II820" s="35"/>
      <c r="IJ820" s="35"/>
      <c r="IK820" s="35"/>
      <c r="IL820" s="35"/>
      <c r="IM820" s="35"/>
      <c r="IN820" s="35"/>
      <c r="IO820" s="35"/>
      <c r="IP820" s="35"/>
      <c r="IQ820" s="35"/>
      <c r="IR820" s="35"/>
      <c r="IS820" s="35"/>
      <c r="IT820" s="35"/>
      <c r="IU820" s="35"/>
      <c r="IV820" s="35"/>
      <c r="IW820" s="35"/>
      <c r="IX820" s="35"/>
      <c r="IY820" s="35"/>
      <c r="IZ820" s="35"/>
      <c r="JA820" s="35"/>
      <c r="JB820" s="35"/>
      <c r="JC820" s="35"/>
      <c r="JD820" s="35"/>
      <c r="JE820" s="35"/>
    </row>
    <row r="821">
      <c r="A821" s="42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  <c r="AZ821" s="35"/>
      <c r="BA821" s="35"/>
      <c r="BB821" s="35"/>
      <c r="BC821" s="35"/>
      <c r="BD821" s="35"/>
      <c r="BE821" s="35"/>
      <c r="BF821" s="35"/>
      <c r="BG821" s="35"/>
      <c r="BH821" s="35"/>
      <c r="BI821" s="35"/>
      <c r="BJ821" s="35"/>
      <c r="BK821" s="35"/>
      <c r="BL821" s="35"/>
      <c r="BM821" s="35"/>
      <c r="BN821" s="35"/>
      <c r="BO821" s="35"/>
      <c r="BP821" s="35"/>
      <c r="BQ821" s="35"/>
      <c r="BR821" s="35"/>
      <c r="BS821" s="35"/>
      <c r="BT821" s="35"/>
      <c r="BU821" s="35"/>
      <c r="BV821" s="35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35"/>
      <c r="CO821" s="35"/>
      <c r="CP821" s="35"/>
      <c r="CQ821" s="35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35"/>
      <c r="DJ821" s="35"/>
      <c r="DK821" s="35"/>
      <c r="DL821" s="35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35"/>
      <c r="EE821" s="35"/>
      <c r="EF821" s="35"/>
      <c r="EG821" s="35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  <c r="ER821" s="35"/>
      <c r="ES821" s="35"/>
      <c r="ET821" s="35"/>
      <c r="EU821" s="35"/>
      <c r="EV821" s="35"/>
      <c r="EW821" s="35"/>
      <c r="EX821" s="35"/>
      <c r="EY821" s="35"/>
      <c r="EZ821" s="35"/>
      <c r="FA821" s="35"/>
      <c r="FB821" s="35"/>
      <c r="FC821" s="35"/>
      <c r="FD821" s="35"/>
      <c r="FE821" s="35"/>
      <c r="FF821" s="35"/>
      <c r="FG821" s="35"/>
      <c r="FH821" s="35"/>
      <c r="FI821" s="35"/>
      <c r="FJ821" s="35"/>
      <c r="FK821" s="35"/>
      <c r="FL821" s="35"/>
      <c r="FM821" s="35"/>
      <c r="FN821" s="35"/>
      <c r="FO821" s="35"/>
      <c r="FP821" s="35"/>
      <c r="FQ821" s="35"/>
      <c r="FR821" s="35"/>
      <c r="FS821" s="35"/>
      <c r="FT821" s="35"/>
      <c r="FU821" s="35"/>
      <c r="FV821" s="35"/>
      <c r="FW821" s="35"/>
      <c r="FX821" s="35"/>
      <c r="FY821" s="35"/>
      <c r="FZ821" s="35"/>
      <c r="GA821" s="35"/>
      <c r="GB821" s="35"/>
      <c r="GC821" s="35"/>
      <c r="GD821" s="35"/>
      <c r="GE821" s="35"/>
      <c r="GF821" s="35"/>
      <c r="GG821" s="35"/>
      <c r="GH821" s="35"/>
      <c r="GI821" s="35"/>
      <c r="GJ821" s="35"/>
      <c r="GK821" s="35"/>
      <c r="GL821" s="35"/>
      <c r="GM821" s="35"/>
      <c r="GN821" s="35"/>
      <c r="GO821" s="35"/>
      <c r="GP821" s="35"/>
      <c r="GQ821" s="35"/>
      <c r="GR821" s="35"/>
      <c r="GS821" s="35"/>
      <c r="GT821" s="35"/>
      <c r="GU821" s="35"/>
      <c r="GV821" s="35"/>
      <c r="GW821" s="35"/>
      <c r="GX821" s="35"/>
      <c r="GY821" s="35"/>
      <c r="GZ821" s="35"/>
      <c r="HA821" s="35"/>
      <c r="HB821" s="35"/>
      <c r="HC821" s="35"/>
      <c r="HD821" s="35"/>
      <c r="HE821" s="35"/>
      <c r="HF821" s="35"/>
      <c r="HG821" s="35"/>
      <c r="HH821" s="35"/>
      <c r="HI821" s="35"/>
      <c r="HJ821" s="35"/>
      <c r="HK821" s="35"/>
      <c r="HL821" s="35"/>
      <c r="HM821" s="35"/>
      <c r="HN821" s="35"/>
      <c r="HO821" s="35"/>
      <c r="HP821" s="35"/>
      <c r="HQ821" s="35"/>
      <c r="HR821" s="35"/>
      <c r="HS821" s="35"/>
      <c r="HT821" s="35"/>
      <c r="HU821" s="35"/>
      <c r="HV821" s="35"/>
      <c r="HW821" s="35"/>
      <c r="HX821" s="35"/>
      <c r="HY821" s="35"/>
      <c r="HZ821" s="35"/>
      <c r="IA821" s="35"/>
      <c r="IB821" s="35"/>
      <c r="IC821" s="35"/>
      <c r="ID821" s="35"/>
      <c r="IE821" s="35"/>
      <c r="IF821" s="35"/>
      <c r="IG821" s="35"/>
      <c r="IH821" s="35"/>
      <c r="II821" s="35"/>
      <c r="IJ821" s="35"/>
      <c r="IK821" s="35"/>
      <c r="IL821" s="35"/>
      <c r="IM821" s="35"/>
      <c r="IN821" s="35"/>
      <c r="IO821" s="35"/>
      <c r="IP821" s="35"/>
      <c r="IQ821" s="35"/>
      <c r="IR821" s="35"/>
      <c r="IS821" s="35"/>
      <c r="IT821" s="35"/>
      <c r="IU821" s="35"/>
      <c r="IV821" s="35"/>
      <c r="IW821" s="35"/>
      <c r="IX821" s="35"/>
      <c r="IY821" s="35"/>
      <c r="IZ821" s="35"/>
      <c r="JA821" s="35"/>
      <c r="JB821" s="35"/>
      <c r="JC821" s="35"/>
      <c r="JD821" s="35"/>
      <c r="JE821" s="35"/>
    </row>
    <row r="822">
      <c r="A822" s="42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35"/>
      <c r="BA822" s="35"/>
      <c r="BB822" s="35"/>
      <c r="BC822" s="35"/>
      <c r="BD822" s="35"/>
      <c r="BE822" s="35"/>
      <c r="BF822" s="35"/>
      <c r="BG822" s="35"/>
      <c r="BH822" s="35"/>
      <c r="BI822" s="35"/>
      <c r="BJ822" s="35"/>
      <c r="BK822" s="35"/>
      <c r="BL822" s="35"/>
      <c r="BM822" s="35"/>
      <c r="BN822" s="35"/>
      <c r="BO822" s="35"/>
      <c r="BP822" s="35"/>
      <c r="BQ822" s="35"/>
      <c r="BR822" s="35"/>
      <c r="BS822" s="35"/>
      <c r="BT822" s="35"/>
      <c r="BU822" s="35"/>
      <c r="BV822" s="35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35"/>
      <c r="CO822" s="35"/>
      <c r="CP822" s="35"/>
      <c r="CQ822" s="35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35"/>
      <c r="DJ822" s="35"/>
      <c r="DK822" s="35"/>
      <c r="DL822" s="35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35"/>
      <c r="EE822" s="35"/>
      <c r="EF822" s="35"/>
      <c r="EG822" s="35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  <c r="ER822" s="35"/>
      <c r="ES822" s="35"/>
      <c r="ET822" s="35"/>
      <c r="EU822" s="35"/>
      <c r="EV822" s="35"/>
      <c r="EW822" s="35"/>
      <c r="EX822" s="35"/>
      <c r="EY822" s="35"/>
      <c r="EZ822" s="35"/>
      <c r="FA822" s="35"/>
      <c r="FB822" s="35"/>
      <c r="FC822" s="35"/>
      <c r="FD822" s="35"/>
      <c r="FE822" s="35"/>
      <c r="FF822" s="35"/>
      <c r="FG822" s="35"/>
      <c r="FH822" s="35"/>
      <c r="FI822" s="35"/>
      <c r="FJ822" s="35"/>
      <c r="FK822" s="35"/>
      <c r="FL822" s="35"/>
      <c r="FM822" s="35"/>
      <c r="FN822" s="35"/>
      <c r="FO822" s="35"/>
      <c r="FP822" s="35"/>
      <c r="FQ822" s="35"/>
      <c r="FR822" s="35"/>
      <c r="FS822" s="35"/>
      <c r="FT822" s="35"/>
      <c r="FU822" s="35"/>
      <c r="FV822" s="35"/>
      <c r="FW822" s="35"/>
      <c r="FX822" s="35"/>
      <c r="FY822" s="35"/>
      <c r="FZ822" s="35"/>
      <c r="GA822" s="35"/>
      <c r="GB822" s="35"/>
      <c r="GC822" s="35"/>
      <c r="GD822" s="35"/>
      <c r="GE822" s="35"/>
      <c r="GF822" s="35"/>
      <c r="GG822" s="35"/>
      <c r="GH822" s="35"/>
      <c r="GI822" s="35"/>
      <c r="GJ822" s="35"/>
      <c r="GK822" s="35"/>
      <c r="GL822" s="35"/>
      <c r="GM822" s="35"/>
      <c r="GN822" s="35"/>
      <c r="GO822" s="35"/>
      <c r="GP822" s="35"/>
      <c r="GQ822" s="35"/>
      <c r="GR822" s="35"/>
      <c r="GS822" s="35"/>
      <c r="GT822" s="35"/>
      <c r="GU822" s="35"/>
      <c r="GV822" s="35"/>
      <c r="GW822" s="35"/>
      <c r="GX822" s="35"/>
      <c r="GY822" s="35"/>
      <c r="GZ822" s="35"/>
      <c r="HA822" s="35"/>
      <c r="HB822" s="35"/>
      <c r="HC822" s="35"/>
      <c r="HD822" s="35"/>
      <c r="HE822" s="35"/>
      <c r="HF822" s="35"/>
      <c r="HG822" s="35"/>
      <c r="HH822" s="35"/>
      <c r="HI822" s="35"/>
      <c r="HJ822" s="35"/>
      <c r="HK822" s="35"/>
      <c r="HL822" s="35"/>
      <c r="HM822" s="35"/>
      <c r="HN822" s="35"/>
      <c r="HO822" s="35"/>
      <c r="HP822" s="35"/>
      <c r="HQ822" s="35"/>
      <c r="HR822" s="35"/>
      <c r="HS822" s="35"/>
      <c r="HT822" s="35"/>
      <c r="HU822" s="35"/>
      <c r="HV822" s="35"/>
      <c r="HW822" s="35"/>
      <c r="HX822" s="35"/>
      <c r="HY822" s="35"/>
      <c r="HZ822" s="35"/>
      <c r="IA822" s="35"/>
      <c r="IB822" s="35"/>
      <c r="IC822" s="35"/>
      <c r="ID822" s="35"/>
      <c r="IE822" s="35"/>
      <c r="IF822" s="35"/>
      <c r="IG822" s="35"/>
      <c r="IH822" s="35"/>
      <c r="II822" s="35"/>
      <c r="IJ822" s="35"/>
      <c r="IK822" s="35"/>
      <c r="IL822" s="35"/>
      <c r="IM822" s="35"/>
      <c r="IN822" s="35"/>
      <c r="IO822" s="35"/>
      <c r="IP822" s="35"/>
      <c r="IQ822" s="35"/>
      <c r="IR822" s="35"/>
      <c r="IS822" s="35"/>
      <c r="IT822" s="35"/>
      <c r="IU822" s="35"/>
      <c r="IV822" s="35"/>
      <c r="IW822" s="35"/>
      <c r="IX822" s="35"/>
      <c r="IY822" s="35"/>
      <c r="IZ822" s="35"/>
      <c r="JA822" s="35"/>
      <c r="JB822" s="35"/>
      <c r="JC822" s="35"/>
      <c r="JD822" s="35"/>
      <c r="JE822" s="35"/>
    </row>
    <row r="823">
      <c r="A823" s="42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  <c r="AZ823" s="35"/>
      <c r="BA823" s="35"/>
      <c r="BB823" s="35"/>
      <c r="BC823" s="35"/>
      <c r="BD823" s="35"/>
      <c r="BE823" s="35"/>
      <c r="BF823" s="35"/>
      <c r="BG823" s="35"/>
      <c r="BH823" s="35"/>
      <c r="BI823" s="35"/>
      <c r="BJ823" s="35"/>
      <c r="BK823" s="35"/>
      <c r="BL823" s="35"/>
      <c r="BM823" s="35"/>
      <c r="BN823" s="35"/>
      <c r="BO823" s="35"/>
      <c r="BP823" s="35"/>
      <c r="BQ823" s="35"/>
      <c r="BR823" s="35"/>
      <c r="BS823" s="35"/>
      <c r="BT823" s="35"/>
      <c r="BU823" s="35"/>
      <c r="BV823" s="35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35"/>
      <c r="CO823" s="35"/>
      <c r="CP823" s="35"/>
      <c r="CQ823" s="35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35"/>
      <c r="DJ823" s="35"/>
      <c r="DK823" s="35"/>
      <c r="DL823" s="35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35"/>
      <c r="EE823" s="35"/>
      <c r="EF823" s="35"/>
      <c r="EG823" s="35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  <c r="ER823" s="35"/>
      <c r="ES823" s="35"/>
      <c r="ET823" s="35"/>
      <c r="EU823" s="35"/>
      <c r="EV823" s="35"/>
      <c r="EW823" s="35"/>
      <c r="EX823" s="35"/>
      <c r="EY823" s="35"/>
      <c r="EZ823" s="35"/>
      <c r="FA823" s="35"/>
      <c r="FB823" s="35"/>
      <c r="FC823" s="35"/>
      <c r="FD823" s="35"/>
      <c r="FE823" s="35"/>
      <c r="FF823" s="35"/>
      <c r="FG823" s="35"/>
      <c r="FH823" s="35"/>
      <c r="FI823" s="35"/>
      <c r="FJ823" s="35"/>
      <c r="FK823" s="35"/>
      <c r="FL823" s="35"/>
      <c r="FM823" s="35"/>
      <c r="FN823" s="35"/>
      <c r="FO823" s="35"/>
      <c r="FP823" s="35"/>
      <c r="FQ823" s="35"/>
      <c r="FR823" s="35"/>
      <c r="FS823" s="35"/>
      <c r="FT823" s="35"/>
      <c r="FU823" s="35"/>
      <c r="FV823" s="35"/>
      <c r="FW823" s="35"/>
      <c r="FX823" s="35"/>
      <c r="FY823" s="35"/>
      <c r="FZ823" s="35"/>
      <c r="GA823" s="35"/>
      <c r="GB823" s="35"/>
      <c r="GC823" s="35"/>
      <c r="GD823" s="35"/>
      <c r="GE823" s="35"/>
      <c r="GF823" s="35"/>
      <c r="GG823" s="35"/>
      <c r="GH823" s="35"/>
      <c r="GI823" s="35"/>
      <c r="GJ823" s="35"/>
      <c r="GK823" s="35"/>
      <c r="GL823" s="35"/>
      <c r="GM823" s="35"/>
      <c r="GN823" s="35"/>
      <c r="GO823" s="35"/>
      <c r="GP823" s="35"/>
      <c r="GQ823" s="35"/>
      <c r="GR823" s="35"/>
      <c r="GS823" s="35"/>
      <c r="GT823" s="35"/>
      <c r="GU823" s="35"/>
      <c r="GV823" s="35"/>
      <c r="GW823" s="35"/>
      <c r="GX823" s="35"/>
      <c r="GY823" s="35"/>
      <c r="GZ823" s="35"/>
      <c r="HA823" s="35"/>
      <c r="HB823" s="35"/>
      <c r="HC823" s="35"/>
      <c r="HD823" s="35"/>
      <c r="HE823" s="35"/>
      <c r="HF823" s="35"/>
      <c r="HG823" s="35"/>
      <c r="HH823" s="35"/>
      <c r="HI823" s="35"/>
      <c r="HJ823" s="35"/>
      <c r="HK823" s="35"/>
      <c r="HL823" s="35"/>
      <c r="HM823" s="35"/>
      <c r="HN823" s="35"/>
      <c r="HO823" s="35"/>
      <c r="HP823" s="35"/>
      <c r="HQ823" s="35"/>
      <c r="HR823" s="35"/>
      <c r="HS823" s="35"/>
      <c r="HT823" s="35"/>
      <c r="HU823" s="35"/>
      <c r="HV823" s="35"/>
      <c r="HW823" s="35"/>
      <c r="HX823" s="35"/>
      <c r="HY823" s="35"/>
      <c r="HZ823" s="35"/>
      <c r="IA823" s="35"/>
      <c r="IB823" s="35"/>
      <c r="IC823" s="35"/>
      <c r="ID823" s="35"/>
      <c r="IE823" s="35"/>
      <c r="IF823" s="35"/>
      <c r="IG823" s="35"/>
      <c r="IH823" s="35"/>
      <c r="II823" s="35"/>
      <c r="IJ823" s="35"/>
      <c r="IK823" s="35"/>
      <c r="IL823" s="35"/>
      <c r="IM823" s="35"/>
      <c r="IN823" s="35"/>
      <c r="IO823" s="35"/>
      <c r="IP823" s="35"/>
      <c r="IQ823" s="35"/>
      <c r="IR823" s="35"/>
      <c r="IS823" s="35"/>
      <c r="IT823" s="35"/>
      <c r="IU823" s="35"/>
      <c r="IV823" s="35"/>
      <c r="IW823" s="35"/>
      <c r="IX823" s="35"/>
      <c r="IY823" s="35"/>
      <c r="IZ823" s="35"/>
      <c r="JA823" s="35"/>
      <c r="JB823" s="35"/>
      <c r="JC823" s="35"/>
      <c r="JD823" s="35"/>
      <c r="JE823" s="35"/>
    </row>
    <row r="824">
      <c r="A824" s="42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35"/>
      <c r="BA824" s="35"/>
      <c r="BB824" s="35"/>
      <c r="BC824" s="35"/>
      <c r="BD824" s="35"/>
      <c r="BE824" s="35"/>
      <c r="BF824" s="35"/>
      <c r="BG824" s="35"/>
      <c r="BH824" s="35"/>
      <c r="BI824" s="35"/>
      <c r="BJ824" s="35"/>
      <c r="BK824" s="35"/>
      <c r="BL824" s="35"/>
      <c r="BM824" s="35"/>
      <c r="BN824" s="35"/>
      <c r="BO824" s="35"/>
      <c r="BP824" s="35"/>
      <c r="BQ824" s="35"/>
      <c r="BR824" s="35"/>
      <c r="BS824" s="35"/>
      <c r="BT824" s="35"/>
      <c r="BU824" s="35"/>
      <c r="BV824" s="35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35"/>
      <c r="CO824" s="35"/>
      <c r="CP824" s="35"/>
      <c r="CQ824" s="35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35"/>
      <c r="DJ824" s="35"/>
      <c r="DK824" s="35"/>
      <c r="DL824" s="35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35"/>
      <c r="EE824" s="35"/>
      <c r="EF824" s="35"/>
      <c r="EG824" s="35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35"/>
      <c r="EZ824" s="35"/>
      <c r="FA824" s="35"/>
      <c r="FB824" s="35"/>
      <c r="FC824" s="35"/>
      <c r="FD824" s="35"/>
      <c r="FE824" s="35"/>
      <c r="FF824" s="35"/>
      <c r="FG824" s="35"/>
      <c r="FH824" s="35"/>
      <c r="FI824" s="35"/>
      <c r="FJ824" s="35"/>
      <c r="FK824" s="35"/>
      <c r="FL824" s="35"/>
      <c r="FM824" s="35"/>
      <c r="FN824" s="35"/>
      <c r="FO824" s="35"/>
      <c r="FP824" s="35"/>
      <c r="FQ824" s="35"/>
      <c r="FR824" s="35"/>
      <c r="FS824" s="35"/>
      <c r="FT824" s="35"/>
      <c r="FU824" s="35"/>
      <c r="FV824" s="35"/>
      <c r="FW824" s="35"/>
      <c r="FX824" s="35"/>
      <c r="FY824" s="35"/>
      <c r="FZ824" s="35"/>
      <c r="GA824" s="35"/>
      <c r="GB824" s="35"/>
      <c r="GC824" s="35"/>
      <c r="GD824" s="35"/>
      <c r="GE824" s="35"/>
      <c r="GF824" s="35"/>
      <c r="GG824" s="35"/>
      <c r="GH824" s="35"/>
      <c r="GI824" s="35"/>
      <c r="GJ824" s="35"/>
      <c r="GK824" s="35"/>
      <c r="GL824" s="35"/>
      <c r="GM824" s="35"/>
      <c r="GN824" s="35"/>
      <c r="GO824" s="35"/>
      <c r="GP824" s="35"/>
      <c r="GQ824" s="35"/>
      <c r="GR824" s="35"/>
      <c r="GS824" s="35"/>
      <c r="GT824" s="35"/>
      <c r="GU824" s="35"/>
      <c r="GV824" s="35"/>
      <c r="GW824" s="35"/>
      <c r="GX824" s="35"/>
      <c r="GY824" s="35"/>
      <c r="GZ824" s="35"/>
      <c r="HA824" s="35"/>
      <c r="HB824" s="35"/>
      <c r="HC824" s="35"/>
      <c r="HD824" s="35"/>
      <c r="HE824" s="35"/>
      <c r="HF824" s="35"/>
      <c r="HG824" s="35"/>
      <c r="HH824" s="35"/>
      <c r="HI824" s="35"/>
      <c r="HJ824" s="35"/>
      <c r="HK824" s="35"/>
      <c r="HL824" s="35"/>
      <c r="HM824" s="35"/>
      <c r="HN824" s="35"/>
      <c r="HO824" s="35"/>
      <c r="HP824" s="35"/>
      <c r="HQ824" s="35"/>
      <c r="HR824" s="35"/>
      <c r="HS824" s="35"/>
      <c r="HT824" s="35"/>
      <c r="HU824" s="35"/>
      <c r="HV824" s="35"/>
      <c r="HW824" s="35"/>
      <c r="HX824" s="35"/>
      <c r="HY824" s="35"/>
      <c r="HZ824" s="35"/>
      <c r="IA824" s="35"/>
      <c r="IB824" s="35"/>
      <c r="IC824" s="35"/>
      <c r="ID824" s="35"/>
      <c r="IE824" s="35"/>
      <c r="IF824" s="35"/>
      <c r="IG824" s="35"/>
      <c r="IH824" s="35"/>
      <c r="II824" s="35"/>
      <c r="IJ824" s="35"/>
      <c r="IK824" s="35"/>
      <c r="IL824" s="35"/>
      <c r="IM824" s="35"/>
      <c r="IN824" s="35"/>
      <c r="IO824" s="35"/>
      <c r="IP824" s="35"/>
      <c r="IQ824" s="35"/>
      <c r="IR824" s="35"/>
      <c r="IS824" s="35"/>
      <c r="IT824" s="35"/>
      <c r="IU824" s="35"/>
      <c r="IV824" s="35"/>
      <c r="IW824" s="35"/>
      <c r="IX824" s="35"/>
      <c r="IY824" s="35"/>
      <c r="IZ824" s="35"/>
      <c r="JA824" s="35"/>
      <c r="JB824" s="35"/>
      <c r="JC824" s="35"/>
      <c r="JD824" s="35"/>
      <c r="JE824" s="35"/>
    </row>
    <row r="825">
      <c r="A825" s="42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  <c r="AZ825" s="35"/>
      <c r="BA825" s="35"/>
      <c r="BB825" s="35"/>
      <c r="BC825" s="35"/>
      <c r="BD825" s="35"/>
      <c r="BE825" s="35"/>
      <c r="BF825" s="35"/>
      <c r="BG825" s="35"/>
      <c r="BH825" s="35"/>
      <c r="BI825" s="35"/>
      <c r="BJ825" s="35"/>
      <c r="BK825" s="35"/>
      <c r="BL825" s="35"/>
      <c r="BM825" s="35"/>
      <c r="BN825" s="35"/>
      <c r="BO825" s="35"/>
      <c r="BP825" s="35"/>
      <c r="BQ825" s="35"/>
      <c r="BR825" s="35"/>
      <c r="BS825" s="35"/>
      <c r="BT825" s="35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35"/>
      <c r="CO825" s="35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35"/>
      <c r="DJ825" s="35"/>
      <c r="DK825" s="35"/>
      <c r="DL825" s="35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35"/>
      <c r="EE825" s="35"/>
      <c r="EF825" s="35"/>
      <c r="EG825" s="35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35"/>
      <c r="EZ825" s="35"/>
      <c r="FA825" s="35"/>
      <c r="FB825" s="35"/>
      <c r="FC825" s="35"/>
      <c r="FD825" s="35"/>
      <c r="FE825" s="35"/>
      <c r="FF825" s="35"/>
      <c r="FG825" s="35"/>
      <c r="FH825" s="35"/>
      <c r="FI825" s="35"/>
      <c r="FJ825" s="35"/>
      <c r="FK825" s="35"/>
      <c r="FL825" s="35"/>
      <c r="FM825" s="35"/>
      <c r="FN825" s="35"/>
      <c r="FO825" s="35"/>
      <c r="FP825" s="35"/>
      <c r="FQ825" s="35"/>
      <c r="FR825" s="35"/>
      <c r="FS825" s="35"/>
      <c r="FT825" s="35"/>
      <c r="FU825" s="35"/>
      <c r="FV825" s="35"/>
      <c r="FW825" s="35"/>
      <c r="FX825" s="35"/>
      <c r="FY825" s="35"/>
      <c r="FZ825" s="35"/>
      <c r="GA825" s="35"/>
      <c r="GB825" s="35"/>
      <c r="GC825" s="35"/>
      <c r="GD825" s="35"/>
      <c r="GE825" s="35"/>
      <c r="GF825" s="35"/>
      <c r="GG825" s="35"/>
      <c r="GH825" s="35"/>
      <c r="GI825" s="35"/>
      <c r="GJ825" s="35"/>
      <c r="GK825" s="35"/>
      <c r="GL825" s="35"/>
      <c r="GM825" s="35"/>
      <c r="GN825" s="35"/>
      <c r="GO825" s="35"/>
      <c r="GP825" s="35"/>
      <c r="GQ825" s="35"/>
      <c r="GR825" s="35"/>
      <c r="GS825" s="35"/>
      <c r="GT825" s="35"/>
      <c r="GU825" s="35"/>
      <c r="GV825" s="35"/>
      <c r="GW825" s="35"/>
      <c r="GX825" s="35"/>
      <c r="GY825" s="35"/>
      <c r="GZ825" s="35"/>
      <c r="HA825" s="35"/>
      <c r="HB825" s="35"/>
      <c r="HC825" s="35"/>
      <c r="HD825" s="35"/>
      <c r="HE825" s="35"/>
      <c r="HF825" s="35"/>
      <c r="HG825" s="35"/>
      <c r="HH825" s="35"/>
      <c r="HI825" s="35"/>
      <c r="HJ825" s="35"/>
      <c r="HK825" s="35"/>
      <c r="HL825" s="35"/>
      <c r="HM825" s="35"/>
      <c r="HN825" s="35"/>
      <c r="HO825" s="35"/>
      <c r="HP825" s="35"/>
      <c r="HQ825" s="35"/>
      <c r="HR825" s="35"/>
      <c r="HS825" s="35"/>
      <c r="HT825" s="35"/>
      <c r="HU825" s="35"/>
      <c r="HV825" s="35"/>
      <c r="HW825" s="35"/>
      <c r="HX825" s="35"/>
      <c r="HY825" s="35"/>
      <c r="HZ825" s="35"/>
      <c r="IA825" s="35"/>
      <c r="IB825" s="35"/>
      <c r="IC825" s="35"/>
      <c r="ID825" s="35"/>
      <c r="IE825" s="35"/>
      <c r="IF825" s="35"/>
      <c r="IG825" s="35"/>
      <c r="IH825" s="35"/>
      <c r="II825" s="35"/>
      <c r="IJ825" s="35"/>
      <c r="IK825" s="35"/>
      <c r="IL825" s="35"/>
      <c r="IM825" s="35"/>
      <c r="IN825" s="35"/>
      <c r="IO825" s="35"/>
      <c r="IP825" s="35"/>
      <c r="IQ825" s="35"/>
      <c r="IR825" s="35"/>
      <c r="IS825" s="35"/>
      <c r="IT825" s="35"/>
      <c r="IU825" s="35"/>
      <c r="IV825" s="35"/>
      <c r="IW825" s="35"/>
      <c r="IX825" s="35"/>
      <c r="IY825" s="35"/>
      <c r="IZ825" s="35"/>
      <c r="JA825" s="35"/>
      <c r="JB825" s="35"/>
      <c r="JC825" s="35"/>
      <c r="JD825" s="35"/>
      <c r="JE825" s="35"/>
    </row>
    <row r="826">
      <c r="A826" s="42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  <c r="AZ826" s="35"/>
      <c r="BA826" s="35"/>
      <c r="BB826" s="35"/>
      <c r="BC826" s="35"/>
      <c r="BD826" s="35"/>
      <c r="BE826" s="35"/>
      <c r="BF826" s="35"/>
      <c r="BG826" s="35"/>
      <c r="BH826" s="35"/>
      <c r="BI826" s="35"/>
      <c r="BJ826" s="35"/>
      <c r="BK826" s="35"/>
      <c r="BL826" s="35"/>
      <c r="BM826" s="35"/>
      <c r="BN826" s="35"/>
      <c r="BO826" s="35"/>
      <c r="BP826" s="35"/>
      <c r="BQ826" s="35"/>
      <c r="BR826" s="35"/>
      <c r="BS826" s="35"/>
      <c r="BT826" s="35"/>
      <c r="BU826" s="35"/>
      <c r="BV826" s="35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35"/>
      <c r="CO826" s="35"/>
      <c r="CP826" s="35"/>
      <c r="CQ826" s="35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35"/>
      <c r="DJ826" s="35"/>
      <c r="DK826" s="35"/>
      <c r="DL826" s="35"/>
      <c r="DM826" s="35"/>
      <c r="DN826" s="35"/>
      <c r="DO826" s="35"/>
      <c r="DP826" s="35"/>
      <c r="DQ826" s="35"/>
      <c r="DR826" s="35"/>
      <c r="DS826" s="35"/>
      <c r="DT826" s="35"/>
      <c r="DU826" s="35"/>
      <c r="DV826" s="35"/>
      <c r="DW826" s="35"/>
      <c r="DX826" s="35"/>
      <c r="DY826" s="35"/>
      <c r="DZ826" s="35"/>
      <c r="EA826" s="35"/>
      <c r="EB826" s="35"/>
      <c r="EC826" s="35"/>
      <c r="ED826" s="35"/>
      <c r="EE826" s="35"/>
      <c r="EF826" s="35"/>
      <c r="EG826" s="35"/>
      <c r="EH826" s="35"/>
      <c r="EI826" s="35"/>
      <c r="EJ826" s="35"/>
      <c r="EK826" s="35"/>
      <c r="EL826" s="35"/>
      <c r="EM826" s="35"/>
      <c r="EN826" s="35"/>
      <c r="EO826" s="35"/>
      <c r="EP826" s="35"/>
      <c r="EQ826" s="35"/>
      <c r="ER826" s="35"/>
      <c r="ES826" s="35"/>
      <c r="ET826" s="35"/>
      <c r="EU826" s="35"/>
      <c r="EV826" s="35"/>
      <c r="EW826" s="35"/>
      <c r="EX826" s="35"/>
      <c r="EY826" s="35"/>
      <c r="EZ826" s="35"/>
      <c r="FA826" s="35"/>
      <c r="FB826" s="35"/>
      <c r="FC826" s="35"/>
      <c r="FD826" s="35"/>
      <c r="FE826" s="35"/>
      <c r="FF826" s="35"/>
      <c r="FG826" s="35"/>
      <c r="FH826" s="35"/>
      <c r="FI826" s="35"/>
      <c r="FJ826" s="35"/>
      <c r="FK826" s="35"/>
      <c r="FL826" s="35"/>
      <c r="FM826" s="35"/>
      <c r="FN826" s="35"/>
      <c r="FO826" s="35"/>
      <c r="FP826" s="35"/>
      <c r="FQ826" s="35"/>
      <c r="FR826" s="35"/>
      <c r="FS826" s="35"/>
      <c r="FT826" s="35"/>
      <c r="FU826" s="35"/>
      <c r="FV826" s="35"/>
      <c r="FW826" s="35"/>
      <c r="FX826" s="35"/>
      <c r="FY826" s="35"/>
      <c r="FZ826" s="35"/>
      <c r="GA826" s="35"/>
      <c r="GB826" s="35"/>
      <c r="GC826" s="35"/>
      <c r="GD826" s="35"/>
      <c r="GE826" s="35"/>
      <c r="GF826" s="35"/>
      <c r="GG826" s="35"/>
      <c r="GH826" s="35"/>
      <c r="GI826" s="35"/>
      <c r="GJ826" s="35"/>
      <c r="GK826" s="35"/>
      <c r="GL826" s="35"/>
      <c r="GM826" s="35"/>
      <c r="GN826" s="35"/>
      <c r="GO826" s="35"/>
      <c r="GP826" s="35"/>
      <c r="GQ826" s="35"/>
      <c r="GR826" s="35"/>
      <c r="GS826" s="35"/>
      <c r="GT826" s="35"/>
      <c r="GU826" s="35"/>
      <c r="GV826" s="35"/>
      <c r="GW826" s="35"/>
      <c r="GX826" s="35"/>
      <c r="GY826" s="35"/>
      <c r="GZ826" s="35"/>
      <c r="HA826" s="35"/>
      <c r="HB826" s="35"/>
      <c r="HC826" s="35"/>
      <c r="HD826" s="35"/>
      <c r="HE826" s="35"/>
      <c r="HF826" s="35"/>
      <c r="HG826" s="35"/>
      <c r="HH826" s="35"/>
      <c r="HI826" s="35"/>
      <c r="HJ826" s="35"/>
      <c r="HK826" s="35"/>
      <c r="HL826" s="35"/>
      <c r="HM826" s="35"/>
      <c r="HN826" s="35"/>
      <c r="HO826" s="35"/>
      <c r="HP826" s="35"/>
      <c r="HQ826" s="35"/>
      <c r="HR826" s="35"/>
      <c r="HS826" s="35"/>
      <c r="HT826" s="35"/>
      <c r="HU826" s="35"/>
      <c r="HV826" s="35"/>
      <c r="HW826" s="35"/>
      <c r="HX826" s="35"/>
      <c r="HY826" s="35"/>
      <c r="HZ826" s="35"/>
      <c r="IA826" s="35"/>
      <c r="IB826" s="35"/>
      <c r="IC826" s="35"/>
      <c r="ID826" s="35"/>
      <c r="IE826" s="35"/>
      <c r="IF826" s="35"/>
      <c r="IG826" s="35"/>
      <c r="IH826" s="35"/>
      <c r="II826" s="35"/>
      <c r="IJ826" s="35"/>
      <c r="IK826" s="35"/>
      <c r="IL826" s="35"/>
      <c r="IM826" s="35"/>
      <c r="IN826" s="35"/>
      <c r="IO826" s="35"/>
      <c r="IP826" s="35"/>
      <c r="IQ826" s="35"/>
      <c r="IR826" s="35"/>
      <c r="IS826" s="35"/>
      <c r="IT826" s="35"/>
      <c r="IU826" s="35"/>
      <c r="IV826" s="35"/>
      <c r="IW826" s="35"/>
      <c r="IX826" s="35"/>
      <c r="IY826" s="35"/>
      <c r="IZ826" s="35"/>
      <c r="JA826" s="35"/>
      <c r="JB826" s="35"/>
      <c r="JC826" s="35"/>
      <c r="JD826" s="35"/>
      <c r="JE826" s="35"/>
    </row>
    <row r="827">
      <c r="A827" s="42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  <c r="BA827" s="35"/>
      <c r="BB827" s="35"/>
      <c r="BC827" s="35"/>
      <c r="BD827" s="35"/>
      <c r="BE827" s="35"/>
      <c r="BF827" s="35"/>
      <c r="BG827" s="35"/>
      <c r="BH827" s="35"/>
      <c r="BI827" s="35"/>
      <c r="BJ827" s="35"/>
      <c r="BK827" s="35"/>
      <c r="BL827" s="35"/>
      <c r="BM827" s="35"/>
      <c r="BN827" s="35"/>
      <c r="BO827" s="35"/>
      <c r="BP827" s="35"/>
      <c r="BQ827" s="35"/>
      <c r="BR827" s="35"/>
      <c r="BS827" s="35"/>
      <c r="BT827" s="35"/>
      <c r="BU827" s="35"/>
      <c r="BV827" s="35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35"/>
      <c r="CO827" s="35"/>
      <c r="CP827" s="35"/>
      <c r="CQ827" s="35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35"/>
      <c r="DJ827" s="35"/>
      <c r="DK827" s="35"/>
      <c r="DL827" s="35"/>
      <c r="DM827" s="35"/>
      <c r="DN827" s="35"/>
      <c r="DO827" s="35"/>
      <c r="DP827" s="35"/>
      <c r="DQ827" s="35"/>
      <c r="DR827" s="35"/>
      <c r="DS827" s="35"/>
      <c r="DT827" s="35"/>
      <c r="DU827" s="35"/>
      <c r="DV827" s="35"/>
      <c r="DW827" s="35"/>
      <c r="DX827" s="35"/>
      <c r="DY827" s="35"/>
      <c r="DZ827" s="35"/>
      <c r="EA827" s="35"/>
      <c r="EB827" s="35"/>
      <c r="EC827" s="35"/>
      <c r="ED827" s="35"/>
      <c r="EE827" s="35"/>
      <c r="EF827" s="35"/>
      <c r="EG827" s="35"/>
      <c r="EH827" s="35"/>
      <c r="EI827" s="35"/>
      <c r="EJ827" s="35"/>
      <c r="EK827" s="35"/>
      <c r="EL827" s="35"/>
      <c r="EM827" s="35"/>
      <c r="EN827" s="35"/>
      <c r="EO827" s="35"/>
      <c r="EP827" s="35"/>
      <c r="EQ827" s="35"/>
      <c r="ER827" s="35"/>
      <c r="ES827" s="35"/>
      <c r="ET827" s="35"/>
      <c r="EU827" s="35"/>
      <c r="EV827" s="35"/>
      <c r="EW827" s="35"/>
      <c r="EX827" s="35"/>
      <c r="EY827" s="35"/>
      <c r="EZ827" s="35"/>
      <c r="FA827" s="35"/>
      <c r="FB827" s="35"/>
      <c r="FC827" s="35"/>
      <c r="FD827" s="35"/>
      <c r="FE827" s="35"/>
      <c r="FF827" s="35"/>
      <c r="FG827" s="35"/>
      <c r="FH827" s="35"/>
      <c r="FI827" s="35"/>
      <c r="FJ827" s="35"/>
      <c r="FK827" s="35"/>
      <c r="FL827" s="35"/>
      <c r="FM827" s="35"/>
      <c r="FN827" s="35"/>
      <c r="FO827" s="35"/>
      <c r="FP827" s="35"/>
      <c r="FQ827" s="35"/>
      <c r="FR827" s="35"/>
      <c r="FS827" s="35"/>
      <c r="FT827" s="35"/>
      <c r="FU827" s="35"/>
      <c r="FV827" s="35"/>
      <c r="FW827" s="35"/>
      <c r="FX827" s="35"/>
      <c r="FY827" s="35"/>
      <c r="FZ827" s="35"/>
      <c r="GA827" s="35"/>
      <c r="GB827" s="35"/>
      <c r="GC827" s="35"/>
      <c r="GD827" s="35"/>
      <c r="GE827" s="35"/>
      <c r="GF827" s="35"/>
      <c r="GG827" s="35"/>
      <c r="GH827" s="35"/>
      <c r="GI827" s="35"/>
      <c r="GJ827" s="35"/>
      <c r="GK827" s="35"/>
      <c r="GL827" s="35"/>
      <c r="GM827" s="35"/>
      <c r="GN827" s="35"/>
      <c r="GO827" s="35"/>
      <c r="GP827" s="35"/>
      <c r="GQ827" s="35"/>
      <c r="GR827" s="35"/>
      <c r="GS827" s="35"/>
      <c r="GT827" s="35"/>
      <c r="GU827" s="35"/>
      <c r="GV827" s="35"/>
      <c r="GW827" s="35"/>
      <c r="GX827" s="35"/>
      <c r="GY827" s="35"/>
      <c r="GZ827" s="35"/>
      <c r="HA827" s="35"/>
      <c r="HB827" s="35"/>
      <c r="HC827" s="35"/>
      <c r="HD827" s="35"/>
      <c r="HE827" s="35"/>
      <c r="HF827" s="35"/>
      <c r="HG827" s="35"/>
      <c r="HH827" s="35"/>
      <c r="HI827" s="35"/>
      <c r="HJ827" s="35"/>
      <c r="HK827" s="35"/>
      <c r="HL827" s="35"/>
      <c r="HM827" s="35"/>
      <c r="HN827" s="35"/>
      <c r="HO827" s="35"/>
      <c r="HP827" s="35"/>
      <c r="HQ827" s="35"/>
      <c r="HR827" s="35"/>
      <c r="HS827" s="35"/>
      <c r="HT827" s="35"/>
      <c r="HU827" s="35"/>
      <c r="HV827" s="35"/>
      <c r="HW827" s="35"/>
      <c r="HX827" s="35"/>
      <c r="HY827" s="35"/>
      <c r="HZ827" s="35"/>
      <c r="IA827" s="35"/>
      <c r="IB827" s="35"/>
      <c r="IC827" s="35"/>
      <c r="ID827" s="35"/>
      <c r="IE827" s="35"/>
      <c r="IF827" s="35"/>
      <c r="IG827" s="35"/>
      <c r="IH827" s="35"/>
      <c r="II827" s="35"/>
      <c r="IJ827" s="35"/>
      <c r="IK827" s="35"/>
      <c r="IL827" s="35"/>
      <c r="IM827" s="35"/>
      <c r="IN827" s="35"/>
      <c r="IO827" s="35"/>
      <c r="IP827" s="35"/>
      <c r="IQ827" s="35"/>
      <c r="IR827" s="35"/>
      <c r="IS827" s="35"/>
      <c r="IT827" s="35"/>
      <c r="IU827" s="35"/>
      <c r="IV827" s="35"/>
      <c r="IW827" s="35"/>
      <c r="IX827" s="35"/>
      <c r="IY827" s="35"/>
      <c r="IZ827" s="35"/>
      <c r="JA827" s="35"/>
      <c r="JB827" s="35"/>
      <c r="JC827" s="35"/>
      <c r="JD827" s="35"/>
      <c r="JE827" s="35"/>
    </row>
    <row r="828">
      <c r="A828" s="42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  <c r="BA828" s="35"/>
      <c r="BB828" s="35"/>
      <c r="BC828" s="35"/>
      <c r="BD828" s="35"/>
      <c r="BE828" s="35"/>
      <c r="BF828" s="35"/>
      <c r="BG828" s="35"/>
      <c r="BH828" s="35"/>
      <c r="BI828" s="35"/>
      <c r="BJ828" s="35"/>
      <c r="BK828" s="35"/>
      <c r="BL828" s="35"/>
      <c r="BM828" s="35"/>
      <c r="BN828" s="35"/>
      <c r="BO828" s="35"/>
      <c r="BP828" s="35"/>
      <c r="BQ828" s="35"/>
      <c r="BR828" s="35"/>
      <c r="BS828" s="35"/>
      <c r="BT828" s="35"/>
      <c r="BU828" s="35"/>
      <c r="BV828" s="35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35"/>
      <c r="CO828" s="35"/>
      <c r="CP828" s="35"/>
      <c r="CQ828" s="35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35"/>
      <c r="DJ828" s="35"/>
      <c r="DK828" s="35"/>
      <c r="DL828" s="35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35"/>
      <c r="EE828" s="35"/>
      <c r="EF828" s="35"/>
      <c r="EG828" s="35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  <c r="ER828" s="35"/>
      <c r="ES828" s="35"/>
      <c r="ET828" s="35"/>
      <c r="EU828" s="35"/>
      <c r="EV828" s="35"/>
      <c r="EW828" s="35"/>
      <c r="EX828" s="35"/>
      <c r="EY828" s="35"/>
      <c r="EZ828" s="35"/>
      <c r="FA828" s="35"/>
      <c r="FB828" s="35"/>
      <c r="FC828" s="35"/>
      <c r="FD828" s="35"/>
      <c r="FE828" s="35"/>
      <c r="FF828" s="35"/>
      <c r="FG828" s="35"/>
      <c r="FH828" s="35"/>
      <c r="FI828" s="35"/>
      <c r="FJ828" s="35"/>
      <c r="FK828" s="35"/>
      <c r="FL828" s="35"/>
      <c r="FM828" s="35"/>
      <c r="FN828" s="35"/>
      <c r="FO828" s="35"/>
      <c r="FP828" s="35"/>
      <c r="FQ828" s="35"/>
      <c r="FR828" s="35"/>
      <c r="FS828" s="35"/>
      <c r="FT828" s="35"/>
      <c r="FU828" s="35"/>
      <c r="FV828" s="35"/>
      <c r="FW828" s="35"/>
      <c r="FX828" s="35"/>
      <c r="FY828" s="35"/>
      <c r="FZ828" s="35"/>
      <c r="GA828" s="35"/>
      <c r="GB828" s="35"/>
      <c r="GC828" s="35"/>
      <c r="GD828" s="35"/>
      <c r="GE828" s="35"/>
      <c r="GF828" s="35"/>
      <c r="GG828" s="35"/>
      <c r="GH828" s="35"/>
      <c r="GI828" s="35"/>
      <c r="GJ828" s="35"/>
      <c r="GK828" s="35"/>
      <c r="GL828" s="35"/>
      <c r="GM828" s="35"/>
      <c r="GN828" s="35"/>
      <c r="GO828" s="35"/>
      <c r="GP828" s="35"/>
      <c r="GQ828" s="35"/>
      <c r="GR828" s="35"/>
      <c r="GS828" s="35"/>
      <c r="GT828" s="35"/>
      <c r="GU828" s="35"/>
      <c r="GV828" s="35"/>
      <c r="GW828" s="35"/>
      <c r="GX828" s="35"/>
      <c r="GY828" s="35"/>
      <c r="GZ828" s="35"/>
      <c r="HA828" s="35"/>
      <c r="HB828" s="35"/>
      <c r="HC828" s="35"/>
      <c r="HD828" s="35"/>
      <c r="HE828" s="35"/>
      <c r="HF828" s="35"/>
      <c r="HG828" s="35"/>
      <c r="HH828" s="35"/>
      <c r="HI828" s="35"/>
      <c r="HJ828" s="35"/>
      <c r="HK828" s="35"/>
      <c r="HL828" s="35"/>
      <c r="HM828" s="35"/>
      <c r="HN828" s="35"/>
      <c r="HO828" s="35"/>
      <c r="HP828" s="35"/>
      <c r="HQ828" s="35"/>
      <c r="HR828" s="35"/>
      <c r="HS828" s="35"/>
      <c r="HT828" s="35"/>
      <c r="HU828" s="35"/>
      <c r="HV828" s="35"/>
      <c r="HW828" s="35"/>
      <c r="HX828" s="35"/>
      <c r="HY828" s="35"/>
      <c r="HZ828" s="35"/>
      <c r="IA828" s="35"/>
      <c r="IB828" s="35"/>
      <c r="IC828" s="35"/>
      <c r="ID828" s="35"/>
      <c r="IE828" s="35"/>
      <c r="IF828" s="35"/>
      <c r="IG828" s="35"/>
      <c r="IH828" s="35"/>
      <c r="II828" s="35"/>
      <c r="IJ828" s="35"/>
      <c r="IK828" s="35"/>
      <c r="IL828" s="35"/>
      <c r="IM828" s="35"/>
      <c r="IN828" s="35"/>
      <c r="IO828" s="35"/>
      <c r="IP828" s="35"/>
      <c r="IQ828" s="35"/>
      <c r="IR828" s="35"/>
      <c r="IS828" s="35"/>
      <c r="IT828" s="35"/>
      <c r="IU828" s="35"/>
      <c r="IV828" s="35"/>
      <c r="IW828" s="35"/>
      <c r="IX828" s="35"/>
      <c r="IY828" s="35"/>
      <c r="IZ828" s="35"/>
      <c r="JA828" s="35"/>
      <c r="JB828" s="35"/>
      <c r="JC828" s="35"/>
      <c r="JD828" s="35"/>
      <c r="JE828" s="35"/>
    </row>
    <row r="829">
      <c r="A829" s="42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  <c r="AZ829" s="35"/>
      <c r="BA829" s="35"/>
      <c r="BB829" s="35"/>
      <c r="BC829" s="35"/>
      <c r="BD829" s="35"/>
      <c r="BE829" s="35"/>
      <c r="BF829" s="35"/>
      <c r="BG829" s="35"/>
      <c r="BH829" s="35"/>
      <c r="BI829" s="35"/>
      <c r="BJ829" s="35"/>
      <c r="BK829" s="35"/>
      <c r="BL829" s="35"/>
      <c r="BM829" s="35"/>
      <c r="BN829" s="35"/>
      <c r="BO829" s="35"/>
      <c r="BP829" s="35"/>
      <c r="BQ829" s="35"/>
      <c r="BR829" s="35"/>
      <c r="BS829" s="35"/>
      <c r="BT829" s="35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35"/>
      <c r="CO829" s="35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35"/>
      <c r="DJ829" s="35"/>
      <c r="DK829" s="35"/>
      <c r="DL829" s="35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35"/>
      <c r="EE829" s="35"/>
      <c r="EF829" s="35"/>
      <c r="EG829" s="35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  <c r="ER829" s="35"/>
      <c r="ES829" s="35"/>
      <c r="ET829" s="35"/>
      <c r="EU829" s="35"/>
      <c r="EV829" s="35"/>
      <c r="EW829" s="35"/>
      <c r="EX829" s="35"/>
      <c r="EY829" s="35"/>
      <c r="EZ829" s="35"/>
      <c r="FA829" s="35"/>
      <c r="FB829" s="35"/>
      <c r="FC829" s="35"/>
      <c r="FD829" s="35"/>
      <c r="FE829" s="35"/>
      <c r="FF829" s="35"/>
      <c r="FG829" s="35"/>
      <c r="FH829" s="35"/>
      <c r="FI829" s="35"/>
      <c r="FJ829" s="35"/>
      <c r="FK829" s="35"/>
      <c r="FL829" s="35"/>
      <c r="FM829" s="35"/>
      <c r="FN829" s="35"/>
      <c r="FO829" s="35"/>
      <c r="FP829" s="35"/>
      <c r="FQ829" s="35"/>
      <c r="FR829" s="35"/>
      <c r="FS829" s="35"/>
      <c r="FT829" s="35"/>
      <c r="FU829" s="35"/>
      <c r="FV829" s="35"/>
      <c r="FW829" s="35"/>
      <c r="FX829" s="35"/>
      <c r="FY829" s="35"/>
      <c r="FZ829" s="35"/>
      <c r="GA829" s="35"/>
      <c r="GB829" s="35"/>
      <c r="GC829" s="35"/>
      <c r="GD829" s="35"/>
      <c r="GE829" s="35"/>
      <c r="GF829" s="35"/>
      <c r="GG829" s="35"/>
      <c r="GH829" s="35"/>
      <c r="GI829" s="35"/>
      <c r="GJ829" s="35"/>
      <c r="GK829" s="35"/>
      <c r="GL829" s="35"/>
      <c r="GM829" s="35"/>
      <c r="GN829" s="35"/>
      <c r="GO829" s="35"/>
      <c r="GP829" s="35"/>
      <c r="GQ829" s="35"/>
      <c r="GR829" s="35"/>
      <c r="GS829" s="35"/>
      <c r="GT829" s="35"/>
      <c r="GU829" s="35"/>
      <c r="GV829" s="35"/>
      <c r="GW829" s="35"/>
      <c r="GX829" s="35"/>
      <c r="GY829" s="35"/>
      <c r="GZ829" s="35"/>
      <c r="HA829" s="35"/>
      <c r="HB829" s="35"/>
      <c r="HC829" s="35"/>
      <c r="HD829" s="35"/>
      <c r="HE829" s="35"/>
      <c r="HF829" s="35"/>
      <c r="HG829" s="35"/>
      <c r="HH829" s="35"/>
      <c r="HI829" s="35"/>
      <c r="HJ829" s="35"/>
      <c r="HK829" s="35"/>
      <c r="HL829" s="35"/>
      <c r="HM829" s="35"/>
      <c r="HN829" s="35"/>
      <c r="HO829" s="35"/>
      <c r="HP829" s="35"/>
      <c r="HQ829" s="35"/>
      <c r="HR829" s="35"/>
      <c r="HS829" s="35"/>
      <c r="HT829" s="35"/>
      <c r="HU829" s="35"/>
      <c r="HV829" s="35"/>
      <c r="HW829" s="35"/>
      <c r="HX829" s="35"/>
      <c r="HY829" s="35"/>
      <c r="HZ829" s="35"/>
      <c r="IA829" s="35"/>
      <c r="IB829" s="35"/>
      <c r="IC829" s="35"/>
      <c r="ID829" s="35"/>
      <c r="IE829" s="35"/>
      <c r="IF829" s="35"/>
      <c r="IG829" s="35"/>
      <c r="IH829" s="35"/>
      <c r="II829" s="35"/>
      <c r="IJ829" s="35"/>
      <c r="IK829" s="35"/>
      <c r="IL829" s="35"/>
      <c r="IM829" s="35"/>
      <c r="IN829" s="35"/>
      <c r="IO829" s="35"/>
      <c r="IP829" s="35"/>
      <c r="IQ829" s="35"/>
      <c r="IR829" s="35"/>
      <c r="IS829" s="35"/>
      <c r="IT829" s="35"/>
      <c r="IU829" s="35"/>
      <c r="IV829" s="35"/>
      <c r="IW829" s="35"/>
      <c r="IX829" s="35"/>
      <c r="IY829" s="35"/>
      <c r="IZ829" s="35"/>
      <c r="JA829" s="35"/>
      <c r="JB829" s="35"/>
      <c r="JC829" s="35"/>
      <c r="JD829" s="35"/>
      <c r="JE829" s="35"/>
    </row>
    <row r="830">
      <c r="A830" s="42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35"/>
      <c r="BA830" s="35"/>
      <c r="BB830" s="35"/>
      <c r="BC830" s="35"/>
      <c r="BD830" s="35"/>
      <c r="BE830" s="35"/>
      <c r="BF830" s="35"/>
      <c r="BG830" s="35"/>
      <c r="BH830" s="35"/>
      <c r="BI830" s="35"/>
      <c r="BJ830" s="35"/>
      <c r="BK830" s="35"/>
      <c r="BL830" s="35"/>
      <c r="BM830" s="35"/>
      <c r="BN830" s="35"/>
      <c r="BO830" s="35"/>
      <c r="BP830" s="35"/>
      <c r="BQ830" s="35"/>
      <c r="BR830" s="35"/>
      <c r="BS830" s="35"/>
      <c r="BT830" s="35"/>
      <c r="BU830" s="35"/>
      <c r="BV830" s="35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35"/>
      <c r="CO830" s="35"/>
      <c r="CP830" s="35"/>
      <c r="CQ830" s="35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35"/>
      <c r="DJ830" s="35"/>
      <c r="DK830" s="35"/>
      <c r="DL830" s="35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35"/>
      <c r="EE830" s="35"/>
      <c r="EF830" s="35"/>
      <c r="EG830" s="35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  <c r="ER830" s="35"/>
      <c r="ES830" s="35"/>
      <c r="ET830" s="35"/>
      <c r="EU830" s="35"/>
      <c r="EV830" s="35"/>
      <c r="EW830" s="35"/>
      <c r="EX830" s="35"/>
      <c r="EY830" s="35"/>
      <c r="EZ830" s="35"/>
      <c r="FA830" s="35"/>
      <c r="FB830" s="35"/>
      <c r="FC830" s="35"/>
      <c r="FD830" s="35"/>
      <c r="FE830" s="35"/>
      <c r="FF830" s="35"/>
      <c r="FG830" s="35"/>
      <c r="FH830" s="35"/>
      <c r="FI830" s="35"/>
      <c r="FJ830" s="35"/>
      <c r="FK830" s="35"/>
      <c r="FL830" s="35"/>
      <c r="FM830" s="35"/>
      <c r="FN830" s="35"/>
      <c r="FO830" s="35"/>
      <c r="FP830" s="35"/>
      <c r="FQ830" s="35"/>
      <c r="FR830" s="35"/>
      <c r="FS830" s="35"/>
      <c r="FT830" s="35"/>
      <c r="FU830" s="35"/>
      <c r="FV830" s="35"/>
      <c r="FW830" s="35"/>
      <c r="FX830" s="35"/>
      <c r="FY830" s="35"/>
      <c r="FZ830" s="35"/>
      <c r="GA830" s="35"/>
      <c r="GB830" s="35"/>
      <c r="GC830" s="35"/>
      <c r="GD830" s="35"/>
      <c r="GE830" s="35"/>
      <c r="GF830" s="35"/>
      <c r="GG830" s="35"/>
      <c r="GH830" s="35"/>
      <c r="GI830" s="35"/>
      <c r="GJ830" s="35"/>
      <c r="GK830" s="35"/>
      <c r="GL830" s="35"/>
      <c r="GM830" s="35"/>
      <c r="GN830" s="35"/>
      <c r="GO830" s="35"/>
      <c r="GP830" s="35"/>
      <c r="GQ830" s="35"/>
      <c r="GR830" s="35"/>
      <c r="GS830" s="35"/>
      <c r="GT830" s="35"/>
      <c r="GU830" s="35"/>
      <c r="GV830" s="35"/>
      <c r="GW830" s="35"/>
      <c r="GX830" s="35"/>
      <c r="GY830" s="35"/>
      <c r="GZ830" s="35"/>
      <c r="HA830" s="35"/>
      <c r="HB830" s="35"/>
      <c r="HC830" s="35"/>
      <c r="HD830" s="35"/>
      <c r="HE830" s="35"/>
      <c r="HF830" s="35"/>
      <c r="HG830" s="35"/>
      <c r="HH830" s="35"/>
      <c r="HI830" s="35"/>
      <c r="HJ830" s="35"/>
      <c r="HK830" s="35"/>
      <c r="HL830" s="35"/>
      <c r="HM830" s="35"/>
      <c r="HN830" s="35"/>
      <c r="HO830" s="35"/>
      <c r="HP830" s="35"/>
      <c r="HQ830" s="35"/>
      <c r="HR830" s="35"/>
      <c r="HS830" s="35"/>
      <c r="HT830" s="35"/>
      <c r="HU830" s="35"/>
      <c r="HV830" s="35"/>
      <c r="HW830" s="35"/>
      <c r="HX830" s="35"/>
      <c r="HY830" s="35"/>
      <c r="HZ830" s="35"/>
      <c r="IA830" s="35"/>
      <c r="IB830" s="35"/>
      <c r="IC830" s="35"/>
      <c r="ID830" s="35"/>
      <c r="IE830" s="35"/>
      <c r="IF830" s="35"/>
      <c r="IG830" s="35"/>
      <c r="IH830" s="35"/>
      <c r="II830" s="35"/>
      <c r="IJ830" s="35"/>
      <c r="IK830" s="35"/>
      <c r="IL830" s="35"/>
      <c r="IM830" s="35"/>
      <c r="IN830" s="35"/>
      <c r="IO830" s="35"/>
      <c r="IP830" s="35"/>
      <c r="IQ830" s="35"/>
      <c r="IR830" s="35"/>
      <c r="IS830" s="35"/>
      <c r="IT830" s="35"/>
      <c r="IU830" s="35"/>
      <c r="IV830" s="35"/>
      <c r="IW830" s="35"/>
      <c r="IX830" s="35"/>
      <c r="IY830" s="35"/>
      <c r="IZ830" s="35"/>
      <c r="JA830" s="35"/>
      <c r="JB830" s="35"/>
      <c r="JC830" s="35"/>
      <c r="JD830" s="35"/>
      <c r="JE830" s="35"/>
    </row>
    <row r="831">
      <c r="A831" s="42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  <c r="AZ831" s="35"/>
      <c r="BA831" s="35"/>
      <c r="BB831" s="35"/>
      <c r="BC831" s="35"/>
      <c r="BD831" s="35"/>
      <c r="BE831" s="35"/>
      <c r="BF831" s="35"/>
      <c r="BG831" s="35"/>
      <c r="BH831" s="35"/>
      <c r="BI831" s="35"/>
      <c r="BJ831" s="35"/>
      <c r="BK831" s="35"/>
      <c r="BL831" s="35"/>
      <c r="BM831" s="35"/>
      <c r="BN831" s="35"/>
      <c r="BO831" s="35"/>
      <c r="BP831" s="35"/>
      <c r="BQ831" s="35"/>
      <c r="BR831" s="35"/>
      <c r="BS831" s="35"/>
      <c r="BT831" s="35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35"/>
      <c r="CO831" s="35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35"/>
      <c r="DJ831" s="35"/>
      <c r="DK831" s="35"/>
      <c r="DL831" s="35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35"/>
      <c r="EE831" s="35"/>
      <c r="EF831" s="35"/>
      <c r="EG831" s="35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  <c r="ER831" s="35"/>
      <c r="ES831" s="35"/>
      <c r="ET831" s="35"/>
      <c r="EU831" s="35"/>
      <c r="EV831" s="35"/>
      <c r="EW831" s="35"/>
      <c r="EX831" s="35"/>
      <c r="EY831" s="35"/>
      <c r="EZ831" s="35"/>
      <c r="FA831" s="35"/>
      <c r="FB831" s="35"/>
      <c r="FC831" s="35"/>
      <c r="FD831" s="35"/>
      <c r="FE831" s="35"/>
      <c r="FF831" s="35"/>
      <c r="FG831" s="35"/>
      <c r="FH831" s="35"/>
      <c r="FI831" s="35"/>
      <c r="FJ831" s="35"/>
      <c r="FK831" s="35"/>
      <c r="FL831" s="35"/>
      <c r="FM831" s="35"/>
      <c r="FN831" s="35"/>
      <c r="FO831" s="35"/>
      <c r="FP831" s="35"/>
      <c r="FQ831" s="35"/>
      <c r="FR831" s="35"/>
      <c r="FS831" s="35"/>
      <c r="FT831" s="35"/>
      <c r="FU831" s="35"/>
      <c r="FV831" s="35"/>
      <c r="FW831" s="35"/>
      <c r="FX831" s="35"/>
      <c r="FY831" s="35"/>
      <c r="FZ831" s="35"/>
      <c r="GA831" s="35"/>
      <c r="GB831" s="35"/>
      <c r="GC831" s="35"/>
      <c r="GD831" s="35"/>
      <c r="GE831" s="35"/>
      <c r="GF831" s="35"/>
      <c r="GG831" s="35"/>
      <c r="GH831" s="35"/>
      <c r="GI831" s="35"/>
      <c r="GJ831" s="35"/>
      <c r="GK831" s="35"/>
      <c r="GL831" s="35"/>
      <c r="GM831" s="35"/>
      <c r="GN831" s="35"/>
      <c r="GO831" s="35"/>
      <c r="GP831" s="35"/>
      <c r="GQ831" s="35"/>
      <c r="GR831" s="35"/>
      <c r="GS831" s="35"/>
      <c r="GT831" s="35"/>
      <c r="GU831" s="35"/>
      <c r="GV831" s="35"/>
      <c r="GW831" s="35"/>
      <c r="GX831" s="35"/>
      <c r="GY831" s="35"/>
      <c r="GZ831" s="35"/>
      <c r="HA831" s="35"/>
      <c r="HB831" s="35"/>
      <c r="HC831" s="35"/>
      <c r="HD831" s="35"/>
      <c r="HE831" s="35"/>
      <c r="HF831" s="35"/>
      <c r="HG831" s="35"/>
      <c r="HH831" s="35"/>
      <c r="HI831" s="35"/>
      <c r="HJ831" s="35"/>
      <c r="HK831" s="35"/>
      <c r="HL831" s="35"/>
      <c r="HM831" s="35"/>
      <c r="HN831" s="35"/>
      <c r="HO831" s="35"/>
      <c r="HP831" s="35"/>
      <c r="HQ831" s="35"/>
      <c r="HR831" s="35"/>
      <c r="HS831" s="35"/>
      <c r="HT831" s="35"/>
      <c r="HU831" s="35"/>
      <c r="HV831" s="35"/>
      <c r="HW831" s="35"/>
      <c r="HX831" s="35"/>
      <c r="HY831" s="35"/>
      <c r="HZ831" s="35"/>
      <c r="IA831" s="35"/>
      <c r="IB831" s="35"/>
      <c r="IC831" s="35"/>
      <c r="ID831" s="35"/>
      <c r="IE831" s="35"/>
      <c r="IF831" s="35"/>
      <c r="IG831" s="35"/>
      <c r="IH831" s="35"/>
      <c r="II831" s="35"/>
      <c r="IJ831" s="35"/>
      <c r="IK831" s="35"/>
      <c r="IL831" s="35"/>
      <c r="IM831" s="35"/>
      <c r="IN831" s="35"/>
      <c r="IO831" s="35"/>
      <c r="IP831" s="35"/>
      <c r="IQ831" s="35"/>
      <c r="IR831" s="35"/>
      <c r="IS831" s="35"/>
      <c r="IT831" s="35"/>
      <c r="IU831" s="35"/>
      <c r="IV831" s="35"/>
      <c r="IW831" s="35"/>
      <c r="IX831" s="35"/>
      <c r="IY831" s="35"/>
      <c r="IZ831" s="35"/>
      <c r="JA831" s="35"/>
      <c r="JB831" s="35"/>
      <c r="JC831" s="35"/>
      <c r="JD831" s="35"/>
      <c r="JE831" s="35"/>
    </row>
    <row r="832">
      <c r="A832" s="42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35"/>
      <c r="BA832" s="35"/>
      <c r="BB832" s="35"/>
      <c r="BC832" s="35"/>
      <c r="BD832" s="35"/>
      <c r="BE832" s="35"/>
      <c r="BF832" s="35"/>
      <c r="BG832" s="35"/>
      <c r="BH832" s="35"/>
      <c r="BI832" s="35"/>
      <c r="BJ832" s="35"/>
      <c r="BK832" s="35"/>
      <c r="BL832" s="35"/>
      <c r="BM832" s="35"/>
      <c r="BN832" s="35"/>
      <c r="BO832" s="35"/>
      <c r="BP832" s="35"/>
      <c r="BQ832" s="35"/>
      <c r="BR832" s="35"/>
      <c r="BS832" s="35"/>
      <c r="BT832" s="35"/>
      <c r="BU832" s="35"/>
      <c r="BV832" s="35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35"/>
      <c r="CO832" s="35"/>
      <c r="CP832" s="35"/>
      <c r="CQ832" s="35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35"/>
      <c r="DJ832" s="35"/>
      <c r="DK832" s="35"/>
      <c r="DL832" s="35"/>
      <c r="DM832" s="35"/>
      <c r="DN832" s="35"/>
      <c r="DO832" s="35"/>
      <c r="DP832" s="35"/>
      <c r="DQ832" s="35"/>
      <c r="DR832" s="35"/>
      <c r="DS832" s="35"/>
      <c r="DT832" s="35"/>
      <c r="DU832" s="35"/>
      <c r="DV832" s="35"/>
      <c r="DW832" s="35"/>
      <c r="DX832" s="35"/>
      <c r="DY832" s="35"/>
      <c r="DZ832" s="35"/>
      <c r="EA832" s="35"/>
      <c r="EB832" s="35"/>
      <c r="EC832" s="35"/>
      <c r="ED832" s="35"/>
      <c r="EE832" s="35"/>
      <c r="EF832" s="35"/>
      <c r="EG832" s="35"/>
      <c r="EH832" s="35"/>
      <c r="EI832" s="35"/>
      <c r="EJ832" s="35"/>
      <c r="EK832" s="35"/>
      <c r="EL832" s="35"/>
      <c r="EM832" s="35"/>
      <c r="EN832" s="35"/>
      <c r="EO832" s="35"/>
      <c r="EP832" s="35"/>
      <c r="EQ832" s="35"/>
      <c r="ER832" s="35"/>
      <c r="ES832" s="35"/>
      <c r="ET832" s="35"/>
      <c r="EU832" s="35"/>
      <c r="EV832" s="35"/>
      <c r="EW832" s="35"/>
      <c r="EX832" s="35"/>
      <c r="EY832" s="35"/>
      <c r="EZ832" s="35"/>
      <c r="FA832" s="35"/>
      <c r="FB832" s="35"/>
      <c r="FC832" s="35"/>
      <c r="FD832" s="35"/>
      <c r="FE832" s="35"/>
      <c r="FF832" s="35"/>
      <c r="FG832" s="35"/>
      <c r="FH832" s="35"/>
      <c r="FI832" s="35"/>
      <c r="FJ832" s="35"/>
      <c r="FK832" s="35"/>
      <c r="FL832" s="35"/>
      <c r="FM832" s="35"/>
      <c r="FN832" s="35"/>
      <c r="FO832" s="35"/>
      <c r="FP832" s="35"/>
      <c r="FQ832" s="35"/>
      <c r="FR832" s="35"/>
      <c r="FS832" s="35"/>
      <c r="FT832" s="35"/>
      <c r="FU832" s="35"/>
      <c r="FV832" s="35"/>
      <c r="FW832" s="35"/>
      <c r="FX832" s="35"/>
      <c r="FY832" s="35"/>
      <c r="FZ832" s="35"/>
      <c r="GA832" s="35"/>
      <c r="GB832" s="35"/>
      <c r="GC832" s="35"/>
      <c r="GD832" s="35"/>
      <c r="GE832" s="35"/>
      <c r="GF832" s="35"/>
      <c r="GG832" s="35"/>
      <c r="GH832" s="35"/>
      <c r="GI832" s="35"/>
      <c r="GJ832" s="35"/>
      <c r="GK832" s="35"/>
      <c r="GL832" s="35"/>
      <c r="GM832" s="35"/>
      <c r="GN832" s="35"/>
      <c r="GO832" s="35"/>
      <c r="GP832" s="35"/>
      <c r="GQ832" s="35"/>
      <c r="GR832" s="35"/>
      <c r="GS832" s="35"/>
      <c r="GT832" s="35"/>
      <c r="GU832" s="35"/>
      <c r="GV832" s="35"/>
      <c r="GW832" s="35"/>
      <c r="GX832" s="35"/>
      <c r="GY832" s="35"/>
      <c r="GZ832" s="35"/>
      <c r="HA832" s="35"/>
      <c r="HB832" s="35"/>
      <c r="HC832" s="35"/>
      <c r="HD832" s="35"/>
      <c r="HE832" s="35"/>
      <c r="HF832" s="35"/>
      <c r="HG832" s="35"/>
      <c r="HH832" s="35"/>
      <c r="HI832" s="35"/>
      <c r="HJ832" s="35"/>
      <c r="HK832" s="35"/>
      <c r="HL832" s="35"/>
      <c r="HM832" s="35"/>
      <c r="HN832" s="35"/>
      <c r="HO832" s="35"/>
      <c r="HP832" s="35"/>
      <c r="HQ832" s="35"/>
      <c r="HR832" s="35"/>
      <c r="HS832" s="35"/>
      <c r="HT832" s="35"/>
      <c r="HU832" s="35"/>
      <c r="HV832" s="35"/>
      <c r="HW832" s="35"/>
      <c r="HX832" s="35"/>
      <c r="HY832" s="35"/>
      <c r="HZ832" s="35"/>
      <c r="IA832" s="35"/>
      <c r="IB832" s="35"/>
      <c r="IC832" s="35"/>
      <c r="ID832" s="35"/>
      <c r="IE832" s="35"/>
      <c r="IF832" s="35"/>
      <c r="IG832" s="35"/>
      <c r="IH832" s="35"/>
      <c r="II832" s="35"/>
      <c r="IJ832" s="35"/>
      <c r="IK832" s="35"/>
      <c r="IL832" s="35"/>
      <c r="IM832" s="35"/>
      <c r="IN832" s="35"/>
      <c r="IO832" s="35"/>
      <c r="IP832" s="35"/>
      <c r="IQ832" s="35"/>
      <c r="IR832" s="35"/>
      <c r="IS832" s="35"/>
      <c r="IT832" s="35"/>
      <c r="IU832" s="35"/>
      <c r="IV832" s="35"/>
      <c r="IW832" s="35"/>
      <c r="IX832" s="35"/>
      <c r="IY832" s="35"/>
      <c r="IZ832" s="35"/>
      <c r="JA832" s="35"/>
      <c r="JB832" s="35"/>
      <c r="JC832" s="35"/>
      <c r="JD832" s="35"/>
      <c r="JE832" s="35"/>
    </row>
    <row r="833">
      <c r="A833" s="42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  <c r="AZ833" s="35"/>
      <c r="BA833" s="35"/>
      <c r="BB833" s="35"/>
      <c r="BC833" s="35"/>
      <c r="BD833" s="35"/>
      <c r="BE833" s="35"/>
      <c r="BF833" s="35"/>
      <c r="BG833" s="35"/>
      <c r="BH833" s="35"/>
      <c r="BI833" s="35"/>
      <c r="BJ833" s="35"/>
      <c r="BK833" s="35"/>
      <c r="BL833" s="35"/>
      <c r="BM833" s="35"/>
      <c r="BN833" s="35"/>
      <c r="BO833" s="35"/>
      <c r="BP833" s="35"/>
      <c r="BQ833" s="35"/>
      <c r="BR833" s="35"/>
      <c r="BS833" s="35"/>
      <c r="BT833" s="35"/>
      <c r="BU833" s="35"/>
      <c r="BV833" s="35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35"/>
      <c r="CO833" s="35"/>
      <c r="CP833" s="35"/>
      <c r="CQ833" s="35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35"/>
      <c r="DJ833" s="35"/>
      <c r="DK833" s="35"/>
      <c r="DL833" s="35"/>
      <c r="DM833" s="35"/>
      <c r="DN833" s="35"/>
      <c r="DO833" s="35"/>
      <c r="DP833" s="35"/>
      <c r="DQ833" s="35"/>
      <c r="DR833" s="35"/>
      <c r="DS833" s="35"/>
      <c r="DT833" s="35"/>
      <c r="DU833" s="35"/>
      <c r="DV833" s="35"/>
      <c r="DW833" s="35"/>
      <c r="DX833" s="35"/>
      <c r="DY833" s="35"/>
      <c r="DZ833" s="35"/>
      <c r="EA833" s="35"/>
      <c r="EB833" s="35"/>
      <c r="EC833" s="35"/>
      <c r="ED833" s="35"/>
      <c r="EE833" s="35"/>
      <c r="EF833" s="35"/>
      <c r="EG833" s="35"/>
      <c r="EH833" s="35"/>
      <c r="EI833" s="35"/>
      <c r="EJ833" s="35"/>
      <c r="EK833" s="35"/>
      <c r="EL833" s="35"/>
      <c r="EM833" s="35"/>
      <c r="EN833" s="35"/>
      <c r="EO833" s="35"/>
      <c r="EP833" s="35"/>
      <c r="EQ833" s="35"/>
      <c r="ER833" s="35"/>
      <c r="ES833" s="35"/>
      <c r="ET833" s="35"/>
      <c r="EU833" s="35"/>
      <c r="EV833" s="35"/>
      <c r="EW833" s="35"/>
      <c r="EX833" s="35"/>
      <c r="EY833" s="35"/>
      <c r="EZ833" s="35"/>
      <c r="FA833" s="35"/>
      <c r="FB833" s="35"/>
      <c r="FC833" s="35"/>
      <c r="FD833" s="35"/>
      <c r="FE833" s="35"/>
      <c r="FF833" s="35"/>
      <c r="FG833" s="35"/>
      <c r="FH833" s="35"/>
      <c r="FI833" s="35"/>
      <c r="FJ833" s="35"/>
      <c r="FK833" s="35"/>
      <c r="FL833" s="35"/>
      <c r="FM833" s="35"/>
      <c r="FN833" s="35"/>
      <c r="FO833" s="35"/>
      <c r="FP833" s="35"/>
      <c r="FQ833" s="35"/>
      <c r="FR833" s="35"/>
      <c r="FS833" s="35"/>
      <c r="FT833" s="35"/>
      <c r="FU833" s="35"/>
      <c r="FV833" s="35"/>
      <c r="FW833" s="35"/>
      <c r="FX833" s="35"/>
      <c r="FY833" s="35"/>
      <c r="FZ833" s="35"/>
      <c r="GA833" s="35"/>
      <c r="GB833" s="35"/>
      <c r="GC833" s="35"/>
      <c r="GD833" s="35"/>
      <c r="GE833" s="35"/>
      <c r="GF833" s="35"/>
      <c r="GG833" s="35"/>
      <c r="GH833" s="35"/>
      <c r="GI833" s="35"/>
      <c r="GJ833" s="35"/>
      <c r="GK833" s="35"/>
      <c r="GL833" s="35"/>
      <c r="GM833" s="35"/>
      <c r="GN833" s="35"/>
      <c r="GO833" s="35"/>
      <c r="GP833" s="35"/>
      <c r="GQ833" s="35"/>
      <c r="GR833" s="35"/>
      <c r="GS833" s="35"/>
      <c r="GT833" s="35"/>
      <c r="GU833" s="35"/>
      <c r="GV833" s="35"/>
      <c r="GW833" s="35"/>
      <c r="GX833" s="35"/>
      <c r="GY833" s="35"/>
      <c r="GZ833" s="35"/>
      <c r="HA833" s="35"/>
      <c r="HB833" s="35"/>
      <c r="HC833" s="35"/>
      <c r="HD833" s="35"/>
      <c r="HE833" s="35"/>
      <c r="HF833" s="35"/>
      <c r="HG833" s="35"/>
      <c r="HH833" s="35"/>
      <c r="HI833" s="35"/>
      <c r="HJ833" s="35"/>
      <c r="HK833" s="35"/>
      <c r="HL833" s="35"/>
      <c r="HM833" s="35"/>
      <c r="HN833" s="35"/>
      <c r="HO833" s="35"/>
      <c r="HP833" s="35"/>
      <c r="HQ833" s="35"/>
      <c r="HR833" s="35"/>
      <c r="HS833" s="35"/>
      <c r="HT833" s="35"/>
      <c r="HU833" s="35"/>
      <c r="HV833" s="35"/>
      <c r="HW833" s="35"/>
      <c r="HX833" s="35"/>
      <c r="HY833" s="35"/>
      <c r="HZ833" s="35"/>
      <c r="IA833" s="35"/>
      <c r="IB833" s="35"/>
      <c r="IC833" s="35"/>
      <c r="ID833" s="35"/>
      <c r="IE833" s="35"/>
      <c r="IF833" s="35"/>
      <c r="IG833" s="35"/>
      <c r="IH833" s="35"/>
      <c r="II833" s="35"/>
      <c r="IJ833" s="35"/>
      <c r="IK833" s="35"/>
      <c r="IL833" s="35"/>
      <c r="IM833" s="35"/>
      <c r="IN833" s="35"/>
      <c r="IO833" s="35"/>
      <c r="IP833" s="35"/>
      <c r="IQ833" s="35"/>
      <c r="IR833" s="35"/>
      <c r="IS833" s="35"/>
      <c r="IT833" s="35"/>
      <c r="IU833" s="35"/>
      <c r="IV833" s="35"/>
      <c r="IW833" s="35"/>
      <c r="IX833" s="35"/>
      <c r="IY833" s="35"/>
      <c r="IZ833" s="35"/>
      <c r="JA833" s="35"/>
      <c r="JB833" s="35"/>
      <c r="JC833" s="35"/>
      <c r="JD833" s="35"/>
      <c r="JE833" s="35"/>
    </row>
    <row r="834">
      <c r="A834" s="42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35"/>
      <c r="BA834" s="35"/>
      <c r="BB834" s="35"/>
      <c r="BC834" s="35"/>
      <c r="BD834" s="35"/>
      <c r="BE834" s="35"/>
      <c r="BF834" s="35"/>
      <c r="BG834" s="35"/>
      <c r="BH834" s="35"/>
      <c r="BI834" s="35"/>
      <c r="BJ834" s="35"/>
      <c r="BK834" s="35"/>
      <c r="BL834" s="35"/>
      <c r="BM834" s="35"/>
      <c r="BN834" s="35"/>
      <c r="BO834" s="35"/>
      <c r="BP834" s="35"/>
      <c r="BQ834" s="35"/>
      <c r="BR834" s="35"/>
      <c r="BS834" s="35"/>
      <c r="BT834" s="35"/>
      <c r="BU834" s="35"/>
      <c r="BV834" s="35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35"/>
      <c r="CO834" s="35"/>
      <c r="CP834" s="35"/>
      <c r="CQ834" s="35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35"/>
      <c r="DJ834" s="35"/>
      <c r="DK834" s="35"/>
      <c r="DL834" s="35"/>
      <c r="DM834" s="35"/>
      <c r="DN834" s="35"/>
      <c r="DO834" s="35"/>
      <c r="DP834" s="35"/>
      <c r="DQ834" s="35"/>
      <c r="DR834" s="35"/>
      <c r="DS834" s="35"/>
      <c r="DT834" s="35"/>
      <c r="DU834" s="35"/>
      <c r="DV834" s="35"/>
      <c r="DW834" s="35"/>
      <c r="DX834" s="35"/>
      <c r="DY834" s="35"/>
      <c r="DZ834" s="35"/>
      <c r="EA834" s="35"/>
      <c r="EB834" s="35"/>
      <c r="EC834" s="35"/>
      <c r="ED834" s="35"/>
      <c r="EE834" s="35"/>
      <c r="EF834" s="35"/>
      <c r="EG834" s="35"/>
      <c r="EH834" s="35"/>
      <c r="EI834" s="35"/>
      <c r="EJ834" s="35"/>
      <c r="EK834" s="35"/>
      <c r="EL834" s="35"/>
      <c r="EM834" s="35"/>
      <c r="EN834" s="35"/>
      <c r="EO834" s="35"/>
      <c r="EP834" s="35"/>
      <c r="EQ834" s="35"/>
      <c r="ER834" s="35"/>
      <c r="ES834" s="35"/>
      <c r="ET834" s="35"/>
      <c r="EU834" s="35"/>
      <c r="EV834" s="35"/>
      <c r="EW834" s="35"/>
      <c r="EX834" s="35"/>
      <c r="EY834" s="35"/>
      <c r="EZ834" s="35"/>
      <c r="FA834" s="35"/>
      <c r="FB834" s="35"/>
      <c r="FC834" s="35"/>
      <c r="FD834" s="35"/>
      <c r="FE834" s="35"/>
      <c r="FF834" s="35"/>
      <c r="FG834" s="35"/>
      <c r="FH834" s="35"/>
      <c r="FI834" s="35"/>
      <c r="FJ834" s="35"/>
      <c r="FK834" s="35"/>
      <c r="FL834" s="35"/>
      <c r="FM834" s="35"/>
      <c r="FN834" s="35"/>
      <c r="FO834" s="35"/>
      <c r="FP834" s="35"/>
      <c r="FQ834" s="35"/>
      <c r="FR834" s="35"/>
      <c r="FS834" s="35"/>
      <c r="FT834" s="35"/>
      <c r="FU834" s="35"/>
      <c r="FV834" s="35"/>
      <c r="FW834" s="35"/>
      <c r="FX834" s="35"/>
      <c r="FY834" s="35"/>
      <c r="FZ834" s="35"/>
      <c r="GA834" s="35"/>
      <c r="GB834" s="35"/>
      <c r="GC834" s="35"/>
      <c r="GD834" s="35"/>
      <c r="GE834" s="35"/>
      <c r="GF834" s="35"/>
      <c r="GG834" s="35"/>
      <c r="GH834" s="35"/>
      <c r="GI834" s="35"/>
      <c r="GJ834" s="35"/>
      <c r="GK834" s="35"/>
      <c r="GL834" s="35"/>
      <c r="GM834" s="35"/>
      <c r="GN834" s="35"/>
      <c r="GO834" s="35"/>
      <c r="GP834" s="35"/>
      <c r="GQ834" s="35"/>
      <c r="GR834" s="35"/>
      <c r="GS834" s="35"/>
      <c r="GT834" s="35"/>
      <c r="GU834" s="35"/>
      <c r="GV834" s="35"/>
      <c r="GW834" s="35"/>
      <c r="GX834" s="35"/>
      <c r="GY834" s="35"/>
      <c r="GZ834" s="35"/>
      <c r="HA834" s="35"/>
      <c r="HB834" s="35"/>
      <c r="HC834" s="35"/>
      <c r="HD834" s="35"/>
      <c r="HE834" s="35"/>
      <c r="HF834" s="35"/>
      <c r="HG834" s="35"/>
      <c r="HH834" s="35"/>
      <c r="HI834" s="35"/>
      <c r="HJ834" s="35"/>
      <c r="HK834" s="35"/>
      <c r="HL834" s="35"/>
      <c r="HM834" s="35"/>
      <c r="HN834" s="35"/>
      <c r="HO834" s="35"/>
      <c r="HP834" s="35"/>
      <c r="HQ834" s="35"/>
      <c r="HR834" s="35"/>
      <c r="HS834" s="35"/>
      <c r="HT834" s="35"/>
      <c r="HU834" s="35"/>
      <c r="HV834" s="35"/>
      <c r="HW834" s="35"/>
      <c r="HX834" s="35"/>
      <c r="HY834" s="35"/>
      <c r="HZ834" s="35"/>
      <c r="IA834" s="35"/>
      <c r="IB834" s="35"/>
      <c r="IC834" s="35"/>
      <c r="ID834" s="35"/>
      <c r="IE834" s="35"/>
      <c r="IF834" s="35"/>
      <c r="IG834" s="35"/>
      <c r="IH834" s="35"/>
      <c r="II834" s="35"/>
      <c r="IJ834" s="35"/>
      <c r="IK834" s="35"/>
      <c r="IL834" s="35"/>
      <c r="IM834" s="35"/>
      <c r="IN834" s="35"/>
      <c r="IO834" s="35"/>
      <c r="IP834" s="35"/>
      <c r="IQ834" s="35"/>
      <c r="IR834" s="35"/>
      <c r="IS834" s="35"/>
      <c r="IT834" s="35"/>
      <c r="IU834" s="35"/>
      <c r="IV834" s="35"/>
      <c r="IW834" s="35"/>
      <c r="IX834" s="35"/>
      <c r="IY834" s="35"/>
      <c r="IZ834" s="35"/>
      <c r="JA834" s="35"/>
      <c r="JB834" s="35"/>
      <c r="JC834" s="35"/>
      <c r="JD834" s="35"/>
      <c r="JE834" s="35"/>
    </row>
    <row r="835">
      <c r="A835" s="42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  <c r="AZ835" s="35"/>
      <c r="BA835" s="35"/>
      <c r="BB835" s="35"/>
      <c r="BC835" s="35"/>
      <c r="BD835" s="35"/>
      <c r="BE835" s="35"/>
      <c r="BF835" s="35"/>
      <c r="BG835" s="35"/>
      <c r="BH835" s="35"/>
      <c r="BI835" s="35"/>
      <c r="BJ835" s="35"/>
      <c r="BK835" s="35"/>
      <c r="BL835" s="35"/>
      <c r="BM835" s="35"/>
      <c r="BN835" s="35"/>
      <c r="BO835" s="35"/>
      <c r="BP835" s="35"/>
      <c r="BQ835" s="35"/>
      <c r="BR835" s="35"/>
      <c r="BS835" s="35"/>
      <c r="BT835" s="35"/>
      <c r="BU835" s="35"/>
      <c r="BV835" s="35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35"/>
      <c r="CO835" s="35"/>
      <c r="CP835" s="35"/>
      <c r="CQ835" s="35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35"/>
      <c r="DJ835" s="35"/>
      <c r="DK835" s="35"/>
      <c r="DL835" s="35"/>
      <c r="DM835" s="35"/>
      <c r="DN835" s="35"/>
      <c r="DO835" s="35"/>
      <c r="DP835" s="35"/>
      <c r="DQ835" s="35"/>
      <c r="DR835" s="35"/>
      <c r="DS835" s="35"/>
      <c r="DT835" s="35"/>
      <c r="DU835" s="35"/>
      <c r="DV835" s="35"/>
      <c r="DW835" s="35"/>
      <c r="DX835" s="35"/>
      <c r="DY835" s="35"/>
      <c r="DZ835" s="35"/>
      <c r="EA835" s="35"/>
      <c r="EB835" s="35"/>
      <c r="EC835" s="35"/>
      <c r="ED835" s="35"/>
      <c r="EE835" s="35"/>
      <c r="EF835" s="35"/>
      <c r="EG835" s="35"/>
      <c r="EH835" s="35"/>
      <c r="EI835" s="35"/>
      <c r="EJ835" s="35"/>
      <c r="EK835" s="35"/>
      <c r="EL835" s="35"/>
      <c r="EM835" s="35"/>
      <c r="EN835" s="35"/>
      <c r="EO835" s="35"/>
      <c r="EP835" s="35"/>
      <c r="EQ835" s="35"/>
      <c r="ER835" s="35"/>
      <c r="ES835" s="35"/>
      <c r="ET835" s="35"/>
      <c r="EU835" s="35"/>
      <c r="EV835" s="35"/>
      <c r="EW835" s="35"/>
      <c r="EX835" s="35"/>
      <c r="EY835" s="35"/>
      <c r="EZ835" s="35"/>
      <c r="FA835" s="35"/>
      <c r="FB835" s="35"/>
      <c r="FC835" s="35"/>
      <c r="FD835" s="35"/>
      <c r="FE835" s="35"/>
      <c r="FF835" s="35"/>
      <c r="FG835" s="35"/>
      <c r="FH835" s="35"/>
      <c r="FI835" s="35"/>
      <c r="FJ835" s="35"/>
      <c r="FK835" s="35"/>
      <c r="FL835" s="35"/>
      <c r="FM835" s="35"/>
      <c r="FN835" s="35"/>
      <c r="FO835" s="35"/>
      <c r="FP835" s="35"/>
      <c r="FQ835" s="35"/>
      <c r="FR835" s="35"/>
      <c r="FS835" s="35"/>
      <c r="FT835" s="35"/>
      <c r="FU835" s="35"/>
      <c r="FV835" s="35"/>
      <c r="FW835" s="35"/>
      <c r="FX835" s="35"/>
      <c r="FY835" s="35"/>
      <c r="FZ835" s="35"/>
      <c r="GA835" s="35"/>
      <c r="GB835" s="35"/>
      <c r="GC835" s="35"/>
      <c r="GD835" s="35"/>
      <c r="GE835" s="35"/>
      <c r="GF835" s="35"/>
      <c r="GG835" s="35"/>
      <c r="GH835" s="35"/>
      <c r="GI835" s="35"/>
      <c r="GJ835" s="35"/>
      <c r="GK835" s="35"/>
      <c r="GL835" s="35"/>
      <c r="GM835" s="35"/>
      <c r="GN835" s="35"/>
      <c r="GO835" s="35"/>
      <c r="GP835" s="35"/>
      <c r="GQ835" s="35"/>
      <c r="GR835" s="35"/>
      <c r="GS835" s="35"/>
      <c r="GT835" s="35"/>
      <c r="GU835" s="35"/>
      <c r="GV835" s="35"/>
      <c r="GW835" s="35"/>
      <c r="GX835" s="35"/>
      <c r="GY835" s="35"/>
      <c r="GZ835" s="35"/>
      <c r="HA835" s="35"/>
      <c r="HB835" s="35"/>
      <c r="HC835" s="35"/>
      <c r="HD835" s="35"/>
      <c r="HE835" s="35"/>
      <c r="HF835" s="35"/>
      <c r="HG835" s="35"/>
      <c r="HH835" s="35"/>
      <c r="HI835" s="35"/>
      <c r="HJ835" s="35"/>
      <c r="HK835" s="35"/>
      <c r="HL835" s="35"/>
      <c r="HM835" s="35"/>
      <c r="HN835" s="35"/>
      <c r="HO835" s="35"/>
      <c r="HP835" s="35"/>
      <c r="HQ835" s="35"/>
      <c r="HR835" s="35"/>
      <c r="HS835" s="35"/>
      <c r="HT835" s="35"/>
      <c r="HU835" s="35"/>
      <c r="HV835" s="35"/>
      <c r="HW835" s="35"/>
      <c r="HX835" s="35"/>
      <c r="HY835" s="35"/>
      <c r="HZ835" s="35"/>
      <c r="IA835" s="35"/>
      <c r="IB835" s="35"/>
      <c r="IC835" s="35"/>
      <c r="ID835" s="35"/>
      <c r="IE835" s="35"/>
      <c r="IF835" s="35"/>
      <c r="IG835" s="35"/>
      <c r="IH835" s="35"/>
      <c r="II835" s="35"/>
      <c r="IJ835" s="35"/>
      <c r="IK835" s="35"/>
      <c r="IL835" s="35"/>
      <c r="IM835" s="35"/>
      <c r="IN835" s="35"/>
      <c r="IO835" s="35"/>
      <c r="IP835" s="35"/>
      <c r="IQ835" s="35"/>
      <c r="IR835" s="35"/>
      <c r="IS835" s="35"/>
      <c r="IT835" s="35"/>
      <c r="IU835" s="35"/>
      <c r="IV835" s="35"/>
      <c r="IW835" s="35"/>
      <c r="IX835" s="35"/>
      <c r="IY835" s="35"/>
      <c r="IZ835" s="35"/>
      <c r="JA835" s="35"/>
      <c r="JB835" s="35"/>
      <c r="JC835" s="35"/>
      <c r="JD835" s="35"/>
      <c r="JE835" s="35"/>
    </row>
    <row r="836">
      <c r="A836" s="42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  <c r="AZ836" s="35"/>
      <c r="BA836" s="35"/>
      <c r="BB836" s="35"/>
      <c r="BC836" s="35"/>
      <c r="BD836" s="35"/>
      <c r="BE836" s="35"/>
      <c r="BF836" s="35"/>
      <c r="BG836" s="35"/>
      <c r="BH836" s="35"/>
      <c r="BI836" s="35"/>
      <c r="BJ836" s="35"/>
      <c r="BK836" s="35"/>
      <c r="BL836" s="35"/>
      <c r="BM836" s="35"/>
      <c r="BN836" s="35"/>
      <c r="BO836" s="35"/>
      <c r="BP836" s="35"/>
      <c r="BQ836" s="35"/>
      <c r="BR836" s="35"/>
      <c r="BS836" s="35"/>
      <c r="BT836" s="35"/>
      <c r="BU836" s="35"/>
      <c r="BV836" s="35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35"/>
      <c r="CO836" s="35"/>
      <c r="CP836" s="35"/>
      <c r="CQ836" s="35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35"/>
      <c r="DJ836" s="35"/>
      <c r="DK836" s="35"/>
      <c r="DL836" s="35"/>
      <c r="DM836" s="35"/>
      <c r="DN836" s="35"/>
      <c r="DO836" s="35"/>
      <c r="DP836" s="35"/>
      <c r="DQ836" s="35"/>
      <c r="DR836" s="35"/>
      <c r="DS836" s="35"/>
      <c r="DT836" s="35"/>
      <c r="DU836" s="35"/>
      <c r="DV836" s="35"/>
      <c r="DW836" s="35"/>
      <c r="DX836" s="35"/>
      <c r="DY836" s="35"/>
      <c r="DZ836" s="35"/>
      <c r="EA836" s="35"/>
      <c r="EB836" s="35"/>
      <c r="EC836" s="35"/>
      <c r="ED836" s="35"/>
      <c r="EE836" s="35"/>
      <c r="EF836" s="35"/>
      <c r="EG836" s="35"/>
      <c r="EH836" s="35"/>
      <c r="EI836" s="35"/>
      <c r="EJ836" s="35"/>
      <c r="EK836" s="35"/>
      <c r="EL836" s="35"/>
      <c r="EM836" s="35"/>
      <c r="EN836" s="35"/>
      <c r="EO836" s="35"/>
      <c r="EP836" s="35"/>
      <c r="EQ836" s="35"/>
      <c r="ER836" s="35"/>
      <c r="ES836" s="35"/>
      <c r="ET836" s="35"/>
      <c r="EU836" s="35"/>
      <c r="EV836" s="35"/>
      <c r="EW836" s="35"/>
      <c r="EX836" s="35"/>
      <c r="EY836" s="35"/>
      <c r="EZ836" s="35"/>
      <c r="FA836" s="35"/>
      <c r="FB836" s="35"/>
      <c r="FC836" s="35"/>
      <c r="FD836" s="35"/>
      <c r="FE836" s="35"/>
      <c r="FF836" s="35"/>
      <c r="FG836" s="35"/>
      <c r="FH836" s="35"/>
      <c r="FI836" s="35"/>
      <c r="FJ836" s="35"/>
      <c r="FK836" s="35"/>
      <c r="FL836" s="35"/>
      <c r="FM836" s="35"/>
      <c r="FN836" s="35"/>
      <c r="FO836" s="35"/>
      <c r="FP836" s="35"/>
      <c r="FQ836" s="35"/>
      <c r="FR836" s="35"/>
      <c r="FS836" s="35"/>
      <c r="FT836" s="35"/>
      <c r="FU836" s="35"/>
      <c r="FV836" s="35"/>
      <c r="FW836" s="35"/>
      <c r="FX836" s="35"/>
      <c r="FY836" s="35"/>
      <c r="FZ836" s="35"/>
      <c r="GA836" s="35"/>
      <c r="GB836" s="35"/>
      <c r="GC836" s="35"/>
      <c r="GD836" s="35"/>
      <c r="GE836" s="35"/>
      <c r="GF836" s="35"/>
      <c r="GG836" s="35"/>
      <c r="GH836" s="35"/>
      <c r="GI836" s="35"/>
      <c r="GJ836" s="35"/>
      <c r="GK836" s="35"/>
      <c r="GL836" s="35"/>
      <c r="GM836" s="35"/>
      <c r="GN836" s="35"/>
      <c r="GO836" s="35"/>
      <c r="GP836" s="35"/>
      <c r="GQ836" s="35"/>
      <c r="GR836" s="35"/>
      <c r="GS836" s="35"/>
      <c r="GT836" s="35"/>
      <c r="GU836" s="35"/>
      <c r="GV836" s="35"/>
      <c r="GW836" s="35"/>
      <c r="GX836" s="35"/>
      <c r="GY836" s="35"/>
      <c r="GZ836" s="35"/>
      <c r="HA836" s="35"/>
      <c r="HB836" s="35"/>
      <c r="HC836" s="35"/>
      <c r="HD836" s="35"/>
      <c r="HE836" s="35"/>
      <c r="HF836" s="35"/>
      <c r="HG836" s="35"/>
      <c r="HH836" s="35"/>
      <c r="HI836" s="35"/>
      <c r="HJ836" s="35"/>
      <c r="HK836" s="35"/>
      <c r="HL836" s="35"/>
      <c r="HM836" s="35"/>
      <c r="HN836" s="35"/>
      <c r="HO836" s="35"/>
      <c r="HP836" s="35"/>
      <c r="HQ836" s="35"/>
      <c r="HR836" s="35"/>
      <c r="HS836" s="35"/>
      <c r="HT836" s="35"/>
      <c r="HU836" s="35"/>
      <c r="HV836" s="35"/>
      <c r="HW836" s="35"/>
      <c r="HX836" s="35"/>
      <c r="HY836" s="35"/>
      <c r="HZ836" s="35"/>
      <c r="IA836" s="35"/>
      <c r="IB836" s="35"/>
      <c r="IC836" s="35"/>
      <c r="ID836" s="35"/>
      <c r="IE836" s="35"/>
      <c r="IF836" s="35"/>
      <c r="IG836" s="35"/>
      <c r="IH836" s="35"/>
      <c r="II836" s="35"/>
      <c r="IJ836" s="35"/>
      <c r="IK836" s="35"/>
      <c r="IL836" s="35"/>
      <c r="IM836" s="35"/>
      <c r="IN836" s="35"/>
      <c r="IO836" s="35"/>
      <c r="IP836" s="35"/>
      <c r="IQ836" s="35"/>
      <c r="IR836" s="35"/>
      <c r="IS836" s="35"/>
      <c r="IT836" s="35"/>
      <c r="IU836" s="35"/>
      <c r="IV836" s="35"/>
      <c r="IW836" s="35"/>
      <c r="IX836" s="35"/>
      <c r="IY836" s="35"/>
      <c r="IZ836" s="35"/>
      <c r="JA836" s="35"/>
      <c r="JB836" s="35"/>
      <c r="JC836" s="35"/>
      <c r="JD836" s="35"/>
      <c r="JE836" s="35"/>
    </row>
    <row r="837">
      <c r="A837" s="42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35"/>
      <c r="BA837" s="35"/>
      <c r="BB837" s="35"/>
      <c r="BC837" s="35"/>
      <c r="BD837" s="35"/>
      <c r="BE837" s="35"/>
      <c r="BF837" s="35"/>
      <c r="BG837" s="35"/>
      <c r="BH837" s="35"/>
      <c r="BI837" s="35"/>
      <c r="BJ837" s="35"/>
      <c r="BK837" s="35"/>
      <c r="BL837" s="35"/>
      <c r="BM837" s="35"/>
      <c r="BN837" s="35"/>
      <c r="BO837" s="35"/>
      <c r="BP837" s="35"/>
      <c r="BQ837" s="35"/>
      <c r="BR837" s="35"/>
      <c r="BS837" s="35"/>
      <c r="BT837" s="35"/>
      <c r="BU837" s="35"/>
      <c r="BV837" s="35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35"/>
      <c r="CO837" s="35"/>
      <c r="CP837" s="35"/>
      <c r="CQ837" s="35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35"/>
      <c r="DJ837" s="35"/>
      <c r="DK837" s="35"/>
      <c r="DL837" s="35"/>
      <c r="DM837" s="35"/>
      <c r="DN837" s="35"/>
      <c r="DO837" s="35"/>
      <c r="DP837" s="35"/>
      <c r="DQ837" s="35"/>
      <c r="DR837" s="35"/>
      <c r="DS837" s="35"/>
      <c r="DT837" s="35"/>
      <c r="DU837" s="35"/>
      <c r="DV837" s="35"/>
      <c r="DW837" s="35"/>
      <c r="DX837" s="35"/>
      <c r="DY837" s="35"/>
      <c r="DZ837" s="35"/>
      <c r="EA837" s="35"/>
      <c r="EB837" s="35"/>
      <c r="EC837" s="35"/>
      <c r="ED837" s="35"/>
      <c r="EE837" s="35"/>
      <c r="EF837" s="35"/>
      <c r="EG837" s="35"/>
      <c r="EH837" s="35"/>
      <c r="EI837" s="35"/>
      <c r="EJ837" s="35"/>
      <c r="EK837" s="35"/>
      <c r="EL837" s="35"/>
      <c r="EM837" s="35"/>
      <c r="EN837" s="35"/>
      <c r="EO837" s="35"/>
      <c r="EP837" s="35"/>
      <c r="EQ837" s="35"/>
      <c r="ER837" s="35"/>
      <c r="ES837" s="35"/>
      <c r="ET837" s="35"/>
      <c r="EU837" s="35"/>
      <c r="EV837" s="35"/>
      <c r="EW837" s="35"/>
      <c r="EX837" s="35"/>
      <c r="EY837" s="35"/>
      <c r="EZ837" s="35"/>
      <c r="FA837" s="35"/>
      <c r="FB837" s="35"/>
      <c r="FC837" s="35"/>
      <c r="FD837" s="35"/>
      <c r="FE837" s="35"/>
      <c r="FF837" s="35"/>
      <c r="FG837" s="35"/>
      <c r="FH837" s="35"/>
      <c r="FI837" s="35"/>
      <c r="FJ837" s="35"/>
      <c r="FK837" s="35"/>
      <c r="FL837" s="35"/>
      <c r="FM837" s="35"/>
      <c r="FN837" s="35"/>
      <c r="FO837" s="35"/>
      <c r="FP837" s="35"/>
      <c r="FQ837" s="35"/>
      <c r="FR837" s="35"/>
      <c r="FS837" s="35"/>
      <c r="FT837" s="35"/>
      <c r="FU837" s="35"/>
      <c r="FV837" s="35"/>
      <c r="FW837" s="35"/>
      <c r="FX837" s="35"/>
      <c r="FY837" s="35"/>
      <c r="FZ837" s="35"/>
      <c r="GA837" s="35"/>
      <c r="GB837" s="35"/>
      <c r="GC837" s="35"/>
      <c r="GD837" s="35"/>
      <c r="GE837" s="35"/>
      <c r="GF837" s="35"/>
      <c r="GG837" s="35"/>
      <c r="GH837" s="35"/>
      <c r="GI837" s="35"/>
      <c r="GJ837" s="35"/>
      <c r="GK837" s="35"/>
      <c r="GL837" s="35"/>
      <c r="GM837" s="35"/>
      <c r="GN837" s="35"/>
      <c r="GO837" s="35"/>
      <c r="GP837" s="35"/>
      <c r="GQ837" s="35"/>
      <c r="GR837" s="35"/>
      <c r="GS837" s="35"/>
      <c r="GT837" s="35"/>
      <c r="GU837" s="35"/>
      <c r="GV837" s="35"/>
      <c r="GW837" s="35"/>
      <c r="GX837" s="35"/>
      <c r="GY837" s="35"/>
      <c r="GZ837" s="35"/>
      <c r="HA837" s="35"/>
      <c r="HB837" s="35"/>
      <c r="HC837" s="35"/>
      <c r="HD837" s="35"/>
      <c r="HE837" s="35"/>
      <c r="HF837" s="35"/>
      <c r="HG837" s="35"/>
      <c r="HH837" s="35"/>
      <c r="HI837" s="35"/>
      <c r="HJ837" s="35"/>
      <c r="HK837" s="35"/>
      <c r="HL837" s="35"/>
      <c r="HM837" s="35"/>
      <c r="HN837" s="35"/>
      <c r="HO837" s="35"/>
      <c r="HP837" s="35"/>
      <c r="HQ837" s="35"/>
      <c r="HR837" s="35"/>
      <c r="HS837" s="35"/>
      <c r="HT837" s="35"/>
      <c r="HU837" s="35"/>
      <c r="HV837" s="35"/>
      <c r="HW837" s="35"/>
      <c r="HX837" s="35"/>
      <c r="HY837" s="35"/>
      <c r="HZ837" s="35"/>
      <c r="IA837" s="35"/>
      <c r="IB837" s="35"/>
      <c r="IC837" s="35"/>
      <c r="ID837" s="35"/>
      <c r="IE837" s="35"/>
      <c r="IF837" s="35"/>
      <c r="IG837" s="35"/>
      <c r="IH837" s="35"/>
      <c r="II837" s="35"/>
      <c r="IJ837" s="35"/>
      <c r="IK837" s="35"/>
      <c r="IL837" s="35"/>
      <c r="IM837" s="35"/>
      <c r="IN837" s="35"/>
      <c r="IO837" s="35"/>
      <c r="IP837" s="35"/>
      <c r="IQ837" s="35"/>
      <c r="IR837" s="35"/>
      <c r="IS837" s="35"/>
      <c r="IT837" s="35"/>
      <c r="IU837" s="35"/>
      <c r="IV837" s="35"/>
      <c r="IW837" s="35"/>
      <c r="IX837" s="35"/>
      <c r="IY837" s="35"/>
      <c r="IZ837" s="35"/>
      <c r="JA837" s="35"/>
      <c r="JB837" s="35"/>
      <c r="JC837" s="35"/>
      <c r="JD837" s="35"/>
      <c r="JE837" s="35"/>
    </row>
    <row r="838">
      <c r="A838" s="42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  <c r="AZ838" s="35"/>
      <c r="BA838" s="35"/>
      <c r="BB838" s="35"/>
      <c r="BC838" s="35"/>
      <c r="BD838" s="35"/>
      <c r="BE838" s="35"/>
      <c r="BF838" s="35"/>
      <c r="BG838" s="35"/>
      <c r="BH838" s="35"/>
      <c r="BI838" s="35"/>
      <c r="BJ838" s="35"/>
      <c r="BK838" s="35"/>
      <c r="BL838" s="35"/>
      <c r="BM838" s="35"/>
      <c r="BN838" s="35"/>
      <c r="BO838" s="35"/>
      <c r="BP838" s="35"/>
      <c r="BQ838" s="35"/>
      <c r="BR838" s="35"/>
      <c r="BS838" s="35"/>
      <c r="BT838" s="35"/>
      <c r="BU838" s="35"/>
      <c r="BV838" s="35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35"/>
      <c r="CO838" s="35"/>
      <c r="CP838" s="35"/>
      <c r="CQ838" s="35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35"/>
      <c r="DJ838" s="35"/>
      <c r="DK838" s="35"/>
      <c r="DL838" s="35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s="35"/>
      <c r="EE838" s="35"/>
      <c r="EF838" s="35"/>
      <c r="EG838" s="35"/>
      <c r="EH838" s="35"/>
      <c r="EI838" s="35"/>
      <c r="EJ838" s="35"/>
      <c r="EK838" s="35"/>
      <c r="EL838" s="35"/>
      <c r="EM838" s="35"/>
      <c r="EN838" s="35"/>
      <c r="EO838" s="35"/>
      <c r="EP838" s="35"/>
      <c r="EQ838" s="35"/>
      <c r="ER838" s="35"/>
      <c r="ES838" s="35"/>
      <c r="ET838" s="35"/>
      <c r="EU838" s="35"/>
      <c r="EV838" s="35"/>
      <c r="EW838" s="35"/>
      <c r="EX838" s="35"/>
      <c r="EY838" s="35"/>
      <c r="EZ838" s="35"/>
      <c r="FA838" s="35"/>
      <c r="FB838" s="35"/>
      <c r="FC838" s="35"/>
      <c r="FD838" s="35"/>
      <c r="FE838" s="35"/>
      <c r="FF838" s="35"/>
      <c r="FG838" s="35"/>
      <c r="FH838" s="35"/>
      <c r="FI838" s="35"/>
      <c r="FJ838" s="35"/>
      <c r="FK838" s="35"/>
      <c r="FL838" s="35"/>
      <c r="FM838" s="35"/>
      <c r="FN838" s="35"/>
      <c r="FO838" s="35"/>
      <c r="FP838" s="35"/>
      <c r="FQ838" s="35"/>
      <c r="FR838" s="35"/>
      <c r="FS838" s="35"/>
      <c r="FT838" s="35"/>
      <c r="FU838" s="35"/>
      <c r="FV838" s="35"/>
      <c r="FW838" s="35"/>
      <c r="FX838" s="35"/>
      <c r="FY838" s="35"/>
      <c r="FZ838" s="35"/>
      <c r="GA838" s="35"/>
      <c r="GB838" s="35"/>
      <c r="GC838" s="35"/>
      <c r="GD838" s="35"/>
      <c r="GE838" s="35"/>
      <c r="GF838" s="35"/>
      <c r="GG838" s="35"/>
      <c r="GH838" s="35"/>
      <c r="GI838" s="35"/>
      <c r="GJ838" s="35"/>
      <c r="GK838" s="35"/>
      <c r="GL838" s="35"/>
      <c r="GM838" s="35"/>
      <c r="GN838" s="35"/>
      <c r="GO838" s="35"/>
      <c r="GP838" s="35"/>
      <c r="GQ838" s="35"/>
      <c r="GR838" s="35"/>
      <c r="GS838" s="35"/>
      <c r="GT838" s="35"/>
      <c r="GU838" s="35"/>
      <c r="GV838" s="35"/>
      <c r="GW838" s="35"/>
      <c r="GX838" s="35"/>
      <c r="GY838" s="35"/>
      <c r="GZ838" s="35"/>
      <c r="HA838" s="35"/>
      <c r="HB838" s="35"/>
      <c r="HC838" s="35"/>
      <c r="HD838" s="35"/>
      <c r="HE838" s="35"/>
      <c r="HF838" s="35"/>
      <c r="HG838" s="35"/>
      <c r="HH838" s="35"/>
      <c r="HI838" s="35"/>
      <c r="HJ838" s="35"/>
      <c r="HK838" s="35"/>
      <c r="HL838" s="35"/>
      <c r="HM838" s="35"/>
      <c r="HN838" s="35"/>
      <c r="HO838" s="35"/>
      <c r="HP838" s="35"/>
      <c r="HQ838" s="35"/>
      <c r="HR838" s="35"/>
      <c r="HS838" s="35"/>
      <c r="HT838" s="35"/>
      <c r="HU838" s="35"/>
      <c r="HV838" s="35"/>
      <c r="HW838" s="35"/>
      <c r="HX838" s="35"/>
      <c r="HY838" s="35"/>
      <c r="HZ838" s="35"/>
      <c r="IA838" s="35"/>
      <c r="IB838" s="35"/>
      <c r="IC838" s="35"/>
      <c r="ID838" s="35"/>
      <c r="IE838" s="35"/>
      <c r="IF838" s="35"/>
      <c r="IG838" s="35"/>
      <c r="IH838" s="35"/>
      <c r="II838" s="35"/>
      <c r="IJ838" s="35"/>
      <c r="IK838" s="35"/>
      <c r="IL838" s="35"/>
      <c r="IM838" s="35"/>
      <c r="IN838" s="35"/>
      <c r="IO838" s="35"/>
      <c r="IP838" s="35"/>
      <c r="IQ838" s="35"/>
      <c r="IR838" s="35"/>
      <c r="IS838" s="35"/>
      <c r="IT838" s="35"/>
      <c r="IU838" s="35"/>
      <c r="IV838" s="35"/>
      <c r="IW838" s="35"/>
      <c r="IX838" s="35"/>
      <c r="IY838" s="35"/>
      <c r="IZ838" s="35"/>
      <c r="JA838" s="35"/>
      <c r="JB838" s="35"/>
      <c r="JC838" s="35"/>
      <c r="JD838" s="35"/>
      <c r="JE838" s="35"/>
    </row>
    <row r="839">
      <c r="A839" s="42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35"/>
      <c r="BA839" s="35"/>
      <c r="BB839" s="35"/>
      <c r="BC839" s="35"/>
      <c r="BD839" s="35"/>
      <c r="BE839" s="35"/>
      <c r="BF839" s="35"/>
      <c r="BG839" s="35"/>
      <c r="BH839" s="35"/>
      <c r="BI839" s="35"/>
      <c r="BJ839" s="35"/>
      <c r="BK839" s="35"/>
      <c r="BL839" s="35"/>
      <c r="BM839" s="35"/>
      <c r="BN839" s="35"/>
      <c r="BO839" s="35"/>
      <c r="BP839" s="35"/>
      <c r="BQ839" s="35"/>
      <c r="BR839" s="35"/>
      <c r="BS839" s="35"/>
      <c r="BT839" s="35"/>
      <c r="BU839" s="35"/>
      <c r="BV839" s="35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35"/>
      <c r="CO839" s="35"/>
      <c r="CP839" s="35"/>
      <c r="CQ839" s="35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35"/>
      <c r="DJ839" s="35"/>
      <c r="DK839" s="35"/>
      <c r="DL839" s="35"/>
      <c r="DM839" s="35"/>
      <c r="DN839" s="35"/>
      <c r="DO839" s="35"/>
      <c r="DP839" s="35"/>
      <c r="DQ839" s="35"/>
      <c r="DR839" s="35"/>
      <c r="DS839" s="35"/>
      <c r="DT839" s="35"/>
      <c r="DU839" s="35"/>
      <c r="DV839" s="35"/>
      <c r="DW839" s="35"/>
      <c r="DX839" s="35"/>
      <c r="DY839" s="35"/>
      <c r="DZ839" s="35"/>
      <c r="EA839" s="35"/>
      <c r="EB839" s="35"/>
      <c r="EC839" s="35"/>
      <c r="ED839" s="35"/>
      <c r="EE839" s="35"/>
      <c r="EF839" s="35"/>
      <c r="EG839" s="35"/>
      <c r="EH839" s="35"/>
      <c r="EI839" s="35"/>
      <c r="EJ839" s="35"/>
      <c r="EK839" s="35"/>
      <c r="EL839" s="35"/>
      <c r="EM839" s="35"/>
      <c r="EN839" s="35"/>
      <c r="EO839" s="35"/>
      <c r="EP839" s="35"/>
      <c r="EQ839" s="35"/>
      <c r="ER839" s="35"/>
      <c r="ES839" s="35"/>
      <c r="ET839" s="35"/>
      <c r="EU839" s="35"/>
      <c r="EV839" s="35"/>
      <c r="EW839" s="35"/>
      <c r="EX839" s="35"/>
      <c r="EY839" s="35"/>
      <c r="EZ839" s="35"/>
      <c r="FA839" s="35"/>
      <c r="FB839" s="35"/>
      <c r="FC839" s="35"/>
      <c r="FD839" s="35"/>
      <c r="FE839" s="35"/>
      <c r="FF839" s="35"/>
      <c r="FG839" s="35"/>
      <c r="FH839" s="35"/>
      <c r="FI839" s="35"/>
      <c r="FJ839" s="35"/>
      <c r="FK839" s="35"/>
      <c r="FL839" s="35"/>
      <c r="FM839" s="35"/>
      <c r="FN839" s="35"/>
      <c r="FO839" s="35"/>
      <c r="FP839" s="35"/>
      <c r="FQ839" s="35"/>
      <c r="FR839" s="35"/>
      <c r="FS839" s="35"/>
      <c r="FT839" s="35"/>
      <c r="FU839" s="35"/>
      <c r="FV839" s="35"/>
      <c r="FW839" s="35"/>
      <c r="FX839" s="35"/>
      <c r="FY839" s="35"/>
      <c r="FZ839" s="35"/>
      <c r="GA839" s="35"/>
      <c r="GB839" s="35"/>
      <c r="GC839" s="35"/>
      <c r="GD839" s="35"/>
      <c r="GE839" s="35"/>
      <c r="GF839" s="35"/>
      <c r="GG839" s="35"/>
      <c r="GH839" s="35"/>
      <c r="GI839" s="35"/>
      <c r="GJ839" s="35"/>
      <c r="GK839" s="35"/>
      <c r="GL839" s="35"/>
      <c r="GM839" s="35"/>
      <c r="GN839" s="35"/>
      <c r="GO839" s="35"/>
      <c r="GP839" s="35"/>
      <c r="GQ839" s="35"/>
      <c r="GR839" s="35"/>
      <c r="GS839" s="35"/>
      <c r="GT839" s="35"/>
      <c r="GU839" s="35"/>
      <c r="GV839" s="35"/>
      <c r="GW839" s="35"/>
      <c r="GX839" s="35"/>
      <c r="GY839" s="35"/>
      <c r="GZ839" s="35"/>
      <c r="HA839" s="35"/>
      <c r="HB839" s="35"/>
      <c r="HC839" s="35"/>
      <c r="HD839" s="35"/>
      <c r="HE839" s="35"/>
      <c r="HF839" s="35"/>
      <c r="HG839" s="35"/>
      <c r="HH839" s="35"/>
      <c r="HI839" s="35"/>
      <c r="HJ839" s="35"/>
      <c r="HK839" s="35"/>
      <c r="HL839" s="35"/>
      <c r="HM839" s="35"/>
      <c r="HN839" s="35"/>
      <c r="HO839" s="35"/>
      <c r="HP839" s="35"/>
      <c r="HQ839" s="35"/>
      <c r="HR839" s="35"/>
      <c r="HS839" s="35"/>
      <c r="HT839" s="35"/>
      <c r="HU839" s="35"/>
      <c r="HV839" s="35"/>
      <c r="HW839" s="35"/>
      <c r="HX839" s="35"/>
      <c r="HY839" s="35"/>
      <c r="HZ839" s="35"/>
      <c r="IA839" s="35"/>
      <c r="IB839" s="35"/>
      <c r="IC839" s="35"/>
      <c r="ID839" s="35"/>
      <c r="IE839" s="35"/>
      <c r="IF839" s="35"/>
      <c r="IG839" s="35"/>
      <c r="IH839" s="35"/>
      <c r="II839" s="35"/>
      <c r="IJ839" s="35"/>
      <c r="IK839" s="35"/>
      <c r="IL839" s="35"/>
      <c r="IM839" s="35"/>
      <c r="IN839" s="35"/>
      <c r="IO839" s="35"/>
      <c r="IP839" s="35"/>
      <c r="IQ839" s="35"/>
      <c r="IR839" s="35"/>
      <c r="IS839" s="35"/>
      <c r="IT839" s="35"/>
      <c r="IU839" s="35"/>
      <c r="IV839" s="35"/>
      <c r="IW839" s="35"/>
      <c r="IX839" s="35"/>
      <c r="IY839" s="35"/>
      <c r="IZ839" s="35"/>
      <c r="JA839" s="35"/>
      <c r="JB839" s="35"/>
      <c r="JC839" s="35"/>
      <c r="JD839" s="35"/>
      <c r="JE839" s="35"/>
    </row>
    <row r="840">
      <c r="A840" s="42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  <c r="AZ840" s="35"/>
      <c r="BA840" s="35"/>
      <c r="BB840" s="35"/>
      <c r="BC840" s="35"/>
      <c r="BD840" s="35"/>
      <c r="BE840" s="35"/>
      <c r="BF840" s="35"/>
      <c r="BG840" s="35"/>
      <c r="BH840" s="35"/>
      <c r="BI840" s="35"/>
      <c r="BJ840" s="35"/>
      <c r="BK840" s="35"/>
      <c r="BL840" s="35"/>
      <c r="BM840" s="35"/>
      <c r="BN840" s="35"/>
      <c r="BO840" s="35"/>
      <c r="BP840" s="35"/>
      <c r="BQ840" s="35"/>
      <c r="BR840" s="35"/>
      <c r="BS840" s="35"/>
      <c r="BT840" s="35"/>
      <c r="BU840" s="35"/>
      <c r="BV840" s="35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35"/>
      <c r="CO840" s="35"/>
      <c r="CP840" s="35"/>
      <c r="CQ840" s="35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35"/>
      <c r="DJ840" s="35"/>
      <c r="DK840" s="35"/>
      <c r="DL840" s="35"/>
      <c r="DM840" s="35"/>
      <c r="DN840" s="35"/>
      <c r="DO840" s="35"/>
      <c r="DP840" s="35"/>
      <c r="DQ840" s="35"/>
      <c r="DR840" s="35"/>
      <c r="DS840" s="35"/>
      <c r="DT840" s="35"/>
      <c r="DU840" s="35"/>
      <c r="DV840" s="35"/>
      <c r="DW840" s="35"/>
      <c r="DX840" s="35"/>
      <c r="DY840" s="35"/>
      <c r="DZ840" s="35"/>
      <c r="EA840" s="35"/>
      <c r="EB840" s="35"/>
      <c r="EC840" s="35"/>
      <c r="ED840" s="35"/>
      <c r="EE840" s="35"/>
      <c r="EF840" s="35"/>
      <c r="EG840" s="35"/>
      <c r="EH840" s="35"/>
      <c r="EI840" s="35"/>
      <c r="EJ840" s="35"/>
      <c r="EK840" s="35"/>
      <c r="EL840" s="35"/>
      <c r="EM840" s="35"/>
      <c r="EN840" s="35"/>
      <c r="EO840" s="35"/>
      <c r="EP840" s="35"/>
      <c r="EQ840" s="35"/>
      <c r="ER840" s="35"/>
      <c r="ES840" s="35"/>
      <c r="ET840" s="35"/>
      <c r="EU840" s="35"/>
      <c r="EV840" s="35"/>
      <c r="EW840" s="35"/>
      <c r="EX840" s="35"/>
      <c r="EY840" s="35"/>
      <c r="EZ840" s="35"/>
      <c r="FA840" s="35"/>
      <c r="FB840" s="35"/>
      <c r="FC840" s="35"/>
      <c r="FD840" s="35"/>
      <c r="FE840" s="35"/>
      <c r="FF840" s="35"/>
      <c r="FG840" s="35"/>
      <c r="FH840" s="35"/>
      <c r="FI840" s="35"/>
      <c r="FJ840" s="35"/>
      <c r="FK840" s="35"/>
      <c r="FL840" s="35"/>
      <c r="FM840" s="35"/>
      <c r="FN840" s="35"/>
      <c r="FO840" s="35"/>
      <c r="FP840" s="35"/>
      <c r="FQ840" s="35"/>
      <c r="FR840" s="35"/>
      <c r="FS840" s="35"/>
      <c r="FT840" s="35"/>
      <c r="FU840" s="35"/>
      <c r="FV840" s="35"/>
      <c r="FW840" s="35"/>
      <c r="FX840" s="35"/>
      <c r="FY840" s="35"/>
      <c r="FZ840" s="35"/>
      <c r="GA840" s="35"/>
      <c r="GB840" s="35"/>
      <c r="GC840" s="35"/>
      <c r="GD840" s="35"/>
      <c r="GE840" s="35"/>
      <c r="GF840" s="35"/>
      <c r="GG840" s="35"/>
      <c r="GH840" s="35"/>
      <c r="GI840" s="35"/>
      <c r="GJ840" s="35"/>
      <c r="GK840" s="35"/>
      <c r="GL840" s="35"/>
      <c r="GM840" s="35"/>
      <c r="GN840" s="35"/>
      <c r="GO840" s="35"/>
      <c r="GP840" s="35"/>
      <c r="GQ840" s="35"/>
      <c r="GR840" s="35"/>
      <c r="GS840" s="35"/>
      <c r="GT840" s="35"/>
      <c r="GU840" s="35"/>
      <c r="GV840" s="35"/>
      <c r="GW840" s="35"/>
      <c r="GX840" s="35"/>
      <c r="GY840" s="35"/>
      <c r="GZ840" s="35"/>
      <c r="HA840" s="35"/>
      <c r="HB840" s="35"/>
      <c r="HC840" s="35"/>
      <c r="HD840" s="35"/>
      <c r="HE840" s="35"/>
      <c r="HF840" s="35"/>
      <c r="HG840" s="35"/>
      <c r="HH840" s="35"/>
      <c r="HI840" s="35"/>
      <c r="HJ840" s="35"/>
      <c r="HK840" s="35"/>
      <c r="HL840" s="35"/>
      <c r="HM840" s="35"/>
      <c r="HN840" s="35"/>
      <c r="HO840" s="35"/>
      <c r="HP840" s="35"/>
      <c r="HQ840" s="35"/>
      <c r="HR840" s="35"/>
      <c r="HS840" s="35"/>
      <c r="HT840" s="35"/>
      <c r="HU840" s="35"/>
      <c r="HV840" s="35"/>
      <c r="HW840" s="35"/>
      <c r="HX840" s="35"/>
      <c r="HY840" s="35"/>
      <c r="HZ840" s="35"/>
      <c r="IA840" s="35"/>
      <c r="IB840" s="35"/>
      <c r="IC840" s="35"/>
      <c r="ID840" s="35"/>
      <c r="IE840" s="35"/>
      <c r="IF840" s="35"/>
      <c r="IG840" s="35"/>
      <c r="IH840" s="35"/>
      <c r="II840" s="35"/>
      <c r="IJ840" s="35"/>
      <c r="IK840" s="35"/>
      <c r="IL840" s="35"/>
      <c r="IM840" s="35"/>
      <c r="IN840" s="35"/>
      <c r="IO840" s="35"/>
      <c r="IP840" s="35"/>
      <c r="IQ840" s="35"/>
      <c r="IR840" s="35"/>
      <c r="IS840" s="35"/>
      <c r="IT840" s="35"/>
      <c r="IU840" s="35"/>
      <c r="IV840" s="35"/>
      <c r="IW840" s="35"/>
      <c r="IX840" s="35"/>
      <c r="IY840" s="35"/>
      <c r="IZ840" s="35"/>
      <c r="JA840" s="35"/>
      <c r="JB840" s="35"/>
      <c r="JC840" s="35"/>
      <c r="JD840" s="35"/>
      <c r="JE840" s="35"/>
    </row>
    <row r="841">
      <c r="A841" s="42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35"/>
      <c r="BA841" s="35"/>
      <c r="BB841" s="35"/>
      <c r="BC841" s="35"/>
      <c r="BD841" s="35"/>
      <c r="BE841" s="35"/>
      <c r="BF841" s="35"/>
      <c r="BG841" s="35"/>
      <c r="BH841" s="35"/>
      <c r="BI841" s="35"/>
      <c r="BJ841" s="35"/>
      <c r="BK841" s="35"/>
      <c r="BL841" s="35"/>
      <c r="BM841" s="35"/>
      <c r="BN841" s="35"/>
      <c r="BO841" s="35"/>
      <c r="BP841" s="35"/>
      <c r="BQ841" s="35"/>
      <c r="BR841" s="35"/>
      <c r="BS841" s="35"/>
      <c r="BT841" s="35"/>
      <c r="BU841" s="35"/>
      <c r="BV841" s="35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35"/>
      <c r="CO841" s="35"/>
      <c r="CP841" s="35"/>
      <c r="CQ841" s="35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35"/>
      <c r="DJ841" s="35"/>
      <c r="DK841" s="35"/>
      <c r="DL841" s="35"/>
      <c r="DM841" s="35"/>
      <c r="DN841" s="35"/>
      <c r="DO841" s="35"/>
      <c r="DP841" s="35"/>
      <c r="DQ841" s="35"/>
      <c r="DR841" s="35"/>
      <c r="DS841" s="35"/>
      <c r="DT841" s="35"/>
      <c r="DU841" s="35"/>
      <c r="DV841" s="35"/>
      <c r="DW841" s="35"/>
      <c r="DX841" s="35"/>
      <c r="DY841" s="35"/>
      <c r="DZ841" s="35"/>
      <c r="EA841" s="35"/>
      <c r="EB841" s="35"/>
      <c r="EC841" s="35"/>
      <c r="ED841" s="35"/>
      <c r="EE841" s="35"/>
      <c r="EF841" s="35"/>
      <c r="EG841" s="35"/>
      <c r="EH841" s="35"/>
      <c r="EI841" s="35"/>
      <c r="EJ841" s="35"/>
      <c r="EK841" s="35"/>
      <c r="EL841" s="35"/>
      <c r="EM841" s="35"/>
      <c r="EN841" s="35"/>
      <c r="EO841" s="35"/>
      <c r="EP841" s="35"/>
      <c r="EQ841" s="35"/>
      <c r="ER841" s="35"/>
      <c r="ES841" s="35"/>
      <c r="ET841" s="35"/>
      <c r="EU841" s="35"/>
      <c r="EV841" s="35"/>
      <c r="EW841" s="35"/>
      <c r="EX841" s="35"/>
      <c r="EY841" s="35"/>
      <c r="EZ841" s="35"/>
      <c r="FA841" s="35"/>
      <c r="FB841" s="35"/>
      <c r="FC841" s="35"/>
      <c r="FD841" s="35"/>
      <c r="FE841" s="35"/>
      <c r="FF841" s="35"/>
      <c r="FG841" s="35"/>
      <c r="FH841" s="35"/>
      <c r="FI841" s="35"/>
      <c r="FJ841" s="35"/>
      <c r="FK841" s="35"/>
      <c r="FL841" s="35"/>
      <c r="FM841" s="35"/>
      <c r="FN841" s="35"/>
      <c r="FO841" s="35"/>
      <c r="FP841" s="35"/>
      <c r="FQ841" s="35"/>
      <c r="FR841" s="35"/>
      <c r="FS841" s="35"/>
      <c r="FT841" s="35"/>
      <c r="FU841" s="35"/>
      <c r="FV841" s="35"/>
      <c r="FW841" s="35"/>
      <c r="FX841" s="35"/>
      <c r="FY841" s="35"/>
      <c r="FZ841" s="35"/>
      <c r="GA841" s="35"/>
      <c r="GB841" s="35"/>
      <c r="GC841" s="35"/>
      <c r="GD841" s="35"/>
      <c r="GE841" s="35"/>
      <c r="GF841" s="35"/>
      <c r="GG841" s="35"/>
      <c r="GH841" s="35"/>
      <c r="GI841" s="35"/>
      <c r="GJ841" s="35"/>
      <c r="GK841" s="35"/>
      <c r="GL841" s="35"/>
      <c r="GM841" s="35"/>
      <c r="GN841" s="35"/>
      <c r="GO841" s="35"/>
      <c r="GP841" s="35"/>
      <c r="GQ841" s="35"/>
      <c r="GR841" s="35"/>
      <c r="GS841" s="35"/>
      <c r="GT841" s="35"/>
      <c r="GU841" s="35"/>
      <c r="GV841" s="35"/>
      <c r="GW841" s="35"/>
      <c r="GX841" s="35"/>
      <c r="GY841" s="35"/>
      <c r="GZ841" s="35"/>
      <c r="HA841" s="35"/>
      <c r="HB841" s="35"/>
      <c r="HC841" s="35"/>
      <c r="HD841" s="35"/>
      <c r="HE841" s="35"/>
      <c r="HF841" s="35"/>
      <c r="HG841" s="35"/>
      <c r="HH841" s="35"/>
      <c r="HI841" s="35"/>
      <c r="HJ841" s="35"/>
      <c r="HK841" s="35"/>
      <c r="HL841" s="35"/>
      <c r="HM841" s="35"/>
      <c r="HN841" s="35"/>
      <c r="HO841" s="35"/>
      <c r="HP841" s="35"/>
      <c r="HQ841" s="35"/>
      <c r="HR841" s="35"/>
      <c r="HS841" s="35"/>
      <c r="HT841" s="35"/>
      <c r="HU841" s="35"/>
      <c r="HV841" s="35"/>
      <c r="HW841" s="35"/>
      <c r="HX841" s="35"/>
      <c r="HY841" s="35"/>
      <c r="HZ841" s="35"/>
      <c r="IA841" s="35"/>
      <c r="IB841" s="35"/>
      <c r="IC841" s="35"/>
      <c r="ID841" s="35"/>
      <c r="IE841" s="35"/>
      <c r="IF841" s="35"/>
      <c r="IG841" s="35"/>
      <c r="IH841" s="35"/>
      <c r="II841" s="35"/>
      <c r="IJ841" s="35"/>
      <c r="IK841" s="35"/>
      <c r="IL841" s="35"/>
      <c r="IM841" s="35"/>
      <c r="IN841" s="35"/>
      <c r="IO841" s="35"/>
      <c r="IP841" s="35"/>
      <c r="IQ841" s="35"/>
      <c r="IR841" s="35"/>
      <c r="IS841" s="35"/>
      <c r="IT841" s="35"/>
      <c r="IU841" s="35"/>
      <c r="IV841" s="35"/>
      <c r="IW841" s="35"/>
      <c r="IX841" s="35"/>
      <c r="IY841" s="35"/>
      <c r="IZ841" s="35"/>
      <c r="JA841" s="35"/>
      <c r="JB841" s="35"/>
      <c r="JC841" s="35"/>
      <c r="JD841" s="35"/>
      <c r="JE841" s="35"/>
    </row>
    <row r="842">
      <c r="A842" s="42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  <c r="AZ842" s="35"/>
      <c r="BA842" s="35"/>
      <c r="BB842" s="35"/>
      <c r="BC842" s="35"/>
      <c r="BD842" s="35"/>
      <c r="BE842" s="35"/>
      <c r="BF842" s="35"/>
      <c r="BG842" s="35"/>
      <c r="BH842" s="35"/>
      <c r="BI842" s="35"/>
      <c r="BJ842" s="35"/>
      <c r="BK842" s="35"/>
      <c r="BL842" s="35"/>
      <c r="BM842" s="35"/>
      <c r="BN842" s="35"/>
      <c r="BO842" s="35"/>
      <c r="BP842" s="35"/>
      <c r="BQ842" s="35"/>
      <c r="BR842" s="35"/>
      <c r="BS842" s="35"/>
      <c r="BT842" s="35"/>
      <c r="BU842" s="35"/>
      <c r="BV842" s="35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35"/>
      <c r="CO842" s="35"/>
      <c r="CP842" s="35"/>
      <c r="CQ842" s="35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35"/>
      <c r="DJ842" s="35"/>
      <c r="DK842" s="35"/>
      <c r="DL842" s="35"/>
      <c r="DM842" s="35"/>
      <c r="DN842" s="35"/>
      <c r="DO842" s="35"/>
      <c r="DP842" s="35"/>
      <c r="DQ842" s="35"/>
      <c r="DR842" s="35"/>
      <c r="DS842" s="35"/>
      <c r="DT842" s="35"/>
      <c r="DU842" s="35"/>
      <c r="DV842" s="35"/>
      <c r="DW842" s="35"/>
      <c r="DX842" s="35"/>
      <c r="DY842" s="35"/>
      <c r="DZ842" s="35"/>
      <c r="EA842" s="35"/>
      <c r="EB842" s="35"/>
      <c r="EC842" s="35"/>
      <c r="ED842" s="35"/>
      <c r="EE842" s="35"/>
      <c r="EF842" s="35"/>
      <c r="EG842" s="35"/>
      <c r="EH842" s="35"/>
      <c r="EI842" s="35"/>
      <c r="EJ842" s="35"/>
      <c r="EK842" s="35"/>
      <c r="EL842" s="35"/>
      <c r="EM842" s="35"/>
      <c r="EN842" s="35"/>
      <c r="EO842" s="35"/>
      <c r="EP842" s="35"/>
      <c r="EQ842" s="35"/>
      <c r="ER842" s="35"/>
      <c r="ES842" s="35"/>
      <c r="ET842" s="35"/>
      <c r="EU842" s="35"/>
      <c r="EV842" s="35"/>
      <c r="EW842" s="35"/>
      <c r="EX842" s="35"/>
      <c r="EY842" s="35"/>
      <c r="EZ842" s="35"/>
      <c r="FA842" s="35"/>
      <c r="FB842" s="35"/>
      <c r="FC842" s="35"/>
      <c r="FD842" s="35"/>
      <c r="FE842" s="35"/>
      <c r="FF842" s="35"/>
      <c r="FG842" s="35"/>
      <c r="FH842" s="35"/>
      <c r="FI842" s="35"/>
      <c r="FJ842" s="35"/>
      <c r="FK842" s="35"/>
      <c r="FL842" s="35"/>
      <c r="FM842" s="35"/>
      <c r="FN842" s="35"/>
      <c r="FO842" s="35"/>
      <c r="FP842" s="35"/>
      <c r="FQ842" s="35"/>
      <c r="FR842" s="35"/>
      <c r="FS842" s="35"/>
      <c r="FT842" s="35"/>
      <c r="FU842" s="35"/>
      <c r="FV842" s="35"/>
      <c r="FW842" s="35"/>
      <c r="FX842" s="35"/>
      <c r="FY842" s="35"/>
      <c r="FZ842" s="35"/>
      <c r="GA842" s="35"/>
      <c r="GB842" s="35"/>
      <c r="GC842" s="35"/>
      <c r="GD842" s="35"/>
      <c r="GE842" s="35"/>
      <c r="GF842" s="35"/>
      <c r="GG842" s="35"/>
      <c r="GH842" s="35"/>
      <c r="GI842" s="35"/>
      <c r="GJ842" s="35"/>
      <c r="GK842" s="35"/>
      <c r="GL842" s="35"/>
      <c r="GM842" s="35"/>
      <c r="GN842" s="35"/>
      <c r="GO842" s="35"/>
      <c r="GP842" s="35"/>
      <c r="GQ842" s="35"/>
      <c r="GR842" s="35"/>
      <c r="GS842" s="35"/>
      <c r="GT842" s="35"/>
      <c r="GU842" s="35"/>
      <c r="GV842" s="35"/>
      <c r="GW842" s="35"/>
      <c r="GX842" s="35"/>
      <c r="GY842" s="35"/>
      <c r="GZ842" s="35"/>
      <c r="HA842" s="35"/>
      <c r="HB842" s="35"/>
      <c r="HC842" s="35"/>
      <c r="HD842" s="35"/>
      <c r="HE842" s="35"/>
      <c r="HF842" s="35"/>
      <c r="HG842" s="35"/>
      <c r="HH842" s="35"/>
      <c r="HI842" s="35"/>
      <c r="HJ842" s="35"/>
      <c r="HK842" s="35"/>
      <c r="HL842" s="35"/>
      <c r="HM842" s="35"/>
      <c r="HN842" s="35"/>
      <c r="HO842" s="35"/>
      <c r="HP842" s="35"/>
      <c r="HQ842" s="35"/>
      <c r="HR842" s="35"/>
      <c r="HS842" s="35"/>
      <c r="HT842" s="35"/>
      <c r="HU842" s="35"/>
      <c r="HV842" s="35"/>
      <c r="HW842" s="35"/>
      <c r="HX842" s="35"/>
      <c r="HY842" s="35"/>
      <c r="HZ842" s="35"/>
      <c r="IA842" s="35"/>
      <c r="IB842" s="35"/>
      <c r="IC842" s="35"/>
      <c r="ID842" s="35"/>
      <c r="IE842" s="35"/>
      <c r="IF842" s="35"/>
      <c r="IG842" s="35"/>
      <c r="IH842" s="35"/>
      <c r="II842" s="35"/>
      <c r="IJ842" s="35"/>
      <c r="IK842" s="35"/>
      <c r="IL842" s="35"/>
      <c r="IM842" s="35"/>
      <c r="IN842" s="35"/>
      <c r="IO842" s="35"/>
      <c r="IP842" s="35"/>
      <c r="IQ842" s="35"/>
      <c r="IR842" s="35"/>
      <c r="IS842" s="35"/>
      <c r="IT842" s="35"/>
      <c r="IU842" s="35"/>
      <c r="IV842" s="35"/>
      <c r="IW842" s="35"/>
      <c r="IX842" s="35"/>
      <c r="IY842" s="35"/>
      <c r="IZ842" s="35"/>
      <c r="JA842" s="35"/>
      <c r="JB842" s="35"/>
      <c r="JC842" s="35"/>
      <c r="JD842" s="35"/>
      <c r="JE842" s="35"/>
    </row>
    <row r="843">
      <c r="A843" s="42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  <c r="AZ843" s="35"/>
      <c r="BA843" s="35"/>
      <c r="BB843" s="35"/>
      <c r="BC843" s="35"/>
      <c r="BD843" s="35"/>
      <c r="BE843" s="35"/>
      <c r="BF843" s="35"/>
      <c r="BG843" s="35"/>
      <c r="BH843" s="35"/>
      <c r="BI843" s="35"/>
      <c r="BJ843" s="35"/>
      <c r="BK843" s="35"/>
      <c r="BL843" s="35"/>
      <c r="BM843" s="35"/>
      <c r="BN843" s="35"/>
      <c r="BO843" s="35"/>
      <c r="BP843" s="35"/>
      <c r="BQ843" s="35"/>
      <c r="BR843" s="35"/>
      <c r="BS843" s="35"/>
      <c r="BT843" s="35"/>
      <c r="BU843" s="35"/>
      <c r="BV843" s="35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35"/>
      <c r="CO843" s="35"/>
      <c r="CP843" s="35"/>
      <c r="CQ843" s="35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35"/>
      <c r="DJ843" s="35"/>
      <c r="DK843" s="35"/>
      <c r="DL843" s="35"/>
      <c r="DM843" s="35"/>
      <c r="DN843" s="35"/>
      <c r="DO843" s="35"/>
      <c r="DP843" s="35"/>
      <c r="DQ843" s="35"/>
      <c r="DR843" s="35"/>
      <c r="DS843" s="35"/>
      <c r="DT843" s="35"/>
      <c r="DU843" s="35"/>
      <c r="DV843" s="35"/>
      <c r="DW843" s="35"/>
      <c r="DX843" s="35"/>
      <c r="DY843" s="35"/>
      <c r="DZ843" s="35"/>
      <c r="EA843" s="35"/>
      <c r="EB843" s="35"/>
      <c r="EC843" s="35"/>
      <c r="ED843" s="35"/>
      <c r="EE843" s="35"/>
      <c r="EF843" s="35"/>
      <c r="EG843" s="35"/>
      <c r="EH843" s="35"/>
      <c r="EI843" s="35"/>
      <c r="EJ843" s="35"/>
      <c r="EK843" s="35"/>
      <c r="EL843" s="35"/>
      <c r="EM843" s="35"/>
      <c r="EN843" s="35"/>
      <c r="EO843" s="35"/>
      <c r="EP843" s="35"/>
      <c r="EQ843" s="35"/>
      <c r="ER843" s="35"/>
      <c r="ES843" s="35"/>
      <c r="ET843" s="35"/>
      <c r="EU843" s="35"/>
      <c r="EV843" s="35"/>
      <c r="EW843" s="35"/>
      <c r="EX843" s="35"/>
      <c r="EY843" s="35"/>
      <c r="EZ843" s="35"/>
      <c r="FA843" s="35"/>
      <c r="FB843" s="35"/>
      <c r="FC843" s="35"/>
      <c r="FD843" s="35"/>
      <c r="FE843" s="35"/>
      <c r="FF843" s="35"/>
      <c r="FG843" s="35"/>
      <c r="FH843" s="35"/>
      <c r="FI843" s="35"/>
      <c r="FJ843" s="35"/>
      <c r="FK843" s="35"/>
      <c r="FL843" s="35"/>
      <c r="FM843" s="35"/>
      <c r="FN843" s="35"/>
      <c r="FO843" s="35"/>
      <c r="FP843" s="35"/>
      <c r="FQ843" s="35"/>
      <c r="FR843" s="35"/>
      <c r="FS843" s="35"/>
      <c r="FT843" s="35"/>
      <c r="FU843" s="35"/>
      <c r="FV843" s="35"/>
      <c r="FW843" s="35"/>
      <c r="FX843" s="35"/>
      <c r="FY843" s="35"/>
      <c r="FZ843" s="35"/>
      <c r="GA843" s="35"/>
      <c r="GB843" s="35"/>
      <c r="GC843" s="35"/>
      <c r="GD843" s="35"/>
      <c r="GE843" s="35"/>
      <c r="GF843" s="35"/>
      <c r="GG843" s="35"/>
      <c r="GH843" s="35"/>
      <c r="GI843" s="35"/>
      <c r="GJ843" s="35"/>
      <c r="GK843" s="35"/>
      <c r="GL843" s="35"/>
      <c r="GM843" s="35"/>
      <c r="GN843" s="35"/>
      <c r="GO843" s="35"/>
      <c r="GP843" s="35"/>
      <c r="GQ843" s="35"/>
      <c r="GR843" s="35"/>
      <c r="GS843" s="35"/>
      <c r="GT843" s="35"/>
      <c r="GU843" s="35"/>
      <c r="GV843" s="35"/>
      <c r="GW843" s="35"/>
      <c r="GX843" s="35"/>
      <c r="GY843" s="35"/>
      <c r="GZ843" s="35"/>
      <c r="HA843" s="35"/>
      <c r="HB843" s="35"/>
      <c r="HC843" s="35"/>
      <c r="HD843" s="35"/>
      <c r="HE843" s="35"/>
      <c r="HF843" s="35"/>
      <c r="HG843" s="35"/>
      <c r="HH843" s="35"/>
      <c r="HI843" s="35"/>
      <c r="HJ843" s="35"/>
      <c r="HK843" s="35"/>
      <c r="HL843" s="35"/>
      <c r="HM843" s="35"/>
      <c r="HN843" s="35"/>
      <c r="HO843" s="35"/>
      <c r="HP843" s="35"/>
      <c r="HQ843" s="35"/>
      <c r="HR843" s="35"/>
      <c r="HS843" s="35"/>
      <c r="HT843" s="35"/>
      <c r="HU843" s="35"/>
      <c r="HV843" s="35"/>
      <c r="HW843" s="35"/>
      <c r="HX843" s="35"/>
      <c r="HY843" s="35"/>
      <c r="HZ843" s="35"/>
      <c r="IA843" s="35"/>
      <c r="IB843" s="35"/>
      <c r="IC843" s="35"/>
      <c r="ID843" s="35"/>
      <c r="IE843" s="35"/>
      <c r="IF843" s="35"/>
      <c r="IG843" s="35"/>
      <c r="IH843" s="35"/>
      <c r="II843" s="35"/>
      <c r="IJ843" s="35"/>
      <c r="IK843" s="35"/>
      <c r="IL843" s="35"/>
      <c r="IM843" s="35"/>
      <c r="IN843" s="35"/>
      <c r="IO843" s="35"/>
      <c r="IP843" s="35"/>
      <c r="IQ843" s="35"/>
      <c r="IR843" s="35"/>
      <c r="IS843" s="35"/>
      <c r="IT843" s="35"/>
      <c r="IU843" s="35"/>
      <c r="IV843" s="35"/>
      <c r="IW843" s="35"/>
      <c r="IX843" s="35"/>
      <c r="IY843" s="35"/>
      <c r="IZ843" s="35"/>
      <c r="JA843" s="35"/>
      <c r="JB843" s="35"/>
      <c r="JC843" s="35"/>
      <c r="JD843" s="35"/>
      <c r="JE843" s="35"/>
    </row>
    <row r="844">
      <c r="A844" s="42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35"/>
      <c r="BA844" s="35"/>
      <c r="BB844" s="35"/>
      <c r="BC844" s="35"/>
      <c r="BD844" s="35"/>
      <c r="BE844" s="35"/>
      <c r="BF844" s="35"/>
      <c r="BG844" s="35"/>
      <c r="BH844" s="35"/>
      <c r="BI844" s="35"/>
      <c r="BJ844" s="35"/>
      <c r="BK844" s="35"/>
      <c r="BL844" s="35"/>
      <c r="BM844" s="35"/>
      <c r="BN844" s="35"/>
      <c r="BO844" s="35"/>
      <c r="BP844" s="35"/>
      <c r="BQ844" s="35"/>
      <c r="BR844" s="35"/>
      <c r="BS844" s="35"/>
      <c r="BT844" s="35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35"/>
      <c r="CO844" s="35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35"/>
      <c r="DJ844" s="35"/>
      <c r="DK844" s="35"/>
      <c r="DL844" s="35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35"/>
      <c r="EE844" s="35"/>
      <c r="EF844" s="35"/>
      <c r="EG844" s="35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35"/>
      <c r="EZ844" s="35"/>
      <c r="FA844" s="35"/>
      <c r="FB844" s="35"/>
      <c r="FC844" s="35"/>
      <c r="FD844" s="35"/>
      <c r="FE844" s="35"/>
      <c r="FF844" s="35"/>
      <c r="FG844" s="35"/>
      <c r="FH844" s="35"/>
      <c r="FI844" s="35"/>
      <c r="FJ844" s="35"/>
      <c r="FK844" s="35"/>
      <c r="FL844" s="35"/>
      <c r="FM844" s="35"/>
      <c r="FN844" s="35"/>
      <c r="FO844" s="35"/>
      <c r="FP844" s="35"/>
      <c r="FQ844" s="35"/>
      <c r="FR844" s="35"/>
      <c r="FS844" s="35"/>
      <c r="FT844" s="35"/>
      <c r="FU844" s="35"/>
      <c r="FV844" s="35"/>
      <c r="FW844" s="35"/>
      <c r="FX844" s="35"/>
      <c r="FY844" s="35"/>
      <c r="FZ844" s="35"/>
      <c r="GA844" s="35"/>
      <c r="GB844" s="35"/>
      <c r="GC844" s="35"/>
      <c r="GD844" s="35"/>
      <c r="GE844" s="35"/>
      <c r="GF844" s="35"/>
      <c r="GG844" s="35"/>
      <c r="GH844" s="35"/>
      <c r="GI844" s="35"/>
      <c r="GJ844" s="35"/>
      <c r="GK844" s="35"/>
      <c r="GL844" s="35"/>
      <c r="GM844" s="35"/>
      <c r="GN844" s="35"/>
      <c r="GO844" s="35"/>
      <c r="GP844" s="35"/>
      <c r="GQ844" s="35"/>
      <c r="GR844" s="35"/>
      <c r="GS844" s="35"/>
      <c r="GT844" s="35"/>
      <c r="GU844" s="35"/>
      <c r="GV844" s="35"/>
      <c r="GW844" s="35"/>
      <c r="GX844" s="35"/>
      <c r="GY844" s="35"/>
      <c r="GZ844" s="35"/>
      <c r="HA844" s="35"/>
      <c r="HB844" s="35"/>
      <c r="HC844" s="35"/>
      <c r="HD844" s="35"/>
      <c r="HE844" s="35"/>
      <c r="HF844" s="35"/>
      <c r="HG844" s="35"/>
      <c r="HH844" s="35"/>
      <c r="HI844" s="35"/>
      <c r="HJ844" s="35"/>
      <c r="HK844" s="35"/>
      <c r="HL844" s="35"/>
      <c r="HM844" s="35"/>
      <c r="HN844" s="35"/>
      <c r="HO844" s="35"/>
      <c r="HP844" s="35"/>
      <c r="HQ844" s="35"/>
      <c r="HR844" s="35"/>
      <c r="HS844" s="35"/>
      <c r="HT844" s="35"/>
      <c r="HU844" s="35"/>
      <c r="HV844" s="35"/>
      <c r="HW844" s="35"/>
      <c r="HX844" s="35"/>
      <c r="HY844" s="35"/>
      <c r="HZ844" s="35"/>
      <c r="IA844" s="35"/>
      <c r="IB844" s="35"/>
      <c r="IC844" s="35"/>
      <c r="ID844" s="35"/>
      <c r="IE844" s="35"/>
      <c r="IF844" s="35"/>
      <c r="IG844" s="35"/>
      <c r="IH844" s="35"/>
      <c r="II844" s="35"/>
      <c r="IJ844" s="35"/>
      <c r="IK844" s="35"/>
      <c r="IL844" s="35"/>
      <c r="IM844" s="35"/>
      <c r="IN844" s="35"/>
      <c r="IO844" s="35"/>
      <c r="IP844" s="35"/>
      <c r="IQ844" s="35"/>
      <c r="IR844" s="35"/>
      <c r="IS844" s="35"/>
      <c r="IT844" s="35"/>
      <c r="IU844" s="35"/>
      <c r="IV844" s="35"/>
      <c r="IW844" s="35"/>
      <c r="IX844" s="35"/>
      <c r="IY844" s="35"/>
      <c r="IZ844" s="35"/>
      <c r="JA844" s="35"/>
      <c r="JB844" s="35"/>
      <c r="JC844" s="35"/>
      <c r="JD844" s="35"/>
      <c r="JE844" s="35"/>
    </row>
    <row r="845">
      <c r="A845" s="42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  <c r="AZ845" s="35"/>
      <c r="BA845" s="35"/>
      <c r="BB845" s="35"/>
      <c r="BC845" s="35"/>
      <c r="BD845" s="35"/>
      <c r="BE845" s="35"/>
      <c r="BF845" s="35"/>
      <c r="BG845" s="35"/>
      <c r="BH845" s="35"/>
      <c r="BI845" s="35"/>
      <c r="BJ845" s="35"/>
      <c r="BK845" s="35"/>
      <c r="BL845" s="35"/>
      <c r="BM845" s="35"/>
      <c r="BN845" s="35"/>
      <c r="BO845" s="35"/>
      <c r="BP845" s="35"/>
      <c r="BQ845" s="35"/>
      <c r="BR845" s="35"/>
      <c r="BS845" s="35"/>
      <c r="BT845" s="35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35"/>
      <c r="CO845" s="35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35"/>
      <c r="DJ845" s="35"/>
      <c r="DK845" s="35"/>
      <c r="DL845" s="35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35"/>
      <c r="EE845" s="35"/>
      <c r="EF845" s="35"/>
      <c r="EG845" s="35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35"/>
      <c r="EZ845" s="35"/>
      <c r="FA845" s="35"/>
      <c r="FB845" s="35"/>
      <c r="FC845" s="35"/>
      <c r="FD845" s="35"/>
      <c r="FE845" s="35"/>
      <c r="FF845" s="35"/>
      <c r="FG845" s="35"/>
      <c r="FH845" s="35"/>
      <c r="FI845" s="35"/>
      <c r="FJ845" s="35"/>
      <c r="FK845" s="35"/>
      <c r="FL845" s="35"/>
      <c r="FM845" s="35"/>
      <c r="FN845" s="35"/>
      <c r="FO845" s="35"/>
      <c r="FP845" s="35"/>
      <c r="FQ845" s="35"/>
      <c r="FR845" s="35"/>
      <c r="FS845" s="35"/>
      <c r="FT845" s="35"/>
      <c r="FU845" s="35"/>
      <c r="FV845" s="35"/>
      <c r="FW845" s="35"/>
      <c r="FX845" s="35"/>
      <c r="FY845" s="35"/>
      <c r="FZ845" s="35"/>
      <c r="GA845" s="35"/>
      <c r="GB845" s="35"/>
      <c r="GC845" s="35"/>
      <c r="GD845" s="35"/>
      <c r="GE845" s="35"/>
      <c r="GF845" s="35"/>
      <c r="GG845" s="35"/>
      <c r="GH845" s="35"/>
      <c r="GI845" s="35"/>
      <c r="GJ845" s="35"/>
      <c r="GK845" s="35"/>
      <c r="GL845" s="35"/>
      <c r="GM845" s="35"/>
      <c r="GN845" s="35"/>
      <c r="GO845" s="35"/>
      <c r="GP845" s="35"/>
      <c r="GQ845" s="35"/>
      <c r="GR845" s="35"/>
      <c r="GS845" s="35"/>
      <c r="GT845" s="35"/>
      <c r="GU845" s="35"/>
      <c r="GV845" s="35"/>
      <c r="GW845" s="35"/>
      <c r="GX845" s="35"/>
      <c r="GY845" s="35"/>
      <c r="GZ845" s="35"/>
      <c r="HA845" s="35"/>
      <c r="HB845" s="35"/>
      <c r="HC845" s="35"/>
      <c r="HD845" s="35"/>
      <c r="HE845" s="35"/>
      <c r="HF845" s="35"/>
      <c r="HG845" s="35"/>
      <c r="HH845" s="35"/>
      <c r="HI845" s="35"/>
      <c r="HJ845" s="35"/>
      <c r="HK845" s="35"/>
      <c r="HL845" s="35"/>
      <c r="HM845" s="35"/>
      <c r="HN845" s="35"/>
      <c r="HO845" s="35"/>
      <c r="HP845" s="35"/>
      <c r="HQ845" s="35"/>
      <c r="HR845" s="35"/>
      <c r="HS845" s="35"/>
      <c r="HT845" s="35"/>
      <c r="HU845" s="35"/>
      <c r="HV845" s="35"/>
      <c r="HW845" s="35"/>
      <c r="HX845" s="35"/>
      <c r="HY845" s="35"/>
      <c r="HZ845" s="35"/>
      <c r="IA845" s="35"/>
      <c r="IB845" s="35"/>
      <c r="IC845" s="35"/>
      <c r="ID845" s="35"/>
      <c r="IE845" s="35"/>
      <c r="IF845" s="35"/>
      <c r="IG845" s="35"/>
      <c r="IH845" s="35"/>
      <c r="II845" s="35"/>
      <c r="IJ845" s="35"/>
      <c r="IK845" s="35"/>
      <c r="IL845" s="35"/>
      <c r="IM845" s="35"/>
      <c r="IN845" s="35"/>
      <c r="IO845" s="35"/>
      <c r="IP845" s="35"/>
      <c r="IQ845" s="35"/>
      <c r="IR845" s="35"/>
      <c r="IS845" s="35"/>
      <c r="IT845" s="35"/>
      <c r="IU845" s="35"/>
      <c r="IV845" s="35"/>
      <c r="IW845" s="35"/>
      <c r="IX845" s="35"/>
      <c r="IY845" s="35"/>
      <c r="IZ845" s="35"/>
      <c r="JA845" s="35"/>
      <c r="JB845" s="35"/>
      <c r="JC845" s="35"/>
      <c r="JD845" s="35"/>
      <c r="JE845" s="35"/>
    </row>
    <row r="846">
      <c r="A846" s="42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  <c r="AZ846" s="35"/>
      <c r="BA846" s="35"/>
      <c r="BB846" s="35"/>
      <c r="BC846" s="35"/>
      <c r="BD846" s="35"/>
      <c r="BE846" s="35"/>
      <c r="BF846" s="35"/>
      <c r="BG846" s="35"/>
      <c r="BH846" s="35"/>
      <c r="BI846" s="35"/>
      <c r="BJ846" s="35"/>
      <c r="BK846" s="35"/>
      <c r="BL846" s="35"/>
      <c r="BM846" s="35"/>
      <c r="BN846" s="35"/>
      <c r="BO846" s="35"/>
      <c r="BP846" s="35"/>
      <c r="BQ846" s="35"/>
      <c r="BR846" s="35"/>
      <c r="BS846" s="35"/>
      <c r="BT846" s="35"/>
      <c r="BU846" s="35"/>
      <c r="BV846" s="35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35"/>
      <c r="CO846" s="35"/>
      <c r="CP846" s="35"/>
      <c r="CQ846" s="35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35"/>
      <c r="DJ846" s="35"/>
      <c r="DK846" s="35"/>
      <c r="DL846" s="35"/>
      <c r="DM846" s="35"/>
      <c r="DN846" s="35"/>
      <c r="DO846" s="35"/>
      <c r="DP846" s="35"/>
      <c r="DQ846" s="35"/>
      <c r="DR846" s="35"/>
      <c r="DS846" s="35"/>
      <c r="DT846" s="35"/>
      <c r="DU846" s="35"/>
      <c r="DV846" s="35"/>
      <c r="DW846" s="35"/>
      <c r="DX846" s="35"/>
      <c r="DY846" s="35"/>
      <c r="DZ846" s="35"/>
      <c r="EA846" s="35"/>
      <c r="EB846" s="35"/>
      <c r="EC846" s="35"/>
      <c r="ED846" s="35"/>
      <c r="EE846" s="35"/>
      <c r="EF846" s="35"/>
      <c r="EG846" s="35"/>
      <c r="EH846" s="35"/>
      <c r="EI846" s="35"/>
      <c r="EJ846" s="35"/>
      <c r="EK846" s="35"/>
      <c r="EL846" s="35"/>
      <c r="EM846" s="35"/>
      <c r="EN846" s="35"/>
      <c r="EO846" s="35"/>
      <c r="EP846" s="35"/>
      <c r="EQ846" s="35"/>
      <c r="ER846" s="35"/>
      <c r="ES846" s="35"/>
      <c r="ET846" s="35"/>
      <c r="EU846" s="35"/>
      <c r="EV846" s="35"/>
      <c r="EW846" s="35"/>
      <c r="EX846" s="35"/>
      <c r="EY846" s="35"/>
      <c r="EZ846" s="35"/>
      <c r="FA846" s="35"/>
      <c r="FB846" s="35"/>
      <c r="FC846" s="35"/>
      <c r="FD846" s="35"/>
      <c r="FE846" s="35"/>
      <c r="FF846" s="35"/>
      <c r="FG846" s="35"/>
      <c r="FH846" s="35"/>
      <c r="FI846" s="35"/>
      <c r="FJ846" s="35"/>
      <c r="FK846" s="35"/>
      <c r="FL846" s="35"/>
      <c r="FM846" s="35"/>
      <c r="FN846" s="35"/>
      <c r="FO846" s="35"/>
      <c r="FP846" s="35"/>
      <c r="FQ846" s="35"/>
      <c r="FR846" s="35"/>
      <c r="FS846" s="35"/>
      <c r="FT846" s="35"/>
      <c r="FU846" s="35"/>
      <c r="FV846" s="35"/>
      <c r="FW846" s="35"/>
      <c r="FX846" s="35"/>
      <c r="FY846" s="35"/>
      <c r="FZ846" s="35"/>
      <c r="GA846" s="35"/>
      <c r="GB846" s="35"/>
      <c r="GC846" s="35"/>
      <c r="GD846" s="35"/>
      <c r="GE846" s="35"/>
      <c r="GF846" s="35"/>
      <c r="GG846" s="35"/>
      <c r="GH846" s="35"/>
      <c r="GI846" s="35"/>
      <c r="GJ846" s="35"/>
      <c r="GK846" s="35"/>
      <c r="GL846" s="35"/>
      <c r="GM846" s="35"/>
      <c r="GN846" s="35"/>
      <c r="GO846" s="35"/>
      <c r="GP846" s="35"/>
      <c r="GQ846" s="35"/>
      <c r="GR846" s="35"/>
      <c r="GS846" s="35"/>
      <c r="GT846" s="35"/>
      <c r="GU846" s="35"/>
      <c r="GV846" s="35"/>
      <c r="GW846" s="35"/>
      <c r="GX846" s="35"/>
      <c r="GY846" s="35"/>
      <c r="GZ846" s="35"/>
      <c r="HA846" s="35"/>
      <c r="HB846" s="35"/>
      <c r="HC846" s="35"/>
      <c r="HD846" s="35"/>
      <c r="HE846" s="35"/>
      <c r="HF846" s="35"/>
      <c r="HG846" s="35"/>
      <c r="HH846" s="35"/>
      <c r="HI846" s="35"/>
      <c r="HJ846" s="35"/>
      <c r="HK846" s="35"/>
      <c r="HL846" s="35"/>
      <c r="HM846" s="35"/>
      <c r="HN846" s="35"/>
      <c r="HO846" s="35"/>
      <c r="HP846" s="35"/>
      <c r="HQ846" s="35"/>
      <c r="HR846" s="35"/>
      <c r="HS846" s="35"/>
      <c r="HT846" s="35"/>
      <c r="HU846" s="35"/>
      <c r="HV846" s="35"/>
      <c r="HW846" s="35"/>
      <c r="HX846" s="35"/>
      <c r="HY846" s="35"/>
      <c r="HZ846" s="35"/>
      <c r="IA846" s="35"/>
      <c r="IB846" s="35"/>
      <c r="IC846" s="35"/>
      <c r="ID846" s="35"/>
      <c r="IE846" s="35"/>
      <c r="IF846" s="35"/>
      <c r="IG846" s="35"/>
      <c r="IH846" s="35"/>
      <c r="II846" s="35"/>
      <c r="IJ846" s="35"/>
      <c r="IK846" s="35"/>
      <c r="IL846" s="35"/>
      <c r="IM846" s="35"/>
      <c r="IN846" s="35"/>
      <c r="IO846" s="35"/>
      <c r="IP846" s="35"/>
      <c r="IQ846" s="35"/>
      <c r="IR846" s="35"/>
      <c r="IS846" s="35"/>
      <c r="IT846" s="35"/>
      <c r="IU846" s="35"/>
      <c r="IV846" s="35"/>
      <c r="IW846" s="35"/>
      <c r="IX846" s="35"/>
      <c r="IY846" s="35"/>
      <c r="IZ846" s="35"/>
      <c r="JA846" s="35"/>
      <c r="JB846" s="35"/>
      <c r="JC846" s="35"/>
      <c r="JD846" s="35"/>
      <c r="JE846" s="35"/>
    </row>
    <row r="847">
      <c r="A847" s="42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35"/>
      <c r="BA847" s="35"/>
      <c r="BB847" s="35"/>
      <c r="BC847" s="35"/>
      <c r="BD847" s="35"/>
      <c r="BE847" s="35"/>
      <c r="BF847" s="35"/>
      <c r="BG847" s="35"/>
      <c r="BH847" s="35"/>
      <c r="BI847" s="35"/>
      <c r="BJ847" s="35"/>
      <c r="BK847" s="35"/>
      <c r="BL847" s="35"/>
      <c r="BM847" s="35"/>
      <c r="BN847" s="35"/>
      <c r="BO847" s="35"/>
      <c r="BP847" s="35"/>
      <c r="BQ847" s="35"/>
      <c r="BR847" s="35"/>
      <c r="BS847" s="35"/>
      <c r="BT847" s="35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35"/>
      <c r="CO847" s="35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35"/>
      <c r="DJ847" s="35"/>
      <c r="DK847" s="35"/>
      <c r="DL847" s="35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35"/>
      <c r="EE847" s="35"/>
      <c r="EF847" s="35"/>
      <c r="EG847" s="35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  <c r="ER847" s="35"/>
      <c r="ES847" s="35"/>
      <c r="ET847" s="35"/>
      <c r="EU847" s="35"/>
      <c r="EV847" s="35"/>
      <c r="EW847" s="35"/>
      <c r="EX847" s="35"/>
      <c r="EY847" s="35"/>
      <c r="EZ847" s="35"/>
      <c r="FA847" s="35"/>
      <c r="FB847" s="35"/>
      <c r="FC847" s="35"/>
      <c r="FD847" s="35"/>
      <c r="FE847" s="35"/>
      <c r="FF847" s="35"/>
      <c r="FG847" s="35"/>
      <c r="FH847" s="35"/>
      <c r="FI847" s="35"/>
      <c r="FJ847" s="35"/>
      <c r="FK847" s="35"/>
      <c r="FL847" s="35"/>
      <c r="FM847" s="35"/>
      <c r="FN847" s="35"/>
      <c r="FO847" s="35"/>
      <c r="FP847" s="35"/>
      <c r="FQ847" s="35"/>
      <c r="FR847" s="35"/>
      <c r="FS847" s="35"/>
      <c r="FT847" s="35"/>
      <c r="FU847" s="35"/>
      <c r="FV847" s="35"/>
      <c r="FW847" s="35"/>
      <c r="FX847" s="35"/>
      <c r="FY847" s="35"/>
      <c r="FZ847" s="35"/>
      <c r="GA847" s="35"/>
      <c r="GB847" s="35"/>
      <c r="GC847" s="35"/>
      <c r="GD847" s="35"/>
      <c r="GE847" s="35"/>
      <c r="GF847" s="35"/>
      <c r="GG847" s="35"/>
      <c r="GH847" s="35"/>
      <c r="GI847" s="35"/>
      <c r="GJ847" s="35"/>
      <c r="GK847" s="35"/>
      <c r="GL847" s="35"/>
      <c r="GM847" s="35"/>
      <c r="GN847" s="35"/>
      <c r="GO847" s="35"/>
      <c r="GP847" s="35"/>
      <c r="GQ847" s="35"/>
      <c r="GR847" s="35"/>
      <c r="GS847" s="35"/>
      <c r="GT847" s="35"/>
      <c r="GU847" s="35"/>
      <c r="GV847" s="35"/>
      <c r="GW847" s="35"/>
      <c r="GX847" s="35"/>
      <c r="GY847" s="35"/>
      <c r="GZ847" s="35"/>
      <c r="HA847" s="35"/>
      <c r="HB847" s="35"/>
      <c r="HC847" s="35"/>
      <c r="HD847" s="35"/>
      <c r="HE847" s="35"/>
      <c r="HF847" s="35"/>
      <c r="HG847" s="35"/>
      <c r="HH847" s="35"/>
      <c r="HI847" s="35"/>
      <c r="HJ847" s="35"/>
      <c r="HK847" s="35"/>
      <c r="HL847" s="35"/>
      <c r="HM847" s="35"/>
      <c r="HN847" s="35"/>
      <c r="HO847" s="35"/>
      <c r="HP847" s="35"/>
      <c r="HQ847" s="35"/>
      <c r="HR847" s="35"/>
      <c r="HS847" s="35"/>
      <c r="HT847" s="35"/>
      <c r="HU847" s="35"/>
      <c r="HV847" s="35"/>
      <c r="HW847" s="35"/>
      <c r="HX847" s="35"/>
      <c r="HY847" s="35"/>
      <c r="HZ847" s="35"/>
      <c r="IA847" s="35"/>
      <c r="IB847" s="35"/>
      <c r="IC847" s="35"/>
      <c r="ID847" s="35"/>
      <c r="IE847" s="35"/>
      <c r="IF847" s="35"/>
      <c r="IG847" s="35"/>
      <c r="IH847" s="35"/>
      <c r="II847" s="35"/>
      <c r="IJ847" s="35"/>
      <c r="IK847" s="35"/>
      <c r="IL847" s="35"/>
      <c r="IM847" s="35"/>
      <c r="IN847" s="35"/>
      <c r="IO847" s="35"/>
      <c r="IP847" s="35"/>
      <c r="IQ847" s="35"/>
      <c r="IR847" s="35"/>
      <c r="IS847" s="35"/>
      <c r="IT847" s="35"/>
      <c r="IU847" s="35"/>
      <c r="IV847" s="35"/>
      <c r="IW847" s="35"/>
      <c r="IX847" s="35"/>
      <c r="IY847" s="35"/>
      <c r="IZ847" s="35"/>
      <c r="JA847" s="35"/>
      <c r="JB847" s="35"/>
      <c r="JC847" s="35"/>
      <c r="JD847" s="35"/>
      <c r="JE847" s="35"/>
    </row>
    <row r="848">
      <c r="A848" s="42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  <c r="AZ848" s="35"/>
      <c r="BA848" s="35"/>
      <c r="BB848" s="35"/>
      <c r="BC848" s="35"/>
      <c r="BD848" s="35"/>
      <c r="BE848" s="35"/>
      <c r="BF848" s="35"/>
      <c r="BG848" s="35"/>
      <c r="BH848" s="35"/>
      <c r="BI848" s="35"/>
      <c r="BJ848" s="35"/>
      <c r="BK848" s="35"/>
      <c r="BL848" s="35"/>
      <c r="BM848" s="35"/>
      <c r="BN848" s="35"/>
      <c r="BO848" s="35"/>
      <c r="BP848" s="35"/>
      <c r="BQ848" s="35"/>
      <c r="BR848" s="35"/>
      <c r="BS848" s="35"/>
      <c r="BT848" s="35"/>
      <c r="BU848" s="35"/>
      <c r="BV848" s="35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35"/>
      <c r="CO848" s="35"/>
      <c r="CP848" s="35"/>
      <c r="CQ848" s="35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35"/>
      <c r="DJ848" s="35"/>
      <c r="DK848" s="35"/>
      <c r="DL848" s="35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35"/>
      <c r="EE848" s="35"/>
      <c r="EF848" s="35"/>
      <c r="EG848" s="35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  <c r="ER848" s="35"/>
      <c r="ES848" s="35"/>
      <c r="ET848" s="35"/>
      <c r="EU848" s="35"/>
      <c r="EV848" s="35"/>
      <c r="EW848" s="35"/>
      <c r="EX848" s="35"/>
      <c r="EY848" s="35"/>
      <c r="EZ848" s="35"/>
      <c r="FA848" s="35"/>
      <c r="FB848" s="35"/>
      <c r="FC848" s="35"/>
      <c r="FD848" s="35"/>
      <c r="FE848" s="35"/>
      <c r="FF848" s="35"/>
      <c r="FG848" s="35"/>
      <c r="FH848" s="35"/>
      <c r="FI848" s="35"/>
      <c r="FJ848" s="35"/>
      <c r="FK848" s="35"/>
      <c r="FL848" s="35"/>
      <c r="FM848" s="35"/>
      <c r="FN848" s="35"/>
      <c r="FO848" s="35"/>
      <c r="FP848" s="35"/>
      <c r="FQ848" s="35"/>
      <c r="FR848" s="35"/>
      <c r="FS848" s="35"/>
      <c r="FT848" s="35"/>
      <c r="FU848" s="35"/>
      <c r="FV848" s="35"/>
      <c r="FW848" s="35"/>
      <c r="FX848" s="35"/>
      <c r="FY848" s="35"/>
      <c r="FZ848" s="35"/>
      <c r="GA848" s="35"/>
      <c r="GB848" s="35"/>
      <c r="GC848" s="35"/>
      <c r="GD848" s="35"/>
      <c r="GE848" s="35"/>
      <c r="GF848" s="35"/>
      <c r="GG848" s="35"/>
      <c r="GH848" s="35"/>
      <c r="GI848" s="35"/>
      <c r="GJ848" s="35"/>
      <c r="GK848" s="35"/>
      <c r="GL848" s="35"/>
      <c r="GM848" s="35"/>
      <c r="GN848" s="35"/>
      <c r="GO848" s="35"/>
      <c r="GP848" s="35"/>
      <c r="GQ848" s="35"/>
      <c r="GR848" s="35"/>
      <c r="GS848" s="35"/>
      <c r="GT848" s="35"/>
      <c r="GU848" s="35"/>
      <c r="GV848" s="35"/>
      <c r="GW848" s="35"/>
      <c r="GX848" s="35"/>
      <c r="GY848" s="35"/>
      <c r="GZ848" s="35"/>
      <c r="HA848" s="35"/>
      <c r="HB848" s="35"/>
      <c r="HC848" s="35"/>
      <c r="HD848" s="35"/>
      <c r="HE848" s="35"/>
      <c r="HF848" s="35"/>
      <c r="HG848" s="35"/>
      <c r="HH848" s="35"/>
      <c r="HI848" s="35"/>
      <c r="HJ848" s="35"/>
      <c r="HK848" s="35"/>
      <c r="HL848" s="35"/>
      <c r="HM848" s="35"/>
      <c r="HN848" s="35"/>
      <c r="HO848" s="35"/>
      <c r="HP848" s="35"/>
      <c r="HQ848" s="35"/>
      <c r="HR848" s="35"/>
      <c r="HS848" s="35"/>
      <c r="HT848" s="35"/>
      <c r="HU848" s="35"/>
      <c r="HV848" s="35"/>
      <c r="HW848" s="35"/>
      <c r="HX848" s="35"/>
      <c r="HY848" s="35"/>
      <c r="HZ848" s="35"/>
      <c r="IA848" s="35"/>
      <c r="IB848" s="35"/>
      <c r="IC848" s="35"/>
      <c r="ID848" s="35"/>
      <c r="IE848" s="35"/>
      <c r="IF848" s="35"/>
      <c r="IG848" s="35"/>
      <c r="IH848" s="35"/>
      <c r="II848" s="35"/>
      <c r="IJ848" s="35"/>
      <c r="IK848" s="35"/>
      <c r="IL848" s="35"/>
      <c r="IM848" s="35"/>
      <c r="IN848" s="35"/>
      <c r="IO848" s="35"/>
      <c r="IP848" s="35"/>
      <c r="IQ848" s="35"/>
      <c r="IR848" s="35"/>
      <c r="IS848" s="35"/>
      <c r="IT848" s="35"/>
      <c r="IU848" s="35"/>
      <c r="IV848" s="35"/>
      <c r="IW848" s="35"/>
      <c r="IX848" s="35"/>
      <c r="IY848" s="35"/>
      <c r="IZ848" s="35"/>
      <c r="JA848" s="35"/>
      <c r="JB848" s="35"/>
      <c r="JC848" s="35"/>
      <c r="JD848" s="35"/>
      <c r="JE848" s="35"/>
    </row>
    <row r="849">
      <c r="A849" s="42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  <c r="AZ849" s="35"/>
      <c r="BA849" s="35"/>
      <c r="BB849" s="35"/>
      <c r="BC849" s="35"/>
      <c r="BD849" s="35"/>
      <c r="BE849" s="35"/>
      <c r="BF849" s="35"/>
      <c r="BG849" s="35"/>
      <c r="BH849" s="35"/>
      <c r="BI849" s="35"/>
      <c r="BJ849" s="35"/>
      <c r="BK849" s="35"/>
      <c r="BL849" s="35"/>
      <c r="BM849" s="35"/>
      <c r="BN849" s="35"/>
      <c r="BO849" s="35"/>
      <c r="BP849" s="35"/>
      <c r="BQ849" s="35"/>
      <c r="BR849" s="35"/>
      <c r="BS849" s="35"/>
      <c r="BT849" s="35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35"/>
      <c r="CO849" s="35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35"/>
      <c r="DJ849" s="35"/>
      <c r="DK849" s="35"/>
      <c r="DL849" s="35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35"/>
      <c r="EE849" s="35"/>
      <c r="EF849" s="35"/>
      <c r="EG849" s="35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  <c r="ER849" s="35"/>
      <c r="ES849" s="35"/>
      <c r="ET849" s="35"/>
      <c r="EU849" s="35"/>
      <c r="EV849" s="35"/>
      <c r="EW849" s="35"/>
      <c r="EX849" s="35"/>
      <c r="EY849" s="35"/>
      <c r="EZ849" s="35"/>
      <c r="FA849" s="35"/>
      <c r="FB849" s="35"/>
      <c r="FC849" s="35"/>
      <c r="FD849" s="35"/>
      <c r="FE849" s="35"/>
      <c r="FF849" s="35"/>
      <c r="FG849" s="35"/>
      <c r="FH849" s="35"/>
      <c r="FI849" s="35"/>
      <c r="FJ849" s="35"/>
      <c r="FK849" s="35"/>
      <c r="FL849" s="35"/>
      <c r="FM849" s="35"/>
      <c r="FN849" s="35"/>
      <c r="FO849" s="35"/>
      <c r="FP849" s="35"/>
      <c r="FQ849" s="35"/>
      <c r="FR849" s="35"/>
      <c r="FS849" s="35"/>
      <c r="FT849" s="35"/>
      <c r="FU849" s="35"/>
      <c r="FV849" s="35"/>
      <c r="FW849" s="35"/>
      <c r="FX849" s="35"/>
      <c r="FY849" s="35"/>
      <c r="FZ849" s="35"/>
      <c r="GA849" s="35"/>
      <c r="GB849" s="35"/>
      <c r="GC849" s="35"/>
      <c r="GD849" s="35"/>
      <c r="GE849" s="35"/>
      <c r="GF849" s="35"/>
      <c r="GG849" s="35"/>
      <c r="GH849" s="35"/>
      <c r="GI849" s="35"/>
      <c r="GJ849" s="35"/>
      <c r="GK849" s="35"/>
      <c r="GL849" s="35"/>
      <c r="GM849" s="35"/>
      <c r="GN849" s="35"/>
      <c r="GO849" s="35"/>
      <c r="GP849" s="35"/>
      <c r="GQ849" s="35"/>
      <c r="GR849" s="35"/>
      <c r="GS849" s="35"/>
      <c r="GT849" s="35"/>
      <c r="GU849" s="35"/>
      <c r="GV849" s="35"/>
      <c r="GW849" s="35"/>
      <c r="GX849" s="35"/>
      <c r="GY849" s="35"/>
      <c r="GZ849" s="35"/>
      <c r="HA849" s="35"/>
      <c r="HB849" s="35"/>
      <c r="HC849" s="35"/>
      <c r="HD849" s="35"/>
      <c r="HE849" s="35"/>
      <c r="HF849" s="35"/>
      <c r="HG849" s="35"/>
      <c r="HH849" s="35"/>
      <c r="HI849" s="35"/>
      <c r="HJ849" s="35"/>
      <c r="HK849" s="35"/>
      <c r="HL849" s="35"/>
      <c r="HM849" s="35"/>
      <c r="HN849" s="35"/>
      <c r="HO849" s="35"/>
      <c r="HP849" s="35"/>
      <c r="HQ849" s="35"/>
      <c r="HR849" s="35"/>
      <c r="HS849" s="35"/>
      <c r="HT849" s="35"/>
      <c r="HU849" s="35"/>
      <c r="HV849" s="35"/>
      <c r="HW849" s="35"/>
      <c r="HX849" s="35"/>
      <c r="HY849" s="35"/>
      <c r="HZ849" s="35"/>
      <c r="IA849" s="35"/>
      <c r="IB849" s="35"/>
      <c r="IC849" s="35"/>
      <c r="ID849" s="35"/>
      <c r="IE849" s="35"/>
      <c r="IF849" s="35"/>
      <c r="IG849" s="35"/>
      <c r="IH849" s="35"/>
      <c r="II849" s="35"/>
      <c r="IJ849" s="35"/>
      <c r="IK849" s="35"/>
      <c r="IL849" s="35"/>
      <c r="IM849" s="35"/>
      <c r="IN849" s="35"/>
      <c r="IO849" s="35"/>
      <c r="IP849" s="35"/>
      <c r="IQ849" s="35"/>
      <c r="IR849" s="35"/>
      <c r="IS849" s="35"/>
      <c r="IT849" s="35"/>
      <c r="IU849" s="35"/>
      <c r="IV849" s="35"/>
      <c r="IW849" s="35"/>
      <c r="IX849" s="35"/>
      <c r="IY849" s="35"/>
      <c r="IZ849" s="35"/>
      <c r="JA849" s="35"/>
      <c r="JB849" s="35"/>
      <c r="JC849" s="35"/>
      <c r="JD849" s="35"/>
      <c r="JE849" s="35"/>
    </row>
    <row r="850">
      <c r="A850" s="42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35"/>
      <c r="BA850" s="35"/>
      <c r="BB850" s="35"/>
      <c r="BC850" s="35"/>
      <c r="BD850" s="35"/>
      <c r="BE850" s="35"/>
      <c r="BF850" s="35"/>
      <c r="BG850" s="35"/>
      <c r="BH850" s="35"/>
      <c r="BI850" s="35"/>
      <c r="BJ850" s="35"/>
      <c r="BK850" s="35"/>
      <c r="BL850" s="35"/>
      <c r="BM850" s="35"/>
      <c r="BN850" s="35"/>
      <c r="BO850" s="35"/>
      <c r="BP850" s="35"/>
      <c r="BQ850" s="35"/>
      <c r="BR850" s="35"/>
      <c r="BS850" s="35"/>
      <c r="BT850" s="35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35"/>
      <c r="CO850" s="35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35"/>
      <c r="DJ850" s="35"/>
      <c r="DK850" s="35"/>
      <c r="DL850" s="35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35"/>
      <c r="EE850" s="35"/>
      <c r="EF850" s="35"/>
      <c r="EG850" s="35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  <c r="ER850" s="35"/>
      <c r="ES850" s="35"/>
      <c r="ET850" s="35"/>
      <c r="EU850" s="35"/>
      <c r="EV850" s="35"/>
      <c r="EW850" s="35"/>
      <c r="EX850" s="35"/>
      <c r="EY850" s="35"/>
      <c r="EZ850" s="35"/>
      <c r="FA850" s="35"/>
      <c r="FB850" s="35"/>
      <c r="FC850" s="35"/>
      <c r="FD850" s="35"/>
      <c r="FE850" s="35"/>
      <c r="FF850" s="35"/>
      <c r="FG850" s="35"/>
      <c r="FH850" s="35"/>
      <c r="FI850" s="35"/>
      <c r="FJ850" s="35"/>
      <c r="FK850" s="35"/>
      <c r="FL850" s="35"/>
      <c r="FM850" s="35"/>
      <c r="FN850" s="35"/>
      <c r="FO850" s="35"/>
      <c r="FP850" s="35"/>
      <c r="FQ850" s="35"/>
      <c r="FR850" s="35"/>
      <c r="FS850" s="35"/>
      <c r="FT850" s="35"/>
      <c r="FU850" s="35"/>
      <c r="FV850" s="35"/>
      <c r="FW850" s="35"/>
      <c r="FX850" s="35"/>
      <c r="FY850" s="35"/>
      <c r="FZ850" s="35"/>
      <c r="GA850" s="35"/>
      <c r="GB850" s="35"/>
      <c r="GC850" s="35"/>
      <c r="GD850" s="35"/>
      <c r="GE850" s="35"/>
      <c r="GF850" s="35"/>
      <c r="GG850" s="35"/>
      <c r="GH850" s="35"/>
      <c r="GI850" s="35"/>
      <c r="GJ850" s="35"/>
      <c r="GK850" s="35"/>
      <c r="GL850" s="35"/>
      <c r="GM850" s="35"/>
      <c r="GN850" s="35"/>
      <c r="GO850" s="35"/>
      <c r="GP850" s="35"/>
      <c r="GQ850" s="35"/>
      <c r="GR850" s="35"/>
      <c r="GS850" s="35"/>
      <c r="GT850" s="35"/>
      <c r="GU850" s="35"/>
      <c r="GV850" s="35"/>
      <c r="GW850" s="35"/>
      <c r="GX850" s="35"/>
      <c r="GY850" s="35"/>
      <c r="GZ850" s="35"/>
      <c r="HA850" s="35"/>
      <c r="HB850" s="35"/>
      <c r="HC850" s="35"/>
      <c r="HD850" s="35"/>
      <c r="HE850" s="35"/>
      <c r="HF850" s="35"/>
      <c r="HG850" s="35"/>
      <c r="HH850" s="35"/>
      <c r="HI850" s="35"/>
      <c r="HJ850" s="35"/>
      <c r="HK850" s="35"/>
      <c r="HL850" s="35"/>
      <c r="HM850" s="35"/>
      <c r="HN850" s="35"/>
      <c r="HO850" s="35"/>
      <c r="HP850" s="35"/>
      <c r="HQ850" s="35"/>
      <c r="HR850" s="35"/>
      <c r="HS850" s="35"/>
      <c r="HT850" s="35"/>
      <c r="HU850" s="35"/>
      <c r="HV850" s="35"/>
      <c r="HW850" s="35"/>
      <c r="HX850" s="35"/>
      <c r="HY850" s="35"/>
      <c r="HZ850" s="35"/>
      <c r="IA850" s="35"/>
      <c r="IB850" s="35"/>
      <c r="IC850" s="35"/>
      <c r="ID850" s="35"/>
      <c r="IE850" s="35"/>
      <c r="IF850" s="35"/>
      <c r="IG850" s="35"/>
      <c r="IH850" s="35"/>
      <c r="II850" s="35"/>
      <c r="IJ850" s="35"/>
      <c r="IK850" s="35"/>
      <c r="IL850" s="35"/>
      <c r="IM850" s="35"/>
      <c r="IN850" s="35"/>
      <c r="IO850" s="35"/>
      <c r="IP850" s="35"/>
      <c r="IQ850" s="35"/>
      <c r="IR850" s="35"/>
      <c r="IS850" s="35"/>
      <c r="IT850" s="35"/>
      <c r="IU850" s="35"/>
      <c r="IV850" s="35"/>
      <c r="IW850" s="35"/>
      <c r="IX850" s="35"/>
      <c r="IY850" s="35"/>
      <c r="IZ850" s="35"/>
      <c r="JA850" s="35"/>
      <c r="JB850" s="35"/>
      <c r="JC850" s="35"/>
      <c r="JD850" s="35"/>
      <c r="JE850" s="35"/>
    </row>
    <row r="851">
      <c r="A851" s="42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  <c r="AZ851" s="35"/>
      <c r="BA851" s="35"/>
      <c r="BB851" s="35"/>
      <c r="BC851" s="35"/>
      <c r="BD851" s="35"/>
      <c r="BE851" s="35"/>
      <c r="BF851" s="35"/>
      <c r="BG851" s="35"/>
      <c r="BH851" s="35"/>
      <c r="BI851" s="35"/>
      <c r="BJ851" s="35"/>
      <c r="BK851" s="35"/>
      <c r="BL851" s="35"/>
      <c r="BM851" s="35"/>
      <c r="BN851" s="35"/>
      <c r="BO851" s="35"/>
      <c r="BP851" s="35"/>
      <c r="BQ851" s="35"/>
      <c r="BR851" s="35"/>
      <c r="BS851" s="35"/>
      <c r="BT851" s="35"/>
      <c r="BU851" s="35"/>
      <c r="BV851" s="35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35"/>
      <c r="CO851" s="35"/>
      <c r="CP851" s="35"/>
      <c r="CQ851" s="35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35"/>
      <c r="DJ851" s="35"/>
      <c r="DK851" s="35"/>
      <c r="DL851" s="35"/>
      <c r="DM851" s="35"/>
      <c r="DN851" s="35"/>
      <c r="DO851" s="35"/>
      <c r="DP851" s="35"/>
      <c r="DQ851" s="35"/>
      <c r="DR851" s="35"/>
      <c r="DS851" s="35"/>
      <c r="DT851" s="35"/>
      <c r="DU851" s="35"/>
      <c r="DV851" s="35"/>
      <c r="DW851" s="35"/>
      <c r="DX851" s="35"/>
      <c r="DY851" s="35"/>
      <c r="DZ851" s="35"/>
      <c r="EA851" s="35"/>
      <c r="EB851" s="35"/>
      <c r="EC851" s="35"/>
      <c r="ED851" s="35"/>
      <c r="EE851" s="35"/>
      <c r="EF851" s="35"/>
      <c r="EG851" s="35"/>
      <c r="EH851" s="35"/>
      <c r="EI851" s="35"/>
      <c r="EJ851" s="35"/>
      <c r="EK851" s="35"/>
      <c r="EL851" s="35"/>
      <c r="EM851" s="35"/>
      <c r="EN851" s="35"/>
      <c r="EO851" s="35"/>
      <c r="EP851" s="35"/>
      <c r="EQ851" s="35"/>
      <c r="ER851" s="35"/>
      <c r="ES851" s="35"/>
      <c r="ET851" s="35"/>
      <c r="EU851" s="35"/>
      <c r="EV851" s="35"/>
      <c r="EW851" s="35"/>
      <c r="EX851" s="35"/>
      <c r="EY851" s="35"/>
      <c r="EZ851" s="35"/>
      <c r="FA851" s="35"/>
      <c r="FB851" s="35"/>
      <c r="FC851" s="35"/>
      <c r="FD851" s="35"/>
      <c r="FE851" s="35"/>
      <c r="FF851" s="35"/>
      <c r="FG851" s="35"/>
      <c r="FH851" s="35"/>
      <c r="FI851" s="35"/>
      <c r="FJ851" s="35"/>
      <c r="FK851" s="35"/>
      <c r="FL851" s="35"/>
      <c r="FM851" s="35"/>
      <c r="FN851" s="35"/>
      <c r="FO851" s="35"/>
      <c r="FP851" s="35"/>
      <c r="FQ851" s="35"/>
      <c r="FR851" s="35"/>
      <c r="FS851" s="35"/>
      <c r="FT851" s="35"/>
      <c r="FU851" s="35"/>
      <c r="FV851" s="35"/>
      <c r="FW851" s="35"/>
      <c r="FX851" s="35"/>
      <c r="FY851" s="35"/>
      <c r="FZ851" s="35"/>
      <c r="GA851" s="35"/>
      <c r="GB851" s="35"/>
      <c r="GC851" s="35"/>
      <c r="GD851" s="35"/>
      <c r="GE851" s="35"/>
      <c r="GF851" s="35"/>
      <c r="GG851" s="35"/>
      <c r="GH851" s="35"/>
      <c r="GI851" s="35"/>
      <c r="GJ851" s="35"/>
      <c r="GK851" s="35"/>
      <c r="GL851" s="35"/>
      <c r="GM851" s="35"/>
      <c r="GN851" s="35"/>
      <c r="GO851" s="35"/>
      <c r="GP851" s="35"/>
      <c r="GQ851" s="35"/>
      <c r="GR851" s="35"/>
      <c r="GS851" s="35"/>
      <c r="GT851" s="35"/>
      <c r="GU851" s="35"/>
      <c r="GV851" s="35"/>
      <c r="GW851" s="35"/>
      <c r="GX851" s="35"/>
      <c r="GY851" s="35"/>
      <c r="GZ851" s="35"/>
      <c r="HA851" s="35"/>
      <c r="HB851" s="35"/>
      <c r="HC851" s="35"/>
      <c r="HD851" s="35"/>
      <c r="HE851" s="35"/>
      <c r="HF851" s="35"/>
      <c r="HG851" s="35"/>
      <c r="HH851" s="35"/>
      <c r="HI851" s="35"/>
      <c r="HJ851" s="35"/>
      <c r="HK851" s="35"/>
      <c r="HL851" s="35"/>
      <c r="HM851" s="35"/>
      <c r="HN851" s="35"/>
      <c r="HO851" s="35"/>
      <c r="HP851" s="35"/>
      <c r="HQ851" s="35"/>
      <c r="HR851" s="35"/>
      <c r="HS851" s="35"/>
      <c r="HT851" s="35"/>
      <c r="HU851" s="35"/>
      <c r="HV851" s="35"/>
      <c r="HW851" s="35"/>
      <c r="HX851" s="35"/>
      <c r="HY851" s="35"/>
      <c r="HZ851" s="35"/>
      <c r="IA851" s="35"/>
      <c r="IB851" s="35"/>
      <c r="IC851" s="35"/>
      <c r="ID851" s="35"/>
      <c r="IE851" s="35"/>
      <c r="IF851" s="35"/>
      <c r="IG851" s="35"/>
      <c r="IH851" s="35"/>
      <c r="II851" s="35"/>
      <c r="IJ851" s="35"/>
      <c r="IK851" s="35"/>
      <c r="IL851" s="35"/>
      <c r="IM851" s="35"/>
      <c r="IN851" s="35"/>
      <c r="IO851" s="35"/>
      <c r="IP851" s="35"/>
      <c r="IQ851" s="35"/>
      <c r="IR851" s="35"/>
      <c r="IS851" s="35"/>
      <c r="IT851" s="35"/>
      <c r="IU851" s="35"/>
      <c r="IV851" s="35"/>
      <c r="IW851" s="35"/>
      <c r="IX851" s="35"/>
      <c r="IY851" s="35"/>
      <c r="IZ851" s="35"/>
      <c r="JA851" s="35"/>
      <c r="JB851" s="35"/>
      <c r="JC851" s="35"/>
      <c r="JD851" s="35"/>
      <c r="JE851" s="35"/>
    </row>
    <row r="852">
      <c r="A852" s="42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  <c r="AZ852" s="35"/>
      <c r="BA852" s="35"/>
      <c r="BB852" s="35"/>
      <c r="BC852" s="35"/>
      <c r="BD852" s="35"/>
      <c r="BE852" s="35"/>
      <c r="BF852" s="35"/>
      <c r="BG852" s="35"/>
      <c r="BH852" s="35"/>
      <c r="BI852" s="35"/>
      <c r="BJ852" s="35"/>
      <c r="BK852" s="35"/>
      <c r="BL852" s="35"/>
      <c r="BM852" s="35"/>
      <c r="BN852" s="35"/>
      <c r="BO852" s="35"/>
      <c r="BP852" s="35"/>
      <c r="BQ852" s="35"/>
      <c r="BR852" s="35"/>
      <c r="BS852" s="35"/>
      <c r="BT852" s="35"/>
      <c r="BU852" s="35"/>
      <c r="BV852" s="35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35"/>
      <c r="CO852" s="35"/>
      <c r="CP852" s="35"/>
      <c r="CQ852" s="35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35"/>
      <c r="DJ852" s="35"/>
      <c r="DK852" s="35"/>
      <c r="DL852" s="35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35"/>
      <c r="EE852" s="35"/>
      <c r="EF852" s="35"/>
      <c r="EG852" s="35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35"/>
      <c r="EZ852" s="35"/>
      <c r="FA852" s="35"/>
      <c r="FB852" s="35"/>
      <c r="FC852" s="35"/>
      <c r="FD852" s="35"/>
      <c r="FE852" s="35"/>
      <c r="FF852" s="35"/>
      <c r="FG852" s="35"/>
      <c r="FH852" s="35"/>
      <c r="FI852" s="35"/>
      <c r="FJ852" s="35"/>
      <c r="FK852" s="35"/>
      <c r="FL852" s="35"/>
      <c r="FM852" s="35"/>
      <c r="FN852" s="35"/>
      <c r="FO852" s="35"/>
      <c r="FP852" s="35"/>
      <c r="FQ852" s="35"/>
      <c r="FR852" s="35"/>
      <c r="FS852" s="35"/>
      <c r="FT852" s="35"/>
      <c r="FU852" s="35"/>
      <c r="FV852" s="35"/>
      <c r="FW852" s="35"/>
      <c r="FX852" s="35"/>
      <c r="FY852" s="35"/>
      <c r="FZ852" s="35"/>
      <c r="GA852" s="35"/>
      <c r="GB852" s="35"/>
      <c r="GC852" s="35"/>
      <c r="GD852" s="35"/>
      <c r="GE852" s="35"/>
      <c r="GF852" s="35"/>
      <c r="GG852" s="35"/>
      <c r="GH852" s="35"/>
      <c r="GI852" s="35"/>
      <c r="GJ852" s="35"/>
      <c r="GK852" s="35"/>
      <c r="GL852" s="35"/>
      <c r="GM852" s="35"/>
      <c r="GN852" s="35"/>
      <c r="GO852" s="35"/>
      <c r="GP852" s="35"/>
      <c r="GQ852" s="35"/>
      <c r="GR852" s="35"/>
      <c r="GS852" s="35"/>
      <c r="GT852" s="35"/>
      <c r="GU852" s="35"/>
      <c r="GV852" s="35"/>
      <c r="GW852" s="35"/>
      <c r="GX852" s="35"/>
      <c r="GY852" s="35"/>
      <c r="GZ852" s="35"/>
      <c r="HA852" s="35"/>
      <c r="HB852" s="35"/>
      <c r="HC852" s="35"/>
      <c r="HD852" s="35"/>
      <c r="HE852" s="35"/>
      <c r="HF852" s="35"/>
      <c r="HG852" s="35"/>
      <c r="HH852" s="35"/>
      <c r="HI852" s="35"/>
      <c r="HJ852" s="35"/>
      <c r="HK852" s="35"/>
      <c r="HL852" s="35"/>
      <c r="HM852" s="35"/>
      <c r="HN852" s="35"/>
      <c r="HO852" s="35"/>
      <c r="HP852" s="35"/>
      <c r="HQ852" s="35"/>
      <c r="HR852" s="35"/>
      <c r="HS852" s="35"/>
      <c r="HT852" s="35"/>
      <c r="HU852" s="35"/>
      <c r="HV852" s="35"/>
      <c r="HW852" s="35"/>
      <c r="HX852" s="35"/>
      <c r="HY852" s="35"/>
      <c r="HZ852" s="35"/>
      <c r="IA852" s="35"/>
      <c r="IB852" s="35"/>
      <c r="IC852" s="35"/>
      <c r="ID852" s="35"/>
      <c r="IE852" s="35"/>
      <c r="IF852" s="35"/>
      <c r="IG852" s="35"/>
      <c r="IH852" s="35"/>
      <c r="II852" s="35"/>
      <c r="IJ852" s="35"/>
      <c r="IK852" s="35"/>
      <c r="IL852" s="35"/>
      <c r="IM852" s="35"/>
      <c r="IN852" s="35"/>
      <c r="IO852" s="35"/>
      <c r="IP852" s="35"/>
      <c r="IQ852" s="35"/>
      <c r="IR852" s="35"/>
      <c r="IS852" s="35"/>
      <c r="IT852" s="35"/>
      <c r="IU852" s="35"/>
      <c r="IV852" s="35"/>
      <c r="IW852" s="35"/>
      <c r="IX852" s="35"/>
      <c r="IY852" s="35"/>
      <c r="IZ852" s="35"/>
      <c r="JA852" s="35"/>
      <c r="JB852" s="35"/>
      <c r="JC852" s="35"/>
      <c r="JD852" s="35"/>
      <c r="JE852" s="35"/>
    </row>
    <row r="853">
      <c r="A853" s="42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35"/>
      <c r="BA853" s="35"/>
      <c r="BB853" s="35"/>
      <c r="BC853" s="35"/>
      <c r="BD853" s="35"/>
      <c r="BE853" s="35"/>
      <c r="BF853" s="35"/>
      <c r="BG853" s="35"/>
      <c r="BH853" s="35"/>
      <c r="BI853" s="35"/>
      <c r="BJ853" s="35"/>
      <c r="BK853" s="35"/>
      <c r="BL853" s="35"/>
      <c r="BM853" s="35"/>
      <c r="BN853" s="35"/>
      <c r="BO853" s="35"/>
      <c r="BP853" s="35"/>
      <c r="BQ853" s="35"/>
      <c r="BR853" s="35"/>
      <c r="BS853" s="35"/>
      <c r="BT853" s="35"/>
      <c r="BU853" s="35"/>
      <c r="BV853" s="35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35"/>
      <c r="CO853" s="35"/>
      <c r="CP853" s="35"/>
      <c r="CQ853" s="35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35"/>
      <c r="DJ853" s="35"/>
      <c r="DK853" s="35"/>
      <c r="DL853" s="35"/>
      <c r="DM853" s="35"/>
      <c r="DN853" s="35"/>
      <c r="DO853" s="35"/>
      <c r="DP853" s="35"/>
      <c r="DQ853" s="35"/>
      <c r="DR853" s="35"/>
      <c r="DS853" s="35"/>
      <c r="DT853" s="35"/>
      <c r="DU853" s="35"/>
      <c r="DV853" s="35"/>
      <c r="DW853" s="35"/>
      <c r="DX853" s="35"/>
      <c r="DY853" s="35"/>
      <c r="DZ853" s="35"/>
      <c r="EA853" s="35"/>
      <c r="EB853" s="35"/>
      <c r="EC853" s="35"/>
      <c r="ED853" s="35"/>
      <c r="EE853" s="35"/>
      <c r="EF853" s="35"/>
      <c r="EG853" s="35"/>
      <c r="EH853" s="35"/>
      <c r="EI853" s="35"/>
      <c r="EJ853" s="35"/>
      <c r="EK853" s="35"/>
      <c r="EL853" s="35"/>
      <c r="EM853" s="35"/>
      <c r="EN853" s="35"/>
      <c r="EO853" s="35"/>
      <c r="EP853" s="35"/>
      <c r="EQ853" s="35"/>
      <c r="ER853" s="35"/>
      <c r="ES853" s="35"/>
      <c r="ET853" s="35"/>
      <c r="EU853" s="35"/>
      <c r="EV853" s="35"/>
      <c r="EW853" s="35"/>
      <c r="EX853" s="35"/>
      <c r="EY853" s="35"/>
      <c r="EZ853" s="35"/>
      <c r="FA853" s="35"/>
      <c r="FB853" s="35"/>
      <c r="FC853" s="35"/>
      <c r="FD853" s="35"/>
      <c r="FE853" s="35"/>
      <c r="FF853" s="35"/>
      <c r="FG853" s="35"/>
      <c r="FH853" s="35"/>
      <c r="FI853" s="35"/>
      <c r="FJ853" s="35"/>
      <c r="FK853" s="35"/>
      <c r="FL853" s="35"/>
      <c r="FM853" s="35"/>
      <c r="FN853" s="35"/>
      <c r="FO853" s="35"/>
      <c r="FP853" s="35"/>
      <c r="FQ853" s="35"/>
      <c r="FR853" s="35"/>
      <c r="FS853" s="35"/>
      <c r="FT853" s="35"/>
      <c r="FU853" s="35"/>
      <c r="FV853" s="35"/>
      <c r="FW853" s="35"/>
      <c r="FX853" s="35"/>
      <c r="FY853" s="35"/>
      <c r="FZ853" s="35"/>
      <c r="GA853" s="35"/>
      <c r="GB853" s="35"/>
      <c r="GC853" s="35"/>
      <c r="GD853" s="35"/>
      <c r="GE853" s="35"/>
      <c r="GF853" s="35"/>
      <c r="GG853" s="35"/>
      <c r="GH853" s="35"/>
      <c r="GI853" s="35"/>
      <c r="GJ853" s="35"/>
      <c r="GK853" s="35"/>
      <c r="GL853" s="35"/>
      <c r="GM853" s="35"/>
      <c r="GN853" s="35"/>
      <c r="GO853" s="35"/>
      <c r="GP853" s="35"/>
      <c r="GQ853" s="35"/>
      <c r="GR853" s="35"/>
      <c r="GS853" s="35"/>
      <c r="GT853" s="35"/>
      <c r="GU853" s="35"/>
      <c r="GV853" s="35"/>
      <c r="GW853" s="35"/>
      <c r="GX853" s="35"/>
      <c r="GY853" s="35"/>
      <c r="GZ853" s="35"/>
      <c r="HA853" s="35"/>
      <c r="HB853" s="35"/>
      <c r="HC853" s="35"/>
      <c r="HD853" s="35"/>
      <c r="HE853" s="35"/>
      <c r="HF853" s="35"/>
      <c r="HG853" s="35"/>
      <c r="HH853" s="35"/>
      <c r="HI853" s="35"/>
      <c r="HJ853" s="35"/>
      <c r="HK853" s="35"/>
      <c r="HL853" s="35"/>
      <c r="HM853" s="35"/>
      <c r="HN853" s="35"/>
      <c r="HO853" s="35"/>
      <c r="HP853" s="35"/>
      <c r="HQ853" s="35"/>
      <c r="HR853" s="35"/>
      <c r="HS853" s="35"/>
      <c r="HT853" s="35"/>
      <c r="HU853" s="35"/>
      <c r="HV853" s="35"/>
      <c r="HW853" s="35"/>
      <c r="HX853" s="35"/>
      <c r="HY853" s="35"/>
      <c r="HZ853" s="35"/>
      <c r="IA853" s="35"/>
      <c r="IB853" s="35"/>
      <c r="IC853" s="35"/>
      <c r="ID853" s="35"/>
      <c r="IE853" s="35"/>
      <c r="IF853" s="35"/>
      <c r="IG853" s="35"/>
      <c r="IH853" s="35"/>
      <c r="II853" s="35"/>
      <c r="IJ853" s="35"/>
      <c r="IK853" s="35"/>
      <c r="IL853" s="35"/>
      <c r="IM853" s="35"/>
      <c r="IN853" s="35"/>
      <c r="IO853" s="35"/>
      <c r="IP853" s="35"/>
      <c r="IQ853" s="35"/>
      <c r="IR853" s="35"/>
      <c r="IS853" s="35"/>
      <c r="IT853" s="35"/>
      <c r="IU853" s="35"/>
      <c r="IV853" s="35"/>
      <c r="IW853" s="35"/>
      <c r="IX853" s="35"/>
      <c r="IY853" s="35"/>
      <c r="IZ853" s="35"/>
      <c r="JA853" s="35"/>
      <c r="JB853" s="35"/>
      <c r="JC853" s="35"/>
      <c r="JD853" s="35"/>
      <c r="JE853" s="35"/>
    </row>
    <row r="854">
      <c r="A854" s="42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  <c r="AZ854" s="35"/>
      <c r="BA854" s="35"/>
      <c r="BB854" s="35"/>
      <c r="BC854" s="35"/>
      <c r="BD854" s="35"/>
      <c r="BE854" s="35"/>
      <c r="BF854" s="35"/>
      <c r="BG854" s="35"/>
      <c r="BH854" s="35"/>
      <c r="BI854" s="35"/>
      <c r="BJ854" s="35"/>
      <c r="BK854" s="35"/>
      <c r="BL854" s="35"/>
      <c r="BM854" s="35"/>
      <c r="BN854" s="35"/>
      <c r="BO854" s="35"/>
      <c r="BP854" s="35"/>
      <c r="BQ854" s="35"/>
      <c r="BR854" s="35"/>
      <c r="BS854" s="35"/>
      <c r="BT854" s="35"/>
      <c r="BU854" s="35"/>
      <c r="BV854" s="35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35"/>
      <c r="CO854" s="35"/>
      <c r="CP854" s="35"/>
      <c r="CQ854" s="35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35"/>
      <c r="DJ854" s="35"/>
      <c r="DK854" s="35"/>
      <c r="DL854" s="35"/>
      <c r="DM854" s="35"/>
      <c r="DN854" s="35"/>
      <c r="DO854" s="35"/>
      <c r="DP854" s="35"/>
      <c r="DQ854" s="35"/>
      <c r="DR854" s="35"/>
      <c r="DS854" s="35"/>
      <c r="DT854" s="35"/>
      <c r="DU854" s="35"/>
      <c r="DV854" s="35"/>
      <c r="DW854" s="35"/>
      <c r="DX854" s="35"/>
      <c r="DY854" s="35"/>
      <c r="DZ854" s="35"/>
      <c r="EA854" s="35"/>
      <c r="EB854" s="35"/>
      <c r="EC854" s="35"/>
      <c r="ED854" s="35"/>
      <c r="EE854" s="35"/>
      <c r="EF854" s="35"/>
      <c r="EG854" s="35"/>
      <c r="EH854" s="35"/>
      <c r="EI854" s="35"/>
      <c r="EJ854" s="35"/>
      <c r="EK854" s="35"/>
      <c r="EL854" s="35"/>
      <c r="EM854" s="35"/>
      <c r="EN854" s="35"/>
      <c r="EO854" s="35"/>
      <c r="EP854" s="35"/>
      <c r="EQ854" s="35"/>
      <c r="ER854" s="35"/>
      <c r="ES854" s="35"/>
      <c r="ET854" s="35"/>
      <c r="EU854" s="35"/>
      <c r="EV854" s="35"/>
      <c r="EW854" s="35"/>
      <c r="EX854" s="35"/>
      <c r="EY854" s="35"/>
      <c r="EZ854" s="35"/>
      <c r="FA854" s="35"/>
      <c r="FB854" s="35"/>
      <c r="FC854" s="35"/>
      <c r="FD854" s="35"/>
      <c r="FE854" s="35"/>
      <c r="FF854" s="35"/>
      <c r="FG854" s="35"/>
      <c r="FH854" s="35"/>
      <c r="FI854" s="35"/>
      <c r="FJ854" s="35"/>
      <c r="FK854" s="35"/>
      <c r="FL854" s="35"/>
      <c r="FM854" s="35"/>
      <c r="FN854" s="35"/>
      <c r="FO854" s="35"/>
      <c r="FP854" s="35"/>
      <c r="FQ854" s="35"/>
      <c r="FR854" s="35"/>
      <c r="FS854" s="35"/>
      <c r="FT854" s="35"/>
      <c r="FU854" s="35"/>
      <c r="FV854" s="35"/>
      <c r="FW854" s="35"/>
      <c r="FX854" s="35"/>
      <c r="FY854" s="35"/>
      <c r="FZ854" s="35"/>
      <c r="GA854" s="35"/>
      <c r="GB854" s="35"/>
      <c r="GC854" s="35"/>
      <c r="GD854" s="35"/>
      <c r="GE854" s="35"/>
      <c r="GF854" s="35"/>
      <c r="GG854" s="35"/>
      <c r="GH854" s="35"/>
      <c r="GI854" s="35"/>
      <c r="GJ854" s="35"/>
      <c r="GK854" s="35"/>
      <c r="GL854" s="35"/>
      <c r="GM854" s="35"/>
      <c r="GN854" s="35"/>
      <c r="GO854" s="35"/>
      <c r="GP854" s="35"/>
      <c r="GQ854" s="35"/>
      <c r="GR854" s="35"/>
      <c r="GS854" s="35"/>
      <c r="GT854" s="35"/>
      <c r="GU854" s="35"/>
      <c r="GV854" s="35"/>
      <c r="GW854" s="35"/>
      <c r="GX854" s="35"/>
      <c r="GY854" s="35"/>
      <c r="GZ854" s="35"/>
      <c r="HA854" s="35"/>
      <c r="HB854" s="35"/>
      <c r="HC854" s="35"/>
      <c r="HD854" s="35"/>
      <c r="HE854" s="35"/>
      <c r="HF854" s="35"/>
      <c r="HG854" s="35"/>
      <c r="HH854" s="35"/>
      <c r="HI854" s="35"/>
      <c r="HJ854" s="35"/>
      <c r="HK854" s="35"/>
      <c r="HL854" s="35"/>
      <c r="HM854" s="35"/>
      <c r="HN854" s="35"/>
      <c r="HO854" s="35"/>
      <c r="HP854" s="35"/>
      <c r="HQ854" s="35"/>
      <c r="HR854" s="35"/>
      <c r="HS854" s="35"/>
      <c r="HT854" s="35"/>
      <c r="HU854" s="35"/>
      <c r="HV854" s="35"/>
      <c r="HW854" s="35"/>
      <c r="HX854" s="35"/>
      <c r="HY854" s="35"/>
      <c r="HZ854" s="35"/>
      <c r="IA854" s="35"/>
      <c r="IB854" s="35"/>
      <c r="IC854" s="35"/>
      <c r="ID854" s="35"/>
      <c r="IE854" s="35"/>
      <c r="IF854" s="35"/>
      <c r="IG854" s="35"/>
      <c r="IH854" s="35"/>
      <c r="II854" s="35"/>
      <c r="IJ854" s="35"/>
      <c r="IK854" s="35"/>
      <c r="IL854" s="35"/>
      <c r="IM854" s="35"/>
      <c r="IN854" s="35"/>
      <c r="IO854" s="35"/>
      <c r="IP854" s="35"/>
      <c r="IQ854" s="35"/>
      <c r="IR854" s="35"/>
      <c r="IS854" s="35"/>
      <c r="IT854" s="35"/>
      <c r="IU854" s="35"/>
      <c r="IV854" s="35"/>
      <c r="IW854" s="35"/>
      <c r="IX854" s="35"/>
      <c r="IY854" s="35"/>
      <c r="IZ854" s="35"/>
      <c r="JA854" s="35"/>
      <c r="JB854" s="35"/>
      <c r="JC854" s="35"/>
      <c r="JD854" s="35"/>
      <c r="JE854" s="35"/>
    </row>
    <row r="855">
      <c r="A855" s="42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  <c r="AZ855" s="35"/>
      <c r="BA855" s="35"/>
      <c r="BB855" s="35"/>
      <c r="BC855" s="35"/>
      <c r="BD855" s="35"/>
      <c r="BE855" s="35"/>
      <c r="BF855" s="35"/>
      <c r="BG855" s="35"/>
      <c r="BH855" s="35"/>
      <c r="BI855" s="35"/>
      <c r="BJ855" s="35"/>
      <c r="BK855" s="35"/>
      <c r="BL855" s="35"/>
      <c r="BM855" s="35"/>
      <c r="BN855" s="35"/>
      <c r="BO855" s="35"/>
      <c r="BP855" s="35"/>
      <c r="BQ855" s="35"/>
      <c r="BR855" s="35"/>
      <c r="BS855" s="35"/>
      <c r="BT855" s="35"/>
      <c r="BU855" s="35"/>
      <c r="BV855" s="35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35"/>
      <c r="CO855" s="35"/>
      <c r="CP855" s="35"/>
      <c r="CQ855" s="35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35"/>
      <c r="DJ855" s="35"/>
      <c r="DK855" s="35"/>
      <c r="DL855" s="35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35"/>
      <c r="EE855" s="35"/>
      <c r="EF855" s="35"/>
      <c r="EG855" s="35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  <c r="ER855" s="35"/>
      <c r="ES855" s="35"/>
      <c r="ET855" s="35"/>
      <c r="EU855" s="35"/>
      <c r="EV855" s="35"/>
      <c r="EW855" s="35"/>
      <c r="EX855" s="35"/>
      <c r="EY855" s="35"/>
      <c r="EZ855" s="35"/>
      <c r="FA855" s="35"/>
      <c r="FB855" s="35"/>
      <c r="FC855" s="35"/>
      <c r="FD855" s="35"/>
      <c r="FE855" s="35"/>
      <c r="FF855" s="35"/>
      <c r="FG855" s="35"/>
      <c r="FH855" s="35"/>
      <c r="FI855" s="35"/>
      <c r="FJ855" s="35"/>
      <c r="FK855" s="35"/>
      <c r="FL855" s="35"/>
      <c r="FM855" s="35"/>
      <c r="FN855" s="35"/>
      <c r="FO855" s="35"/>
      <c r="FP855" s="35"/>
      <c r="FQ855" s="35"/>
      <c r="FR855" s="35"/>
      <c r="FS855" s="35"/>
      <c r="FT855" s="35"/>
      <c r="FU855" s="35"/>
      <c r="FV855" s="35"/>
      <c r="FW855" s="35"/>
      <c r="FX855" s="35"/>
      <c r="FY855" s="35"/>
      <c r="FZ855" s="35"/>
      <c r="GA855" s="35"/>
      <c r="GB855" s="35"/>
      <c r="GC855" s="35"/>
      <c r="GD855" s="35"/>
      <c r="GE855" s="35"/>
      <c r="GF855" s="35"/>
      <c r="GG855" s="35"/>
      <c r="GH855" s="35"/>
      <c r="GI855" s="35"/>
      <c r="GJ855" s="35"/>
      <c r="GK855" s="35"/>
      <c r="GL855" s="35"/>
      <c r="GM855" s="35"/>
      <c r="GN855" s="35"/>
      <c r="GO855" s="35"/>
      <c r="GP855" s="35"/>
      <c r="GQ855" s="35"/>
      <c r="GR855" s="35"/>
      <c r="GS855" s="35"/>
      <c r="GT855" s="35"/>
      <c r="GU855" s="35"/>
      <c r="GV855" s="35"/>
      <c r="GW855" s="35"/>
      <c r="GX855" s="35"/>
      <c r="GY855" s="35"/>
      <c r="GZ855" s="35"/>
      <c r="HA855" s="35"/>
      <c r="HB855" s="35"/>
      <c r="HC855" s="35"/>
      <c r="HD855" s="35"/>
      <c r="HE855" s="35"/>
      <c r="HF855" s="35"/>
      <c r="HG855" s="35"/>
      <c r="HH855" s="35"/>
      <c r="HI855" s="35"/>
      <c r="HJ855" s="35"/>
      <c r="HK855" s="35"/>
      <c r="HL855" s="35"/>
      <c r="HM855" s="35"/>
      <c r="HN855" s="35"/>
      <c r="HO855" s="35"/>
      <c r="HP855" s="35"/>
      <c r="HQ855" s="35"/>
      <c r="HR855" s="35"/>
      <c r="HS855" s="35"/>
      <c r="HT855" s="35"/>
      <c r="HU855" s="35"/>
      <c r="HV855" s="35"/>
      <c r="HW855" s="35"/>
      <c r="HX855" s="35"/>
      <c r="HY855" s="35"/>
      <c r="HZ855" s="35"/>
      <c r="IA855" s="35"/>
      <c r="IB855" s="35"/>
      <c r="IC855" s="35"/>
      <c r="ID855" s="35"/>
      <c r="IE855" s="35"/>
      <c r="IF855" s="35"/>
      <c r="IG855" s="35"/>
      <c r="IH855" s="35"/>
      <c r="II855" s="35"/>
      <c r="IJ855" s="35"/>
      <c r="IK855" s="35"/>
      <c r="IL855" s="35"/>
      <c r="IM855" s="35"/>
      <c r="IN855" s="35"/>
      <c r="IO855" s="35"/>
      <c r="IP855" s="35"/>
      <c r="IQ855" s="35"/>
      <c r="IR855" s="35"/>
      <c r="IS855" s="35"/>
      <c r="IT855" s="35"/>
      <c r="IU855" s="35"/>
      <c r="IV855" s="35"/>
      <c r="IW855" s="35"/>
      <c r="IX855" s="35"/>
      <c r="IY855" s="35"/>
      <c r="IZ855" s="35"/>
      <c r="JA855" s="35"/>
      <c r="JB855" s="35"/>
      <c r="JC855" s="35"/>
      <c r="JD855" s="35"/>
      <c r="JE855" s="35"/>
    </row>
    <row r="856">
      <c r="A856" s="42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35"/>
      <c r="BA856" s="35"/>
      <c r="BB856" s="35"/>
      <c r="BC856" s="35"/>
      <c r="BD856" s="35"/>
      <c r="BE856" s="35"/>
      <c r="BF856" s="35"/>
      <c r="BG856" s="35"/>
      <c r="BH856" s="35"/>
      <c r="BI856" s="35"/>
      <c r="BJ856" s="35"/>
      <c r="BK856" s="35"/>
      <c r="BL856" s="35"/>
      <c r="BM856" s="35"/>
      <c r="BN856" s="35"/>
      <c r="BO856" s="35"/>
      <c r="BP856" s="35"/>
      <c r="BQ856" s="35"/>
      <c r="BR856" s="35"/>
      <c r="BS856" s="35"/>
      <c r="BT856" s="35"/>
      <c r="BU856" s="35"/>
      <c r="BV856" s="35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35"/>
      <c r="CO856" s="35"/>
      <c r="CP856" s="35"/>
      <c r="CQ856" s="35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35"/>
      <c r="DJ856" s="35"/>
      <c r="DK856" s="35"/>
      <c r="DL856" s="35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35"/>
      <c r="EE856" s="35"/>
      <c r="EF856" s="35"/>
      <c r="EG856" s="35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35"/>
      <c r="EZ856" s="35"/>
      <c r="FA856" s="35"/>
      <c r="FB856" s="35"/>
      <c r="FC856" s="35"/>
      <c r="FD856" s="35"/>
      <c r="FE856" s="35"/>
      <c r="FF856" s="35"/>
      <c r="FG856" s="35"/>
      <c r="FH856" s="35"/>
      <c r="FI856" s="35"/>
      <c r="FJ856" s="35"/>
      <c r="FK856" s="35"/>
      <c r="FL856" s="35"/>
      <c r="FM856" s="35"/>
      <c r="FN856" s="35"/>
      <c r="FO856" s="35"/>
      <c r="FP856" s="35"/>
      <c r="FQ856" s="35"/>
      <c r="FR856" s="35"/>
      <c r="FS856" s="35"/>
      <c r="FT856" s="35"/>
      <c r="FU856" s="35"/>
      <c r="FV856" s="35"/>
      <c r="FW856" s="35"/>
      <c r="FX856" s="35"/>
      <c r="FY856" s="35"/>
      <c r="FZ856" s="35"/>
      <c r="GA856" s="35"/>
      <c r="GB856" s="35"/>
      <c r="GC856" s="35"/>
      <c r="GD856" s="35"/>
      <c r="GE856" s="35"/>
      <c r="GF856" s="35"/>
      <c r="GG856" s="35"/>
      <c r="GH856" s="35"/>
      <c r="GI856" s="35"/>
      <c r="GJ856" s="35"/>
      <c r="GK856" s="35"/>
      <c r="GL856" s="35"/>
      <c r="GM856" s="35"/>
      <c r="GN856" s="35"/>
      <c r="GO856" s="35"/>
      <c r="GP856" s="35"/>
      <c r="GQ856" s="35"/>
      <c r="GR856" s="35"/>
      <c r="GS856" s="35"/>
      <c r="GT856" s="35"/>
      <c r="GU856" s="35"/>
      <c r="GV856" s="35"/>
      <c r="GW856" s="35"/>
      <c r="GX856" s="35"/>
      <c r="GY856" s="35"/>
      <c r="GZ856" s="35"/>
      <c r="HA856" s="35"/>
      <c r="HB856" s="35"/>
      <c r="HC856" s="35"/>
      <c r="HD856" s="35"/>
      <c r="HE856" s="35"/>
      <c r="HF856" s="35"/>
      <c r="HG856" s="35"/>
      <c r="HH856" s="35"/>
      <c r="HI856" s="35"/>
      <c r="HJ856" s="35"/>
      <c r="HK856" s="35"/>
      <c r="HL856" s="35"/>
      <c r="HM856" s="35"/>
      <c r="HN856" s="35"/>
      <c r="HO856" s="35"/>
      <c r="HP856" s="35"/>
      <c r="HQ856" s="35"/>
      <c r="HR856" s="35"/>
      <c r="HS856" s="35"/>
      <c r="HT856" s="35"/>
      <c r="HU856" s="35"/>
      <c r="HV856" s="35"/>
      <c r="HW856" s="35"/>
      <c r="HX856" s="35"/>
      <c r="HY856" s="35"/>
      <c r="HZ856" s="35"/>
      <c r="IA856" s="35"/>
      <c r="IB856" s="35"/>
      <c r="IC856" s="35"/>
      <c r="ID856" s="35"/>
      <c r="IE856" s="35"/>
      <c r="IF856" s="35"/>
      <c r="IG856" s="35"/>
      <c r="IH856" s="35"/>
      <c r="II856" s="35"/>
      <c r="IJ856" s="35"/>
      <c r="IK856" s="35"/>
      <c r="IL856" s="35"/>
      <c r="IM856" s="35"/>
      <c r="IN856" s="35"/>
      <c r="IO856" s="35"/>
      <c r="IP856" s="35"/>
      <c r="IQ856" s="35"/>
      <c r="IR856" s="35"/>
      <c r="IS856" s="35"/>
      <c r="IT856" s="35"/>
      <c r="IU856" s="35"/>
      <c r="IV856" s="35"/>
      <c r="IW856" s="35"/>
      <c r="IX856" s="35"/>
      <c r="IY856" s="35"/>
      <c r="IZ856" s="35"/>
      <c r="JA856" s="35"/>
      <c r="JB856" s="35"/>
      <c r="JC856" s="35"/>
      <c r="JD856" s="35"/>
      <c r="JE856" s="35"/>
    </row>
    <row r="857">
      <c r="A857" s="42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  <c r="BG857" s="35"/>
      <c r="BH857" s="35"/>
      <c r="BI857" s="35"/>
      <c r="BJ857" s="35"/>
      <c r="BK857" s="35"/>
      <c r="BL857" s="35"/>
      <c r="BM857" s="35"/>
      <c r="BN857" s="35"/>
      <c r="BO857" s="35"/>
      <c r="BP857" s="35"/>
      <c r="BQ857" s="35"/>
      <c r="BR857" s="35"/>
      <c r="BS857" s="35"/>
      <c r="BT857" s="35"/>
      <c r="BU857" s="35"/>
      <c r="BV857" s="35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35"/>
      <c r="CO857" s="35"/>
      <c r="CP857" s="35"/>
      <c r="CQ857" s="35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35"/>
      <c r="DJ857" s="35"/>
      <c r="DK857" s="35"/>
      <c r="DL857" s="35"/>
      <c r="DM857" s="35"/>
      <c r="DN857" s="35"/>
      <c r="DO857" s="35"/>
      <c r="DP857" s="35"/>
      <c r="DQ857" s="35"/>
      <c r="DR857" s="35"/>
      <c r="DS857" s="35"/>
      <c r="DT857" s="35"/>
      <c r="DU857" s="35"/>
      <c r="DV857" s="35"/>
      <c r="DW857" s="35"/>
      <c r="DX857" s="35"/>
      <c r="DY857" s="35"/>
      <c r="DZ857" s="35"/>
      <c r="EA857" s="35"/>
      <c r="EB857" s="35"/>
      <c r="EC857" s="35"/>
      <c r="ED857" s="35"/>
      <c r="EE857" s="35"/>
      <c r="EF857" s="35"/>
      <c r="EG857" s="35"/>
      <c r="EH857" s="35"/>
      <c r="EI857" s="35"/>
      <c r="EJ857" s="35"/>
      <c r="EK857" s="35"/>
      <c r="EL857" s="35"/>
      <c r="EM857" s="35"/>
      <c r="EN857" s="35"/>
      <c r="EO857" s="35"/>
      <c r="EP857" s="35"/>
      <c r="EQ857" s="35"/>
      <c r="ER857" s="35"/>
      <c r="ES857" s="35"/>
      <c r="ET857" s="35"/>
      <c r="EU857" s="35"/>
      <c r="EV857" s="35"/>
      <c r="EW857" s="35"/>
      <c r="EX857" s="35"/>
      <c r="EY857" s="35"/>
      <c r="EZ857" s="35"/>
      <c r="FA857" s="35"/>
      <c r="FB857" s="35"/>
      <c r="FC857" s="35"/>
      <c r="FD857" s="35"/>
      <c r="FE857" s="35"/>
      <c r="FF857" s="35"/>
      <c r="FG857" s="35"/>
      <c r="FH857" s="35"/>
      <c r="FI857" s="35"/>
      <c r="FJ857" s="35"/>
      <c r="FK857" s="35"/>
      <c r="FL857" s="35"/>
      <c r="FM857" s="35"/>
      <c r="FN857" s="35"/>
      <c r="FO857" s="35"/>
      <c r="FP857" s="35"/>
      <c r="FQ857" s="35"/>
      <c r="FR857" s="35"/>
      <c r="FS857" s="35"/>
      <c r="FT857" s="35"/>
      <c r="FU857" s="35"/>
      <c r="FV857" s="35"/>
      <c r="FW857" s="35"/>
      <c r="FX857" s="35"/>
      <c r="FY857" s="35"/>
      <c r="FZ857" s="35"/>
      <c r="GA857" s="35"/>
      <c r="GB857" s="35"/>
      <c r="GC857" s="35"/>
      <c r="GD857" s="35"/>
      <c r="GE857" s="35"/>
      <c r="GF857" s="35"/>
      <c r="GG857" s="35"/>
      <c r="GH857" s="35"/>
      <c r="GI857" s="35"/>
      <c r="GJ857" s="35"/>
      <c r="GK857" s="35"/>
      <c r="GL857" s="35"/>
      <c r="GM857" s="35"/>
      <c r="GN857" s="35"/>
      <c r="GO857" s="35"/>
      <c r="GP857" s="35"/>
      <c r="GQ857" s="35"/>
      <c r="GR857" s="35"/>
      <c r="GS857" s="35"/>
      <c r="GT857" s="35"/>
      <c r="GU857" s="35"/>
      <c r="GV857" s="35"/>
      <c r="GW857" s="35"/>
      <c r="GX857" s="35"/>
      <c r="GY857" s="35"/>
      <c r="GZ857" s="35"/>
      <c r="HA857" s="35"/>
      <c r="HB857" s="35"/>
      <c r="HC857" s="35"/>
      <c r="HD857" s="35"/>
      <c r="HE857" s="35"/>
      <c r="HF857" s="35"/>
      <c r="HG857" s="35"/>
      <c r="HH857" s="35"/>
      <c r="HI857" s="35"/>
      <c r="HJ857" s="35"/>
      <c r="HK857" s="35"/>
      <c r="HL857" s="35"/>
      <c r="HM857" s="35"/>
      <c r="HN857" s="35"/>
      <c r="HO857" s="35"/>
      <c r="HP857" s="35"/>
      <c r="HQ857" s="35"/>
      <c r="HR857" s="35"/>
      <c r="HS857" s="35"/>
      <c r="HT857" s="35"/>
      <c r="HU857" s="35"/>
      <c r="HV857" s="35"/>
      <c r="HW857" s="35"/>
      <c r="HX857" s="35"/>
      <c r="HY857" s="35"/>
      <c r="HZ857" s="35"/>
      <c r="IA857" s="35"/>
      <c r="IB857" s="35"/>
      <c r="IC857" s="35"/>
      <c r="ID857" s="35"/>
      <c r="IE857" s="35"/>
      <c r="IF857" s="35"/>
      <c r="IG857" s="35"/>
      <c r="IH857" s="35"/>
      <c r="II857" s="35"/>
      <c r="IJ857" s="35"/>
      <c r="IK857" s="35"/>
      <c r="IL857" s="35"/>
      <c r="IM857" s="35"/>
      <c r="IN857" s="35"/>
      <c r="IO857" s="35"/>
      <c r="IP857" s="35"/>
      <c r="IQ857" s="35"/>
      <c r="IR857" s="35"/>
      <c r="IS857" s="35"/>
      <c r="IT857" s="35"/>
      <c r="IU857" s="35"/>
      <c r="IV857" s="35"/>
      <c r="IW857" s="35"/>
      <c r="IX857" s="35"/>
      <c r="IY857" s="35"/>
      <c r="IZ857" s="35"/>
      <c r="JA857" s="35"/>
      <c r="JB857" s="35"/>
      <c r="JC857" s="35"/>
      <c r="JD857" s="35"/>
      <c r="JE857" s="35"/>
    </row>
    <row r="858">
      <c r="A858" s="42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  <c r="BK858" s="35"/>
      <c r="BL858" s="35"/>
      <c r="BM858" s="35"/>
      <c r="BN858" s="35"/>
      <c r="BO858" s="35"/>
      <c r="BP858" s="35"/>
      <c r="BQ858" s="35"/>
      <c r="BR858" s="35"/>
      <c r="BS858" s="35"/>
      <c r="BT858" s="35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35"/>
      <c r="CO858" s="35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35"/>
      <c r="DJ858" s="35"/>
      <c r="DK858" s="35"/>
      <c r="DL858" s="35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35"/>
      <c r="EE858" s="35"/>
      <c r="EF858" s="35"/>
      <c r="EG858" s="35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35"/>
      <c r="EZ858" s="35"/>
      <c r="FA858" s="35"/>
      <c r="FB858" s="35"/>
      <c r="FC858" s="35"/>
      <c r="FD858" s="35"/>
      <c r="FE858" s="35"/>
      <c r="FF858" s="35"/>
      <c r="FG858" s="35"/>
      <c r="FH858" s="35"/>
      <c r="FI858" s="35"/>
      <c r="FJ858" s="35"/>
      <c r="FK858" s="35"/>
      <c r="FL858" s="35"/>
      <c r="FM858" s="35"/>
      <c r="FN858" s="35"/>
      <c r="FO858" s="35"/>
      <c r="FP858" s="35"/>
      <c r="FQ858" s="35"/>
      <c r="FR858" s="35"/>
      <c r="FS858" s="35"/>
      <c r="FT858" s="35"/>
      <c r="FU858" s="35"/>
      <c r="FV858" s="35"/>
      <c r="FW858" s="35"/>
      <c r="FX858" s="35"/>
      <c r="FY858" s="35"/>
      <c r="FZ858" s="35"/>
      <c r="GA858" s="35"/>
      <c r="GB858" s="35"/>
      <c r="GC858" s="35"/>
      <c r="GD858" s="35"/>
      <c r="GE858" s="35"/>
      <c r="GF858" s="35"/>
      <c r="GG858" s="35"/>
      <c r="GH858" s="35"/>
      <c r="GI858" s="35"/>
      <c r="GJ858" s="35"/>
      <c r="GK858" s="35"/>
      <c r="GL858" s="35"/>
      <c r="GM858" s="35"/>
      <c r="GN858" s="35"/>
      <c r="GO858" s="35"/>
      <c r="GP858" s="35"/>
      <c r="GQ858" s="35"/>
      <c r="GR858" s="35"/>
      <c r="GS858" s="35"/>
      <c r="GT858" s="35"/>
      <c r="GU858" s="35"/>
      <c r="GV858" s="35"/>
      <c r="GW858" s="35"/>
      <c r="GX858" s="35"/>
      <c r="GY858" s="35"/>
      <c r="GZ858" s="35"/>
      <c r="HA858" s="35"/>
      <c r="HB858" s="35"/>
      <c r="HC858" s="35"/>
      <c r="HD858" s="35"/>
      <c r="HE858" s="35"/>
      <c r="HF858" s="35"/>
      <c r="HG858" s="35"/>
      <c r="HH858" s="35"/>
      <c r="HI858" s="35"/>
      <c r="HJ858" s="35"/>
      <c r="HK858" s="35"/>
      <c r="HL858" s="35"/>
      <c r="HM858" s="35"/>
      <c r="HN858" s="35"/>
      <c r="HO858" s="35"/>
      <c r="HP858" s="35"/>
      <c r="HQ858" s="35"/>
      <c r="HR858" s="35"/>
      <c r="HS858" s="35"/>
      <c r="HT858" s="35"/>
      <c r="HU858" s="35"/>
      <c r="HV858" s="35"/>
      <c r="HW858" s="35"/>
      <c r="HX858" s="35"/>
      <c r="HY858" s="35"/>
      <c r="HZ858" s="35"/>
      <c r="IA858" s="35"/>
      <c r="IB858" s="35"/>
      <c r="IC858" s="35"/>
      <c r="ID858" s="35"/>
      <c r="IE858" s="35"/>
      <c r="IF858" s="35"/>
      <c r="IG858" s="35"/>
      <c r="IH858" s="35"/>
      <c r="II858" s="35"/>
      <c r="IJ858" s="35"/>
      <c r="IK858" s="35"/>
      <c r="IL858" s="35"/>
      <c r="IM858" s="35"/>
      <c r="IN858" s="35"/>
      <c r="IO858" s="35"/>
      <c r="IP858" s="35"/>
      <c r="IQ858" s="35"/>
      <c r="IR858" s="35"/>
      <c r="IS858" s="35"/>
      <c r="IT858" s="35"/>
      <c r="IU858" s="35"/>
      <c r="IV858" s="35"/>
      <c r="IW858" s="35"/>
      <c r="IX858" s="35"/>
      <c r="IY858" s="35"/>
      <c r="IZ858" s="35"/>
      <c r="JA858" s="35"/>
      <c r="JB858" s="35"/>
      <c r="JC858" s="35"/>
      <c r="JD858" s="35"/>
      <c r="JE858" s="35"/>
    </row>
    <row r="859">
      <c r="A859" s="42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  <c r="BC859" s="35"/>
      <c r="BD859" s="35"/>
      <c r="BE859" s="35"/>
      <c r="BF859" s="35"/>
      <c r="BG859" s="35"/>
      <c r="BH859" s="35"/>
      <c r="BI859" s="35"/>
      <c r="BJ859" s="35"/>
      <c r="BK859" s="35"/>
      <c r="BL859" s="35"/>
      <c r="BM859" s="35"/>
      <c r="BN859" s="35"/>
      <c r="BO859" s="35"/>
      <c r="BP859" s="35"/>
      <c r="BQ859" s="35"/>
      <c r="BR859" s="35"/>
      <c r="BS859" s="35"/>
      <c r="BT859" s="35"/>
      <c r="BU859" s="35"/>
      <c r="BV859" s="35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35"/>
      <c r="CO859" s="35"/>
      <c r="CP859" s="35"/>
      <c r="CQ859" s="35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35"/>
      <c r="DJ859" s="35"/>
      <c r="DK859" s="35"/>
      <c r="DL859" s="35"/>
      <c r="DM859" s="35"/>
      <c r="DN859" s="35"/>
      <c r="DO859" s="35"/>
      <c r="DP859" s="35"/>
      <c r="DQ859" s="35"/>
      <c r="DR859" s="35"/>
      <c r="DS859" s="35"/>
      <c r="DT859" s="35"/>
      <c r="DU859" s="35"/>
      <c r="DV859" s="35"/>
      <c r="DW859" s="35"/>
      <c r="DX859" s="35"/>
      <c r="DY859" s="35"/>
      <c r="DZ859" s="35"/>
      <c r="EA859" s="35"/>
      <c r="EB859" s="35"/>
      <c r="EC859" s="35"/>
      <c r="ED859" s="35"/>
      <c r="EE859" s="35"/>
      <c r="EF859" s="35"/>
      <c r="EG859" s="35"/>
      <c r="EH859" s="35"/>
      <c r="EI859" s="35"/>
      <c r="EJ859" s="35"/>
      <c r="EK859" s="35"/>
      <c r="EL859" s="35"/>
      <c r="EM859" s="35"/>
      <c r="EN859" s="35"/>
      <c r="EO859" s="35"/>
      <c r="EP859" s="35"/>
      <c r="EQ859" s="35"/>
      <c r="ER859" s="35"/>
      <c r="ES859" s="35"/>
      <c r="ET859" s="35"/>
      <c r="EU859" s="35"/>
      <c r="EV859" s="35"/>
      <c r="EW859" s="35"/>
      <c r="EX859" s="35"/>
      <c r="EY859" s="35"/>
      <c r="EZ859" s="35"/>
      <c r="FA859" s="35"/>
      <c r="FB859" s="35"/>
      <c r="FC859" s="35"/>
      <c r="FD859" s="35"/>
      <c r="FE859" s="35"/>
      <c r="FF859" s="35"/>
      <c r="FG859" s="35"/>
      <c r="FH859" s="35"/>
      <c r="FI859" s="35"/>
      <c r="FJ859" s="35"/>
      <c r="FK859" s="35"/>
      <c r="FL859" s="35"/>
      <c r="FM859" s="35"/>
      <c r="FN859" s="35"/>
      <c r="FO859" s="35"/>
      <c r="FP859" s="35"/>
      <c r="FQ859" s="35"/>
      <c r="FR859" s="35"/>
      <c r="FS859" s="35"/>
      <c r="FT859" s="35"/>
      <c r="FU859" s="35"/>
      <c r="FV859" s="35"/>
      <c r="FW859" s="35"/>
      <c r="FX859" s="35"/>
      <c r="FY859" s="35"/>
      <c r="FZ859" s="35"/>
      <c r="GA859" s="35"/>
      <c r="GB859" s="35"/>
      <c r="GC859" s="35"/>
      <c r="GD859" s="35"/>
      <c r="GE859" s="35"/>
      <c r="GF859" s="35"/>
      <c r="GG859" s="35"/>
      <c r="GH859" s="35"/>
      <c r="GI859" s="35"/>
      <c r="GJ859" s="35"/>
      <c r="GK859" s="35"/>
      <c r="GL859" s="35"/>
      <c r="GM859" s="35"/>
      <c r="GN859" s="35"/>
      <c r="GO859" s="35"/>
      <c r="GP859" s="35"/>
      <c r="GQ859" s="35"/>
      <c r="GR859" s="35"/>
      <c r="GS859" s="35"/>
      <c r="GT859" s="35"/>
      <c r="GU859" s="35"/>
      <c r="GV859" s="35"/>
      <c r="GW859" s="35"/>
      <c r="GX859" s="35"/>
      <c r="GY859" s="35"/>
      <c r="GZ859" s="35"/>
      <c r="HA859" s="35"/>
      <c r="HB859" s="35"/>
      <c r="HC859" s="35"/>
      <c r="HD859" s="35"/>
      <c r="HE859" s="35"/>
      <c r="HF859" s="35"/>
      <c r="HG859" s="35"/>
      <c r="HH859" s="35"/>
      <c r="HI859" s="35"/>
      <c r="HJ859" s="35"/>
      <c r="HK859" s="35"/>
      <c r="HL859" s="35"/>
      <c r="HM859" s="35"/>
      <c r="HN859" s="35"/>
      <c r="HO859" s="35"/>
      <c r="HP859" s="35"/>
      <c r="HQ859" s="35"/>
      <c r="HR859" s="35"/>
      <c r="HS859" s="35"/>
      <c r="HT859" s="35"/>
      <c r="HU859" s="35"/>
      <c r="HV859" s="35"/>
      <c r="HW859" s="35"/>
      <c r="HX859" s="35"/>
      <c r="HY859" s="35"/>
      <c r="HZ859" s="35"/>
      <c r="IA859" s="35"/>
      <c r="IB859" s="35"/>
      <c r="IC859" s="35"/>
      <c r="ID859" s="35"/>
      <c r="IE859" s="35"/>
      <c r="IF859" s="35"/>
      <c r="IG859" s="35"/>
      <c r="IH859" s="35"/>
      <c r="II859" s="35"/>
      <c r="IJ859" s="35"/>
      <c r="IK859" s="35"/>
      <c r="IL859" s="35"/>
      <c r="IM859" s="35"/>
      <c r="IN859" s="35"/>
      <c r="IO859" s="35"/>
      <c r="IP859" s="35"/>
      <c r="IQ859" s="35"/>
      <c r="IR859" s="35"/>
      <c r="IS859" s="35"/>
      <c r="IT859" s="35"/>
      <c r="IU859" s="35"/>
      <c r="IV859" s="35"/>
      <c r="IW859" s="35"/>
      <c r="IX859" s="35"/>
      <c r="IY859" s="35"/>
      <c r="IZ859" s="35"/>
      <c r="JA859" s="35"/>
      <c r="JB859" s="35"/>
      <c r="JC859" s="35"/>
      <c r="JD859" s="35"/>
      <c r="JE859" s="35"/>
    </row>
    <row r="860">
      <c r="A860" s="42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  <c r="BG860" s="35"/>
      <c r="BH860" s="35"/>
      <c r="BI860" s="35"/>
      <c r="BJ860" s="35"/>
      <c r="BK860" s="35"/>
      <c r="BL860" s="35"/>
      <c r="BM860" s="35"/>
      <c r="BN860" s="35"/>
      <c r="BO860" s="35"/>
      <c r="BP860" s="35"/>
      <c r="BQ860" s="35"/>
      <c r="BR860" s="35"/>
      <c r="BS860" s="35"/>
      <c r="BT860" s="35"/>
      <c r="BU860" s="35"/>
      <c r="BV860" s="35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35"/>
      <c r="CO860" s="35"/>
      <c r="CP860" s="35"/>
      <c r="CQ860" s="35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35"/>
      <c r="DJ860" s="35"/>
      <c r="DK860" s="35"/>
      <c r="DL860" s="35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35"/>
      <c r="EE860" s="35"/>
      <c r="EF860" s="35"/>
      <c r="EG860" s="35"/>
      <c r="EH860" s="35"/>
      <c r="EI860" s="35"/>
      <c r="EJ860" s="35"/>
      <c r="EK860" s="35"/>
      <c r="EL860" s="35"/>
      <c r="EM860" s="35"/>
      <c r="EN860" s="35"/>
      <c r="EO860" s="35"/>
      <c r="EP860" s="35"/>
      <c r="EQ860" s="35"/>
      <c r="ER860" s="35"/>
      <c r="ES860" s="35"/>
      <c r="ET860" s="35"/>
      <c r="EU860" s="35"/>
      <c r="EV860" s="35"/>
      <c r="EW860" s="35"/>
      <c r="EX860" s="35"/>
      <c r="EY860" s="35"/>
      <c r="EZ860" s="35"/>
      <c r="FA860" s="35"/>
      <c r="FB860" s="35"/>
      <c r="FC860" s="35"/>
      <c r="FD860" s="35"/>
      <c r="FE860" s="35"/>
      <c r="FF860" s="35"/>
      <c r="FG860" s="35"/>
      <c r="FH860" s="35"/>
      <c r="FI860" s="35"/>
      <c r="FJ860" s="35"/>
      <c r="FK860" s="35"/>
      <c r="FL860" s="35"/>
      <c r="FM860" s="35"/>
      <c r="FN860" s="35"/>
      <c r="FO860" s="35"/>
      <c r="FP860" s="35"/>
      <c r="FQ860" s="35"/>
      <c r="FR860" s="35"/>
      <c r="FS860" s="35"/>
      <c r="FT860" s="35"/>
      <c r="FU860" s="35"/>
      <c r="FV860" s="35"/>
      <c r="FW860" s="35"/>
      <c r="FX860" s="35"/>
      <c r="FY860" s="35"/>
      <c r="FZ860" s="35"/>
      <c r="GA860" s="35"/>
      <c r="GB860" s="35"/>
      <c r="GC860" s="35"/>
      <c r="GD860" s="35"/>
      <c r="GE860" s="35"/>
      <c r="GF860" s="35"/>
      <c r="GG860" s="35"/>
      <c r="GH860" s="35"/>
      <c r="GI860" s="35"/>
      <c r="GJ860" s="35"/>
      <c r="GK860" s="35"/>
      <c r="GL860" s="35"/>
      <c r="GM860" s="35"/>
      <c r="GN860" s="35"/>
      <c r="GO860" s="35"/>
      <c r="GP860" s="35"/>
      <c r="GQ860" s="35"/>
      <c r="GR860" s="35"/>
      <c r="GS860" s="35"/>
      <c r="GT860" s="35"/>
      <c r="GU860" s="35"/>
      <c r="GV860" s="35"/>
      <c r="GW860" s="35"/>
      <c r="GX860" s="35"/>
      <c r="GY860" s="35"/>
      <c r="GZ860" s="35"/>
      <c r="HA860" s="35"/>
      <c r="HB860" s="35"/>
      <c r="HC860" s="35"/>
      <c r="HD860" s="35"/>
      <c r="HE860" s="35"/>
      <c r="HF860" s="35"/>
      <c r="HG860" s="35"/>
      <c r="HH860" s="35"/>
      <c r="HI860" s="35"/>
      <c r="HJ860" s="35"/>
      <c r="HK860" s="35"/>
      <c r="HL860" s="35"/>
      <c r="HM860" s="35"/>
      <c r="HN860" s="35"/>
      <c r="HO860" s="35"/>
      <c r="HP860" s="35"/>
      <c r="HQ860" s="35"/>
      <c r="HR860" s="35"/>
      <c r="HS860" s="35"/>
      <c r="HT860" s="35"/>
      <c r="HU860" s="35"/>
      <c r="HV860" s="35"/>
      <c r="HW860" s="35"/>
      <c r="HX860" s="35"/>
      <c r="HY860" s="35"/>
      <c r="HZ860" s="35"/>
      <c r="IA860" s="35"/>
      <c r="IB860" s="35"/>
      <c r="IC860" s="35"/>
      <c r="ID860" s="35"/>
      <c r="IE860" s="35"/>
      <c r="IF860" s="35"/>
      <c r="IG860" s="35"/>
      <c r="IH860" s="35"/>
      <c r="II860" s="35"/>
      <c r="IJ860" s="35"/>
      <c r="IK860" s="35"/>
      <c r="IL860" s="35"/>
      <c r="IM860" s="35"/>
      <c r="IN860" s="35"/>
      <c r="IO860" s="35"/>
      <c r="IP860" s="35"/>
      <c r="IQ860" s="35"/>
      <c r="IR860" s="35"/>
      <c r="IS860" s="35"/>
      <c r="IT860" s="35"/>
      <c r="IU860" s="35"/>
      <c r="IV860" s="35"/>
      <c r="IW860" s="35"/>
      <c r="IX860" s="35"/>
      <c r="IY860" s="35"/>
      <c r="IZ860" s="35"/>
      <c r="JA860" s="35"/>
      <c r="JB860" s="35"/>
      <c r="JC860" s="35"/>
      <c r="JD860" s="35"/>
      <c r="JE860" s="35"/>
    </row>
    <row r="861">
      <c r="A861" s="42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  <c r="BK861" s="35"/>
      <c r="BL861" s="35"/>
      <c r="BM861" s="35"/>
      <c r="BN861" s="35"/>
      <c r="BO861" s="35"/>
      <c r="BP861" s="35"/>
      <c r="BQ861" s="35"/>
      <c r="BR861" s="35"/>
      <c r="BS861" s="35"/>
      <c r="BT861" s="35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35"/>
      <c r="CO861" s="35"/>
      <c r="CP861" s="35"/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35"/>
      <c r="DJ861" s="35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35"/>
      <c r="EE861" s="35"/>
      <c r="EF861" s="35"/>
      <c r="EG861" s="35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  <c r="ER861" s="35"/>
      <c r="ES861" s="35"/>
      <c r="ET861" s="35"/>
      <c r="EU861" s="35"/>
      <c r="EV861" s="35"/>
      <c r="EW861" s="35"/>
      <c r="EX861" s="35"/>
      <c r="EY861" s="35"/>
      <c r="EZ861" s="35"/>
      <c r="FA861" s="35"/>
      <c r="FB861" s="35"/>
      <c r="FC861" s="35"/>
      <c r="FD861" s="35"/>
      <c r="FE861" s="35"/>
      <c r="FF861" s="35"/>
      <c r="FG861" s="35"/>
      <c r="FH861" s="35"/>
      <c r="FI861" s="35"/>
      <c r="FJ861" s="35"/>
      <c r="FK861" s="35"/>
      <c r="FL861" s="35"/>
      <c r="FM861" s="35"/>
      <c r="FN861" s="35"/>
      <c r="FO861" s="35"/>
      <c r="FP861" s="35"/>
      <c r="FQ861" s="35"/>
      <c r="FR861" s="35"/>
      <c r="FS861" s="35"/>
      <c r="FT861" s="35"/>
      <c r="FU861" s="35"/>
      <c r="FV861" s="35"/>
      <c r="FW861" s="35"/>
      <c r="FX861" s="35"/>
      <c r="FY861" s="35"/>
      <c r="FZ861" s="35"/>
      <c r="GA861" s="35"/>
      <c r="GB861" s="35"/>
      <c r="GC861" s="35"/>
      <c r="GD861" s="35"/>
      <c r="GE861" s="35"/>
      <c r="GF861" s="35"/>
      <c r="GG861" s="35"/>
      <c r="GH861" s="35"/>
      <c r="GI861" s="35"/>
      <c r="GJ861" s="35"/>
      <c r="GK861" s="35"/>
      <c r="GL861" s="35"/>
      <c r="GM861" s="35"/>
      <c r="GN861" s="35"/>
      <c r="GO861" s="35"/>
      <c r="GP861" s="35"/>
      <c r="GQ861" s="35"/>
      <c r="GR861" s="35"/>
      <c r="GS861" s="35"/>
      <c r="GT861" s="35"/>
      <c r="GU861" s="35"/>
      <c r="GV861" s="35"/>
      <c r="GW861" s="35"/>
      <c r="GX861" s="35"/>
      <c r="GY861" s="35"/>
      <c r="GZ861" s="35"/>
      <c r="HA861" s="35"/>
      <c r="HB861" s="35"/>
      <c r="HC861" s="35"/>
      <c r="HD861" s="35"/>
      <c r="HE861" s="35"/>
      <c r="HF861" s="35"/>
      <c r="HG861" s="35"/>
      <c r="HH861" s="35"/>
      <c r="HI861" s="35"/>
      <c r="HJ861" s="35"/>
      <c r="HK861" s="35"/>
      <c r="HL861" s="35"/>
      <c r="HM861" s="35"/>
      <c r="HN861" s="35"/>
      <c r="HO861" s="35"/>
      <c r="HP861" s="35"/>
      <c r="HQ861" s="35"/>
      <c r="HR861" s="35"/>
      <c r="HS861" s="35"/>
      <c r="HT861" s="35"/>
      <c r="HU861" s="35"/>
      <c r="HV861" s="35"/>
      <c r="HW861" s="35"/>
      <c r="HX861" s="35"/>
      <c r="HY861" s="35"/>
      <c r="HZ861" s="35"/>
      <c r="IA861" s="35"/>
      <c r="IB861" s="35"/>
      <c r="IC861" s="35"/>
      <c r="ID861" s="35"/>
      <c r="IE861" s="35"/>
      <c r="IF861" s="35"/>
      <c r="IG861" s="35"/>
      <c r="IH861" s="35"/>
      <c r="II861" s="35"/>
      <c r="IJ861" s="35"/>
      <c r="IK861" s="35"/>
      <c r="IL861" s="35"/>
      <c r="IM861" s="35"/>
      <c r="IN861" s="35"/>
      <c r="IO861" s="35"/>
      <c r="IP861" s="35"/>
      <c r="IQ861" s="35"/>
      <c r="IR861" s="35"/>
      <c r="IS861" s="35"/>
      <c r="IT861" s="35"/>
      <c r="IU861" s="35"/>
      <c r="IV861" s="35"/>
      <c r="IW861" s="35"/>
      <c r="IX861" s="35"/>
      <c r="IY861" s="35"/>
      <c r="IZ861" s="35"/>
      <c r="JA861" s="35"/>
      <c r="JB861" s="35"/>
      <c r="JC861" s="35"/>
      <c r="JD861" s="35"/>
      <c r="JE861" s="35"/>
    </row>
    <row r="862">
      <c r="A862" s="42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  <c r="BK862" s="35"/>
      <c r="BL862" s="35"/>
      <c r="BM862" s="35"/>
      <c r="BN862" s="35"/>
      <c r="BO862" s="35"/>
      <c r="BP862" s="35"/>
      <c r="BQ862" s="35"/>
      <c r="BR862" s="35"/>
      <c r="BS862" s="35"/>
      <c r="BT862" s="35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35"/>
      <c r="CO862" s="35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35"/>
      <c r="DJ862" s="35"/>
      <c r="DK862" s="35"/>
      <c r="DL862" s="35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35"/>
      <c r="EE862" s="35"/>
      <c r="EF862" s="35"/>
      <c r="EG862" s="35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  <c r="ER862" s="35"/>
      <c r="ES862" s="35"/>
      <c r="ET862" s="35"/>
      <c r="EU862" s="35"/>
      <c r="EV862" s="35"/>
      <c r="EW862" s="35"/>
      <c r="EX862" s="35"/>
      <c r="EY862" s="35"/>
      <c r="EZ862" s="35"/>
      <c r="FA862" s="35"/>
      <c r="FB862" s="35"/>
      <c r="FC862" s="35"/>
      <c r="FD862" s="35"/>
      <c r="FE862" s="35"/>
      <c r="FF862" s="35"/>
      <c r="FG862" s="35"/>
      <c r="FH862" s="35"/>
      <c r="FI862" s="35"/>
      <c r="FJ862" s="35"/>
      <c r="FK862" s="35"/>
      <c r="FL862" s="35"/>
      <c r="FM862" s="35"/>
      <c r="FN862" s="35"/>
      <c r="FO862" s="35"/>
      <c r="FP862" s="35"/>
      <c r="FQ862" s="35"/>
      <c r="FR862" s="35"/>
      <c r="FS862" s="35"/>
      <c r="FT862" s="35"/>
      <c r="FU862" s="35"/>
      <c r="FV862" s="35"/>
      <c r="FW862" s="35"/>
      <c r="FX862" s="35"/>
      <c r="FY862" s="35"/>
      <c r="FZ862" s="35"/>
      <c r="GA862" s="35"/>
      <c r="GB862" s="35"/>
      <c r="GC862" s="35"/>
      <c r="GD862" s="35"/>
      <c r="GE862" s="35"/>
      <c r="GF862" s="35"/>
      <c r="GG862" s="35"/>
      <c r="GH862" s="35"/>
      <c r="GI862" s="35"/>
      <c r="GJ862" s="35"/>
      <c r="GK862" s="35"/>
      <c r="GL862" s="35"/>
      <c r="GM862" s="35"/>
      <c r="GN862" s="35"/>
      <c r="GO862" s="35"/>
      <c r="GP862" s="35"/>
      <c r="GQ862" s="35"/>
      <c r="GR862" s="35"/>
      <c r="GS862" s="35"/>
      <c r="GT862" s="35"/>
      <c r="GU862" s="35"/>
      <c r="GV862" s="35"/>
      <c r="GW862" s="35"/>
      <c r="GX862" s="35"/>
      <c r="GY862" s="35"/>
      <c r="GZ862" s="35"/>
      <c r="HA862" s="35"/>
      <c r="HB862" s="35"/>
      <c r="HC862" s="35"/>
      <c r="HD862" s="35"/>
      <c r="HE862" s="35"/>
      <c r="HF862" s="35"/>
      <c r="HG862" s="35"/>
      <c r="HH862" s="35"/>
      <c r="HI862" s="35"/>
      <c r="HJ862" s="35"/>
      <c r="HK862" s="35"/>
      <c r="HL862" s="35"/>
      <c r="HM862" s="35"/>
      <c r="HN862" s="35"/>
      <c r="HO862" s="35"/>
      <c r="HP862" s="35"/>
      <c r="HQ862" s="35"/>
      <c r="HR862" s="35"/>
      <c r="HS862" s="35"/>
      <c r="HT862" s="35"/>
      <c r="HU862" s="35"/>
      <c r="HV862" s="35"/>
      <c r="HW862" s="35"/>
      <c r="HX862" s="35"/>
      <c r="HY862" s="35"/>
      <c r="HZ862" s="35"/>
      <c r="IA862" s="35"/>
      <c r="IB862" s="35"/>
      <c r="IC862" s="35"/>
      <c r="ID862" s="35"/>
      <c r="IE862" s="35"/>
      <c r="IF862" s="35"/>
      <c r="IG862" s="35"/>
      <c r="IH862" s="35"/>
      <c r="II862" s="35"/>
      <c r="IJ862" s="35"/>
      <c r="IK862" s="35"/>
      <c r="IL862" s="35"/>
      <c r="IM862" s="35"/>
      <c r="IN862" s="35"/>
      <c r="IO862" s="35"/>
      <c r="IP862" s="35"/>
      <c r="IQ862" s="35"/>
      <c r="IR862" s="35"/>
      <c r="IS862" s="35"/>
      <c r="IT862" s="35"/>
      <c r="IU862" s="35"/>
      <c r="IV862" s="35"/>
      <c r="IW862" s="35"/>
      <c r="IX862" s="35"/>
      <c r="IY862" s="35"/>
      <c r="IZ862" s="35"/>
      <c r="JA862" s="35"/>
      <c r="JB862" s="35"/>
      <c r="JC862" s="35"/>
      <c r="JD862" s="35"/>
      <c r="JE862" s="35"/>
    </row>
    <row r="863">
      <c r="A863" s="42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/>
      <c r="BP863" s="35"/>
      <c r="BQ863" s="35"/>
      <c r="BR863" s="35"/>
      <c r="BS863" s="35"/>
      <c r="BT863" s="35"/>
      <c r="BU863" s="35"/>
      <c r="BV863" s="35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35"/>
      <c r="CO863" s="35"/>
      <c r="CP863" s="35"/>
      <c r="CQ863" s="35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35"/>
      <c r="DJ863" s="35"/>
      <c r="DK863" s="35"/>
      <c r="DL863" s="35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35"/>
      <c r="EE863" s="35"/>
      <c r="EF863" s="35"/>
      <c r="EG863" s="35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  <c r="ER863" s="35"/>
      <c r="ES863" s="35"/>
      <c r="ET863" s="35"/>
      <c r="EU863" s="35"/>
      <c r="EV863" s="35"/>
      <c r="EW863" s="35"/>
      <c r="EX863" s="35"/>
      <c r="EY863" s="35"/>
      <c r="EZ863" s="35"/>
      <c r="FA863" s="35"/>
      <c r="FB863" s="35"/>
      <c r="FC863" s="35"/>
      <c r="FD863" s="35"/>
      <c r="FE863" s="35"/>
      <c r="FF863" s="35"/>
      <c r="FG863" s="35"/>
      <c r="FH863" s="35"/>
      <c r="FI863" s="35"/>
      <c r="FJ863" s="35"/>
      <c r="FK863" s="35"/>
      <c r="FL863" s="35"/>
      <c r="FM863" s="35"/>
      <c r="FN863" s="35"/>
      <c r="FO863" s="35"/>
      <c r="FP863" s="35"/>
      <c r="FQ863" s="35"/>
      <c r="FR863" s="35"/>
      <c r="FS863" s="35"/>
      <c r="FT863" s="35"/>
      <c r="FU863" s="35"/>
      <c r="FV863" s="35"/>
      <c r="FW863" s="35"/>
      <c r="FX863" s="35"/>
      <c r="FY863" s="35"/>
      <c r="FZ863" s="35"/>
      <c r="GA863" s="35"/>
      <c r="GB863" s="35"/>
      <c r="GC863" s="35"/>
      <c r="GD863" s="35"/>
      <c r="GE863" s="35"/>
      <c r="GF863" s="35"/>
      <c r="GG863" s="35"/>
      <c r="GH863" s="35"/>
      <c r="GI863" s="35"/>
      <c r="GJ863" s="35"/>
      <c r="GK863" s="35"/>
      <c r="GL863" s="35"/>
      <c r="GM863" s="35"/>
      <c r="GN863" s="35"/>
      <c r="GO863" s="35"/>
      <c r="GP863" s="35"/>
      <c r="GQ863" s="35"/>
      <c r="GR863" s="35"/>
      <c r="GS863" s="35"/>
      <c r="GT863" s="35"/>
      <c r="GU863" s="35"/>
      <c r="GV863" s="35"/>
      <c r="GW863" s="35"/>
      <c r="GX863" s="35"/>
      <c r="GY863" s="35"/>
      <c r="GZ863" s="35"/>
      <c r="HA863" s="35"/>
      <c r="HB863" s="35"/>
      <c r="HC863" s="35"/>
      <c r="HD863" s="35"/>
      <c r="HE863" s="35"/>
      <c r="HF863" s="35"/>
      <c r="HG863" s="35"/>
      <c r="HH863" s="35"/>
      <c r="HI863" s="35"/>
      <c r="HJ863" s="35"/>
      <c r="HK863" s="35"/>
      <c r="HL863" s="35"/>
      <c r="HM863" s="35"/>
      <c r="HN863" s="35"/>
      <c r="HO863" s="35"/>
      <c r="HP863" s="35"/>
      <c r="HQ863" s="35"/>
      <c r="HR863" s="35"/>
      <c r="HS863" s="35"/>
      <c r="HT863" s="35"/>
      <c r="HU863" s="35"/>
      <c r="HV863" s="35"/>
      <c r="HW863" s="35"/>
      <c r="HX863" s="35"/>
      <c r="HY863" s="35"/>
      <c r="HZ863" s="35"/>
      <c r="IA863" s="35"/>
      <c r="IB863" s="35"/>
      <c r="IC863" s="35"/>
      <c r="ID863" s="35"/>
      <c r="IE863" s="35"/>
      <c r="IF863" s="35"/>
      <c r="IG863" s="35"/>
      <c r="IH863" s="35"/>
      <c r="II863" s="35"/>
      <c r="IJ863" s="35"/>
      <c r="IK863" s="35"/>
      <c r="IL863" s="35"/>
      <c r="IM863" s="35"/>
      <c r="IN863" s="35"/>
      <c r="IO863" s="35"/>
      <c r="IP863" s="35"/>
      <c r="IQ863" s="35"/>
      <c r="IR863" s="35"/>
      <c r="IS863" s="35"/>
      <c r="IT863" s="35"/>
      <c r="IU863" s="35"/>
      <c r="IV863" s="35"/>
      <c r="IW863" s="35"/>
      <c r="IX863" s="35"/>
      <c r="IY863" s="35"/>
      <c r="IZ863" s="35"/>
      <c r="JA863" s="35"/>
      <c r="JB863" s="35"/>
      <c r="JC863" s="35"/>
      <c r="JD863" s="35"/>
      <c r="JE863" s="35"/>
    </row>
    <row r="864">
      <c r="A864" s="42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  <c r="BK864" s="35"/>
      <c r="BL864" s="35"/>
      <c r="BM864" s="35"/>
      <c r="BN864" s="35"/>
      <c r="BO864" s="35"/>
      <c r="BP864" s="35"/>
      <c r="BQ864" s="35"/>
      <c r="BR864" s="35"/>
      <c r="BS864" s="35"/>
      <c r="BT864" s="35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35"/>
      <c r="CO864" s="35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35"/>
      <c r="DJ864" s="35"/>
      <c r="DK864" s="35"/>
      <c r="DL864" s="35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35"/>
      <c r="EE864" s="35"/>
      <c r="EF864" s="35"/>
      <c r="EG864" s="35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  <c r="ER864" s="35"/>
      <c r="ES864" s="35"/>
      <c r="ET864" s="35"/>
      <c r="EU864" s="35"/>
      <c r="EV864" s="35"/>
      <c r="EW864" s="35"/>
      <c r="EX864" s="35"/>
      <c r="EY864" s="35"/>
      <c r="EZ864" s="35"/>
      <c r="FA864" s="35"/>
      <c r="FB864" s="35"/>
      <c r="FC864" s="35"/>
      <c r="FD864" s="35"/>
      <c r="FE864" s="35"/>
      <c r="FF864" s="35"/>
      <c r="FG864" s="35"/>
      <c r="FH864" s="35"/>
      <c r="FI864" s="35"/>
      <c r="FJ864" s="35"/>
      <c r="FK864" s="35"/>
      <c r="FL864" s="35"/>
      <c r="FM864" s="35"/>
      <c r="FN864" s="35"/>
      <c r="FO864" s="35"/>
      <c r="FP864" s="35"/>
      <c r="FQ864" s="35"/>
      <c r="FR864" s="35"/>
      <c r="FS864" s="35"/>
      <c r="FT864" s="35"/>
      <c r="FU864" s="35"/>
      <c r="FV864" s="35"/>
      <c r="FW864" s="35"/>
      <c r="FX864" s="35"/>
      <c r="FY864" s="35"/>
      <c r="FZ864" s="35"/>
      <c r="GA864" s="35"/>
      <c r="GB864" s="35"/>
      <c r="GC864" s="35"/>
      <c r="GD864" s="35"/>
      <c r="GE864" s="35"/>
      <c r="GF864" s="35"/>
      <c r="GG864" s="35"/>
      <c r="GH864" s="35"/>
      <c r="GI864" s="35"/>
      <c r="GJ864" s="35"/>
      <c r="GK864" s="35"/>
      <c r="GL864" s="35"/>
      <c r="GM864" s="35"/>
      <c r="GN864" s="35"/>
      <c r="GO864" s="35"/>
      <c r="GP864" s="35"/>
      <c r="GQ864" s="35"/>
      <c r="GR864" s="35"/>
      <c r="GS864" s="35"/>
      <c r="GT864" s="35"/>
      <c r="GU864" s="35"/>
      <c r="GV864" s="35"/>
      <c r="GW864" s="35"/>
      <c r="GX864" s="35"/>
      <c r="GY864" s="35"/>
      <c r="GZ864" s="35"/>
      <c r="HA864" s="35"/>
      <c r="HB864" s="35"/>
      <c r="HC864" s="35"/>
      <c r="HD864" s="35"/>
      <c r="HE864" s="35"/>
      <c r="HF864" s="35"/>
      <c r="HG864" s="35"/>
      <c r="HH864" s="35"/>
      <c r="HI864" s="35"/>
      <c r="HJ864" s="35"/>
      <c r="HK864" s="35"/>
      <c r="HL864" s="35"/>
      <c r="HM864" s="35"/>
      <c r="HN864" s="35"/>
      <c r="HO864" s="35"/>
      <c r="HP864" s="35"/>
      <c r="HQ864" s="35"/>
      <c r="HR864" s="35"/>
      <c r="HS864" s="35"/>
      <c r="HT864" s="35"/>
      <c r="HU864" s="35"/>
      <c r="HV864" s="35"/>
      <c r="HW864" s="35"/>
      <c r="HX864" s="35"/>
      <c r="HY864" s="35"/>
      <c r="HZ864" s="35"/>
      <c r="IA864" s="35"/>
      <c r="IB864" s="35"/>
      <c r="IC864" s="35"/>
      <c r="ID864" s="35"/>
      <c r="IE864" s="35"/>
      <c r="IF864" s="35"/>
      <c r="IG864" s="35"/>
      <c r="IH864" s="35"/>
      <c r="II864" s="35"/>
      <c r="IJ864" s="35"/>
      <c r="IK864" s="35"/>
      <c r="IL864" s="35"/>
      <c r="IM864" s="35"/>
      <c r="IN864" s="35"/>
      <c r="IO864" s="35"/>
      <c r="IP864" s="35"/>
      <c r="IQ864" s="35"/>
      <c r="IR864" s="35"/>
      <c r="IS864" s="35"/>
      <c r="IT864" s="35"/>
      <c r="IU864" s="35"/>
      <c r="IV864" s="35"/>
      <c r="IW864" s="35"/>
      <c r="IX864" s="35"/>
      <c r="IY864" s="35"/>
      <c r="IZ864" s="35"/>
      <c r="JA864" s="35"/>
      <c r="JB864" s="35"/>
      <c r="JC864" s="35"/>
      <c r="JD864" s="35"/>
      <c r="JE864" s="35"/>
    </row>
    <row r="865">
      <c r="A865" s="42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  <c r="BK865" s="35"/>
      <c r="BL865" s="35"/>
      <c r="BM865" s="35"/>
      <c r="BN865" s="35"/>
      <c r="BO865" s="35"/>
      <c r="BP865" s="35"/>
      <c r="BQ865" s="35"/>
      <c r="BR865" s="35"/>
      <c r="BS865" s="35"/>
      <c r="BT865" s="35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35"/>
      <c r="CO865" s="35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35"/>
      <c r="DJ865" s="35"/>
      <c r="DK865" s="35"/>
      <c r="DL865" s="35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35"/>
      <c r="EE865" s="35"/>
      <c r="EF865" s="35"/>
      <c r="EG865" s="35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35"/>
      <c r="EZ865" s="35"/>
      <c r="FA865" s="35"/>
      <c r="FB865" s="35"/>
      <c r="FC865" s="35"/>
      <c r="FD865" s="35"/>
      <c r="FE865" s="35"/>
      <c r="FF865" s="35"/>
      <c r="FG865" s="35"/>
      <c r="FH865" s="35"/>
      <c r="FI865" s="35"/>
      <c r="FJ865" s="35"/>
      <c r="FK865" s="35"/>
      <c r="FL865" s="35"/>
      <c r="FM865" s="35"/>
      <c r="FN865" s="35"/>
      <c r="FO865" s="35"/>
      <c r="FP865" s="35"/>
      <c r="FQ865" s="35"/>
      <c r="FR865" s="35"/>
      <c r="FS865" s="35"/>
      <c r="FT865" s="35"/>
      <c r="FU865" s="35"/>
      <c r="FV865" s="35"/>
      <c r="FW865" s="35"/>
      <c r="FX865" s="35"/>
      <c r="FY865" s="35"/>
      <c r="FZ865" s="35"/>
      <c r="GA865" s="35"/>
      <c r="GB865" s="35"/>
      <c r="GC865" s="35"/>
      <c r="GD865" s="35"/>
      <c r="GE865" s="35"/>
      <c r="GF865" s="35"/>
      <c r="GG865" s="35"/>
      <c r="GH865" s="35"/>
      <c r="GI865" s="35"/>
      <c r="GJ865" s="35"/>
      <c r="GK865" s="35"/>
      <c r="GL865" s="35"/>
      <c r="GM865" s="35"/>
      <c r="GN865" s="35"/>
      <c r="GO865" s="35"/>
      <c r="GP865" s="35"/>
      <c r="GQ865" s="35"/>
      <c r="GR865" s="35"/>
      <c r="GS865" s="35"/>
      <c r="GT865" s="35"/>
      <c r="GU865" s="35"/>
      <c r="GV865" s="35"/>
      <c r="GW865" s="35"/>
      <c r="GX865" s="35"/>
      <c r="GY865" s="35"/>
      <c r="GZ865" s="35"/>
      <c r="HA865" s="35"/>
      <c r="HB865" s="35"/>
      <c r="HC865" s="35"/>
      <c r="HD865" s="35"/>
      <c r="HE865" s="35"/>
      <c r="HF865" s="35"/>
      <c r="HG865" s="35"/>
      <c r="HH865" s="35"/>
      <c r="HI865" s="35"/>
      <c r="HJ865" s="35"/>
      <c r="HK865" s="35"/>
      <c r="HL865" s="35"/>
      <c r="HM865" s="35"/>
      <c r="HN865" s="35"/>
      <c r="HO865" s="35"/>
      <c r="HP865" s="35"/>
      <c r="HQ865" s="35"/>
      <c r="HR865" s="35"/>
      <c r="HS865" s="35"/>
      <c r="HT865" s="35"/>
      <c r="HU865" s="35"/>
      <c r="HV865" s="35"/>
      <c r="HW865" s="35"/>
      <c r="HX865" s="35"/>
      <c r="HY865" s="35"/>
      <c r="HZ865" s="35"/>
      <c r="IA865" s="35"/>
      <c r="IB865" s="35"/>
      <c r="IC865" s="35"/>
      <c r="ID865" s="35"/>
      <c r="IE865" s="35"/>
      <c r="IF865" s="35"/>
      <c r="IG865" s="35"/>
      <c r="IH865" s="35"/>
      <c r="II865" s="35"/>
      <c r="IJ865" s="35"/>
      <c r="IK865" s="35"/>
      <c r="IL865" s="35"/>
      <c r="IM865" s="35"/>
      <c r="IN865" s="35"/>
      <c r="IO865" s="35"/>
      <c r="IP865" s="35"/>
      <c r="IQ865" s="35"/>
      <c r="IR865" s="35"/>
      <c r="IS865" s="35"/>
      <c r="IT865" s="35"/>
      <c r="IU865" s="35"/>
      <c r="IV865" s="35"/>
      <c r="IW865" s="35"/>
      <c r="IX865" s="35"/>
      <c r="IY865" s="35"/>
      <c r="IZ865" s="35"/>
      <c r="JA865" s="35"/>
      <c r="JB865" s="35"/>
      <c r="JC865" s="35"/>
      <c r="JD865" s="35"/>
      <c r="JE865" s="35"/>
    </row>
    <row r="866">
      <c r="A866" s="42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/>
      <c r="BP866" s="35"/>
      <c r="BQ866" s="35"/>
      <c r="BR866" s="35"/>
      <c r="BS866" s="35"/>
      <c r="BT866" s="35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35"/>
      <c r="CO866" s="35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35"/>
      <c r="DJ866" s="35"/>
      <c r="DK866" s="35"/>
      <c r="DL866" s="35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35"/>
      <c r="EE866" s="35"/>
      <c r="EF866" s="35"/>
      <c r="EG866" s="35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  <c r="ER866" s="35"/>
      <c r="ES866" s="35"/>
      <c r="ET866" s="35"/>
      <c r="EU866" s="35"/>
      <c r="EV866" s="35"/>
      <c r="EW866" s="35"/>
      <c r="EX866" s="35"/>
      <c r="EY866" s="35"/>
      <c r="EZ866" s="35"/>
      <c r="FA866" s="35"/>
      <c r="FB866" s="35"/>
      <c r="FC866" s="35"/>
      <c r="FD866" s="35"/>
      <c r="FE866" s="35"/>
      <c r="FF866" s="35"/>
      <c r="FG866" s="35"/>
      <c r="FH866" s="35"/>
      <c r="FI866" s="35"/>
      <c r="FJ866" s="35"/>
      <c r="FK866" s="35"/>
      <c r="FL866" s="35"/>
      <c r="FM866" s="35"/>
      <c r="FN866" s="35"/>
      <c r="FO866" s="35"/>
      <c r="FP866" s="35"/>
      <c r="FQ866" s="35"/>
      <c r="FR866" s="35"/>
      <c r="FS866" s="35"/>
      <c r="FT866" s="35"/>
      <c r="FU866" s="35"/>
      <c r="FV866" s="35"/>
      <c r="FW866" s="35"/>
      <c r="FX866" s="35"/>
      <c r="FY866" s="35"/>
      <c r="FZ866" s="35"/>
      <c r="GA866" s="35"/>
      <c r="GB866" s="35"/>
      <c r="GC866" s="35"/>
      <c r="GD866" s="35"/>
      <c r="GE866" s="35"/>
      <c r="GF866" s="35"/>
      <c r="GG866" s="35"/>
      <c r="GH866" s="35"/>
      <c r="GI866" s="35"/>
      <c r="GJ866" s="35"/>
      <c r="GK866" s="35"/>
      <c r="GL866" s="35"/>
      <c r="GM866" s="35"/>
      <c r="GN866" s="35"/>
      <c r="GO866" s="35"/>
      <c r="GP866" s="35"/>
      <c r="GQ866" s="35"/>
      <c r="GR866" s="35"/>
      <c r="GS866" s="35"/>
      <c r="GT866" s="35"/>
      <c r="GU866" s="35"/>
      <c r="GV866" s="35"/>
      <c r="GW866" s="35"/>
      <c r="GX866" s="35"/>
      <c r="GY866" s="35"/>
      <c r="GZ866" s="35"/>
      <c r="HA866" s="35"/>
      <c r="HB866" s="35"/>
      <c r="HC866" s="35"/>
      <c r="HD866" s="35"/>
      <c r="HE866" s="35"/>
      <c r="HF866" s="35"/>
      <c r="HG866" s="35"/>
      <c r="HH866" s="35"/>
      <c r="HI866" s="35"/>
      <c r="HJ866" s="35"/>
      <c r="HK866" s="35"/>
      <c r="HL866" s="35"/>
      <c r="HM866" s="35"/>
      <c r="HN866" s="35"/>
      <c r="HO866" s="35"/>
      <c r="HP866" s="35"/>
      <c r="HQ866" s="35"/>
      <c r="HR866" s="35"/>
      <c r="HS866" s="35"/>
      <c r="HT866" s="35"/>
      <c r="HU866" s="35"/>
      <c r="HV866" s="35"/>
      <c r="HW866" s="35"/>
      <c r="HX866" s="35"/>
      <c r="HY866" s="35"/>
      <c r="HZ866" s="35"/>
      <c r="IA866" s="35"/>
      <c r="IB866" s="35"/>
      <c r="IC866" s="35"/>
      <c r="ID866" s="35"/>
      <c r="IE866" s="35"/>
      <c r="IF866" s="35"/>
      <c r="IG866" s="35"/>
      <c r="IH866" s="35"/>
      <c r="II866" s="35"/>
      <c r="IJ866" s="35"/>
      <c r="IK866" s="35"/>
      <c r="IL866" s="35"/>
      <c r="IM866" s="35"/>
      <c r="IN866" s="35"/>
      <c r="IO866" s="35"/>
      <c r="IP866" s="35"/>
      <c r="IQ866" s="35"/>
      <c r="IR866" s="35"/>
      <c r="IS866" s="35"/>
      <c r="IT866" s="35"/>
      <c r="IU866" s="35"/>
      <c r="IV866" s="35"/>
      <c r="IW866" s="35"/>
      <c r="IX866" s="35"/>
      <c r="IY866" s="35"/>
      <c r="IZ866" s="35"/>
      <c r="JA866" s="35"/>
      <c r="JB866" s="35"/>
      <c r="JC866" s="35"/>
      <c r="JD866" s="35"/>
      <c r="JE866" s="35"/>
    </row>
    <row r="867">
      <c r="A867" s="42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  <c r="BK867" s="35"/>
      <c r="BL867" s="35"/>
      <c r="BM867" s="35"/>
      <c r="BN867" s="35"/>
      <c r="BO867" s="35"/>
      <c r="BP867" s="35"/>
      <c r="BQ867" s="35"/>
      <c r="BR867" s="35"/>
      <c r="BS867" s="35"/>
      <c r="BT867" s="35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35"/>
      <c r="CO867" s="35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35"/>
      <c r="DJ867" s="35"/>
      <c r="DK867" s="35"/>
      <c r="DL867" s="35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35"/>
      <c r="EE867" s="35"/>
      <c r="EF867" s="35"/>
      <c r="EG867" s="35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  <c r="ER867" s="35"/>
      <c r="ES867" s="35"/>
      <c r="ET867" s="35"/>
      <c r="EU867" s="35"/>
      <c r="EV867" s="35"/>
      <c r="EW867" s="35"/>
      <c r="EX867" s="35"/>
      <c r="EY867" s="35"/>
      <c r="EZ867" s="35"/>
      <c r="FA867" s="35"/>
      <c r="FB867" s="35"/>
      <c r="FC867" s="35"/>
      <c r="FD867" s="35"/>
      <c r="FE867" s="35"/>
      <c r="FF867" s="35"/>
      <c r="FG867" s="35"/>
      <c r="FH867" s="35"/>
      <c r="FI867" s="35"/>
      <c r="FJ867" s="35"/>
      <c r="FK867" s="35"/>
      <c r="FL867" s="35"/>
      <c r="FM867" s="35"/>
      <c r="FN867" s="35"/>
      <c r="FO867" s="35"/>
      <c r="FP867" s="35"/>
      <c r="FQ867" s="35"/>
      <c r="FR867" s="35"/>
      <c r="FS867" s="35"/>
      <c r="FT867" s="35"/>
      <c r="FU867" s="35"/>
      <c r="FV867" s="35"/>
      <c r="FW867" s="35"/>
      <c r="FX867" s="35"/>
      <c r="FY867" s="35"/>
      <c r="FZ867" s="35"/>
      <c r="GA867" s="35"/>
      <c r="GB867" s="35"/>
      <c r="GC867" s="35"/>
      <c r="GD867" s="35"/>
      <c r="GE867" s="35"/>
      <c r="GF867" s="35"/>
      <c r="GG867" s="35"/>
      <c r="GH867" s="35"/>
      <c r="GI867" s="35"/>
      <c r="GJ867" s="35"/>
      <c r="GK867" s="35"/>
      <c r="GL867" s="35"/>
      <c r="GM867" s="35"/>
      <c r="GN867" s="35"/>
      <c r="GO867" s="35"/>
      <c r="GP867" s="35"/>
      <c r="GQ867" s="35"/>
      <c r="GR867" s="35"/>
      <c r="GS867" s="35"/>
      <c r="GT867" s="35"/>
      <c r="GU867" s="35"/>
      <c r="GV867" s="35"/>
      <c r="GW867" s="35"/>
      <c r="GX867" s="35"/>
      <c r="GY867" s="35"/>
      <c r="GZ867" s="35"/>
      <c r="HA867" s="35"/>
      <c r="HB867" s="35"/>
      <c r="HC867" s="35"/>
      <c r="HD867" s="35"/>
      <c r="HE867" s="35"/>
      <c r="HF867" s="35"/>
      <c r="HG867" s="35"/>
      <c r="HH867" s="35"/>
      <c r="HI867" s="35"/>
      <c r="HJ867" s="35"/>
      <c r="HK867" s="35"/>
      <c r="HL867" s="35"/>
      <c r="HM867" s="35"/>
      <c r="HN867" s="35"/>
      <c r="HO867" s="35"/>
      <c r="HP867" s="35"/>
      <c r="HQ867" s="35"/>
      <c r="HR867" s="35"/>
      <c r="HS867" s="35"/>
      <c r="HT867" s="35"/>
      <c r="HU867" s="35"/>
      <c r="HV867" s="35"/>
      <c r="HW867" s="35"/>
      <c r="HX867" s="35"/>
      <c r="HY867" s="35"/>
      <c r="HZ867" s="35"/>
      <c r="IA867" s="35"/>
      <c r="IB867" s="35"/>
      <c r="IC867" s="35"/>
      <c r="ID867" s="35"/>
      <c r="IE867" s="35"/>
      <c r="IF867" s="35"/>
      <c r="IG867" s="35"/>
      <c r="IH867" s="35"/>
      <c r="II867" s="35"/>
      <c r="IJ867" s="35"/>
      <c r="IK867" s="35"/>
      <c r="IL867" s="35"/>
      <c r="IM867" s="35"/>
      <c r="IN867" s="35"/>
      <c r="IO867" s="35"/>
      <c r="IP867" s="35"/>
      <c r="IQ867" s="35"/>
      <c r="IR867" s="35"/>
      <c r="IS867" s="35"/>
      <c r="IT867" s="35"/>
      <c r="IU867" s="35"/>
      <c r="IV867" s="35"/>
      <c r="IW867" s="35"/>
      <c r="IX867" s="35"/>
      <c r="IY867" s="35"/>
      <c r="IZ867" s="35"/>
      <c r="JA867" s="35"/>
      <c r="JB867" s="35"/>
      <c r="JC867" s="35"/>
      <c r="JD867" s="35"/>
      <c r="JE867" s="35"/>
    </row>
    <row r="868">
      <c r="A868" s="42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  <c r="BK868" s="35"/>
      <c r="BL868" s="35"/>
      <c r="BM868" s="35"/>
      <c r="BN868" s="35"/>
      <c r="BO868" s="35"/>
      <c r="BP868" s="35"/>
      <c r="BQ868" s="35"/>
      <c r="BR868" s="35"/>
      <c r="BS868" s="35"/>
      <c r="BT868" s="35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35"/>
      <c r="CO868" s="35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35"/>
      <c r="DJ868" s="35"/>
      <c r="DK868" s="35"/>
      <c r="DL868" s="35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35"/>
      <c r="EE868" s="35"/>
      <c r="EF868" s="35"/>
      <c r="EG868" s="35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35"/>
      <c r="EZ868" s="35"/>
      <c r="FA868" s="35"/>
      <c r="FB868" s="35"/>
      <c r="FC868" s="35"/>
      <c r="FD868" s="35"/>
      <c r="FE868" s="35"/>
      <c r="FF868" s="35"/>
      <c r="FG868" s="35"/>
      <c r="FH868" s="35"/>
      <c r="FI868" s="35"/>
      <c r="FJ868" s="35"/>
      <c r="FK868" s="35"/>
      <c r="FL868" s="35"/>
      <c r="FM868" s="35"/>
      <c r="FN868" s="35"/>
      <c r="FO868" s="35"/>
      <c r="FP868" s="35"/>
      <c r="FQ868" s="35"/>
      <c r="FR868" s="35"/>
      <c r="FS868" s="35"/>
      <c r="FT868" s="35"/>
      <c r="FU868" s="35"/>
      <c r="FV868" s="35"/>
      <c r="FW868" s="35"/>
      <c r="FX868" s="35"/>
      <c r="FY868" s="35"/>
      <c r="FZ868" s="35"/>
      <c r="GA868" s="35"/>
      <c r="GB868" s="35"/>
      <c r="GC868" s="35"/>
      <c r="GD868" s="35"/>
      <c r="GE868" s="35"/>
      <c r="GF868" s="35"/>
      <c r="GG868" s="35"/>
      <c r="GH868" s="35"/>
      <c r="GI868" s="35"/>
      <c r="GJ868" s="35"/>
      <c r="GK868" s="35"/>
      <c r="GL868" s="35"/>
      <c r="GM868" s="35"/>
      <c r="GN868" s="35"/>
      <c r="GO868" s="35"/>
      <c r="GP868" s="35"/>
      <c r="GQ868" s="35"/>
      <c r="GR868" s="35"/>
      <c r="GS868" s="35"/>
      <c r="GT868" s="35"/>
      <c r="GU868" s="35"/>
      <c r="GV868" s="35"/>
      <c r="GW868" s="35"/>
      <c r="GX868" s="35"/>
      <c r="GY868" s="35"/>
      <c r="GZ868" s="35"/>
      <c r="HA868" s="35"/>
      <c r="HB868" s="35"/>
      <c r="HC868" s="35"/>
      <c r="HD868" s="35"/>
      <c r="HE868" s="35"/>
      <c r="HF868" s="35"/>
      <c r="HG868" s="35"/>
      <c r="HH868" s="35"/>
      <c r="HI868" s="35"/>
      <c r="HJ868" s="35"/>
      <c r="HK868" s="35"/>
      <c r="HL868" s="35"/>
      <c r="HM868" s="35"/>
      <c r="HN868" s="35"/>
      <c r="HO868" s="35"/>
      <c r="HP868" s="35"/>
      <c r="HQ868" s="35"/>
      <c r="HR868" s="35"/>
      <c r="HS868" s="35"/>
      <c r="HT868" s="35"/>
      <c r="HU868" s="35"/>
      <c r="HV868" s="35"/>
      <c r="HW868" s="35"/>
      <c r="HX868" s="35"/>
      <c r="HY868" s="35"/>
      <c r="HZ868" s="35"/>
      <c r="IA868" s="35"/>
      <c r="IB868" s="35"/>
      <c r="IC868" s="35"/>
      <c r="ID868" s="35"/>
      <c r="IE868" s="35"/>
      <c r="IF868" s="35"/>
      <c r="IG868" s="35"/>
      <c r="IH868" s="35"/>
      <c r="II868" s="35"/>
      <c r="IJ868" s="35"/>
      <c r="IK868" s="35"/>
      <c r="IL868" s="35"/>
      <c r="IM868" s="35"/>
      <c r="IN868" s="35"/>
      <c r="IO868" s="35"/>
      <c r="IP868" s="35"/>
      <c r="IQ868" s="35"/>
      <c r="IR868" s="35"/>
      <c r="IS868" s="35"/>
      <c r="IT868" s="35"/>
      <c r="IU868" s="35"/>
      <c r="IV868" s="35"/>
      <c r="IW868" s="35"/>
      <c r="IX868" s="35"/>
      <c r="IY868" s="35"/>
      <c r="IZ868" s="35"/>
      <c r="JA868" s="35"/>
      <c r="JB868" s="35"/>
      <c r="JC868" s="35"/>
      <c r="JD868" s="35"/>
      <c r="JE868" s="35"/>
    </row>
    <row r="869">
      <c r="A869" s="42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  <c r="BK869" s="35"/>
      <c r="BL869" s="35"/>
      <c r="BM869" s="35"/>
      <c r="BN869" s="35"/>
      <c r="BO869" s="35"/>
      <c r="BP869" s="35"/>
      <c r="BQ869" s="35"/>
      <c r="BR869" s="35"/>
      <c r="BS869" s="35"/>
      <c r="BT869" s="35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35"/>
      <c r="CO869" s="35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35"/>
      <c r="DJ869" s="35"/>
      <c r="DK869" s="35"/>
      <c r="DL869" s="35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35"/>
      <c r="EE869" s="35"/>
      <c r="EF869" s="35"/>
      <c r="EG869" s="35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  <c r="ER869" s="35"/>
      <c r="ES869" s="35"/>
      <c r="ET869" s="35"/>
      <c r="EU869" s="35"/>
      <c r="EV869" s="35"/>
      <c r="EW869" s="35"/>
      <c r="EX869" s="35"/>
      <c r="EY869" s="35"/>
      <c r="EZ869" s="35"/>
      <c r="FA869" s="35"/>
      <c r="FB869" s="35"/>
      <c r="FC869" s="35"/>
      <c r="FD869" s="35"/>
      <c r="FE869" s="35"/>
      <c r="FF869" s="35"/>
      <c r="FG869" s="35"/>
      <c r="FH869" s="35"/>
      <c r="FI869" s="35"/>
      <c r="FJ869" s="35"/>
      <c r="FK869" s="35"/>
      <c r="FL869" s="35"/>
      <c r="FM869" s="35"/>
      <c r="FN869" s="35"/>
      <c r="FO869" s="35"/>
      <c r="FP869" s="35"/>
      <c r="FQ869" s="35"/>
      <c r="FR869" s="35"/>
      <c r="FS869" s="35"/>
      <c r="FT869" s="35"/>
      <c r="FU869" s="35"/>
      <c r="FV869" s="35"/>
      <c r="FW869" s="35"/>
      <c r="FX869" s="35"/>
      <c r="FY869" s="35"/>
      <c r="FZ869" s="35"/>
      <c r="GA869" s="35"/>
      <c r="GB869" s="35"/>
      <c r="GC869" s="35"/>
      <c r="GD869" s="35"/>
      <c r="GE869" s="35"/>
      <c r="GF869" s="35"/>
      <c r="GG869" s="35"/>
      <c r="GH869" s="35"/>
      <c r="GI869" s="35"/>
      <c r="GJ869" s="35"/>
      <c r="GK869" s="35"/>
      <c r="GL869" s="35"/>
      <c r="GM869" s="35"/>
      <c r="GN869" s="35"/>
      <c r="GO869" s="35"/>
      <c r="GP869" s="35"/>
      <c r="GQ869" s="35"/>
      <c r="GR869" s="35"/>
      <c r="GS869" s="35"/>
      <c r="GT869" s="35"/>
      <c r="GU869" s="35"/>
      <c r="GV869" s="35"/>
      <c r="GW869" s="35"/>
      <c r="GX869" s="35"/>
      <c r="GY869" s="35"/>
      <c r="GZ869" s="35"/>
      <c r="HA869" s="35"/>
      <c r="HB869" s="35"/>
      <c r="HC869" s="35"/>
      <c r="HD869" s="35"/>
      <c r="HE869" s="35"/>
      <c r="HF869" s="35"/>
      <c r="HG869" s="35"/>
      <c r="HH869" s="35"/>
      <c r="HI869" s="35"/>
      <c r="HJ869" s="35"/>
      <c r="HK869" s="35"/>
      <c r="HL869" s="35"/>
      <c r="HM869" s="35"/>
      <c r="HN869" s="35"/>
      <c r="HO869" s="35"/>
      <c r="HP869" s="35"/>
      <c r="HQ869" s="35"/>
      <c r="HR869" s="35"/>
      <c r="HS869" s="35"/>
      <c r="HT869" s="35"/>
      <c r="HU869" s="35"/>
      <c r="HV869" s="35"/>
      <c r="HW869" s="35"/>
      <c r="HX869" s="35"/>
      <c r="HY869" s="35"/>
      <c r="HZ869" s="35"/>
      <c r="IA869" s="35"/>
      <c r="IB869" s="35"/>
      <c r="IC869" s="35"/>
      <c r="ID869" s="35"/>
      <c r="IE869" s="35"/>
      <c r="IF869" s="35"/>
      <c r="IG869" s="35"/>
      <c r="IH869" s="35"/>
      <c r="II869" s="35"/>
      <c r="IJ869" s="35"/>
      <c r="IK869" s="35"/>
      <c r="IL869" s="35"/>
      <c r="IM869" s="35"/>
      <c r="IN869" s="35"/>
      <c r="IO869" s="35"/>
      <c r="IP869" s="35"/>
      <c r="IQ869" s="35"/>
      <c r="IR869" s="35"/>
      <c r="IS869" s="35"/>
      <c r="IT869" s="35"/>
      <c r="IU869" s="35"/>
      <c r="IV869" s="35"/>
      <c r="IW869" s="35"/>
      <c r="IX869" s="35"/>
      <c r="IY869" s="35"/>
      <c r="IZ869" s="35"/>
      <c r="JA869" s="35"/>
      <c r="JB869" s="35"/>
      <c r="JC869" s="35"/>
      <c r="JD869" s="35"/>
      <c r="JE869" s="35"/>
    </row>
    <row r="870">
      <c r="A870" s="42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  <c r="BK870" s="35"/>
      <c r="BL870" s="35"/>
      <c r="BM870" s="35"/>
      <c r="BN870" s="35"/>
      <c r="BO870" s="35"/>
      <c r="BP870" s="35"/>
      <c r="BQ870" s="35"/>
      <c r="BR870" s="35"/>
      <c r="BS870" s="35"/>
      <c r="BT870" s="35"/>
      <c r="BU870" s="35"/>
      <c r="BV870" s="35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35"/>
      <c r="CO870" s="35"/>
      <c r="CP870" s="35"/>
      <c r="CQ870" s="35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35"/>
      <c r="DJ870" s="35"/>
      <c r="DK870" s="35"/>
      <c r="DL870" s="35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35"/>
      <c r="EE870" s="35"/>
      <c r="EF870" s="35"/>
      <c r="EG870" s="35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  <c r="ER870" s="35"/>
      <c r="ES870" s="35"/>
      <c r="ET870" s="35"/>
      <c r="EU870" s="35"/>
      <c r="EV870" s="35"/>
      <c r="EW870" s="35"/>
      <c r="EX870" s="35"/>
      <c r="EY870" s="35"/>
      <c r="EZ870" s="35"/>
      <c r="FA870" s="35"/>
      <c r="FB870" s="35"/>
      <c r="FC870" s="35"/>
      <c r="FD870" s="35"/>
      <c r="FE870" s="35"/>
      <c r="FF870" s="35"/>
      <c r="FG870" s="35"/>
      <c r="FH870" s="35"/>
      <c r="FI870" s="35"/>
      <c r="FJ870" s="35"/>
      <c r="FK870" s="35"/>
      <c r="FL870" s="35"/>
      <c r="FM870" s="35"/>
      <c r="FN870" s="35"/>
      <c r="FO870" s="35"/>
      <c r="FP870" s="35"/>
      <c r="FQ870" s="35"/>
      <c r="FR870" s="35"/>
      <c r="FS870" s="35"/>
      <c r="FT870" s="35"/>
      <c r="FU870" s="35"/>
      <c r="FV870" s="35"/>
      <c r="FW870" s="35"/>
      <c r="FX870" s="35"/>
      <c r="FY870" s="35"/>
      <c r="FZ870" s="35"/>
      <c r="GA870" s="35"/>
      <c r="GB870" s="35"/>
      <c r="GC870" s="35"/>
      <c r="GD870" s="35"/>
      <c r="GE870" s="35"/>
      <c r="GF870" s="35"/>
      <c r="GG870" s="35"/>
      <c r="GH870" s="35"/>
      <c r="GI870" s="35"/>
      <c r="GJ870" s="35"/>
      <c r="GK870" s="35"/>
      <c r="GL870" s="35"/>
      <c r="GM870" s="35"/>
      <c r="GN870" s="35"/>
      <c r="GO870" s="35"/>
      <c r="GP870" s="35"/>
      <c r="GQ870" s="35"/>
      <c r="GR870" s="35"/>
      <c r="GS870" s="35"/>
      <c r="GT870" s="35"/>
      <c r="GU870" s="35"/>
      <c r="GV870" s="35"/>
      <c r="GW870" s="35"/>
      <c r="GX870" s="35"/>
      <c r="GY870" s="35"/>
      <c r="GZ870" s="35"/>
      <c r="HA870" s="35"/>
      <c r="HB870" s="35"/>
      <c r="HC870" s="35"/>
      <c r="HD870" s="35"/>
      <c r="HE870" s="35"/>
      <c r="HF870" s="35"/>
      <c r="HG870" s="35"/>
      <c r="HH870" s="35"/>
      <c r="HI870" s="35"/>
      <c r="HJ870" s="35"/>
      <c r="HK870" s="35"/>
      <c r="HL870" s="35"/>
      <c r="HM870" s="35"/>
      <c r="HN870" s="35"/>
      <c r="HO870" s="35"/>
      <c r="HP870" s="35"/>
      <c r="HQ870" s="35"/>
      <c r="HR870" s="35"/>
      <c r="HS870" s="35"/>
      <c r="HT870" s="35"/>
      <c r="HU870" s="35"/>
      <c r="HV870" s="35"/>
      <c r="HW870" s="35"/>
      <c r="HX870" s="35"/>
      <c r="HY870" s="35"/>
      <c r="HZ870" s="35"/>
      <c r="IA870" s="35"/>
      <c r="IB870" s="35"/>
      <c r="IC870" s="35"/>
      <c r="ID870" s="35"/>
      <c r="IE870" s="35"/>
      <c r="IF870" s="35"/>
      <c r="IG870" s="35"/>
      <c r="IH870" s="35"/>
      <c r="II870" s="35"/>
      <c r="IJ870" s="35"/>
      <c r="IK870" s="35"/>
      <c r="IL870" s="35"/>
      <c r="IM870" s="35"/>
      <c r="IN870" s="35"/>
      <c r="IO870" s="35"/>
      <c r="IP870" s="35"/>
      <c r="IQ870" s="35"/>
      <c r="IR870" s="35"/>
      <c r="IS870" s="35"/>
      <c r="IT870" s="35"/>
      <c r="IU870" s="35"/>
      <c r="IV870" s="35"/>
      <c r="IW870" s="35"/>
      <c r="IX870" s="35"/>
      <c r="IY870" s="35"/>
      <c r="IZ870" s="35"/>
      <c r="JA870" s="35"/>
      <c r="JB870" s="35"/>
      <c r="JC870" s="35"/>
      <c r="JD870" s="35"/>
      <c r="JE870" s="35"/>
    </row>
    <row r="871">
      <c r="A871" s="42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  <c r="BK871" s="35"/>
      <c r="BL871" s="35"/>
      <c r="BM871" s="35"/>
      <c r="BN871" s="35"/>
      <c r="BO871" s="35"/>
      <c r="BP871" s="35"/>
      <c r="BQ871" s="35"/>
      <c r="BR871" s="35"/>
      <c r="BS871" s="35"/>
      <c r="BT871" s="35"/>
      <c r="BU871" s="35"/>
      <c r="BV871" s="35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35"/>
      <c r="CO871" s="35"/>
      <c r="CP871" s="35"/>
      <c r="CQ871" s="35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35"/>
      <c r="DJ871" s="35"/>
      <c r="DK871" s="35"/>
      <c r="DL871" s="35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35"/>
      <c r="EE871" s="35"/>
      <c r="EF871" s="35"/>
      <c r="EG871" s="35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  <c r="ER871" s="35"/>
      <c r="ES871" s="35"/>
      <c r="ET871" s="35"/>
      <c r="EU871" s="35"/>
      <c r="EV871" s="35"/>
      <c r="EW871" s="35"/>
      <c r="EX871" s="35"/>
      <c r="EY871" s="35"/>
      <c r="EZ871" s="35"/>
      <c r="FA871" s="35"/>
      <c r="FB871" s="35"/>
      <c r="FC871" s="35"/>
      <c r="FD871" s="35"/>
      <c r="FE871" s="35"/>
      <c r="FF871" s="35"/>
      <c r="FG871" s="35"/>
      <c r="FH871" s="35"/>
      <c r="FI871" s="35"/>
      <c r="FJ871" s="35"/>
      <c r="FK871" s="35"/>
      <c r="FL871" s="35"/>
      <c r="FM871" s="35"/>
      <c r="FN871" s="35"/>
      <c r="FO871" s="35"/>
      <c r="FP871" s="35"/>
      <c r="FQ871" s="35"/>
      <c r="FR871" s="35"/>
      <c r="FS871" s="35"/>
      <c r="FT871" s="35"/>
      <c r="FU871" s="35"/>
      <c r="FV871" s="35"/>
      <c r="FW871" s="35"/>
      <c r="FX871" s="35"/>
      <c r="FY871" s="35"/>
      <c r="FZ871" s="35"/>
      <c r="GA871" s="35"/>
      <c r="GB871" s="35"/>
      <c r="GC871" s="35"/>
      <c r="GD871" s="35"/>
      <c r="GE871" s="35"/>
      <c r="GF871" s="35"/>
      <c r="GG871" s="35"/>
      <c r="GH871" s="35"/>
      <c r="GI871" s="35"/>
      <c r="GJ871" s="35"/>
      <c r="GK871" s="35"/>
      <c r="GL871" s="35"/>
      <c r="GM871" s="35"/>
      <c r="GN871" s="35"/>
      <c r="GO871" s="35"/>
      <c r="GP871" s="35"/>
      <c r="GQ871" s="35"/>
      <c r="GR871" s="35"/>
      <c r="GS871" s="35"/>
      <c r="GT871" s="35"/>
      <c r="GU871" s="35"/>
      <c r="GV871" s="35"/>
      <c r="GW871" s="35"/>
      <c r="GX871" s="35"/>
      <c r="GY871" s="35"/>
      <c r="GZ871" s="35"/>
      <c r="HA871" s="35"/>
      <c r="HB871" s="35"/>
      <c r="HC871" s="35"/>
      <c r="HD871" s="35"/>
      <c r="HE871" s="35"/>
      <c r="HF871" s="35"/>
      <c r="HG871" s="35"/>
      <c r="HH871" s="35"/>
      <c r="HI871" s="35"/>
      <c r="HJ871" s="35"/>
      <c r="HK871" s="35"/>
      <c r="HL871" s="35"/>
      <c r="HM871" s="35"/>
      <c r="HN871" s="35"/>
      <c r="HO871" s="35"/>
      <c r="HP871" s="35"/>
      <c r="HQ871" s="35"/>
      <c r="HR871" s="35"/>
      <c r="HS871" s="35"/>
      <c r="HT871" s="35"/>
      <c r="HU871" s="35"/>
      <c r="HV871" s="35"/>
      <c r="HW871" s="35"/>
      <c r="HX871" s="35"/>
      <c r="HY871" s="35"/>
      <c r="HZ871" s="35"/>
      <c r="IA871" s="35"/>
      <c r="IB871" s="35"/>
      <c r="IC871" s="35"/>
      <c r="ID871" s="35"/>
      <c r="IE871" s="35"/>
      <c r="IF871" s="35"/>
      <c r="IG871" s="35"/>
      <c r="IH871" s="35"/>
      <c r="II871" s="35"/>
      <c r="IJ871" s="35"/>
      <c r="IK871" s="35"/>
      <c r="IL871" s="35"/>
      <c r="IM871" s="35"/>
      <c r="IN871" s="35"/>
      <c r="IO871" s="35"/>
      <c r="IP871" s="35"/>
      <c r="IQ871" s="35"/>
      <c r="IR871" s="35"/>
      <c r="IS871" s="35"/>
      <c r="IT871" s="35"/>
      <c r="IU871" s="35"/>
      <c r="IV871" s="35"/>
      <c r="IW871" s="35"/>
      <c r="IX871" s="35"/>
      <c r="IY871" s="35"/>
      <c r="IZ871" s="35"/>
      <c r="JA871" s="35"/>
      <c r="JB871" s="35"/>
      <c r="JC871" s="35"/>
      <c r="JD871" s="35"/>
      <c r="JE871" s="35"/>
    </row>
    <row r="872">
      <c r="A872" s="42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  <c r="BK872" s="35"/>
      <c r="BL872" s="35"/>
      <c r="BM872" s="35"/>
      <c r="BN872" s="35"/>
      <c r="BO872" s="35"/>
      <c r="BP872" s="35"/>
      <c r="BQ872" s="35"/>
      <c r="BR872" s="35"/>
      <c r="BS872" s="35"/>
      <c r="BT872" s="35"/>
      <c r="BU872" s="35"/>
      <c r="BV872" s="35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35"/>
      <c r="CO872" s="35"/>
      <c r="CP872" s="35"/>
      <c r="CQ872" s="35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35"/>
      <c r="DJ872" s="35"/>
      <c r="DK872" s="35"/>
      <c r="DL872" s="35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35"/>
      <c r="EE872" s="35"/>
      <c r="EF872" s="35"/>
      <c r="EG872" s="35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  <c r="ER872" s="35"/>
      <c r="ES872" s="35"/>
      <c r="ET872" s="35"/>
      <c r="EU872" s="35"/>
      <c r="EV872" s="35"/>
      <c r="EW872" s="35"/>
      <c r="EX872" s="35"/>
      <c r="EY872" s="35"/>
      <c r="EZ872" s="35"/>
      <c r="FA872" s="35"/>
      <c r="FB872" s="35"/>
      <c r="FC872" s="35"/>
      <c r="FD872" s="35"/>
      <c r="FE872" s="35"/>
      <c r="FF872" s="35"/>
      <c r="FG872" s="35"/>
      <c r="FH872" s="35"/>
      <c r="FI872" s="35"/>
      <c r="FJ872" s="35"/>
      <c r="FK872" s="35"/>
      <c r="FL872" s="35"/>
      <c r="FM872" s="35"/>
      <c r="FN872" s="35"/>
      <c r="FO872" s="35"/>
      <c r="FP872" s="35"/>
      <c r="FQ872" s="35"/>
      <c r="FR872" s="35"/>
      <c r="FS872" s="35"/>
      <c r="FT872" s="35"/>
      <c r="FU872" s="35"/>
      <c r="FV872" s="35"/>
      <c r="FW872" s="35"/>
      <c r="FX872" s="35"/>
      <c r="FY872" s="35"/>
      <c r="FZ872" s="35"/>
      <c r="GA872" s="35"/>
      <c r="GB872" s="35"/>
      <c r="GC872" s="35"/>
      <c r="GD872" s="35"/>
      <c r="GE872" s="35"/>
      <c r="GF872" s="35"/>
      <c r="GG872" s="35"/>
      <c r="GH872" s="35"/>
      <c r="GI872" s="35"/>
      <c r="GJ872" s="35"/>
      <c r="GK872" s="35"/>
      <c r="GL872" s="35"/>
      <c r="GM872" s="35"/>
      <c r="GN872" s="35"/>
      <c r="GO872" s="35"/>
      <c r="GP872" s="35"/>
      <c r="GQ872" s="35"/>
      <c r="GR872" s="35"/>
      <c r="GS872" s="35"/>
      <c r="GT872" s="35"/>
      <c r="GU872" s="35"/>
      <c r="GV872" s="35"/>
      <c r="GW872" s="35"/>
      <c r="GX872" s="35"/>
      <c r="GY872" s="35"/>
      <c r="GZ872" s="35"/>
      <c r="HA872" s="35"/>
      <c r="HB872" s="35"/>
      <c r="HC872" s="35"/>
      <c r="HD872" s="35"/>
      <c r="HE872" s="35"/>
      <c r="HF872" s="35"/>
      <c r="HG872" s="35"/>
      <c r="HH872" s="35"/>
      <c r="HI872" s="35"/>
      <c r="HJ872" s="35"/>
      <c r="HK872" s="35"/>
      <c r="HL872" s="35"/>
      <c r="HM872" s="35"/>
      <c r="HN872" s="35"/>
      <c r="HO872" s="35"/>
      <c r="HP872" s="35"/>
      <c r="HQ872" s="35"/>
      <c r="HR872" s="35"/>
      <c r="HS872" s="35"/>
      <c r="HT872" s="35"/>
      <c r="HU872" s="35"/>
      <c r="HV872" s="35"/>
      <c r="HW872" s="35"/>
      <c r="HX872" s="35"/>
      <c r="HY872" s="35"/>
      <c r="HZ872" s="35"/>
      <c r="IA872" s="35"/>
      <c r="IB872" s="35"/>
      <c r="IC872" s="35"/>
      <c r="ID872" s="35"/>
      <c r="IE872" s="35"/>
      <c r="IF872" s="35"/>
      <c r="IG872" s="35"/>
      <c r="IH872" s="35"/>
      <c r="II872" s="35"/>
      <c r="IJ872" s="35"/>
      <c r="IK872" s="35"/>
      <c r="IL872" s="35"/>
      <c r="IM872" s="35"/>
      <c r="IN872" s="35"/>
      <c r="IO872" s="35"/>
      <c r="IP872" s="35"/>
      <c r="IQ872" s="35"/>
      <c r="IR872" s="35"/>
      <c r="IS872" s="35"/>
      <c r="IT872" s="35"/>
      <c r="IU872" s="35"/>
      <c r="IV872" s="35"/>
      <c r="IW872" s="35"/>
      <c r="IX872" s="35"/>
      <c r="IY872" s="35"/>
      <c r="IZ872" s="35"/>
      <c r="JA872" s="35"/>
      <c r="JB872" s="35"/>
      <c r="JC872" s="35"/>
      <c r="JD872" s="35"/>
      <c r="JE872" s="35"/>
    </row>
    <row r="873">
      <c r="A873" s="42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  <c r="BK873" s="35"/>
      <c r="BL873" s="35"/>
      <c r="BM873" s="35"/>
      <c r="BN873" s="35"/>
      <c r="BO873" s="35"/>
      <c r="BP873" s="35"/>
      <c r="BQ873" s="35"/>
      <c r="BR873" s="35"/>
      <c r="BS873" s="35"/>
      <c r="BT873" s="35"/>
      <c r="BU873" s="35"/>
      <c r="BV873" s="35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35"/>
      <c r="CO873" s="35"/>
      <c r="CP873" s="35"/>
      <c r="CQ873" s="35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35"/>
      <c r="DJ873" s="35"/>
      <c r="DK873" s="35"/>
      <c r="DL873" s="35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35"/>
      <c r="EE873" s="35"/>
      <c r="EF873" s="35"/>
      <c r="EG873" s="35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  <c r="ER873" s="35"/>
      <c r="ES873" s="35"/>
      <c r="ET873" s="35"/>
      <c r="EU873" s="35"/>
      <c r="EV873" s="35"/>
      <c r="EW873" s="35"/>
      <c r="EX873" s="35"/>
      <c r="EY873" s="35"/>
      <c r="EZ873" s="35"/>
      <c r="FA873" s="35"/>
      <c r="FB873" s="35"/>
      <c r="FC873" s="35"/>
      <c r="FD873" s="35"/>
      <c r="FE873" s="35"/>
      <c r="FF873" s="35"/>
      <c r="FG873" s="35"/>
      <c r="FH873" s="35"/>
      <c r="FI873" s="35"/>
      <c r="FJ873" s="35"/>
      <c r="FK873" s="35"/>
      <c r="FL873" s="35"/>
      <c r="FM873" s="35"/>
      <c r="FN873" s="35"/>
      <c r="FO873" s="35"/>
      <c r="FP873" s="35"/>
      <c r="FQ873" s="35"/>
      <c r="FR873" s="35"/>
      <c r="FS873" s="35"/>
      <c r="FT873" s="35"/>
      <c r="FU873" s="35"/>
      <c r="FV873" s="35"/>
      <c r="FW873" s="35"/>
      <c r="FX873" s="35"/>
      <c r="FY873" s="35"/>
      <c r="FZ873" s="35"/>
      <c r="GA873" s="35"/>
      <c r="GB873" s="35"/>
      <c r="GC873" s="35"/>
      <c r="GD873" s="35"/>
      <c r="GE873" s="35"/>
      <c r="GF873" s="35"/>
      <c r="GG873" s="35"/>
      <c r="GH873" s="35"/>
      <c r="GI873" s="35"/>
      <c r="GJ873" s="35"/>
      <c r="GK873" s="35"/>
      <c r="GL873" s="35"/>
      <c r="GM873" s="35"/>
      <c r="GN873" s="35"/>
      <c r="GO873" s="35"/>
      <c r="GP873" s="35"/>
      <c r="GQ873" s="35"/>
      <c r="GR873" s="35"/>
      <c r="GS873" s="35"/>
      <c r="GT873" s="35"/>
      <c r="GU873" s="35"/>
      <c r="GV873" s="35"/>
      <c r="GW873" s="35"/>
      <c r="GX873" s="35"/>
      <c r="GY873" s="35"/>
      <c r="GZ873" s="35"/>
      <c r="HA873" s="35"/>
      <c r="HB873" s="35"/>
      <c r="HC873" s="35"/>
      <c r="HD873" s="35"/>
      <c r="HE873" s="35"/>
      <c r="HF873" s="35"/>
      <c r="HG873" s="35"/>
      <c r="HH873" s="35"/>
      <c r="HI873" s="35"/>
      <c r="HJ873" s="35"/>
      <c r="HK873" s="35"/>
      <c r="HL873" s="35"/>
      <c r="HM873" s="35"/>
      <c r="HN873" s="35"/>
      <c r="HO873" s="35"/>
      <c r="HP873" s="35"/>
      <c r="HQ873" s="35"/>
      <c r="HR873" s="35"/>
      <c r="HS873" s="35"/>
      <c r="HT873" s="35"/>
      <c r="HU873" s="35"/>
      <c r="HV873" s="35"/>
      <c r="HW873" s="35"/>
      <c r="HX873" s="35"/>
      <c r="HY873" s="35"/>
      <c r="HZ873" s="35"/>
      <c r="IA873" s="35"/>
      <c r="IB873" s="35"/>
      <c r="IC873" s="35"/>
      <c r="ID873" s="35"/>
      <c r="IE873" s="35"/>
      <c r="IF873" s="35"/>
      <c r="IG873" s="35"/>
      <c r="IH873" s="35"/>
      <c r="II873" s="35"/>
      <c r="IJ873" s="35"/>
      <c r="IK873" s="35"/>
      <c r="IL873" s="35"/>
      <c r="IM873" s="35"/>
      <c r="IN873" s="35"/>
      <c r="IO873" s="35"/>
      <c r="IP873" s="35"/>
      <c r="IQ873" s="35"/>
      <c r="IR873" s="35"/>
      <c r="IS873" s="35"/>
      <c r="IT873" s="35"/>
      <c r="IU873" s="35"/>
      <c r="IV873" s="35"/>
      <c r="IW873" s="35"/>
      <c r="IX873" s="35"/>
      <c r="IY873" s="35"/>
      <c r="IZ873" s="35"/>
      <c r="JA873" s="35"/>
      <c r="JB873" s="35"/>
      <c r="JC873" s="35"/>
      <c r="JD873" s="35"/>
      <c r="JE873" s="35"/>
    </row>
    <row r="874">
      <c r="A874" s="42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  <c r="BG874" s="35"/>
      <c r="BH874" s="35"/>
      <c r="BI874" s="35"/>
      <c r="BJ874" s="35"/>
      <c r="BK874" s="35"/>
      <c r="BL874" s="35"/>
      <c r="BM874" s="35"/>
      <c r="BN874" s="35"/>
      <c r="BO874" s="35"/>
      <c r="BP874" s="35"/>
      <c r="BQ874" s="35"/>
      <c r="BR874" s="35"/>
      <c r="BS874" s="35"/>
      <c r="BT874" s="35"/>
      <c r="BU874" s="35"/>
      <c r="BV874" s="35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35"/>
      <c r="CO874" s="35"/>
      <c r="CP874" s="35"/>
      <c r="CQ874" s="35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35"/>
      <c r="DJ874" s="35"/>
      <c r="DK874" s="35"/>
      <c r="DL874" s="35"/>
      <c r="DM874" s="35"/>
      <c r="DN874" s="35"/>
      <c r="DO874" s="35"/>
      <c r="DP874" s="35"/>
      <c r="DQ874" s="35"/>
      <c r="DR874" s="35"/>
      <c r="DS874" s="35"/>
      <c r="DT874" s="35"/>
      <c r="DU874" s="35"/>
      <c r="DV874" s="35"/>
      <c r="DW874" s="35"/>
      <c r="DX874" s="35"/>
      <c r="DY874" s="35"/>
      <c r="DZ874" s="35"/>
      <c r="EA874" s="35"/>
      <c r="EB874" s="35"/>
      <c r="EC874" s="35"/>
      <c r="ED874" s="35"/>
      <c r="EE874" s="35"/>
      <c r="EF874" s="35"/>
      <c r="EG874" s="35"/>
      <c r="EH874" s="35"/>
      <c r="EI874" s="35"/>
      <c r="EJ874" s="35"/>
      <c r="EK874" s="35"/>
      <c r="EL874" s="35"/>
      <c r="EM874" s="35"/>
      <c r="EN874" s="35"/>
      <c r="EO874" s="35"/>
      <c r="EP874" s="35"/>
      <c r="EQ874" s="35"/>
      <c r="ER874" s="35"/>
      <c r="ES874" s="35"/>
      <c r="ET874" s="35"/>
      <c r="EU874" s="35"/>
      <c r="EV874" s="35"/>
      <c r="EW874" s="35"/>
      <c r="EX874" s="35"/>
      <c r="EY874" s="35"/>
      <c r="EZ874" s="35"/>
      <c r="FA874" s="35"/>
      <c r="FB874" s="35"/>
      <c r="FC874" s="35"/>
      <c r="FD874" s="35"/>
      <c r="FE874" s="35"/>
      <c r="FF874" s="35"/>
      <c r="FG874" s="35"/>
      <c r="FH874" s="35"/>
      <c r="FI874" s="35"/>
      <c r="FJ874" s="35"/>
      <c r="FK874" s="35"/>
      <c r="FL874" s="35"/>
      <c r="FM874" s="35"/>
      <c r="FN874" s="35"/>
      <c r="FO874" s="35"/>
      <c r="FP874" s="35"/>
      <c r="FQ874" s="35"/>
      <c r="FR874" s="35"/>
      <c r="FS874" s="35"/>
      <c r="FT874" s="35"/>
      <c r="FU874" s="35"/>
      <c r="FV874" s="35"/>
      <c r="FW874" s="35"/>
      <c r="FX874" s="35"/>
      <c r="FY874" s="35"/>
      <c r="FZ874" s="35"/>
      <c r="GA874" s="35"/>
      <c r="GB874" s="35"/>
      <c r="GC874" s="35"/>
      <c r="GD874" s="35"/>
      <c r="GE874" s="35"/>
      <c r="GF874" s="35"/>
      <c r="GG874" s="35"/>
      <c r="GH874" s="35"/>
      <c r="GI874" s="35"/>
      <c r="GJ874" s="35"/>
      <c r="GK874" s="35"/>
      <c r="GL874" s="35"/>
      <c r="GM874" s="35"/>
      <c r="GN874" s="35"/>
      <c r="GO874" s="35"/>
      <c r="GP874" s="35"/>
      <c r="GQ874" s="35"/>
      <c r="GR874" s="35"/>
      <c r="GS874" s="35"/>
      <c r="GT874" s="35"/>
      <c r="GU874" s="35"/>
      <c r="GV874" s="35"/>
      <c r="GW874" s="35"/>
      <c r="GX874" s="35"/>
      <c r="GY874" s="35"/>
      <c r="GZ874" s="35"/>
      <c r="HA874" s="35"/>
      <c r="HB874" s="35"/>
      <c r="HC874" s="35"/>
      <c r="HD874" s="35"/>
      <c r="HE874" s="35"/>
      <c r="HF874" s="35"/>
      <c r="HG874" s="35"/>
      <c r="HH874" s="35"/>
      <c r="HI874" s="35"/>
      <c r="HJ874" s="35"/>
      <c r="HK874" s="35"/>
      <c r="HL874" s="35"/>
      <c r="HM874" s="35"/>
      <c r="HN874" s="35"/>
      <c r="HO874" s="35"/>
      <c r="HP874" s="35"/>
      <c r="HQ874" s="35"/>
      <c r="HR874" s="35"/>
      <c r="HS874" s="35"/>
      <c r="HT874" s="35"/>
      <c r="HU874" s="35"/>
      <c r="HV874" s="35"/>
      <c r="HW874" s="35"/>
      <c r="HX874" s="35"/>
      <c r="HY874" s="35"/>
      <c r="HZ874" s="35"/>
      <c r="IA874" s="35"/>
      <c r="IB874" s="35"/>
      <c r="IC874" s="35"/>
      <c r="ID874" s="35"/>
      <c r="IE874" s="35"/>
      <c r="IF874" s="35"/>
      <c r="IG874" s="35"/>
      <c r="IH874" s="35"/>
      <c r="II874" s="35"/>
      <c r="IJ874" s="35"/>
      <c r="IK874" s="35"/>
      <c r="IL874" s="35"/>
      <c r="IM874" s="35"/>
      <c r="IN874" s="35"/>
      <c r="IO874" s="35"/>
      <c r="IP874" s="35"/>
      <c r="IQ874" s="35"/>
      <c r="IR874" s="35"/>
      <c r="IS874" s="35"/>
      <c r="IT874" s="35"/>
      <c r="IU874" s="35"/>
      <c r="IV874" s="35"/>
      <c r="IW874" s="35"/>
      <c r="IX874" s="35"/>
      <c r="IY874" s="35"/>
      <c r="IZ874" s="35"/>
      <c r="JA874" s="35"/>
      <c r="JB874" s="35"/>
      <c r="JC874" s="35"/>
      <c r="JD874" s="35"/>
      <c r="JE874" s="35"/>
    </row>
    <row r="875">
      <c r="A875" s="42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  <c r="BK875" s="35"/>
      <c r="BL875" s="35"/>
      <c r="BM875" s="35"/>
      <c r="BN875" s="35"/>
      <c r="BO875" s="35"/>
      <c r="BP875" s="35"/>
      <c r="BQ875" s="35"/>
      <c r="BR875" s="35"/>
      <c r="BS875" s="35"/>
      <c r="BT875" s="35"/>
      <c r="BU875" s="35"/>
      <c r="BV875" s="35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35"/>
      <c r="CO875" s="35"/>
      <c r="CP875" s="35"/>
      <c r="CQ875" s="35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35"/>
      <c r="DJ875" s="35"/>
      <c r="DK875" s="35"/>
      <c r="DL875" s="35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35"/>
      <c r="EE875" s="35"/>
      <c r="EF875" s="35"/>
      <c r="EG875" s="35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  <c r="ER875" s="35"/>
      <c r="ES875" s="35"/>
      <c r="ET875" s="35"/>
      <c r="EU875" s="35"/>
      <c r="EV875" s="35"/>
      <c r="EW875" s="35"/>
      <c r="EX875" s="35"/>
      <c r="EY875" s="35"/>
      <c r="EZ875" s="35"/>
      <c r="FA875" s="35"/>
      <c r="FB875" s="35"/>
      <c r="FC875" s="35"/>
      <c r="FD875" s="35"/>
      <c r="FE875" s="35"/>
      <c r="FF875" s="35"/>
      <c r="FG875" s="35"/>
      <c r="FH875" s="35"/>
      <c r="FI875" s="35"/>
      <c r="FJ875" s="35"/>
      <c r="FK875" s="35"/>
      <c r="FL875" s="35"/>
      <c r="FM875" s="35"/>
      <c r="FN875" s="35"/>
      <c r="FO875" s="35"/>
      <c r="FP875" s="35"/>
      <c r="FQ875" s="35"/>
      <c r="FR875" s="35"/>
      <c r="FS875" s="35"/>
      <c r="FT875" s="35"/>
      <c r="FU875" s="35"/>
      <c r="FV875" s="35"/>
      <c r="FW875" s="35"/>
      <c r="FX875" s="35"/>
      <c r="FY875" s="35"/>
      <c r="FZ875" s="35"/>
      <c r="GA875" s="35"/>
      <c r="GB875" s="35"/>
      <c r="GC875" s="35"/>
      <c r="GD875" s="35"/>
      <c r="GE875" s="35"/>
      <c r="GF875" s="35"/>
      <c r="GG875" s="35"/>
      <c r="GH875" s="35"/>
      <c r="GI875" s="35"/>
      <c r="GJ875" s="35"/>
      <c r="GK875" s="35"/>
      <c r="GL875" s="35"/>
      <c r="GM875" s="35"/>
      <c r="GN875" s="35"/>
      <c r="GO875" s="35"/>
      <c r="GP875" s="35"/>
      <c r="GQ875" s="35"/>
      <c r="GR875" s="35"/>
      <c r="GS875" s="35"/>
      <c r="GT875" s="35"/>
      <c r="GU875" s="35"/>
      <c r="GV875" s="35"/>
      <c r="GW875" s="35"/>
      <c r="GX875" s="35"/>
      <c r="GY875" s="35"/>
      <c r="GZ875" s="35"/>
      <c r="HA875" s="35"/>
      <c r="HB875" s="35"/>
      <c r="HC875" s="35"/>
      <c r="HD875" s="35"/>
      <c r="HE875" s="35"/>
      <c r="HF875" s="35"/>
      <c r="HG875" s="35"/>
      <c r="HH875" s="35"/>
      <c r="HI875" s="35"/>
      <c r="HJ875" s="35"/>
      <c r="HK875" s="35"/>
      <c r="HL875" s="35"/>
      <c r="HM875" s="35"/>
      <c r="HN875" s="35"/>
      <c r="HO875" s="35"/>
      <c r="HP875" s="35"/>
      <c r="HQ875" s="35"/>
      <c r="HR875" s="35"/>
      <c r="HS875" s="35"/>
      <c r="HT875" s="35"/>
      <c r="HU875" s="35"/>
      <c r="HV875" s="35"/>
      <c r="HW875" s="35"/>
      <c r="HX875" s="35"/>
      <c r="HY875" s="35"/>
      <c r="HZ875" s="35"/>
      <c r="IA875" s="35"/>
      <c r="IB875" s="35"/>
      <c r="IC875" s="35"/>
      <c r="ID875" s="35"/>
      <c r="IE875" s="35"/>
      <c r="IF875" s="35"/>
      <c r="IG875" s="35"/>
      <c r="IH875" s="35"/>
      <c r="II875" s="35"/>
      <c r="IJ875" s="35"/>
      <c r="IK875" s="35"/>
      <c r="IL875" s="35"/>
      <c r="IM875" s="35"/>
      <c r="IN875" s="35"/>
      <c r="IO875" s="35"/>
      <c r="IP875" s="35"/>
      <c r="IQ875" s="35"/>
      <c r="IR875" s="35"/>
      <c r="IS875" s="35"/>
      <c r="IT875" s="35"/>
      <c r="IU875" s="35"/>
      <c r="IV875" s="35"/>
      <c r="IW875" s="35"/>
      <c r="IX875" s="35"/>
      <c r="IY875" s="35"/>
      <c r="IZ875" s="35"/>
      <c r="JA875" s="35"/>
      <c r="JB875" s="35"/>
      <c r="JC875" s="35"/>
      <c r="JD875" s="35"/>
      <c r="JE875" s="35"/>
    </row>
    <row r="876">
      <c r="A876" s="42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  <c r="BK876" s="35"/>
      <c r="BL876" s="35"/>
      <c r="BM876" s="35"/>
      <c r="BN876" s="35"/>
      <c r="BO876" s="35"/>
      <c r="BP876" s="35"/>
      <c r="BQ876" s="35"/>
      <c r="BR876" s="35"/>
      <c r="BS876" s="35"/>
      <c r="BT876" s="35"/>
      <c r="BU876" s="35"/>
      <c r="BV876" s="35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35"/>
      <c r="CO876" s="35"/>
      <c r="CP876" s="35"/>
      <c r="CQ876" s="35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35"/>
      <c r="DJ876" s="35"/>
      <c r="DK876" s="35"/>
      <c r="DL876" s="35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35"/>
      <c r="EE876" s="35"/>
      <c r="EF876" s="35"/>
      <c r="EG876" s="35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  <c r="ER876" s="35"/>
      <c r="ES876" s="35"/>
      <c r="ET876" s="35"/>
      <c r="EU876" s="35"/>
      <c r="EV876" s="35"/>
      <c r="EW876" s="35"/>
      <c r="EX876" s="35"/>
      <c r="EY876" s="35"/>
      <c r="EZ876" s="35"/>
      <c r="FA876" s="35"/>
      <c r="FB876" s="35"/>
      <c r="FC876" s="35"/>
      <c r="FD876" s="35"/>
      <c r="FE876" s="35"/>
      <c r="FF876" s="35"/>
      <c r="FG876" s="35"/>
      <c r="FH876" s="35"/>
      <c r="FI876" s="35"/>
      <c r="FJ876" s="35"/>
      <c r="FK876" s="35"/>
      <c r="FL876" s="35"/>
      <c r="FM876" s="35"/>
      <c r="FN876" s="35"/>
      <c r="FO876" s="35"/>
      <c r="FP876" s="35"/>
      <c r="FQ876" s="35"/>
      <c r="FR876" s="35"/>
      <c r="FS876" s="35"/>
      <c r="FT876" s="35"/>
      <c r="FU876" s="35"/>
      <c r="FV876" s="35"/>
      <c r="FW876" s="35"/>
      <c r="FX876" s="35"/>
      <c r="FY876" s="35"/>
      <c r="FZ876" s="35"/>
      <c r="GA876" s="35"/>
      <c r="GB876" s="35"/>
      <c r="GC876" s="35"/>
      <c r="GD876" s="35"/>
      <c r="GE876" s="35"/>
      <c r="GF876" s="35"/>
      <c r="GG876" s="35"/>
      <c r="GH876" s="35"/>
      <c r="GI876" s="35"/>
      <c r="GJ876" s="35"/>
      <c r="GK876" s="35"/>
      <c r="GL876" s="35"/>
      <c r="GM876" s="35"/>
      <c r="GN876" s="35"/>
      <c r="GO876" s="35"/>
      <c r="GP876" s="35"/>
      <c r="GQ876" s="35"/>
      <c r="GR876" s="35"/>
      <c r="GS876" s="35"/>
      <c r="GT876" s="35"/>
      <c r="GU876" s="35"/>
      <c r="GV876" s="35"/>
      <c r="GW876" s="35"/>
      <c r="GX876" s="35"/>
      <c r="GY876" s="35"/>
      <c r="GZ876" s="35"/>
      <c r="HA876" s="35"/>
      <c r="HB876" s="35"/>
      <c r="HC876" s="35"/>
      <c r="HD876" s="35"/>
      <c r="HE876" s="35"/>
      <c r="HF876" s="35"/>
      <c r="HG876" s="35"/>
      <c r="HH876" s="35"/>
      <c r="HI876" s="35"/>
      <c r="HJ876" s="35"/>
      <c r="HK876" s="35"/>
      <c r="HL876" s="35"/>
      <c r="HM876" s="35"/>
      <c r="HN876" s="35"/>
      <c r="HO876" s="35"/>
      <c r="HP876" s="35"/>
      <c r="HQ876" s="35"/>
      <c r="HR876" s="35"/>
      <c r="HS876" s="35"/>
      <c r="HT876" s="35"/>
      <c r="HU876" s="35"/>
      <c r="HV876" s="35"/>
      <c r="HW876" s="35"/>
      <c r="HX876" s="35"/>
      <c r="HY876" s="35"/>
      <c r="HZ876" s="35"/>
      <c r="IA876" s="35"/>
      <c r="IB876" s="35"/>
      <c r="IC876" s="35"/>
      <c r="ID876" s="35"/>
      <c r="IE876" s="35"/>
      <c r="IF876" s="35"/>
      <c r="IG876" s="35"/>
      <c r="IH876" s="35"/>
      <c r="II876" s="35"/>
      <c r="IJ876" s="35"/>
      <c r="IK876" s="35"/>
      <c r="IL876" s="35"/>
      <c r="IM876" s="35"/>
      <c r="IN876" s="35"/>
      <c r="IO876" s="35"/>
      <c r="IP876" s="35"/>
      <c r="IQ876" s="35"/>
      <c r="IR876" s="35"/>
      <c r="IS876" s="35"/>
      <c r="IT876" s="35"/>
      <c r="IU876" s="35"/>
      <c r="IV876" s="35"/>
      <c r="IW876" s="35"/>
      <c r="IX876" s="35"/>
      <c r="IY876" s="35"/>
      <c r="IZ876" s="35"/>
      <c r="JA876" s="35"/>
      <c r="JB876" s="35"/>
      <c r="JC876" s="35"/>
      <c r="JD876" s="35"/>
      <c r="JE876" s="35"/>
    </row>
    <row r="877">
      <c r="A877" s="42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  <c r="BG877" s="35"/>
      <c r="BH877" s="35"/>
      <c r="BI877" s="35"/>
      <c r="BJ877" s="35"/>
      <c r="BK877" s="35"/>
      <c r="BL877" s="35"/>
      <c r="BM877" s="35"/>
      <c r="BN877" s="35"/>
      <c r="BO877" s="35"/>
      <c r="BP877" s="35"/>
      <c r="BQ877" s="35"/>
      <c r="BR877" s="35"/>
      <c r="BS877" s="35"/>
      <c r="BT877" s="35"/>
      <c r="BU877" s="35"/>
      <c r="BV877" s="35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35"/>
      <c r="CO877" s="35"/>
      <c r="CP877" s="35"/>
      <c r="CQ877" s="35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35"/>
      <c r="DJ877" s="35"/>
      <c r="DK877" s="35"/>
      <c r="DL877" s="35"/>
      <c r="DM877" s="35"/>
      <c r="DN877" s="35"/>
      <c r="DO877" s="35"/>
      <c r="DP877" s="35"/>
      <c r="DQ877" s="35"/>
      <c r="DR877" s="35"/>
      <c r="DS877" s="35"/>
      <c r="DT877" s="35"/>
      <c r="DU877" s="35"/>
      <c r="DV877" s="35"/>
      <c r="DW877" s="35"/>
      <c r="DX877" s="35"/>
      <c r="DY877" s="35"/>
      <c r="DZ877" s="35"/>
      <c r="EA877" s="35"/>
      <c r="EB877" s="35"/>
      <c r="EC877" s="35"/>
      <c r="ED877" s="35"/>
      <c r="EE877" s="35"/>
      <c r="EF877" s="35"/>
      <c r="EG877" s="35"/>
      <c r="EH877" s="35"/>
      <c r="EI877" s="35"/>
      <c r="EJ877" s="35"/>
      <c r="EK877" s="35"/>
      <c r="EL877" s="35"/>
      <c r="EM877" s="35"/>
      <c r="EN877" s="35"/>
      <c r="EO877" s="35"/>
      <c r="EP877" s="35"/>
      <c r="EQ877" s="35"/>
      <c r="ER877" s="35"/>
      <c r="ES877" s="35"/>
      <c r="ET877" s="35"/>
      <c r="EU877" s="35"/>
      <c r="EV877" s="35"/>
      <c r="EW877" s="35"/>
      <c r="EX877" s="35"/>
      <c r="EY877" s="35"/>
      <c r="EZ877" s="35"/>
      <c r="FA877" s="35"/>
      <c r="FB877" s="35"/>
      <c r="FC877" s="35"/>
      <c r="FD877" s="35"/>
      <c r="FE877" s="35"/>
      <c r="FF877" s="35"/>
      <c r="FG877" s="35"/>
      <c r="FH877" s="35"/>
      <c r="FI877" s="35"/>
      <c r="FJ877" s="35"/>
      <c r="FK877" s="35"/>
      <c r="FL877" s="35"/>
      <c r="FM877" s="35"/>
      <c r="FN877" s="35"/>
      <c r="FO877" s="35"/>
      <c r="FP877" s="35"/>
      <c r="FQ877" s="35"/>
      <c r="FR877" s="35"/>
      <c r="FS877" s="35"/>
      <c r="FT877" s="35"/>
      <c r="FU877" s="35"/>
      <c r="FV877" s="35"/>
      <c r="FW877" s="35"/>
      <c r="FX877" s="35"/>
      <c r="FY877" s="35"/>
      <c r="FZ877" s="35"/>
      <c r="GA877" s="35"/>
      <c r="GB877" s="35"/>
      <c r="GC877" s="35"/>
      <c r="GD877" s="35"/>
      <c r="GE877" s="35"/>
      <c r="GF877" s="35"/>
      <c r="GG877" s="35"/>
      <c r="GH877" s="35"/>
      <c r="GI877" s="35"/>
      <c r="GJ877" s="35"/>
      <c r="GK877" s="35"/>
      <c r="GL877" s="35"/>
      <c r="GM877" s="35"/>
      <c r="GN877" s="35"/>
      <c r="GO877" s="35"/>
      <c r="GP877" s="35"/>
      <c r="GQ877" s="35"/>
      <c r="GR877" s="35"/>
      <c r="GS877" s="35"/>
      <c r="GT877" s="35"/>
      <c r="GU877" s="35"/>
      <c r="GV877" s="35"/>
      <c r="GW877" s="35"/>
      <c r="GX877" s="35"/>
      <c r="GY877" s="35"/>
      <c r="GZ877" s="35"/>
      <c r="HA877" s="35"/>
      <c r="HB877" s="35"/>
      <c r="HC877" s="35"/>
      <c r="HD877" s="35"/>
      <c r="HE877" s="35"/>
      <c r="HF877" s="35"/>
      <c r="HG877" s="35"/>
      <c r="HH877" s="35"/>
      <c r="HI877" s="35"/>
      <c r="HJ877" s="35"/>
      <c r="HK877" s="35"/>
      <c r="HL877" s="35"/>
      <c r="HM877" s="35"/>
      <c r="HN877" s="35"/>
      <c r="HO877" s="35"/>
      <c r="HP877" s="35"/>
      <c r="HQ877" s="35"/>
      <c r="HR877" s="35"/>
      <c r="HS877" s="35"/>
      <c r="HT877" s="35"/>
      <c r="HU877" s="35"/>
      <c r="HV877" s="35"/>
      <c r="HW877" s="35"/>
      <c r="HX877" s="35"/>
      <c r="HY877" s="35"/>
      <c r="HZ877" s="35"/>
      <c r="IA877" s="35"/>
      <c r="IB877" s="35"/>
      <c r="IC877" s="35"/>
      <c r="ID877" s="35"/>
      <c r="IE877" s="35"/>
      <c r="IF877" s="35"/>
      <c r="IG877" s="35"/>
      <c r="IH877" s="35"/>
      <c r="II877" s="35"/>
      <c r="IJ877" s="35"/>
      <c r="IK877" s="35"/>
      <c r="IL877" s="35"/>
      <c r="IM877" s="35"/>
      <c r="IN877" s="35"/>
      <c r="IO877" s="35"/>
      <c r="IP877" s="35"/>
      <c r="IQ877" s="35"/>
      <c r="IR877" s="35"/>
      <c r="IS877" s="35"/>
      <c r="IT877" s="35"/>
      <c r="IU877" s="35"/>
      <c r="IV877" s="35"/>
      <c r="IW877" s="35"/>
      <c r="IX877" s="35"/>
      <c r="IY877" s="35"/>
      <c r="IZ877" s="35"/>
      <c r="JA877" s="35"/>
      <c r="JB877" s="35"/>
      <c r="JC877" s="35"/>
      <c r="JD877" s="35"/>
      <c r="JE877" s="35"/>
    </row>
    <row r="878">
      <c r="A878" s="42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  <c r="BG878" s="35"/>
      <c r="BH878" s="35"/>
      <c r="BI878" s="35"/>
      <c r="BJ878" s="35"/>
      <c r="BK878" s="35"/>
      <c r="BL878" s="35"/>
      <c r="BM878" s="35"/>
      <c r="BN878" s="35"/>
      <c r="BO878" s="35"/>
      <c r="BP878" s="35"/>
      <c r="BQ878" s="35"/>
      <c r="BR878" s="35"/>
      <c r="BS878" s="35"/>
      <c r="BT878" s="35"/>
      <c r="BU878" s="35"/>
      <c r="BV878" s="35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35"/>
      <c r="CO878" s="35"/>
      <c r="CP878" s="35"/>
      <c r="CQ878" s="35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35"/>
      <c r="DJ878" s="35"/>
      <c r="DK878" s="35"/>
      <c r="DL878" s="35"/>
      <c r="DM878" s="35"/>
      <c r="DN878" s="35"/>
      <c r="DO878" s="35"/>
      <c r="DP878" s="35"/>
      <c r="DQ878" s="35"/>
      <c r="DR878" s="35"/>
      <c r="DS878" s="35"/>
      <c r="DT878" s="35"/>
      <c r="DU878" s="35"/>
      <c r="DV878" s="35"/>
      <c r="DW878" s="35"/>
      <c r="DX878" s="35"/>
      <c r="DY878" s="35"/>
      <c r="DZ878" s="35"/>
      <c r="EA878" s="35"/>
      <c r="EB878" s="35"/>
      <c r="EC878" s="35"/>
      <c r="ED878" s="35"/>
      <c r="EE878" s="35"/>
      <c r="EF878" s="35"/>
      <c r="EG878" s="35"/>
      <c r="EH878" s="35"/>
      <c r="EI878" s="35"/>
      <c r="EJ878" s="35"/>
      <c r="EK878" s="35"/>
      <c r="EL878" s="35"/>
      <c r="EM878" s="35"/>
      <c r="EN878" s="35"/>
      <c r="EO878" s="35"/>
      <c r="EP878" s="35"/>
      <c r="EQ878" s="35"/>
      <c r="ER878" s="35"/>
      <c r="ES878" s="35"/>
      <c r="ET878" s="35"/>
      <c r="EU878" s="35"/>
      <c r="EV878" s="35"/>
      <c r="EW878" s="35"/>
      <c r="EX878" s="35"/>
      <c r="EY878" s="35"/>
      <c r="EZ878" s="35"/>
      <c r="FA878" s="35"/>
      <c r="FB878" s="35"/>
      <c r="FC878" s="35"/>
      <c r="FD878" s="35"/>
      <c r="FE878" s="35"/>
      <c r="FF878" s="35"/>
      <c r="FG878" s="35"/>
      <c r="FH878" s="35"/>
      <c r="FI878" s="35"/>
      <c r="FJ878" s="35"/>
      <c r="FK878" s="35"/>
      <c r="FL878" s="35"/>
      <c r="FM878" s="35"/>
      <c r="FN878" s="35"/>
      <c r="FO878" s="35"/>
      <c r="FP878" s="35"/>
      <c r="FQ878" s="35"/>
      <c r="FR878" s="35"/>
      <c r="FS878" s="35"/>
      <c r="FT878" s="35"/>
      <c r="FU878" s="35"/>
      <c r="FV878" s="35"/>
      <c r="FW878" s="35"/>
      <c r="FX878" s="35"/>
      <c r="FY878" s="35"/>
      <c r="FZ878" s="35"/>
      <c r="GA878" s="35"/>
      <c r="GB878" s="35"/>
      <c r="GC878" s="35"/>
      <c r="GD878" s="35"/>
      <c r="GE878" s="35"/>
      <c r="GF878" s="35"/>
      <c r="GG878" s="35"/>
      <c r="GH878" s="35"/>
      <c r="GI878" s="35"/>
      <c r="GJ878" s="35"/>
      <c r="GK878" s="35"/>
      <c r="GL878" s="35"/>
      <c r="GM878" s="35"/>
      <c r="GN878" s="35"/>
      <c r="GO878" s="35"/>
      <c r="GP878" s="35"/>
      <c r="GQ878" s="35"/>
      <c r="GR878" s="35"/>
      <c r="GS878" s="35"/>
      <c r="GT878" s="35"/>
      <c r="GU878" s="35"/>
      <c r="GV878" s="35"/>
      <c r="GW878" s="35"/>
      <c r="GX878" s="35"/>
      <c r="GY878" s="35"/>
      <c r="GZ878" s="35"/>
      <c r="HA878" s="35"/>
      <c r="HB878" s="35"/>
      <c r="HC878" s="35"/>
      <c r="HD878" s="35"/>
      <c r="HE878" s="35"/>
      <c r="HF878" s="35"/>
      <c r="HG878" s="35"/>
      <c r="HH878" s="35"/>
      <c r="HI878" s="35"/>
      <c r="HJ878" s="35"/>
      <c r="HK878" s="35"/>
      <c r="HL878" s="35"/>
      <c r="HM878" s="35"/>
      <c r="HN878" s="35"/>
      <c r="HO878" s="35"/>
      <c r="HP878" s="35"/>
      <c r="HQ878" s="35"/>
      <c r="HR878" s="35"/>
      <c r="HS878" s="35"/>
      <c r="HT878" s="35"/>
      <c r="HU878" s="35"/>
      <c r="HV878" s="35"/>
      <c r="HW878" s="35"/>
      <c r="HX878" s="35"/>
      <c r="HY878" s="35"/>
      <c r="HZ878" s="35"/>
      <c r="IA878" s="35"/>
      <c r="IB878" s="35"/>
      <c r="IC878" s="35"/>
      <c r="ID878" s="35"/>
      <c r="IE878" s="35"/>
      <c r="IF878" s="35"/>
      <c r="IG878" s="35"/>
      <c r="IH878" s="35"/>
      <c r="II878" s="35"/>
      <c r="IJ878" s="35"/>
      <c r="IK878" s="35"/>
      <c r="IL878" s="35"/>
      <c r="IM878" s="35"/>
      <c r="IN878" s="35"/>
      <c r="IO878" s="35"/>
      <c r="IP878" s="35"/>
      <c r="IQ878" s="35"/>
      <c r="IR878" s="35"/>
      <c r="IS878" s="35"/>
      <c r="IT878" s="35"/>
      <c r="IU878" s="35"/>
      <c r="IV878" s="35"/>
      <c r="IW878" s="35"/>
      <c r="IX878" s="35"/>
      <c r="IY878" s="35"/>
      <c r="IZ878" s="35"/>
      <c r="JA878" s="35"/>
      <c r="JB878" s="35"/>
      <c r="JC878" s="35"/>
      <c r="JD878" s="35"/>
      <c r="JE878" s="35"/>
    </row>
    <row r="879">
      <c r="A879" s="42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  <c r="BK879" s="35"/>
      <c r="BL879" s="35"/>
      <c r="BM879" s="35"/>
      <c r="BN879" s="35"/>
      <c r="BO879" s="35"/>
      <c r="BP879" s="35"/>
      <c r="BQ879" s="35"/>
      <c r="BR879" s="35"/>
      <c r="BS879" s="35"/>
      <c r="BT879" s="35"/>
      <c r="BU879" s="35"/>
      <c r="BV879" s="35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35"/>
      <c r="CO879" s="35"/>
      <c r="CP879" s="35"/>
      <c r="CQ879" s="35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35"/>
      <c r="DJ879" s="35"/>
      <c r="DK879" s="35"/>
      <c r="DL879" s="35"/>
      <c r="DM879" s="35"/>
      <c r="DN879" s="35"/>
      <c r="DO879" s="35"/>
      <c r="DP879" s="35"/>
      <c r="DQ879" s="35"/>
      <c r="DR879" s="35"/>
      <c r="DS879" s="35"/>
      <c r="DT879" s="35"/>
      <c r="DU879" s="35"/>
      <c r="DV879" s="35"/>
      <c r="DW879" s="35"/>
      <c r="DX879" s="35"/>
      <c r="DY879" s="35"/>
      <c r="DZ879" s="35"/>
      <c r="EA879" s="35"/>
      <c r="EB879" s="35"/>
      <c r="EC879" s="35"/>
      <c r="ED879" s="35"/>
      <c r="EE879" s="35"/>
      <c r="EF879" s="35"/>
      <c r="EG879" s="35"/>
      <c r="EH879" s="35"/>
      <c r="EI879" s="35"/>
      <c r="EJ879" s="35"/>
      <c r="EK879" s="35"/>
      <c r="EL879" s="35"/>
      <c r="EM879" s="35"/>
      <c r="EN879" s="35"/>
      <c r="EO879" s="35"/>
      <c r="EP879" s="35"/>
      <c r="EQ879" s="35"/>
      <c r="ER879" s="35"/>
      <c r="ES879" s="35"/>
      <c r="ET879" s="35"/>
      <c r="EU879" s="35"/>
      <c r="EV879" s="35"/>
      <c r="EW879" s="35"/>
      <c r="EX879" s="35"/>
      <c r="EY879" s="35"/>
      <c r="EZ879" s="35"/>
      <c r="FA879" s="35"/>
      <c r="FB879" s="35"/>
      <c r="FC879" s="35"/>
      <c r="FD879" s="35"/>
      <c r="FE879" s="35"/>
      <c r="FF879" s="35"/>
      <c r="FG879" s="35"/>
      <c r="FH879" s="35"/>
      <c r="FI879" s="35"/>
      <c r="FJ879" s="35"/>
      <c r="FK879" s="35"/>
      <c r="FL879" s="35"/>
      <c r="FM879" s="35"/>
      <c r="FN879" s="35"/>
      <c r="FO879" s="35"/>
      <c r="FP879" s="35"/>
      <c r="FQ879" s="35"/>
      <c r="FR879" s="35"/>
      <c r="FS879" s="35"/>
      <c r="FT879" s="35"/>
      <c r="FU879" s="35"/>
      <c r="FV879" s="35"/>
      <c r="FW879" s="35"/>
      <c r="FX879" s="35"/>
      <c r="FY879" s="35"/>
      <c r="FZ879" s="35"/>
      <c r="GA879" s="35"/>
      <c r="GB879" s="35"/>
      <c r="GC879" s="35"/>
      <c r="GD879" s="35"/>
      <c r="GE879" s="35"/>
      <c r="GF879" s="35"/>
      <c r="GG879" s="35"/>
      <c r="GH879" s="35"/>
      <c r="GI879" s="35"/>
      <c r="GJ879" s="35"/>
      <c r="GK879" s="35"/>
      <c r="GL879" s="35"/>
      <c r="GM879" s="35"/>
      <c r="GN879" s="35"/>
      <c r="GO879" s="35"/>
      <c r="GP879" s="35"/>
      <c r="GQ879" s="35"/>
      <c r="GR879" s="35"/>
      <c r="GS879" s="35"/>
      <c r="GT879" s="35"/>
      <c r="GU879" s="35"/>
      <c r="GV879" s="35"/>
      <c r="GW879" s="35"/>
      <c r="GX879" s="35"/>
      <c r="GY879" s="35"/>
      <c r="GZ879" s="35"/>
      <c r="HA879" s="35"/>
      <c r="HB879" s="35"/>
      <c r="HC879" s="35"/>
      <c r="HD879" s="35"/>
      <c r="HE879" s="35"/>
      <c r="HF879" s="35"/>
      <c r="HG879" s="35"/>
      <c r="HH879" s="35"/>
      <c r="HI879" s="35"/>
      <c r="HJ879" s="35"/>
      <c r="HK879" s="35"/>
      <c r="HL879" s="35"/>
      <c r="HM879" s="35"/>
      <c r="HN879" s="35"/>
      <c r="HO879" s="35"/>
      <c r="HP879" s="35"/>
      <c r="HQ879" s="35"/>
      <c r="HR879" s="35"/>
      <c r="HS879" s="35"/>
      <c r="HT879" s="35"/>
      <c r="HU879" s="35"/>
      <c r="HV879" s="35"/>
      <c r="HW879" s="35"/>
      <c r="HX879" s="35"/>
      <c r="HY879" s="35"/>
      <c r="HZ879" s="35"/>
      <c r="IA879" s="35"/>
      <c r="IB879" s="35"/>
      <c r="IC879" s="35"/>
      <c r="ID879" s="35"/>
      <c r="IE879" s="35"/>
      <c r="IF879" s="35"/>
      <c r="IG879" s="35"/>
      <c r="IH879" s="35"/>
      <c r="II879" s="35"/>
      <c r="IJ879" s="35"/>
      <c r="IK879" s="35"/>
      <c r="IL879" s="35"/>
      <c r="IM879" s="35"/>
      <c r="IN879" s="35"/>
      <c r="IO879" s="35"/>
      <c r="IP879" s="35"/>
      <c r="IQ879" s="35"/>
      <c r="IR879" s="35"/>
      <c r="IS879" s="35"/>
      <c r="IT879" s="35"/>
      <c r="IU879" s="35"/>
      <c r="IV879" s="35"/>
      <c r="IW879" s="35"/>
      <c r="IX879" s="35"/>
      <c r="IY879" s="35"/>
      <c r="IZ879" s="35"/>
      <c r="JA879" s="35"/>
      <c r="JB879" s="35"/>
      <c r="JC879" s="35"/>
      <c r="JD879" s="35"/>
      <c r="JE879" s="35"/>
    </row>
    <row r="880">
      <c r="A880" s="42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  <c r="BK880" s="35"/>
      <c r="BL880" s="35"/>
      <c r="BM880" s="35"/>
      <c r="BN880" s="35"/>
      <c r="BO880" s="35"/>
      <c r="BP880" s="35"/>
      <c r="BQ880" s="35"/>
      <c r="BR880" s="35"/>
      <c r="BS880" s="35"/>
      <c r="BT880" s="35"/>
      <c r="BU880" s="35"/>
      <c r="BV880" s="35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35"/>
      <c r="CO880" s="35"/>
      <c r="CP880" s="35"/>
      <c r="CQ880" s="35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35"/>
      <c r="DJ880" s="35"/>
      <c r="DK880" s="35"/>
      <c r="DL880" s="35"/>
      <c r="DM880" s="35"/>
      <c r="DN880" s="35"/>
      <c r="DO880" s="35"/>
      <c r="DP880" s="35"/>
      <c r="DQ880" s="35"/>
      <c r="DR880" s="35"/>
      <c r="DS880" s="35"/>
      <c r="DT880" s="35"/>
      <c r="DU880" s="35"/>
      <c r="DV880" s="35"/>
      <c r="DW880" s="35"/>
      <c r="DX880" s="35"/>
      <c r="DY880" s="35"/>
      <c r="DZ880" s="35"/>
      <c r="EA880" s="35"/>
      <c r="EB880" s="35"/>
      <c r="EC880" s="35"/>
      <c r="ED880" s="35"/>
      <c r="EE880" s="35"/>
      <c r="EF880" s="35"/>
      <c r="EG880" s="35"/>
      <c r="EH880" s="35"/>
      <c r="EI880" s="35"/>
      <c r="EJ880" s="35"/>
      <c r="EK880" s="35"/>
      <c r="EL880" s="35"/>
      <c r="EM880" s="35"/>
      <c r="EN880" s="35"/>
      <c r="EO880" s="35"/>
      <c r="EP880" s="35"/>
      <c r="EQ880" s="35"/>
      <c r="ER880" s="35"/>
      <c r="ES880" s="35"/>
      <c r="ET880" s="35"/>
      <c r="EU880" s="35"/>
      <c r="EV880" s="35"/>
      <c r="EW880" s="35"/>
      <c r="EX880" s="35"/>
      <c r="EY880" s="35"/>
      <c r="EZ880" s="35"/>
      <c r="FA880" s="35"/>
      <c r="FB880" s="35"/>
      <c r="FC880" s="35"/>
      <c r="FD880" s="35"/>
      <c r="FE880" s="35"/>
      <c r="FF880" s="35"/>
      <c r="FG880" s="35"/>
      <c r="FH880" s="35"/>
      <c r="FI880" s="35"/>
      <c r="FJ880" s="35"/>
      <c r="FK880" s="35"/>
      <c r="FL880" s="35"/>
      <c r="FM880" s="35"/>
      <c r="FN880" s="35"/>
      <c r="FO880" s="35"/>
      <c r="FP880" s="35"/>
      <c r="FQ880" s="35"/>
      <c r="FR880" s="35"/>
      <c r="FS880" s="35"/>
      <c r="FT880" s="35"/>
      <c r="FU880" s="35"/>
      <c r="FV880" s="35"/>
      <c r="FW880" s="35"/>
      <c r="FX880" s="35"/>
      <c r="FY880" s="35"/>
      <c r="FZ880" s="35"/>
      <c r="GA880" s="35"/>
      <c r="GB880" s="35"/>
      <c r="GC880" s="35"/>
      <c r="GD880" s="35"/>
      <c r="GE880" s="35"/>
      <c r="GF880" s="35"/>
      <c r="GG880" s="35"/>
      <c r="GH880" s="35"/>
      <c r="GI880" s="35"/>
      <c r="GJ880" s="35"/>
      <c r="GK880" s="35"/>
      <c r="GL880" s="35"/>
      <c r="GM880" s="35"/>
      <c r="GN880" s="35"/>
      <c r="GO880" s="35"/>
      <c r="GP880" s="35"/>
      <c r="GQ880" s="35"/>
      <c r="GR880" s="35"/>
      <c r="GS880" s="35"/>
      <c r="GT880" s="35"/>
      <c r="GU880" s="35"/>
      <c r="GV880" s="35"/>
      <c r="GW880" s="35"/>
      <c r="GX880" s="35"/>
      <c r="GY880" s="35"/>
      <c r="GZ880" s="35"/>
      <c r="HA880" s="35"/>
      <c r="HB880" s="35"/>
      <c r="HC880" s="35"/>
      <c r="HD880" s="35"/>
      <c r="HE880" s="35"/>
      <c r="HF880" s="35"/>
      <c r="HG880" s="35"/>
      <c r="HH880" s="35"/>
      <c r="HI880" s="35"/>
      <c r="HJ880" s="35"/>
      <c r="HK880" s="35"/>
      <c r="HL880" s="35"/>
      <c r="HM880" s="35"/>
      <c r="HN880" s="35"/>
      <c r="HO880" s="35"/>
      <c r="HP880" s="35"/>
      <c r="HQ880" s="35"/>
      <c r="HR880" s="35"/>
      <c r="HS880" s="35"/>
      <c r="HT880" s="35"/>
      <c r="HU880" s="35"/>
      <c r="HV880" s="35"/>
      <c r="HW880" s="35"/>
      <c r="HX880" s="35"/>
      <c r="HY880" s="35"/>
      <c r="HZ880" s="35"/>
      <c r="IA880" s="35"/>
      <c r="IB880" s="35"/>
      <c r="IC880" s="35"/>
      <c r="ID880" s="35"/>
      <c r="IE880" s="35"/>
      <c r="IF880" s="35"/>
      <c r="IG880" s="35"/>
      <c r="IH880" s="35"/>
      <c r="II880" s="35"/>
      <c r="IJ880" s="35"/>
      <c r="IK880" s="35"/>
      <c r="IL880" s="35"/>
      <c r="IM880" s="35"/>
      <c r="IN880" s="35"/>
      <c r="IO880" s="35"/>
      <c r="IP880" s="35"/>
      <c r="IQ880" s="35"/>
      <c r="IR880" s="35"/>
      <c r="IS880" s="35"/>
      <c r="IT880" s="35"/>
      <c r="IU880" s="35"/>
      <c r="IV880" s="35"/>
      <c r="IW880" s="35"/>
      <c r="IX880" s="35"/>
      <c r="IY880" s="35"/>
      <c r="IZ880" s="35"/>
      <c r="JA880" s="35"/>
      <c r="JB880" s="35"/>
      <c r="JC880" s="35"/>
      <c r="JD880" s="35"/>
      <c r="JE880" s="35"/>
    </row>
    <row r="881">
      <c r="A881" s="42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  <c r="BK881" s="35"/>
      <c r="BL881" s="35"/>
      <c r="BM881" s="35"/>
      <c r="BN881" s="35"/>
      <c r="BO881" s="35"/>
      <c r="BP881" s="35"/>
      <c r="BQ881" s="35"/>
      <c r="BR881" s="35"/>
      <c r="BS881" s="35"/>
      <c r="BT881" s="35"/>
      <c r="BU881" s="35"/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35"/>
      <c r="CO881" s="35"/>
      <c r="CP881" s="35"/>
      <c r="CQ881" s="35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35"/>
      <c r="DJ881" s="35"/>
      <c r="DK881" s="35"/>
      <c r="DL881" s="35"/>
      <c r="DM881" s="35"/>
      <c r="DN881" s="35"/>
      <c r="DO881" s="35"/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s="35"/>
      <c r="EE881" s="35"/>
      <c r="EF881" s="35"/>
      <c r="EG881" s="35"/>
      <c r="EH881" s="35"/>
      <c r="EI881" s="35"/>
      <c r="EJ881" s="35"/>
      <c r="EK881" s="35"/>
      <c r="EL881" s="35"/>
      <c r="EM881" s="35"/>
      <c r="EN881" s="35"/>
      <c r="EO881" s="35"/>
      <c r="EP881" s="35"/>
      <c r="EQ881" s="35"/>
      <c r="ER881" s="35"/>
      <c r="ES881" s="35"/>
      <c r="ET881" s="35"/>
      <c r="EU881" s="35"/>
      <c r="EV881" s="35"/>
      <c r="EW881" s="35"/>
      <c r="EX881" s="35"/>
      <c r="EY881" s="35"/>
      <c r="EZ881" s="35"/>
      <c r="FA881" s="35"/>
      <c r="FB881" s="35"/>
      <c r="FC881" s="35"/>
      <c r="FD881" s="35"/>
      <c r="FE881" s="35"/>
      <c r="FF881" s="35"/>
      <c r="FG881" s="35"/>
      <c r="FH881" s="35"/>
      <c r="FI881" s="35"/>
      <c r="FJ881" s="35"/>
      <c r="FK881" s="35"/>
      <c r="FL881" s="35"/>
      <c r="FM881" s="35"/>
      <c r="FN881" s="35"/>
      <c r="FO881" s="35"/>
      <c r="FP881" s="35"/>
      <c r="FQ881" s="35"/>
      <c r="FR881" s="35"/>
      <c r="FS881" s="35"/>
      <c r="FT881" s="35"/>
      <c r="FU881" s="35"/>
      <c r="FV881" s="35"/>
      <c r="FW881" s="35"/>
      <c r="FX881" s="35"/>
      <c r="FY881" s="35"/>
      <c r="FZ881" s="35"/>
      <c r="GA881" s="35"/>
      <c r="GB881" s="35"/>
      <c r="GC881" s="35"/>
      <c r="GD881" s="35"/>
      <c r="GE881" s="35"/>
      <c r="GF881" s="35"/>
      <c r="GG881" s="35"/>
      <c r="GH881" s="35"/>
      <c r="GI881" s="35"/>
      <c r="GJ881" s="35"/>
      <c r="GK881" s="35"/>
      <c r="GL881" s="35"/>
      <c r="GM881" s="35"/>
      <c r="GN881" s="35"/>
      <c r="GO881" s="35"/>
      <c r="GP881" s="35"/>
      <c r="GQ881" s="35"/>
      <c r="GR881" s="35"/>
      <c r="GS881" s="35"/>
      <c r="GT881" s="35"/>
      <c r="GU881" s="35"/>
      <c r="GV881" s="35"/>
      <c r="GW881" s="35"/>
      <c r="GX881" s="35"/>
      <c r="GY881" s="35"/>
      <c r="GZ881" s="35"/>
      <c r="HA881" s="35"/>
      <c r="HB881" s="35"/>
      <c r="HC881" s="35"/>
      <c r="HD881" s="35"/>
      <c r="HE881" s="35"/>
      <c r="HF881" s="35"/>
      <c r="HG881" s="35"/>
      <c r="HH881" s="35"/>
      <c r="HI881" s="35"/>
      <c r="HJ881" s="35"/>
      <c r="HK881" s="35"/>
      <c r="HL881" s="35"/>
      <c r="HM881" s="35"/>
      <c r="HN881" s="35"/>
      <c r="HO881" s="35"/>
      <c r="HP881" s="35"/>
      <c r="HQ881" s="35"/>
      <c r="HR881" s="35"/>
      <c r="HS881" s="35"/>
      <c r="HT881" s="35"/>
      <c r="HU881" s="35"/>
      <c r="HV881" s="35"/>
      <c r="HW881" s="35"/>
      <c r="HX881" s="35"/>
      <c r="HY881" s="35"/>
      <c r="HZ881" s="35"/>
      <c r="IA881" s="35"/>
      <c r="IB881" s="35"/>
      <c r="IC881" s="35"/>
      <c r="ID881" s="35"/>
      <c r="IE881" s="35"/>
      <c r="IF881" s="35"/>
      <c r="IG881" s="35"/>
      <c r="IH881" s="35"/>
      <c r="II881" s="35"/>
      <c r="IJ881" s="35"/>
      <c r="IK881" s="35"/>
      <c r="IL881" s="35"/>
      <c r="IM881" s="35"/>
      <c r="IN881" s="35"/>
      <c r="IO881" s="35"/>
      <c r="IP881" s="35"/>
      <c r="IQ881" s="35"/>
      <c r="IR881" s="35"/>
      <c r="IS881" s="35"/>
      <c r="IT881" s="35"/>
      <c r="IU881" s="35"/>
      <c r="IV881" s="35"/>
      <c r="IW881" s="35"/>
      <c r="IX881" s="35"/>
      <c r="IY881" s="35"/>
      <c r="IZ881" s="35"/>
      <c r="JA881" s="35"/>
      <c r="JB881" s="35"/>
      <c r="JC881" s="35"/>
      <c r="JD881" s="35"/>
      <c r="JE881" s="35"/>
    </row>
    <row r="882">
      <c r="A882" s="42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  <c r="BK882" s="35"/>
      <c r="BL882" s="35"/>
      <c r="BM882" s="35"/>
      <c r="BN882" s="35"/>
      <c r="BO882" s="35"/>
      <c r="BP882" s="35"/>
      <c r="BQ882" s="35"/>
      <c r="BR882" s="35"/>
      <c r="BS882" s="35"/>
      <c r="BT882" s="35"/>
      <c r="BU882" s="35"/>
      <c r="BV882" s="35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35"/>
      <c r="CO882" s="35"/>
      <c r="CP882" s="35"/>
      <c r="CQ882" s="35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35"/>
      <c r="DJ882" s="35"/>
      <c r="DK882" s="35"/>
      <c r="DL882" s="35"/>
      <c r="DM882" s="35"/>
      <c r="DN882" s="35"/>
      <c r="DO882" s="35"/>
      <c r="DP882" s="35"/>
      <c r="DQ882" s="35"/>
      <c r="DR882" s="35"/>
      <c r="DS882" s="35"/>
      <c r="DT882" s="35"/>
      <c r="DU882" s="35"/>
      <c r="DV882" s="35"/>
      <c r="DW882" s="35"/>
      <c r="DX882" s="35"/>
      <c r="DY882" s="35"/>
      <c r="DZ882" s="35"/>
      <c r="EA882" s="35"/>
      <c r="EB882" s="35"/>
      <c r="EC882" s="35"/>
      <c r="ED882" s="35"/>
      <c r="EE882" s="35"/>
      <c r="EF882" s="35"/>
      <c r="EG882" s="35"/>
      <c r="EH882" s="35"/>
      <c r="EI882" s="35"/>
      <c r="EJ882" s="35"/>
      <c r="EK882" s="35"/>
      <c r="EL882" s="35"/>
      <c r="EM882" s="35"/>
      <c r="EN882" s="35"/>
      <c r="EO882" s="35"/>
      <c r="EP882" s="35"/>
      <c r="EQ882" s="35"/>
      <c r="ER882" s="35"/>
      <c r="ES882" s="35"/>
      <c r="ET882" s="35"/>
      <c r="EU882" s="35"/>
      <c r="EV882" s="35"/>
      <c r="EW882" s="35"/>
      <c r="EX882" s="35"/>
      <c r="EY882" s="35"/>
      <c r="EZ882" s="35"/>
      <c r="FA882" s="35"/>
      <c r="FB882" s="35"/>
      <c r="FC882" s="35"/>
      <c r="FD882" s="35"/>
      <c r="FE882" s="35"/>
      <c r="FF882" s="35"/>
      <c r="FG882" s="35"/>
      <c r="FH882" s="35"/>
      <c r="FI882" s="35"/>
      <c r="FJ882" s="35"/>
      <c r="FK882" s="35"/>
      <c r="FL882" s="35"/>
      <c r="FM882" s="35"/>
      <c r="FN882" s="35"/>
      <c r="FO882" s="35"/>
      <c r="FP882" s="35"/>
      <c r="FQ882" s="35"/>
      <c r="FR882" s="35"/>
      <c r="FS882" s="35"/>
      <c r="FT882" s="35"/>
      <c r="FU882" s="35"/>
      <c r="FV882" s="35"/>
      <c r="FW882" s="35"/>
      <c r="FX882" s="35"/>
      <c r="FY882" s="35"/>
      <c r="FZ882" s="35"/>
      <c r="GA882" s="35"/>
      <c r="GB882" s="35"/>
      <c r="GC882" s="35"/>
      <c r="GD882" s="35"/>
      <c r="GE882" s="35"/>
      <c r="GF882" s="35"/>
      <c r="GG882" s="35"/>
      <c r="GH882" s="35"/>
      <c r="GI882" s="35"/>
      <c r="GJ882" s="35"/>
      <c r="GK882" s="35"/>
      <c r="GL882" s="35"/>
      <c r="GM882" s="35"/>
      <c r="GN882" s="35"/>
      <c r="GO882" s="35"/>
      <c r="GP882" s="35"/>
      <c r="GQ882" s="35"/>
      <c r="GR882" s="35"/>
      <c r="GS882" s="35"/>
      <c r="GT882" s="35"/>
      <c r="GU882" s="35"/>
      <c r="GV882" s="35"/>
      <c r="GW882" s="35"/>
      <c r="GX882" s="35"/>
      <c r="GY882" s="35"/>
      <c r="GZ882" s="35"/>
      <c r="HA882" s="35"/>
      <c r="HB882" s="35"/>
      <c r="HC882" s="35"/>
      <c r="HD882" s="35"/>
      <c r="HE882" s="35"/>
      <c r="HF882" s="35"/>
      <c r="HG882" s="35"/>
      <c r="HH882" s="35"/>
      <c r="HI882" s="35"/>
      <c r="HJ882" s="35"/>
      <c r="HK882" s="35"/>
      <c r="HL882" s="35"/>
      <c r="HM882" s="35"/>
      <c r="HN882" s="35"/>
      <c r="HO882" s="35"/>
      <c r="HP882" s="35"/>
      <c r="HQ882" s="35"/>
      <c r="HR882" s="35"/>
      <c r="HS882" s="35"/>
      <c r="HT882" s="35"/>
      <c r="HU882" s="35"/>
      <c r="HV882" s="35"/>
      <c r="HW882" s="35"/>
      <c r="HX882" s="35"/>
      <c r="HY882" s="35"/>
      <c r="HZ882" s="35"/>
      <c r="IA882" s="35"/>
      <c r="IB882" s="35"/>
      <c r="IC882" s="35"/>
      <c r="ID882" s="35"/>
      <c r="IE882" s="35"/>
      <c r="IF882" s="35"/>
      <c r="IG882" s="35"/>
      <c r="IH882" s="35"/>
      <c r="II882" s="35"/>
      <c r="IJ882" s="35"/>
      <c r="IK882" s="35"/>
      <c r="IL882" s="35"/>
      <c r="IM882" s="35"/>
      <c r="IN882" s="35"/>
      <c r="IO882" s="35"/>
      <c r="IP882" s="35"/>
      <c r="IQ882" s="35"/>
      <c r="IR882" s="35"/>
      <c r="IS882" s="35"/>
      <c r="IT882" s="35"/>
      <c r="IU882" s="35"/>
      <c r="IV882" s="35"/>
      <c r="IW882" s="35"/>
      <c r="IX882" s="35"/>
      <c r="IY882" s="35"/>
      <c r="IZ882" s="35"/>
      <c r="JA882" s="35"/>
      <c r="JB882" s="35"/>
      <c r="JC882" s="35"/>
      <c r="JD882" s="35"/>
      <c r="JE882" s="35"/>
    </row>
    <row r="883">
      <c r="A883" s="42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  <c r="BK883" s="35"/>
      <c r="BL883" s="35"/>
      <c r="BM883" s="35"/>
      <c r="BN883" s="35"/>
      <c r="BO883" s="35"/>
      <c r="BP883" s="35"/>
      <c r="BQ883" s="35"/>
      <c r="BR883" s="35"/>
      <c r="BS883" s="35"/>
      <c r="BT883" s="35"/>
      <c r="BU883" s="35"/>
      <c r="BV883" s="35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35"/>
      <c r="CO883" s="35"/>
      <c r="CP883" s="35"/>
      <c r="CQ883" s="35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35"/>
      <c r="DJ883" s="35"/>
      <c r="DK883" s="35"/>
      <c r="DL883" s="35"/>
      <c r="DM883" s="35"/>
      <c r="DN883" s="35"/>
      <c r="DO883" s="35"/>
      <c r="DP883" s="35"/>
      <c r="DQ883" s="35"/>
      <c r="DR883" s="35"/>
      <c r="DS883" s="35"/>
      <c r="DT883" s="35"/>
      <c r="DU883" s="35"/>
      <c r="DV883" s="35"/>
      <c r="DW883" s="35"/>
      <c r="DX883" s="35"/>
      <c r="DY883" s="35"/>
      <c r="DZ883" s="35"/>
      <c r="EA883" s="35"/>
      <c r="EB883" s="35"/>
      <c r="EC883" s="35"/>
      <c r="ED883" s="35"/>
      <c r="EE883" s="35"/>
      <c r="EF883" s="35"/>
      <c r="EG883" s="35"/>
      <c r="EH883" s="35"/>
      <c r="EI883" s="35"/>
      <c r="EJ883" s="35"/>
      <c r="EK883" s="35"/>
      <c r="EL883" s="35"/>
      <c r="EM883" s="35"/>
      <c r="EN883" s="35"/>
      <c r="EO883" s="35"/>
      <c r="EP883" s="35"/>
      <c r="EQ883" s="35"/>
      <c r="ER883" s="35"/>
      <c r="ES883" s="35"/>
      <c r="ET883" s="35"/>
      <c r="EU883" s="35"/>
      <c r="EV883" s="35"/>
      <c r="EW883" s="35"/>
      <c r="EX883" s="35"/>
      <c r="EY883" s="35"/>
      <c r="EZ883" s="35"/>
      <c r="FA883" s="35"/>
      <c r="FB883" s="35"/>
      <c r="FC883" s="35"/>
      <c r="FD883" s="35"/>
      <c r="FE883" s="35"/>
      <c r="FF883" s="35"/>
      <c r="FG883" s="35"/>
      <c r="FH883" s="35"/>
      <c r="FI883" s="35"/>
      <c r="FJ883" s="35"/>
      <c r="FK883" s="35"/>
      <c r="FL883" s="35"/>
      <c r="FM883" s="35"/>
      <c r="FN883" s="35"/>
      <c r="FO883" s="35"/>
      <c r="FP883" s="35"/>
      <c r="FQ883" s="35"/>
      <c r="FR883" s="35"/>
      <c r="FS883" s="35"/>
      <c r="FT883" s="35"/>
      <c r="FU883" s="35"/>
      <c r="FV883" s="35"/>
      <c r="FW883" s="35"/>
      <c r="FX883" s="35"/>
      <c r="FY883" s="35"/>
      <c r="FZ883" s="35"/>
      <c r="GA883" s="35"/>
      <c r="GB883" s="35"/>
      <c r="GC883" s="35"/>
      <c r="GD883" s="35"/>
      <c r="GE883" s="35"/>
      <c r="GF883" s="35"/>
      <c r="GG883" s="35"/>
      <c r="GH883" s="35"/>
      <c r="GI883" s="35"/>
      <c r="GJ883" s="35"/>
      <c r="GK883" s="35"/>
      <c r="GL883" s="35"/>
      <c r="GM883" s="35"/>
      <c r="GN883" s="35"/>
      <c r="GO883" s="35"/>
      <c r="GP883" s="35"/>
      <c r="GQ883" s="35"/>
      <c r="GR883" s="35"/>
      <c r="GS883" s="35"/>
      <c r="GT883" s="35"/>
      <c r="GU883" s="35"/>
      <c r="GV883" s="35"/>
      <c r="GW883" s="35"/>
      <c r="GX883" s="35"/>
      <c r="GY883" s="35"/>
      <c r="GZ883" s="35"/>
      <c r="HA883" s="35"/>
      <c r="HB883" s="35"/>
      <c r="HC883" s="35"/>
      <c r="HD883" s="35"/>
      <c r="HE883" s="35"/>
      <c r="HF883" s="35"/>
      <c r="HG883" s="35"/>
      <c r="HH883" s="35"/>
      <c r="HI883" s="35"/>
      <c r="HJ883" s="35"/>
      <c r="HK883" s="35"/>
      <c r="HL883" s="35"/>
      <c r="HM883" s="35"/>
      <c r="HN883" s="35"/>
      <c r="HO883" s="35"/>
      <c r="HP883" s="35"/>
      <c r="HQ883" s="35"/>
      <c r="HR883" s="35"/>
      <c r="HS883" s="35"/>
      <c r="HT883" s="35"/>
      <c r="HU883" s="35"/>
      <c r="HV883" s="35"/>
      <c r="HW883" s="35"/>
      <c r="HX883" s="35"/>
      <c r="HY883" s="35"/>
      <c r="HZ883" s="35"/>
      <c r="IA883" s="35"/>
      <c r="IB883" s="35"/>
      <c r="IC883" s="35"/>
      <c r="ID883" s="35"/>
      <c r="IE883" s="35"/>
      <c r="IF883" s="35"/>
      <c r="IG883" s="35"/>
      <c r="IH883" s="35"/>
      <c r="II883" s="35"/>
      <c r="IJ883" s="35"/>
      <c r="IK883" s="35"/>
      <c r="IL883" s="35"/>
      <c r="IM883" s="35"/>
      <c r="IN883" s="35"/>
      <c r="IO883" s="35"/>
      <c r="IP883" s="35"/>
      <c r="IQ883" s="35"/>
      <c r="IR883" s="35"/>
      <c r="IS883" s="35"/>
      <c r="IT883" s="35"/>
      <c r="IU883" s="35"/>
      <c r="IV883" s="35"/>
      <c r="IW883" s="35"/>
      <c r="IX883" s="35"/>
      <c r="IY883" s="35"/>
      <c r="IZ883" s="35"/>
      <c r="JA883" s="35"/>
      <c r="JB883" s="35"/>
      <c r="JC883" s="35"/>
      <c r="JD883" s="35"/>
      <c r="JE883" s="35"/>
    </row>
    <row r="884">
      <c r="A884" s="42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  <c r="BK884" s="35"/>
      <c r="BL884" s="35"/>
      <c r="BM884" s="35"/>
      <c r="BN884" s="35"/>
      <c r="BO884" s="35"/>
      <c r="BP884" s="35"/>
      <c r="BQ884" s="35"/>
      <c r="BR884" s="35"/>
      <c r="BS884" s="35"/>
      <c r="BT884" s="35"/>
      <c r="BU884" s="35"/>
      <c r="BV884" s="35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35"/>
      <c r="CO884" s="35"/>
      <c r="CP884" s="35"/>
      <c r="CQ884" s="35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35"/>
      <c r="DJ884" s="35"/>
      <c r="DK884" s="35"/>
      <c r="DL884" s="35"/>
      <c r="DM884" s="35"/>
      <c r="DN884" s="35"/>
      <c r="DO884" s="35"/>
      <c r="DP884" s="35"/>
      <c r="DQ884" s="35"/>
      <c r="DR884" s="35"/>
      <c r="DS884" s="35"/>
      <c r="DT884" s="35"/>
      <c r="DU884" s="35"/>
      <c r="DV884" s="35"/>
      <c r="DW884" s="35"/>
      <c r="DX884" s="35"/>
      <c r="DY884" s="35"/>
      <c r="DZ884" s="35"/>
      <c r="EA884" s="35"/>
      <c r="EB884" s="35"/>
      <c r="EC884" s="35"/>
      <c r="ED884" s="35"/>
      <c r="EE884" s="35"/>
      <c r="EF884" s="35"/>
      <c r="EG884" s="35"/>
      <c r="EH884" s="35"/>
      <c r="EI884" s="35"/>
      <c r="EJ884" s="35"/>
      <c r="EK884" s="35"/>
      <c r="EL884" s="35"/>
      <c r="EM884" s="35"/>
      <c r="EN884" s="35"/>
      <c r="EO884" s="35"/>
      <c r="EP884" s="35"/>
      <c r="EQ884" s="35"/>
      <c r="ER884" s="35"/>
      <c r="ES884" s="35"/>
      <c r="ET884" s="35"/>
      <c r="EU884" s="35"/>
      <c r="EV884" s="35"/>
      <c r="EW884" s="35"/>
      <c r="EX884" s="35"/>
      <c r="EY884" s="35"/>
      <c r="EZ884" s="35"/>
      <c r="FA884" s="35"/>
      <c r="FB884" s="35"/>
      <c r="FC884" s="35"/>
      <c r="FD884" s="35"/>
      <c r="FE884" s="35"/>
      <c r="FF884" s="35"/>
      <c r="FG884" s="35"/>
      <c r="FH884" s="35"/>
      <c r="FI884" s="35"/>
      <c r="FJ884" s="35"/>
      <c r="FK884" s="35"/>
      <c r="FL884" s="35"/>
      <c r="FM884" s="35"/>
      <c r="FN884" s="35"/>
      <c r="FO884" s="35"/>
      <c r="FP884" s="35"/>
      <c r="FQ884" s="35"/>
      <c r="FR884" s="35"/>
      <c r="FS884" s="35"/>
      <c r="FT884" s="35"/>
      <c r="FU884" s="35"/>
      <c r="FV884" s="35"/>
      <c r="FW884" s="35"/>
      <c r="FX884" s="35"/>
      <c r="FY884" s="35"/>
      <c r="FZ884" s="35"/>
      <c r="GA884" s="35"/>
      <c r="GB884" s="35"/>
      <c r="GC884" s="35"/>
      <c r="GD884" s="35"/>
      <c r="GE884" s="35"/>
      <c r="GF884" s="35"/>
      <c r="GG884" s="35"/>
      <c r="GH884" s="35"/>
      <c r="GI884" s="35"/>
      <c r="GJ884" s="35"/>
      <c r="GK884" s="35"/>
      <c r="GL884" s="35"/>
      <c r="GM884" s="35"/>
      <c r="GN884" s="35"/>
      <c r="GO884" s="35"/>
      <c r="GP884" s="35"/>
      <c r="GQ884" s="35"/>
      <c r="GR884" s="35"/>
      <c r="GS884" s="35"/>
      <c r="GT884" s="35"/>
      <c r="GU884" s="35"/>
      <c r="GV884" s="35"/>
      <c r="GW884" s="35"/>
      <c r="GX884" s="35"/>
      <c r="GY884" s="35"/>
      <c r="GZ884" s="35"/>
      <c r="HA884" s="35"/>
      <c r="HB884" s="35"/>
      <c r="HC884" s="35"/>
      <c r="HD884" s="35"/>
      <c r="HE884" s="35"/>
      <c r="HF884" s="35"/>
      <c r="HG884" s="35"/>
      <c r="HH884" s="35"/>
      <c r="HI884" s="35"/>
      <c r="HJ884" s="35"/>
      <c r="HK884" s="35"/>
      <c r="HL884" s="35"/>
      <c r="HM884" s="35"/>
      <c r="HN884" s="35"/>
      <c r="HO884" s="35"/>
      <c r="HP884" s="35"/>
      <c r="HQ884" s="35"/>
      <c r="HR884" s="35"/>
      <c r="HS884" s="35"/>
      <c r="HT884" s="35"/>
      <c r="HU884" s="35"/>
      <c r="HV884" s="35"/>
      <c r="HW884" s="35"/>
      <c r="HX884" s="35"/>
      <c r="HY884" s="35"/>
      <c r="HZ884" s="35"/>
      <c r="IA884" s="35"/>
      <c r="IB884" s="35"/>
      <c r="IC884" s="35"/>
      <c r="ID884" s="35"/>
      <c r="IE884" s="35"/>
      <c r="IF884" s="35"/>
      <c r="IG884" s="35"/>
      <c r="IH884" s="35"/>
      <c r="II884" s="35"/>
      <c r="IJ884" s="35"/>
      <c r="IK884" s="35"/>
      <c r="IL884" s="35"/>
      <c r="IM884" s="35"/>
      <c r="IN884" s="35"/>
      <c r="IO884" s="35"/>
      <c r="IP884" s="35"/>
      <c r="IQ884" s="35"/>
      <c r="IR884" s="35"/>
      <c r="IS884" s="35"/>
      <c r="IT884" s="35"/>
      <c r="IU884" s="35"/>
      <c r="IV884" s="35"/>
      <c r="IW884" s="35"/>
      <c r="IX884" s="35"/>
      <c r="IY884" s="35"/>
      <c r="IZ884" s="35"/>
      <c r="JA884" s="35"/>
      <c r="JB884" s="35"/>
      <c r="JC884" s="35"/>
      <c r="JD884" s="35"/>
      <c r="JE884" s="35"/>
    </row>
    <row r="885">
      <c r="A885" s="42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  <c r="BK885" s="35"/>
      <c r="BL885" s="35"/>
      <c r="BM885" s="35"/>
      <c r="BN885" s="35"/>
      <c r="BO885" s="35"/>
      <c r="BP885" s="35"/>
      <c r="BQ885" s="35"/>
      <c r="BR885" s="35"/>
      <c r="BS885" s="35"/>
      <c r="BT885" s="35"/>
      <c r="BU885" s="35"/>
      <c r="BV885" s="35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35"/>
      <c r="CO885" s="35"/>
      <c r="CP885" s="35"/>
      <c r="CQ885" s="35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35"/>
      <c r="DJ885" s="35"/>
      <c r="DK885" s="35"/>
      <c r="DL885" s="35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35"/>
      <c r="EE885" s="35"/>
      <c r="EF885" s="35"/>
      <c r="EG885" s="35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  <c r="ER885" s="35"/>
      <c r="ES885" s="35"/>
      <c r="ET885" s="35"/>
      <c r="EU885" s="35"/>
      <c r="EV885" s="35"/>
      <c r="EW885" s="35"/>
      <c r="EX885" s="35"/>
      <c r="EY885" s="35"/>
      <c r="EZ885" s="35"/>
      <c r="FA885" s="35"/>
      <c r="FB885" s="35"/>
      <c r="FC885" s="35"/>
      <c r="FD885" s="35"/>
      <c r="FE885" s="35"/>
      <c r="FF885" s="35"/>
      <c r="FG885" s="35"/>
      <c r="FH885" s="35"/>
      <c r="FI885" s="35"/>
      <c r="FJ885" s="35"/>
      <c r="FK885" s="35"/>
      <c r="FL885" s="35"/>
      <c r="FM885" s="35"/>
      <c r="FN885" s="35"/>
      <c r="FO885" s="35"/>
      <c r="FP885" s="35"/>
      <c r="FQ885" s="35"/>
      <c r="FR885" s="35"/>
      <c r="FS885" s="35"/>
      <c r="FT885" s="35"/>
      <c r="FU885" s="35"/>
      <c r="FV885" s="35"/>
      <c r="FW885" s="35"/>
      <c r="FX885" s="35"/>
      <c r="FY885" s="35"/>
      <c r="FZ885" s="35"/>
      <c r="GA885" s="35"/>
      <c r="GB885" s="35"/>
      <c r="GC885" s="35"/>
      <c r="GD885" s="35"/>
      <c r="GE885" s="35"/>
      <c r="GF885" s="35"/>
      <c r="GG885" s="35"/>
      <c r="GH885" s="35"/>
      <c r="GI885" s="35"/>
      <c r="GJ885" s="35"/>
      <c r="GK885" s="35"/>
      <c r="GL885" s="35"/>
      <c r="GM885" s="35"/>
      <c r="GN885" s="35"/>
      <c r="GO885" s="35"/>
      <c r="GP885" s="35"/>
      <c r="GQ885" s="35"/>
      <c r="GR885" s="35"/>
      <c r="GS885" s="35"/>
      <c r="GT885" s="35"/>
      <c r="GU885" s="35"/>
      <c r="GV885" s="35"/>
      <c r="GW885" s="35"/>
      <c r="GX885" s="35"/>
      <c r="GY885" s="35"/>
      <c r="GZ885" s="35"/>
      <c r="HA885" s="35"/>
      <c r="HB885" s="35"/>
      <c r="HC885" s="35"/>
      <c r="HD885" s="35"/>
      <c r="HE885" s="35"/>
      <c r="HF885" s="35"/>
      <c r="HG885" s="35"/>
      <c r="HH885" s="35"/>
      <c r="HI885" s="35"/>
      <c r="HJ885" s="35"/>
      <c r="HK885" s="35"/>
      <c r="HL885" s="35"/>
      <c r="HM885" s="35"/>
      <c r="HN885" s="35"/>
      <c r="HO885" s="35"/>
      <c r="HP885" s="35"/>
      <c r="HQ885" s="35"/>
      <c r="HR885" s="35"/>
      <c r="HS885" s="35"/>
      <c r="HT885" s="35"/>
      <c r="HU885" s="35"/>
      <c r="HV885" s="35"/>
      <c r="HW885" s="35"/>
      <c r="HX885" s="35"/>
      <c r="HY885" s="35"/>
      <c r="HZ885" s="35"/>
      <c r="IA885" s="35"/>
      <c r="IB885" s="35"/>
      <c r="IC885" s="35"/>
      <c r="ID885" s="35"/>
      <c r="IE885" s="35"/>
      <c r="IF885" s="35"/>
      <c r="IG885" s="35"/>
      <c r="IH885" s="35"/>
      <c r="II885" s="35"/>
      <c r="IJ885" s="35"/>
      <c r="IK885" s="35"/>
      <c r="IL885" s="35"/>
      <c r="IM885" s="35"/>
      <c r="IN885" s="35"/>
      <c r="IO885" s="35"/>
      <c r="IP885" s="35"/>
      <c r="IQ885" s="35"/>
      <c r="IR885" s="35"/>
      <c r="IS885" s="35"/>
      <c r="IT885" s="35"/>
      <c r="IU885" s="35"/>
      <c r="IV885" s="35"/>
      <c r="IW885" s="35"/>
      <c r="IX885" s="35"/>
      <c r="IY885" s="35"/>
      <c r="IZ885" s="35"/>
      <c r="JA885" s="35"/>
      <c r="JB885" s="35"/>
      <c r="JC885" s="35"/>
      <c r="JD885" s="35"/>
      <c r="JE885" s="35"/>
    </row>
    <row r="886">
      <c r="A886" s="42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  <c r="BK886" s="35"/>
      <c r="BL886" s="35"/>
      <c r="BM886" s="35"/>
      <c r="BN886" s="35"/>
      <c r="BO886" s="35"/>
      <c r="BP886" s="35"/>
      <c r="BQ886" s="35"/>
      <c r="BR886" s="35"/>
      <c r="BS886" s="35"/>
      <c r="BT886" s="35"/>
      <c r="BU886" s="35"/>
      <c r="BV886" s="35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35"/>
      <c r="CO886" s="35"/>
      <c r="CP886" s="35"/>
      <c r="CQ886" s="35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35"/>
      <c r="DJ886" s="35"/>
      <c r="DK886" s="35"/>
      <c r="DL886" s="35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35"/>
      <c r="EE886" s="35"/>
      <c r="EF886" s="35"/>
      <c r="EG886" s="35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  <c r="ER886" s="35"/>
      <c r="ES886" s="35"/>
      <c r="ET886" s="35"/>
      <c r="EU886" s="35"/>
      <c r="EV886" s="35"/>
      <c r="EW886" s="35"/>
      <c r="EX886" s="35"/>
      <c r="EY886" s="35"/>
      <c r="EZ886" s="35"/>
      <c r="FA886" s="35"/>
      <c r="FB886" s="35"/>
      <c r="FC886" s="35"/>
      <c r="FD886" s="35"/>
      <c r="FE886" s="35"/>
      <c r="FF886" s="35"/>
      <c r="FG886" s="35"/>
      <c r="FH886" s="35"/>
      <c r="FI886" s="35"/>
      <c r="FJ886" s="35"/>
      <c r="FK886" s="35"/>
      <c r="FL886" s="35"/>
      <c r="FM886" s="35"/>
      <c r="FN886" s="35"/>
      <c r="FO886" s="35"/>
      <c r="FP886" s="35"/>
      <c r="FQ886" s="35"/>
      <c r="FR886" s="35"/>
      <c r="FS886" s="35"/>
      <c r="FT886" s="35"/>
      <c r="FU886" s="35"/>
      <c r="FV886" s="35"/>
      <c r="FW886" s="35"/>
      <c r="FX886" s="35"/>
      <c r="FY886" s="35"/>
      <c r="FZ886" s="35"/>
      <c r="GA886" s="35"/>
      <c r="GB886" s="35"/>
      <c r="GC886" s="35"/>
      <c r="GD886" s="35"/>
      <c r="GE886" s="35"/>
      <c r="GF886" s="35"/>
      <c r="GG886" s="35"/>
      <c r="GH886" s="35"/>
      <c r="GI886" s="35"/>
      <c r="GJ886" s="35"/>
      <c r="GK886" s="35"/>
      <c r="GL886" s="35"/>
      <c r="GM886" s="35"/>
      <c r="GN886" s="35"/>
      <c r="GO886" s="35"/>
      <c r="GP886" s="35"/>
      <c r="GQ886" s="35"/>
      <c r="GR886" s="35"/>
      <c r="GS886" s="35"/>
      <c r="GT886" s="35"/>
      <c r="GU886" s="35"/>
      <c r="GV886" s="35"/>
      <c r="GW886" s="35"/>
      <c r="GX886" s="35"/>
      <c r="GY886" s="35"/>
      <c r="GZ886" s="35"/>
      <c r="HA886" s="35"/>
      <c r="HB886" s="35"/>
      <c r="HC886" s="35"/>
      <c r="HD886" s="35"/>
      <c r="HE886" s="35"/>
      <c r="HF886" s="35"/>
      <c r="HG886" s="35"/>
      <c r="HH886" s="35"/>
      <c r="HI886" s="35"/>
      <c r="HJ886" s="35"/>
      <c r="HK886" s="35"/>
      <c r="HL886" s="35"/>
      <c r="HM886" s="35"/>
      <c r="HN886" s="35"/>
      <c r="HO886" s="35"/>
      <c r="HP886" s="35"/>
      <c r="HQ886" s="35"/>
      <c r="HR886" s="35"/>
      <c r="HS886" s="35"/>
      <c r="HT886" s="35"/>
      <c r="HU886" s="35"/>
      <c r="HV886" s="35"/>
      <c r="HW886" s="35"/>
      <c r="HX886" s="35"/>
      <c r="HY886" s="35"/>
      <c r="HZ886" s="35"/>
      <c r="IA886" s="35"/>
      <c r="IB886" s="35"/>
      <c r="IC886" s="35"/>
      <c r="ID886" s="35"/>
      <c r="IE886" s="35"/>
      <c r="IF886" s="35"/>
      <c r="IG886" s="35"/>
      <c r="IH886" s="35"/>
      <c r="II886" s="35"/>
      <c r="IJ886" s="35"/>
      <c r="IK886" s="35"/>
      <c r="IL886" s="35"/>
      <c r="IM886" s="35"/>
      <c r="IN886" s="35"/>
      <c r="IO886" s="35"/>
      <c r="IP886" s="35"/>
      <c r="IQ886" s="35"/>
      <c r="IR886" s="35"/>
      <c r="IS886" s="35"/>
      <c r="IT886" s="35"/>
      <c r="IU886" s="35"/>
      <c r="IV886" s="35"/>
      <c r="IW886" s="35"/>
      <c r="IX886" s="35"/>
      <c r="IY886" s="35"/>
      <c r="IZ886" s="35"/>
      <c r="JA886" s="35"/>
      <c r="JB886" s="35"/>
      <c r="JC886" s="35"/>
      <c r="JD886" s="35"/>
      <c r="JE886" s="35"/>
    </row>
    <row r="887">
      <c r="A887" s="42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  <c r="BK887" s="35"/>
      <c r="BL887" s="35"/>
      <c r="BM887" s="35"/>
      <c r="BN887" s="35"/>
      <c r="BO887" s="35"/>
      <c r="BP887" s="35"/>
      <c r="BQ887" s="35"/>
      <c r="BR887" s="35"/>
      <c r="BS887" s="35"/>
      <c r="BT887" s="35"/>
      <c r="BU887" s="35"/>
      <c r="BV887" s="35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35"/>
      <c r="CO887" s="35"/>
      <c r="CP887" s="35"/>
      <c r="CQ887" s="35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35"/>
      <c r="DJ887" s="35"/>
      <c r="DK887" s="35"/>
      <c r="DL887" s="35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35"/>
      <c r="EE887" s="35"/>
      <c r="EF887" s="35"/>
      <c r="EG887" s="35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  <c r="ER887" s="35"/>
      <c r="ES887" s="35"/>
      <c r="ET887" s="35"/>
      <c r="EU887" s="35"/>
      <c r="EV887" s="35"/>
      <c r="EW887" s="35"/>
      <c r="EX887" s="35"/>
      <c r="EY887" s="35"/>
      <c r="EZ887" s="35"/>
      <c r="FA887" s="35"/>
      <c r="FB887" s="35"/>
      <c r="FC887" s="35"/>
      <c r="FD887" s="35"/>
      <c r="FE887" s="35"/>
      <c r="FF887" s="35"/>
      <c r="FG887" s="35"/>
      <c r="FH887" s="35"/>
      <c r="FI887" s="35"/>
      <c r="FJ887" s="35"/>
      <c r="FK887" s="35"/>
      <c r="FL887" s="35"/>
      <c r="FM887" s="35"/>
      <c r="FN887" s="35"/>
      <c r="FO887" s="35"/>
      <c r="FP887" s="35"/>
      <c r="FQ887" s="35"/>
      <c r="FR887" s="35"/>
      <c r="FS887" s="35"/>
      <c r="FT887" s="35"/>
      <c r="FU887" s="35"/>
      <c r="FV887" s="35"/>
      <c r="FW887" s="35"/>
      <c r="FX887" s="35"/>
      <c r="FY887" s="35"/>
      <c r="FZ887" s="35"/>
      <c r="GA887" s="35"/>
      <c r="GB887" s="35"/>
      <c r="GC887" s="35"/>
      <c r="GD887" s="35"/>
      <c r="GE887" s="35"/>
      <c r="GF887" s="35"/>
      <c r="GG887" s="35"/>
      <c r="GH887" s="35"/>
      <c r="GI887" s="35"/>
      <c r="GJ887" s="35"/>
      <c r="GK887" s="35"/>
      <c r="GL887" s="35"/>
      <c r="GM887" s="35"/>
      <c r="GN887" s="35"/>
      <c r="GO887" s="35"/>
      <c r="GP887" s="35"/>
      <c r="GQ887" s="35"/>
      <c r="GR887" s="35"/>
      <c r="GS887" s="35"/>
      <c r="GT887" s="35"/>
      <c r="GU887" s="35"/>
      <c r="GV887" s="35"/>
      <c r="GW887" s="35"/>
      <c r="GX887" s="35"/>
      <c r="GY887" s="35"/>
      <c r="GZ887" s="35"/>
      <c r="HA887" s="35"/>
      <c r="HB887" s="35"/>
      <c r="HC887" s="35"/>
      <c r="HD887" s="35"/>
      <c r="HE887" s="35"/>
      <c r="HF887" s="35"/>
      <c r="HG887" s="35"/>
      <c r="HH887" s="35"/>
      <c r="HI887" s="35"/>
      <c r="HJ887" s="35"/>
      <c r="HK887" s="35"/>
      <c r="HL887" s="35"/>
      <c r="HM887" s="35"/>
      <c r="HN887" s="35"/>
      <c r="HO887" s="35"/>
      <c r="HP887" s="35"/>
      <c r="HQ887" s="35"/>
      <c r="HR887" s="35"/>
      <c r="HS887" s="35"/>
      <c r="HT887" s="35"/>
      <c r="HU887" s="35"/>
      <c r="HV887" s="35"/>
      <c r="HW887" s="35"/>
      <c r="HX887" s="35"/>
      <c r="HY887" s="35"/>
      <c r="HZ887" s="35"/>
      <c r="IA887" s="35"/>
      <c r="IB887" s="35"/>
      <c r="IC887" s="35"/>
      <c r="ID887" s="35"/>
      <c r="IE887" s="35"/>
      <c r="IF887" s="35"/>
      <c r="IG887" s="35"/>
      <c r="IH887" s="35"/>
      <c r="II887" s="35"/>
      <c r="IJ887" s="35"/>
      <c r="IK887" s="35"/>
      <c r="IL887" s="35"/>
      <c r="IM887" s="35"/>
      <c r="IN887" s="35"/>
      <c r="IO887" s="35"/>
      <c r="IP887" s="35"/>
      <c r="IQ887" s="35"/>
      <c r="IR887" s="35"/>
      <c r="IS887" s="35"/>
      <c r="IT887" s="35"/>
      <c r="IU887" s="35"/>
      <c r="IV887" s="35"/>
      <c r="IW887" s="35"/>
      <c r="IX887" s="35"/>
      <c r="IY887" s="35"/>
      <c r="IZ887" s="35"/>
      <c r="JA887" s="35"/>
      <c r="JB887" s="35"/>
      <c r="JC887" s="35"/>
      <c r="JD887" s="35"/>
      <c r="JE887" s="35"/>
    </row>
    <row r="888">
      <c r="A888" s="42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  <c r="BK888" s="35"/>
      <c r="BL888" s="35"/>
      <c r="BM888" s="35"/>
      <c r="BN888" s="35"/>
      <c r="BO888" s="35"/>
      <c r="BP888" s="35"/>
      <c r="BQ888" s="35"/>
      <c r="BR888" s="35"/>
      <c r="BS888" s="35"/>
      <c r="BT888" s="35"/>
      <c r="BU888" s="35"/>
      <c r="BV888" s="35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35"/>
      <c r="CO888" s="35"/>
      <c r="CP888" s="35"/>
      <c r="CQ888" s="35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35"/>
      <c r="DJ888" s="35"/>
      <c r="DK888" s="35"/>
      <c r="DL888" s="35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35"/>
      <c r="EE888" s="35"/>
      <c r="EF888" s="35"/>
      <c r="EG888" s="35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  <c r="ER888" s="35"/>
      <c r="ES888" s="35"/>
      <c r="ET888" s="35"/>
      <c r="EU888" s="35"/>
      <c r="EV888" s="35"/>
      <c r="EW888" s="35"/>
      <c r="EX888" s="35"/>
      <c r="EY888" s="35"/>
      <c r="EZ888" s="35"/>
      <c r="FA888" s="35"/>
      <c r="FB888" s="35"/>
      <c r="FC888" s="35"/>
      <c r="FD888" s="35"/>
      <c r="FE888" s="35"/>
      <c r="FF888" s="35"/>
      <c r="FG888" s="35"/>
      <c r="FH888" s="35"/>
      <c r="FI888" s="35"/>
      <c r="FJ888" s="35"/>
      <c r="FK888" s="35"/>
      <c r="FL888" s="35"/>
      <c r="FM888" s="35"/>
      <c r="FN888" s="35"/>
      <c r="FO888" s="35"/>
      <c r="FP888" s="35"/>
      <c r="FQ888" s="35"/>
      <c r="FR888" s="35"/>
      <c r="FS888" s="35"/>
      <c r="FT888" s="35"/>
      <c r="FU888" s="35"/>
      <c r="FV888" s="35"/>
      <c r="FW888" s="35"/>
      <c r="FX888" s="35"/>
      <c r="FY888" s="35"/>
      <c r="FZ888" s="35"/>
      <c r="GA888" s="35"/>
      <c r="GB888" s="35"/>
      <c r="GC888" s="35"/>
      <c r="GD888" s="35"/>
      <c r="GE888" s="35"/>
      <c r="GF888" s="35"/>
      <c r="GG888" s="35"/>
      <c r="GH888" s="35"/>
      <c r="GI888" s="35"/>
      <c r="GJ888" s="35"/>
      <c r="GK888" s="35"/>
      <c r="GL888" s="35"/>
      <c r="GM888" s="35"/>
      <c r="GN888" s="35"/>
      <c r="GO888" s="35"/>
      <c r="GP888" s="35"/>
      <c r="GQ888" s="35"/>
      <c r="GR888" s="35"/>
      <c r="GS888" s="35"/>
      <c r="GT888" s="35"/>
      <c r="GU888" s="35"/>
      <c r="GV888" s="35"/>
      <c r="GW888" s="35"/>
      <c r="GX888" s="35"/>
      <c r="GY888" s="35"/>
      <c r="GZ888" s="35"/>
      <c r="HA888" s="35"/>
      <c r="HB888" s="35"/>
      <c r="HC888" s="35"/>
      <c r="HD888" s="35"/>
      <c r="HE888" s="35"/>
      <c r="HF888" s="35"/>
      <c r="HG888" s="35"/>
      <c r="HH888" s="35"/>
      <c r="HI888" s="35"/>
      <c r="HJ888" s="35"/>
      <c r="HK888" s="35"/>
      <c r="HL888" s="35"/>
      <c r="HM888" s="35"/>
      <c r="HN888" s="35"/>
      <c r="HO888" s="35"/>
      <c r="HP888" s="35"/>
      <c r="HQ888" s="35"/>
      <c r="HR888" s="35"/>
      <c r="HS888" s="35"/>
      <c r="HT888" s="35"/>
      <c r="HU888" s="35"/>
      <c r="HV888" s="35"/>
      <c r="HW888" s="35"/>
      <c r="HX888" s="35"/>
      <c r="HY888" s="35"/>
      <c r="HZ888" s="35"/>
      <c r="IA888" s="35"/>
      <c r="IB888" s="35"/>
      <c r="IC888" s="35"/>
      <c r="ID888" s="35"/>
      <c r="IE888" s="35"/>
      <c r="IF888" s="35"/>
      <c r="IG888" s="35"/>
      <c r="IH888" s="35"/>
      <c r="II888" s="35"/>
      <c r="IJ888" s="35"/>
      <c r="IK888" s="35"/>
      <c r="IL888" s="35"/>
      <c r="IM888" s="35"/>
      <c r="IN888" s="35"/>
      <c r="IO888" s="35"/>
      <c r="IP888" s="35"/>
      <c r="IQ888" s="35"/>
      <c r="IR888" s="35"/>
      <c r="IS888" s="35"/>
      <c r="IT888" s="35"/>
      <c r="IU888" s="35"/>
      <c r="IV888" s="35"/>
      <c r="IW888" s="35"/>
      <c r="IX888" s="35"/>
      <c r="IY888" s="35"/>
      <c r="IZ888" s="35"/>
      <c r="JA888" s="35"/>
      <c r="JB888" s="35"/>
      <c r="JC888" s="35"/>
      <c r="JD888" s="35"/>
      <c r="JE888" s="35"/>
    </row>
    <row r="889">
      <c r="A889" s="42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  <c r="BK889" s="35"/>
      <c r="BL889" s="35"/>
      <c r="BM889" s="35"/>
      <c r="BN889" s="35"/>
      <c r="BO889" s="35"/>
      <c r="BP889" s="35"/>
      <c r="BQ889" s="35"/>
      <c r="BR889" s="35"/>
      <c r="BS889" s="35"/>
      <c r="BT889" s="35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35"/>
      <c r="CO889" s="35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35"/>
      <c r="DJ889" s="35"/>
      <c r="DK889" s="35"/>
      <c r="DL889" s="35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35"/>
      <c r="EE889" s="35"/>
      <c r="EF889" s="35"/>
      <c r="EG889" s="35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  <c r="ER889" s="35"/>
      <c r="ES889" s="35"/>
      <c r="ET889" s="35"/>
      <c r="EU889" s="35"/>
      <c r="EV889" s="35"/>
      <c r="EW889" s="35"/>
      <c r="EX889" s="35"/>
      <c r="EY889" s="35"/>
      <c r="EZ889" s="35"/>
      <c r="FA889" s="35"/>
      <c r="FB889" s="35"/>
      <c r="FC889" s="35"/>
      <c r="FD889" s="35"/>
      <c r="FE889" s="35"/>
      <c r="FF889" s="35"/>
      <c r="FG889" s="35"/>
      <c r="FH889" s="35"/>
      <c r="FI889" s="35"/>
      <c r="FJ889" s="35"/>
      <c r="FK889" s="35"/>
      <c r="FL889" s="35"/>
      <c r="FM889" s="35"/>
      <c r="FN889" s="35"/>
      <c r="FO889" s="35"/>
      <c r="FP889" s="35"/>
      <c r="FQ889" s="35"/>
      <c r="FR889" s="35"/>
      <c r="FS889" s="35"/>
      <c r="FT889" s="35"/>
      <c r="FU889" s="35"/>
      <c r="FV889" s="35"/>
      <c r="FW889" s="35"/>
      <c r="FX889" s="35"/>
      <c r="FY889" s="35"/>
      <c r="FZ889" s="35"/>
      <c r="GA889" s="35"/>
      <c r="GB889" s="35"/>
      <c r="GC889" s="35"/>
      <c r="GD889" s="35"/>
      <c r="GE889" s="35"/>
      <c r="GF889" s="35"/>
      <c r="GG889" s="35"/>
      <c r="GH889" s="35"/>
      <c r="GI889" s="35"/>
      <c r="GJ889" s="35"/>
      <c r="GK889" s="35"/>
      <c r="GL889" s="35"/>
      <c r="GM889" s="35"/>
      <c r="GN889" s="35"/>
      <c r="GO889" s="35"/>
      <c r="GP889" s="35"/>
      <c r="GQ889" s="35"/>
      <c r="GR889" s="35"/>
      <c r="GS889" s="35"/>
      <c r="GT889" s="35"/>
      <c r="GU889" s="35"/>
      <c r="GV889" s="35"/>
      <c r="GW889" s="35"/>
      <c r="GX889" s="35"/>
      <c r="GY889" s="35"/>
      <c r="GZ889" s="35"/>
      <c r="HA889" s="35"/>
      <c r="HB889" s="35"/>
      <c r="HC889" s="35"/>
      <c r="HD889" s="35"/>
      <c r="HE889" s="35"/>
      <c r="HF889" s="35"/>
      <c r="HG889" s="35"/>
      <c r="HH889" s="35"/>
      <c r="HI889" s="35"/>
      <c r="HJ889" s="35"/>
      <c r="HK889" s="35"/>
      <c r="HL889" s="35"/>
      <c r="HM889" s="35"/>
      <c r="HN889" s="35"/>
      <c r="HO889" s="35"/>
      <c r="HP889" s="35"/>
      <c r="HQ889" s="35"/>
      <c r="HR889" s="35"/>
      <c r="HS889" s="35"/>
      <c r="HT889" s="35"/>
      <c r="HU889" s="35"/>
      <c r="HV889" s="35"/>
      <c r="HW889" s="35"/>
      <c r="HX889" s="35"/>
      <c r="HY889" s="35"/>
      <c r="HZ889" s="35"/>
      <c r="IA889" s="35"/>
      <c r="IB889" s="35"/>
      <c r="IC889" s="35"/>
      <c r="ID889" s="35"/>
      <c r="IE889" s="35"/>
      <c r="IF889" s="35"/>
      <c r="IG889" s="35"/>
      <c r="IH889" s="35"/>
      <c r="II889" s="35"/>
      <c r="IJ889" s="35"/>
      <c r="IK889" s="35"/>
      <c r="IL889" s="35"/>
      <c r="IM889" s="35"/>
      <c r="IN889" s="35"/>
      <c r="IO889" s="35"/>
      <c r="IP889" s="35"/>
      <c r="IQ889" s="35"/>
      <c r="IR889" s="35"/>
      <c r="IS889" s="35"/>
      <c r="IT889" s="35"/>
      <c r="IU889" s="35"/>
      <c r="IV889" s="35"/>
      <c r="IW889" s="35"/>
      <c r="IX889" s="35"/>
      <c r="IY889" s="35"/>
      <c r="IZ889" s="35"/>
      <c r="JA889" s="35"/>
      <c r="JB889" s="35"/>
      <c r="JC889" s="35"/>
      <c r="JD889" s="35"/>
      <c r="JE889" s="35"/>
    </row>
    <row r="890">
      <c r="A890" s="42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  <c r="BK890" s="35"/>
      <c r="BL890" s="35"/>
      <c r="BM890" s="35"/>
      <c r="BN890" s="35"/>
      <c r="BO890" s="35"/>
      <c r="BP890" s="35"/>
      <c r="BQ890" s="35"/>
      <c r="BR890" s="35"/>
      <c r="BS890" s="35"/>
      <c r="BT890" s="35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35"/>
      <c r="CO890" s="35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35"/>
      <c r="DJ890" s="35"/>
      <c r="DK890" s="35"/>
      <c r="DL890" s="35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35"/>
      <c r="EE890" s="35"/>
      <c r="EF890" s="35"/>
      <c r="EG890" s="35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  <c r="ER890" s="35"/>
      <c r="ES890" s="35"/>
      <c r="ET890" s="35"/>
      <c r="EU890" s="35"/>
      <c r="EV890" s="35"/>
      <c r="EW890" s="35"/>
      <c r="EX890" s="35"/>
      <c r="EY890" s="35"/>
      <c r="EZ890" s="35"/>
      <c r="FA890" s="35"/>
      <c r="FB890" s="35"/>
      <c r="FC890" s="35"/>
      <c r="FD890" s="35"/>
      <c r="FE890" s="35"/>
      <c r="FF890" s="35"/>
      <c r="FG890" s="35"/>
      <c r="FH890" s="35"/>
      <c r="FI890" s="35"/>
      <c r="FJ890" s="35"/>
      <c r="FK890" s="35"/>
      <c r="FL890" s="35"/>
      <c r="FM890" s="35"/>
      <c r="FN890" s="35"/>
      <c r="FO890" s="35"/>
      <c r="FP890" s="35"/>
      <c r="FQ890" s="35"/>
      <c r="FR890" s="35"/>
      <c r="FS890" s="35"/>
      <c r="FT890" s="35"/>
      <c r="FU890" s="35"/>
      <c r="FV890" s="35"/>
      <c r="FW890" s="35"/>
      <c r="FX890" s="35"/>
      <c r="FY890" s="35"/>
      <c r="FZ890" s="35"/>
      <c r="GA890" s="35"/>
      <c r="GB890" s="35"/>
      <c r="GC890" s="35"/>
      <c r="GD890" s="35"/>
      <c r="GE890" s="35"/>
      <c r="GF890" s="35"/>
      <c r="GG890" s="35"/>
      <c r="GH890" s="35"/>
      <c r="GI890" s="35"/>
      <c r="GJ890" s="35"/>
      <c r="GK890" s="35"/>
      <c r="GL890" s="35"/>
      <c r="GM890" s="35"/>
      <c r="GN890" s="35"/>
      <c r="GO890" s="35"/>
      <c r="GP890" s="35"/>
      <c r="GQ890" s="35"/>
      <c r="GR890" s="35"/>
      <c r="GS890" s="35"/>
      <c r="GT890" s="35"/>
      <c r="GU890" s="35"/>
      <c r="GV890" s="35"/>
      <c r="GW890" s="35"/>
      <c r="GX890" s="35"/>
      <c r="GY890" s="35"/>
      <c r="GZ890" s="35"/>
      <c r="HA890" s="35"/>
      <c r="HB890" s="35"/>
      <c r="HC890" s="35"/>
      <c r="HD890" s="35"/>
      <c r="HE890" s="35"/>
      <c r="HF890" s="35"/>
      <c r="HG890" s="35"/>
      <c r="HH890" s="35"/>
      <c r="HI890" s="35"/>
      <c r="HJ890" s="35"/>
      <c r="HK890" s="35"/>
      <c r="HL890" s="35"/>
      <c r="HM890" s="35"/>
      <c r="HN890" s="35"/>
      <c r="HO890" s="35"/>
      <c r="HP890" s="35"/>
      <c r="HQ890" s="35"/>
      <c r="HR890" s="35"/>
      <c r="HS890" s="35"/>
      <c r="HT890" s="35"/>
      <c r="HU890" s="35"/>
      <c r="HV890" s="35"/>
      <c r="HW890" s="35"/>
      <c r="HX890" s="35"/>
      <c r="HY890" s="35"/>
      <c r="HZ890" s="35"/>
      <c r="IA890" s="35"/>
      <c r="IB890" s="35"/>
      <c r="IC890" s="35"/>
      <c r="ID890" s="35"/>
      <c r="IE890" s="35"/>
      <c r="IF890" s="35"/>
      <c r="IG890" s="35"/>
      <c r="IH890" s="35"/>
      <c r="II890" s="35"/>
      <c r="IJ890" s="35"/>
      <c r="IK890" s="35"/>
      <c r="IL890" s="35"/>
      <c r="IM890" s="35"/>
      <c r="IN890" s="35"/>
      <c r="IO890" s="35"/>
      <c r="IP890" s="35"/>
      <c r="IQ890" s="35"/>
      <c r="IR890" s="35"/>
      <c r="IS890" s="35"/>
      <c r="IT890" s="35"/>
      <c r="IU890" s="35"/>
      <c r="IV890" s="35"/>
      <c r="IW890" s="35"/>
      <c r="IX890" s="35"/>
      <c r="IY890" s="35"/>
      <c r="IZ890" s="35"/>
      <c r="JA890" s="35"/>
      <c r="JB890" s="35"/>
      <c r="JC890" s="35"/>
      <c r="JD890" s="35"/>
      <c r="JE890" s="35"/>
    </row>
    <row r="891">
      <c r="A891" s="42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  <c r="BC891" s="35"/>
      <c r="BD891" s="35"/>
      <c r="BE891" s="35"/>
      <c r="BF891" s="35"/>
      <c r="BG891" s="35"/>
      <c r="BH891" s="35"/>
      <c r="BI891" s="35"/>
      <c r="BJ891" s="35"/>
      <c r="BK891" s="35"/>
      <c r="BL891" s="35"/>
      <c r="BM891" s="35"/>
      <c r="BN891" s="35"/>
      <c r="BO891" s="35"/>
      <c r="BP891" s="35"/>
      <c r="BQ891" s="35"/>
      <c r="BR891" s="35"/>
      <c r="BS891" s="35"/>
      <c r="BT891" s="35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35"/>
      <c r="CO891" s="35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35"/>
      <c r="DJ891" s="35"/>
      <c r="DK891" s="35"/>
      <c r="DL891" s="35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35"/>
      <c r="EE891" s="35"/>
      <c r="EF891" s="35"/>
      <c r="EG891" s="35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  <c r="ER891" s="35"/>
      <c r="ES891" s="35"/>
      <c r="ET891" s="35"/>
      <c r="EU891" s="35"/>
      <c r="EV891" s="35"/>
      <c r="EW891" s="35"/>
      <c r="EX891" s="35"/>
      <c r="EY891" s="35"/>
      <c r="EZ891" s="35"/>
      <c r="FA891" s="35"/>
      <c r="FB891" s="35"/>
      <c r="FC891" s="35"/>
      <c r="FD891" s="35"/>
      <c r="FE891" s="35"/>
      <c r="FF891" s="35"/>
      <c r="FG891" s="35"/>
      <c r="FH891" s="35"/>
      <c r="FI891" s="35"/>
      <c r="FJ891" s="35"/>
      <c r="FK891" s="35"/>
      <c r="FL891" s="35"/>
      <c r="FM891" s="35"/>
      <c r="FN891" s="35"/>
      <c r="FO891" s="35"/>
      <c r="FP891" s="35"/>
      <c r="FQ891" s="35"/>
      <c r="FR891" s="35"/>
      <c r="FS891" s="35"/>
      <c r="FT891" s="35"/>
      <c r="FU891" s="35"/>
      <c r="FV891" s="35"/>
      <c r="FW891" s="35"/>
      <c r="FX891" s="35"/>
      <c r="FY891" s="35"/>
      <c r="FZ891" s="35"/>
      <c r="GA891" s="35"/>
      <c r="GB891" s="35"/>
      <c r="GC891" s="35"/>
      <c r="GD891" s="35"/>
      <c r="GE891" s="35"/>
      <c r="GF891" s="35"/>
      <c r="GG891" s="35"/>
      <c r="GH891" s="35"/>
      <c r="GI891" s="35"/>
      <c r="GJ891" s="35"/>
      <c r="GK891" s="35"/>
      <c r="GL891" s="35"/>
      <c r="GM891" s="35"/>
      <c r="GN891" s="35"/>
      <c r="GO891" s="35"/>
      <c r="GP891" s="35"/>
      <c r="GQ891" s="35"/>
      <c r="GR891" s="35"/>
      <c r="GS891" s="35"/>
      <c r="GT891" s="35"/>
      <c r="GU891" s="35"/>
      <c r="GV891" s="35"/>
      <c r="GW891" s="35"/>
      <c r="GX891" s="35"/>
      <c r="GY891" s="35"/>
      <c r="GZ891" s="35"/>
      <c r="HA891" s="35"/>
      <c r="HB891" s="35"/>
      <c r="HC891" s="35"/>
      <c r="HD891" s="35"/>
      <c r="HE891" s="35"/>
      <c r="HF891" s="35"/>
      <c r="HG891" s="35"/>
      <c r="HH891" s="35"/>
      <c r="HI891" s="35"/>
      <c r="HJ891" s="35"/>
      <c r="HK891" s="35"/>
      <c r="HL891" s="35"/>
      <c r="HM891" s="35"/>
      <c r="HN891" s="35"/>
      <c r="HO891" s="35"/>
      <c r="HP891" s="35"/>
      <c r="HQ891" s="35"/>
      <c r="HR891" s="35"/>
      <c r="HS891" s="35"/>
      <c r="HT891" s="35"/>
      <c r="HU891" s="35"/>
      <c r="HV891" s="35"/>
      <c r="HW891" s="35"/>
      <c r="HX891" s="35"/>
      <c r="HY891" s="35"/>
      <c r="HZ891" s="35"/>
      <c r="IA891" s="35"/>
      <c r="IB891" s="35"/>
      <c r="IC891" s="35"/>
      <c r="ID891" s="35"/>
      <c r="IE891" s="35"/>
      <c r="IF891" s="35"/>
      <c r="IG891" s="35"/>
      <c r="IH891" s="35"/>
      <c r="II891" s="35"/>
      <c r="IJ891" s="35"/>
      <c r="IK891" s="35"/>
      <c r="IL891" s="35"/>
      <c r="IM891" s="35"/>
      <c r="IN891" s="35"/>
      <c r="IO891" s="35"/>
      <c r="IP891" s="35"/>
      <c r="IQ891" s="35"/>
      <c r="IR891" s="35"/>
      <c r="IS891" s="35"/>
      <c r="IT891" s="35"/>
      <c r="IU891" s="35"/>
      <c r="IV891" s="35"/>
      <c r="IW891" s="35"/>
      <c r="IX891" s="35"/>
      <c r="IY891" s="35"/>
      <c r="IZ891" s="35"/>
      <c r="JA891" s="35"/>
      <c r="JB891" s="35"/>
      <c r="JC891" s="35"/>
      <c r="JD891" s="35"/>
      <c r="JE891" s="35"/>
    </row>
    <row r="892">
      <c r="A892" s="42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  <c r="BC892" s="35"/>
      <c r="BD892" s="35"/>
      <c r="BE892" s="35"/>
      <c r="BF892" s="35"/>
      <c r="BG892" s="35"/>
      <c r="BH892" s="35"/>
      <c r="BI892" s="35"/>
      <c r="BJ892" s="35"/>
      <c r="BK892" s="35"/>
      <c r="BL892" s="35"/>
      <c r="BM892" s="35"/>
      <c r="BN892" s="35"/>
      <c r="BO892" s="35"/>
      <c r="BP892" s="35"/>
      <c r="BQ892" s="35"/>
      <c r="BR892" s="35"/>
      <c r="BS892" s="35"/>
      <c r="BT892" s="35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35"/>
      <c r="CO892" s="35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35"/>
      <c r="DJ892" s="35"/>
      <c r="DK892" s="35"/>
      <c r="DL892" s="35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35"/>
      <c r="EE892" s="35"/>
      <c r="EF892" s="35"/>
      <c r="EG892" s="35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35"/>
      <c r="EZ892" s="35"/>
      <c r="FA892" s="35"/>
      <c r="FB892" s="35"/>
      <c r="FC892" s="35"/>
      <c r="FD892" s="35"/>
      <c r="FE892" s="35"/>
      <c r="FF892" s="35"/>
      <c r="FG892" s="35"/>
      <c r="FH892" s="35"/>
      <c r="FI892" s="35"/>
      <c r="FJ892" s="35"/>
      <c r="FK892" s="35"/>
      <c r="FL892" s="35"/>
      <c r="FM892" s="35"/>
      <c r="FN892" s="35"/>
      <c r="FO892" s="35"/>
      <c r="FP892" s="35"/>
      <c r="FQ892" s="35"/>
      <c r="FR892" s="35"/>
      <c r="FS892" s="35"/>
      <c r="FT892" s="35"/>
      <c r="FU892" s="35"/>
      <c r="FV892" s="35"/>
      <c r="FW892" s="35"/>
      <c r="FX892" s="35"/>
      <c r="FY892" s="35"/>
      <c r="FZ892" s="35"/>
      <c r="GA892" s="35"/>
      <c r="GB892" s="35"/>
      <c r="GC892" s="35"/>
      <c r="GD892" s="35"/>
      <c r="GE892" s="35"/>
      <c r="GF892" s="35"/>
      <c r="GG892" s="35"/>
      <c r="GH892" s="35"/>
      <c r="GI892" s="35"/>
      <c r="GJ892" s="35"/>
      <c r="GK892" s="35"/>
      <c r="GL892" s="35"/>
      <c r="GM892" s="35"/>
      <c r="GN892" s="35"/>
      <c r="GO892" s="35"/>
      <c r="GP892" s="35"/>
      <c r="GQ892" s="35"/>
      <c r="GR892" s="35"/>
      <c r="GS892" s="35"/>
      <c r="GT892" s="35"/>
      <c r="GU892" s="35"/>
      <c r="GV892" s="35"/>
      <c r="GW892" s="35"/>
      <c r="GX892" s="35"/>
      <c r="GY892" s="35"/>
      <c r="GZ892" s="35"/>
      <c r="HA892" s="35"/>
      <c r="HB892" s="35"/>
      <c r="HC892" s="35"/>
      <c r="HD892" s="35"/>
      <c r="HE892" s="35"/>
      <c r="HF892" s="35"/>
      <c r="HG892" s="35"/>
      <c r="HH892" s="35"/>
      <c r="HI892" s="35"/>
      <c r="HJ892" s="35"/>
      <c r="HK892" s="35"/>
      <c r="HL892" s="35"/>
      <c r="HM892" s="35"/>
      <c r="HN892" s="35"/>
      <c r="HO892" s="35"/>
      <c r="HP892" s="35"/>
      <c r="HQ892" s="35"/>
      <c r="HR892" s="35"/>
      <c r="HS892" s="35"/>
      <c r="HT892" s="35"/>
      <c r="HU892" s="35"/>
      <c r="HV892" s="35"/>
      <c r="HW892" s="35"/>
      <c r="HX892" s="35"/>
      <c r="HY892" s="35"/>
      <c r="HZ892" s="35"/>
      <c r="IA892" s="35"/>
      <c r="IB892" s="35"/>
      <c r="IC892" s="35"/>
      <c r="ID892" s="35"/>
      <c r="IE892" s="35"/>
      <c r="IF892" s="35"/>
      <c r="IG892" s="35"/>
      <c r="IH892" s="35"/>
      <c r="II892" s="35"/>
      <c r="IJ892" s="35"/>
      <c r="IK892" s="35"/>
      <c r="IL892" s="35"/>
      <c r="IM892" s="35"/>
      <c r="IN892" s="35"/>
      <c r="IO892" s="35"/>
      <c r="IP892" s="35"/>
      <c r="IQ892" s="35"/>
      <c r="IR892" s="35"/>
      <c r="IS892" s="35"/>
      <c r="IT892" s="35"/>
      <c r="IU892" s="35"/>
      <c r="IV892" s="35"/>
      <c r="IW892" s="35"/>
      <c r="IX892" s="35"/>
      <c r="IY892" s="35"/>
      <c r="IZ892" s="35"/>
      <c r="JA892" s="35"/>
      <c r="JB892" s="35"/>
      <c r="JC892" s="35"/>
      <c r="JD892" s="35"/>
      <c r="JE892" s="35"/>
    </row>
    <row r="893">
      <c r="A893" s="42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  <c r="BG893" s="35"/>
      <c r="BH893" s="35"/>
      <c r="BI893" s="35"/>
      <c r="BJ893" s="35"/>
      <c r="BK893" s="35"/>
      <c r="BL893" s="35"/>
      <c r="BM893" s="35"/>
      <c r="BN893" s="35"/>
      <c r="BO893" s="35"/>
      <c r="BP893" s="35"/>
      <c r="BQ893" s="35"/>
      <c r="BR893" s="35"/>
      <c r="BS893" s="35"/>
      <c r="BT893" s="35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35"/>
      <c r="CO893" s="35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35"/>
      <c r="DJ893" s="35"/>
      <c r="DK893" s="35"/>
      <c r="DL893" s="35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35"/>
      <c r="EE893" s="35"/>
      <c r="EF893" s="35"/>
      <c r="EG893" s="35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35"/>
      <c r="EZ893" s="35"/>
      <c r="FA893" s="35"/>
      <c r="FB893" s="35"/>
      <c r="FC893" s="35"/>
      <c r="FD893" s="35"/>
      <c r="FE893" s="35"/>
      <c r="FF893" s="35"/>
      <c r="FG893" s="35"/>
      <c r="FH893" s="35"/>
      <c r="FI893" s="35"/>
      <c r="FJ893" s="35"/>
      <c r="FK893" s="35"/>
      <c r="FL893" s="35"/>
      <c r="FM893" s="35"/>
      <c r="FN893" s="35"/>
      <c r="FO893" s="35"/>
      <c r="FP893" s="35"/>
      <c r="FQ893" s="35"/>
      <c r="FR893" s="35"/>
      <c r="FS893" s="35"/>
      <c r="FT893" s="35"/>
      <c r="FU893" s="35"/>
      <c r="FV893" s="35"/>
      <c r="FW893" s="35"/>
      <c r="FX893" s="35"/>
      <c r="FY893" s="35"/>
      <c r="FZ893" s="35"/>
      <c r="GA893" s="35"/>
      <c r="GB893" s="35"/>
      <c r="GC893" s="35"/>
      <c r="GD893" s="35"/>
      <c r="GE893" s="35"/>
      <c r="GF893" s="35"/>
      <c r="GG893" s="35"/>
      <c r="GH893" s="35"/>
      <c r="GI893" s="35"/>
      <c r="GJ893" s="35"/>
      <c r="GK893" s="35"/>
      <c r="GL893" s="35"/>
      <c r="GM893" s="35"/>
      <c r="GN893" s="35"/>
      <c r="GO893" s="35"/>
      <c r="GP893" s="35"/>
      <c r="GQ893" s="35"/>
      <c r="GR893" s="35"/>
      <c r="GS893" s="35"/>
      <c r="GT893" s="35"/>
      <c r="GU893" s="35"/>
      <c r="GV893" s="35"/>
      <c r="GW893" s="35"/>
      <c r="GX893" s="35"/>
      <c r="GY893" s="35"/>
      <c r="GZ893" s="35"/>
      <c r="HA893" s="35"/>
      <c r="HB893" s="35"/>
      <c r="HC893" s="35"/>
      <c r="HD893" s="35"/>
      <c r="HE893" s="35"/>
      <c r="HF893" s="35"/>
      <c r="HG893" s="35"/>
      <c r="HH893" s="35"/>
      <c r="HI893" s="35"/>
      <c r="HJ893" s="35"/>
      <c r="HK893" s="35"/>
      <c r="HL893" s="35"/>
      <c r="HM893" s="35"/>
      <c r="HN893" s="35"/>
      <c r="HO893" s="35"/>
      <c r="HP893" s="35"/>
      <c r="HQ893" s="35"/>
      <c r="HR893" s="35"/>
      <c r="HS893" s="35"/>
      <c r="HT893" s="35"/>
      <c r="HU893" s="35"/>
      <c r="HV893" s="35"/>
      <c r="HW893" s="35"/>
      <c r="HX893" s="35"/>
      <c r="HY893" s="35"/>
      <c r="HZ893" s="35"/>
      <c r="IA893" s="35"/>
      <c r="IB893" s="35"/>
      <c r="IC893" s="35"/>
      <c r="ID893" s="35"/>
      <c r="IE893" s="35"/>
      <c r="IF893" s="35"/>
      <c r="IG893" s="35"/>
      <c r="IH893" s="35"/>
      <c r="II893" s="35"/>
      <c r="IJ893" s="35"/>
      <c r="IK893" s="35"/>
      <c r="IL893" s="35"/>
      <c r="IM893" s="35"/>
      <c r="IN893" s="35"/>
      <c r="IO893" s="35"/>
      <c r="IP893" s="35"/>
      <c r="IQ893" s="35"/>
      <c r="IR893" s="35"/>
      <c r="IS893" s="35"/>
      <c r="IT893" s="35"/>
      <c r="IU893" s="35"/>
      <c r="IV893" s="35"/>
      <c r="IW893" s="35"/>
      <c r="IX893" s="35"/>
      <c r="IY893" s="35"/>
      <c r="IZ893" s="35"/>
      <c r="JA893" s="35"/>
      <c r="JB893" s="35"/>
      <c r="JC893" s="35"/>
      <c r="JD893" s="35"/>
      <c r="JE893" s="35"/>
    </row>
    <row r="894">
      <c r="A894" s="42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  <c r="BC894" s="35"/>
      <c r="BD894" s="35"/>
      <c r="BE894" s="35"/>
      <c r="BF894" s="35"/>
      <c r="BG894" s="35"/>
      <c r="BH894" s="35"/>
      <c r="BI894" s="35"/>
      <c r="BJ894" s="35"/>
      <c r="BK894" s="35"/>
      <c r="BL894" s="35"/>
      <c r="BM894" s="35"/>
      <c r="BN894" s="35"/>
      <c r="BO894" s="35"/>
      <c r="BP894" s="35"/>
      <c r="BQ894" s="35"/>
      <c r="BR894" s="35"/>
      <c r="BS894" s="35"/>
      <c r="BT894" s="35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35"/>
      <c r="CO894" s="35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35"/>
      <c r="DJ894" s="35"/>
      <c r="DK894" s="35"/>
      <c r="DL894" s="35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35"/>
      <c r="EE894" s="35"/>
      <c r="EF894" s="35"/>
      <c r="EG894" s="35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35"/>
      <c r="EZ894" s="35"/>
      <c r="FA894" s="35"/>
      <c r="FB894" s="35"/>
      <c r="FC894" s="35"/>
      <c r="FD894" s="35"/>
      <c r="FE894" s="35"/>
      <c r="FF894" s="35"/>
      <c r="FG894" s="35"/>
      <c r="FH894" s="35"/>
      <c r="FI894" s="35"/>
      <c r="FJ894" s="35"/>
      <c r="FK894" s="35"/>
      <c r="FL894" s="35"/>
      <c r="FM894" s="35"/>
      <c r="FN894" s="35"/>
      <c r="FO894" s="35"/>
      <c r="FP894" s="35"/>
      <c r="FQ894" s="35"/>
      <c r="FR894" s="35"/>
      <c r="FS894" s="35"/>
      <c r="FT894" s="35"/>
      <c r="FU894" s="35"/>
      <c r="FV894" s="35"/>
      <c r="FW894" s="35"/>
      <c r="FX894" s="35"/>
      <c r="FY894" s="35"/>
      <c r="FZ894" s="35"/>
      <c r="GA894" s="35"/>
      <c r="GB894" s="35"/>
      <c r="GC894" s="35"/>
      <c r="GD894" s="35"/>
      <c r="GE894" s="35"/>
      <c r="GF894" s="35"/>
      <c r="GG894" s="35"/>
      <c r="GH894" s="35"/>
      <c r="GI894" s="35"/>
      <c r="GJ894" s="35"/>
      <c r="GK894" s="35"/>
      <c r="GL894" s="35"/>
      <c r="GM894" s="35"/>
      <c r="GN894" s="35"/>
      <c r="GO894" s="35"/>
      <c r="GP894" s="35"/>
      <c r="GQ894" s="35"/>
      <c r="GR894" s="35"/>
      <c r="GS894" s="35"/>
      <c r="GT894" s="35"/>
      <c r="GU894" s="35"/>
      <c r="GV894" s="35"/>
      <c r="GW894" s="35"/>
      <c r="GX894" s="35"/>
      <c r="GY894" s="35"/>
      <c r="GZ894" s="35"/>
      <c r="HA894" s="35"/>
      <c r="HB894" s="35"/>
      <c r="HC894" s="35"/>
      <c r="HD894" s="35"/>
      <c r="HE894" s="35"/>
      <c r="HF894" s="35"/>
      <c r="HG894" s="35"/>
      <c r="HH894" s="35"/>
      <c r="HI894" s="35"/>
      <c r="HJ894" s="35"/>
      <c r="HK894" s="35"/>
      <c r="HL894" s="35"/>
      <c r="HM894" s="35"/>
      <c r="HN894" s="35"/>
      <c r="HO894" s="35"/>
      <c r="HP894" s="35"/>
      <c r="HQ894" s="35"/>
      <c r="HR894" s="35"/>
      <c r="HS894" s="35"/>
      <c r="HT894" s="35"/>
      <c r="HU894" s="35"/>
      <c r="HV894" s="35"/>
      <c r="HW894" s="35"/>
      <c r="HX894" s="35"/>
      <c r="HY894" s="35"/>
      <c r="HZ894" s="35"/>
      <c r="IA894" s="35"/>
      <c r="IB894" s="35"/>
      <c r="IC894" s="35"/>
      <c r="ID894" s="35"/>
      <c r="IE894" s="35"/>
      <c r="IF894" s="35"/>
      <c r="IG894" s="35"/>
      <c r="IH894" s="35"/>
      <c r="II894" s="35"/>
      <c r="IJ894" s="35"/>
      <c r="IK894" s="35"/>
      <c r="IL894" s="35"/>
      <c r="IM894" s="35"/>
      <c r="IN894" s="35"/>
      <c r="IO894" s="35"/>
      <c r="IP894" s="35"/>
      <c r="IQ894" s="35"/>
      <c r="IR894" s="35"/>
      <c r="IS894" s="35"/>
      <c r="IT894" s="35"/>
      <c r="IU894" s="35"/>
      <c r="IV894" s="35"/>
      <c r="IW894" s="35"/>
      <c r="IX894" s="35"/>
      <c r="IY894" s="35"/>
      <c r="IZ894" s="35"/>
      <c r="JA894" s="35"/>
      <c r="JB894" s="35"/>
      <c r="JC894" s="35"/>
      <c r="JD894" s="35"/>
      <c r="JE894" s="35"/>
    </row>
    <row r="895">
      <c r="A895" s="42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  <c r="BG895" s="35"/>
      <c r="BH895" s="35"/>
      <c r="BI895" s="35"/>
      <c r="BJ895" s="35"/>
      <c r="BK895" s="35"/>
      <c r="BL895" s="35"/>
      <c r="BM895" s="35"/>
      <c r="BN895" s="35"/>
      <c r="BO895" s="35"/>
      <c r="BP895" s="35"/>
      <c r="BQ895" s="35"/>
      <c r="BR895" s="35"/>
      <c r="BS895" s="35"/>
      <c r="BT895" s="35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35"/>
      <c r="CO895" s="35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35"/>
      <c r="DJ895" s="35"/>
      <c r="DK895" s="35"/>
      <c r="DL895" s="35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35"/>
      <c r="EE895" s="35"/>
      <c r="EF895" s="35"/>
      <c r="EG895" s="35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35"/>
      <c r="EZ895" s="35"/>
      <c r="FA895" s="35"/>
      <c r="FB895" s="35"/>
      <c r="FC895" s="35"/>
      <c r="FD895" s="35"/>
      <c r="FE895" s="35"/>
      <c r="FF895" s="35"/>
      <c r="FG895" s="35"/>
      <c r="FH895" s="35"/>
      <c r="FI895" s="35"/>
      <c r="FJ895" s="35"/>
      <c r="FK895" s="35"/>
      <c r="FL895" s="35"/>
      <c r="FM895" s="35"/>
      <c r="FN895" s="35"/>
      <c r="FO895" s="35"/>
      <c r="FP895" s="35"/>
      <c r="FQ895" s="35"/>
      <c r="FR895" s="35"/>
      <c r="FS895" s="35"/>
      <c r="FT895" s="35"/>
      <c r="FU895" s="35"/>
      <c r="FV895" s="35"/>
      <c r="FW895" s="35"/>
      <c r="FX895" s="35"/>
      <c r="FY895" s="35"/>
      <c r="FZ895" s="35"/>
      <c r="GA895" s="35"/>
      <c r="GB895" s="35"/>
      <c r="GC895" s="35"/>
      <c r="GD895" s="35"/>
      <c r="GE895" s="35"/>
      <c r="GF895" s="35"/>
      <c r="GG895" s="35"/>
      <c r="GH895" s="35"/>
      <c r="GI895" s="35"/>
      <c r="GJ895" s="35"/>
      <c r="GK895" s="35"/>
      <c r="GL895" s="35"/>
      <c r="GM895" s="35"/>
      <c r="GN895" s="35"/>
      <c r="GO895" s="35"/>
      <c r="GP895" s="35"/>
      <c r="GQ895" s="35"/>
      <c r="GR895" s="35"/>
      <c r="GS895" s="35"/>
      <c r="GT895" s="35"/>
      <c r="GU895" s="35"/>
      <c r="GV895" s="35"/>
      <c r="GW895" s="35"/>
      <c r="GX895" s="35"/>
      <c r="GY895" s="35"/>
      <c r="GZ895" s="35"/>
      <c r="HA895" s="35"/>
      <c r="HB895" s="35"/>
      <c r="HC895" s="35"/>
      <c r="HD895" s="35"/>
      <c r="HE895" s="35"/>
      <c r="HF895" s="35"/>
      <c r="HG895" s="35"/>
      <c r="HH895" s="35"/>
      <c r="HI895" s="35"/>
      <c r="HJ895" s="35"/>
      <c r="HK895" s="35"/>
      <c r="HL895" s="35"/>
      <c r="HM895" s="35"/>
      <c r="HN895" s="35"/>
      <c r="HO895" s="35"/>
      <c r="HP895" s="35"/>
      <c r="HQ895" s="35"/>
      <c r="HR895" s="35"/>
      <c r="HS895" s="35"/>
      <c r="HT895" s="35"/>
      <c r="HU895" s="35"/>
      <c r="HV895" s="35"/>
      <c r="HW895" s="35"/>
      <c r="HX895" s="35"/>
      <c r="HY895" s="35"/>
      <c r="HZ895" s="35"/>
      <c r="IA895" s="35"/>
      <c r="IB895" s="35"/>
      <c r="IC895" s="35"/>
      <c r="ID895" s="35"/>
      <c r="IE895" s="35"/>
      <c r="IF895" s="35"/>
      <c r="IG895" s="35"/>
      <c r="IH895" s="35"/>
      <c r="II895" s="35"/>
      <c r="IJ895" s="35"/>
      <c r="IK895" s="35"/>
      <c r="IL895" s="35"/>
      <c r="IM895" s="35"/>
      <c r="IN895" s="35"/>
      <c r="IO895" s="35"/>
      <c r="IP895" s="35"/>
      <c r="IQ895" s="35"/>
      <c r="IR895" s="35"/>
      <c r="IS895" s="35"/>
      <c r="IT895" s="35"/>
      <c r="IU895" s="35"/>
      <c r="IV895" s="35"/>
      <c r="IW895" s="35"/>
      <c r="IX895" s="35"/>
      <c r="IY895" s="35"/>
      <c r="IZ895" s="35"/>
      <c r="JA895" s="35"/>
      <c r="JB895" s="35"/>
      <c r="JC895" s="35"/>
      <c r="JD895" s="35"/>
      <c r="JE895" s="35"/>
    </row>
    <row r="896">
      <c r="A896" s="42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  <c r="BG896" s="35"/>
      <c r="BH896" s="35"/>
      <c r="BI896" s="35"/>
      <c r="BJ896" s="35"/>
      <c r="BK896" s="35"/>
      <c r="BL896" s="35"/>
      <c r="BM896" s="35"/>
      <c r="BN896" s="35"/>
      <c r="BO896" s="35"/>
      <c r="BP896" s="35"/>
      <c r="BQ896" s="35"/>
      <c r="BR896" s="35"/>
      <c r="BS896" s="35"/>
      <c r="BT896" s="35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35"/>
      <c r="CO896" s="35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35"/>
      <c r="DJ896" s="35"/>
      <c r="DK896" s="35"/>
      <c r="DL896" s="35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35"/>
      <c r="EE896" s="35"/>
      <c r="EF896" s="35"/>
      <c r="EG896" s="35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35"/>
      <c r="EZ896" s="35"/>
      <c r="FA896" s="35"/>
      <c r="FB896" s="35"/>
      <c r="FC896" s="35"/>
      <c r="FD896" s="35"/>
      <c r="FE896" s="35"/>
      <c r="FF896" s="35"/>
      <c r="FG896" s="35"/>
      <c r="FH896" s="35"/>
      <c r="FI896" s="35"/>
      <c r="FJ896" s="35"/>
      <c r="FK896" s="35"/>
      <c r="FL896" s="35"/>
      <c r="FM896" s="35"/>
      <c r="FN896" s="35"/>
      <c r="FO896" s="35"/>
      <c r="FP896" s="35"/>
      <c r="FQ896" s="35"/>
      <c r="FR896" s="35"/>
      <c r="FS896" s="35"/>
      <c r="FT896" s="35"/>
      <c r="FU896" s="35"/>
      <c r="FV896" s="35"/>
      <c r="FW896" s="35"/>
      <c r="FX896" s="35"/>
      <c r="FY896" s="35"/>
      <c r="FZ896" s="35"/>
      <c r="GA896" s="35"/>
      <c r="GB896" s="35"/>
      <c r="GC896" s="35"/>
      <c r="GD896" s="35"/>
      <c r="GE896" s="35"/>
      <c r="GF896" s="35"/>
      <c r="GG896" s="35"/>
      <c r="GH896" s="35"/>
      <c r="GI896" s="35"/>
      <c r="GJ896" s="35"/>
      <c r="GK896" s="35"/>
      <c r="GL896" s="35"/>
      <c r="GM896" s="35"/>
      <c r="GN896" s="35"/>
      <c r="GO896" s="35"/>
      <c r="GP896" s="35"/>
      <c r="GQ896" s="35"/>
      <c r="GR896" s="35"/>
      <c r="GS896" s="35"/>
      <c r="GT896" s="35"/>
      <c r="GU896" s="35"/>
      <c r="GV896" s="35"/>
      <c r="GW896" s="35"/>
      <c r="GX896" s="35"/>
      <c r="GY896" s="35"/>
      <c r="GZ896" s="35"/>
      <c r="HA896" s="35"/>
      <c r="HB896" s="35"/>
      <c r="HC896" s="35"/>
      <c r="HD896" s="35"/>
      <c r="HE896" s="35"/>
      <c r="HF896" s="35"/>
      <c r="HG896" s="35"/>
      <c r="HH896" s="35"/>
      <c r="HI896" s="35"/>
      <c r="HJ896" s="35"/>
      <c r="HK896" s="35"/>
      <c r="HL896" s="35"/>
      <c r="HM896" s="35"/>
      <c r="HN896" s="35"/>
      <c r="HO896" s="35"/>
      <c r="HP896" s="35"/>
      <c r="HQ896" s="35"/>
      <c r="HR896" s="35"/>
      <c r="HS896" s="35"/>
      <c r="HT896" s="35"/>
      <c r="HU896" s="35"/>
      <c r="HV896" s="35"/>
      <c r="HW896" s="35"/>
      <c r="HX896" s="35"/>
      <c r="HY896" s="35"/>
      <c r="HZ896" s="35"/>
      <c r="IA896" s="35"/>
      <c r="IB896" s="35"/>
      <c r="IC896" s="35"/>
      <c r="ID896" s="35"/>
      <c r="IE896" s="35"/>
      <c r="IF896" s="35"/>
      <c r="IG896" s="35"/>
      <c r="IH896" s="35"/>
      <c r="II896" s="35"/>
      <c r="IJ896" s="35"/>
      <c r="IK896" s="35"/>
      <c r="IL896" s="35"/>
      <c r="IM896" s="35"/>
      <c r="IN896" s="35"/>
      <c r="IO896" s="35"/>
      <c r="IP896" s="35"/>
      <c r="IQ896" s="35"/>
      <c r="IR896" s="35"/>
      <c r="IS896" s="35"/>
      <c r="IT896" s="35"/>
      <c r="IU896" s="35"/>
      <c r="IV896" s="35"/>
      <c r="IW896" s="35"/>
      <c r="IX896" s="35"/>
      <c r="IY896" s="35"/>
      <c r="IZ896" s="35"/>
      <c r="JA896" s="35"/>
      <c r="JB896" s="35"/>
      <c r="JC896" s="35"/>
      <c r="JD896" s="35"/>
      <c r="JE896" s="35"/>
    </row>
    <row r="897">
      <c r="A897" s="42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  <c r="BG897" s="35"/>
      <c r="BH897" s="35"/>
      <c r="BI897" s="35"/>
      <c r="BJ897" s="35"/>
      <c r="BK897" s="35"/>
      <c r="BL897" s="35"/>
      <c r="BM897" s="35"/>
      <c r="BN897" s="35"/>
      <c r="BO897" s="35"/>
      <c r="BP897" s="35"/>
      <c r="BQ897" s="35"/>
      <c r="BR897" s="35"/>
      <c r="BS897" s="35"/>
      <c r="BT897" s="35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35"/>
      <c r="CO897" s="35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35"/>
      <c r="DJ897" s="35"/>
      <c r="DK897" s="35"/>
      <c r="DL897" s="35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35"/>
      <c r="EE897" s="35"/>
      <c r="EF897" s="35"/>
      <c r="EG897" s="35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  <c r="ER897" s="35"/>
      <c r="ES897" s="35"/>
      <c r="ET897" s="35"/>
      <c r="EU897" s="35"/>
      <c r="EV897" s="35"/>
      <c r="EW897" s="35"/>
      <c r="EX897" s="35"/>
      <c r="EY897" s="35"/>
      <c r="EZ897" s="35"/>
      <c r="FA897" s="35"/>
      <c r="FB897" s="35"/>
      <c r="FC897" s="35"/>
      <c r="FD897" s="35"/>
      <c r="FE897" s="35"/>
      <c r="FF897" s="35"/>
      <c r="FG897" s="35"/>
      <c r="FH897" s="35"/>
      <c r="FI897" s="35"/>
      <c r="FJ897" s="35"/>
      <c r="FK897" s="35"/>
      <c r="FL897" s="35"/>
      <c r="FM897" s="35"/>
      <c r="FN897" s="35"/>
      <c r="FO897" s="35"/>
      <c r="FP897" s="35"/>
      <c r="FQ897" s="35"/>
      <c r="FR897" s="35"/>
      <c r="FS897" s="35"/>
      <c r="FT897" s="35"/>
      <c r="FU897" s="35"/>
      <c r="FV897" s="35"/>
      <c r="FW897" s="35"/>
      <c r="FX897" s="35"/>
      <c r="FY897" s="35"/>
      <c r="FZ897" s="35"/>
      <c r="GA897" s="35"/>
      <c r="GB897" s="35"/>
      <c r="GC897" s="35"/>
      <c r="GD897" s="35"/>
      <c r="GE897" s="35"/>
      <c r="GF897" s="35"/>
      <c r="GG897" s="35"/>
      <c r="GH897" s="35"/>
      <c r="GI897" s="35"/>
      <c r="GJ897" s="35"/>
      <c r="GK897" s="35"/>
      <c r="GL897" s="35"/>
      <c r="GM897" s="35"/>
      <c r="GN897" s="35"/>
      <c r="GO897" s="35"/>
      <c r="GP897" s="35"/>
      <c r="GQ897" s="35"/>
      <c r="GR897" s="35"/>
      <c r="GS897" s="35"/>
      <c r="GT897" s="35"/>
      <c r="GU897" s="35"/>
      <c r="GV897" s="35"/>
      <c r="GW897" s="35"/>
      <c r="GX897" s="35"/>
      <c r="GY897" s="35"/>
      <c r="GZ897" s="35"/>
      <c r="HA897" s="35"/>
      <c r="HB897" s="35"/>
      <c r="HC897" s="35"/>
      <c r="HD897" s="35"/>
      <c r="HE897" s="35"/>
      <c r="HF897" s="35"/>
      <c r="HG897" s="35"/>
      <c r="HH897" s="35"/>
      <c r="HI897" s="35"/>
      <c r="HJ897" s="35"/>
      <c r="HK897" s="35"/>
      <c r="HL897" s="35"/>
      <c r="HM897" s="35"/>
      <c r="HN897" s="35"/>
      <c r="HO897" s="35"/>
      <c r="HP897" s="35"/>
      <c r="HQ897" s="35"/>
      <c r="HR897" s="35"/>
      <c r="HS897" s="35"/>
      <c r="HT897" s="35"/>
      <c r="HU897" s="35"/>
      <c r="HV897" s="35"/>
      <c r="HW897" s="35"/>
      <c r="HX897" s="35"/>
      <c r="HY897" s="35"/>
      <c r="HZ897" s="35"/>
      <c r="IA897" s="35"/>
      <c r="IB897" s="35"/>
      <c r="IC897" s="35"/>
      <c r="ID897" s="35"/>
      <c r="IE897" s="35"/>
      <c r="IF897" s="35"/>
      <c r="IG897" s="35"/>
      <c r="IH897" s="35"/>
      <c r="II897" s="35"/>
      <c r="IJ897" s="35"/>
      <c r="IK897" s="35"/>
      <c r="IL897" s="35"/>
      <c r="IM897" s="35"/>
      <c r="IN897" s="35"/>
      <c r="IO897" s="35"/>
      <c r="IP897" s="35"/>
      <c r="IQ897" s="35"/>
      <c r="IR897" s="35"/>
      <c r="IS897" s="35"/>
      <c r="IT897" s="35"/>
      <c r="IU897" s="35"/>
      <c r="IV897" s="35"/>
      <c r="IW897" s="35"/>
      <c r="IX897" s="35"/>
      <c r="IY897" s="35"/>
      <c r="IZ897" s="35"/>
      <c r="JA897" s="35"/>
      <c r="JB897" s="35"/>
      <c r="JC897" s="35"/>
      <c r="JD897" s="35"/>
      <c r="JE897" s="35"/>
    </row>
    <row r="898">
      <c r="A898" s="42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  <c r="BG898" s="35"/>
      <c r="BH898" s="35"/>
      <c r="BI898" s="35"/>
      <c r="BJ898" s="35"/>
      <c r="BK898" s="35"/>
      <c r="BL898" s="35"/>
      <c r="BM898" s="35"/>
      <c r="BN898" s="35"/>
      <c r="BO898" s="35"/>
      <c r="BP898" s="35"/>
      <c r="BQ898" s="35"/>
      <c r="BR898" s="35"/>
      <c r="BS898" s="35"/>
      <c r="BT898" s="35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35"/>
      <c r="CO898" s="35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35"/>
      <c r="DJ898" s="35"/>
      <c r="DK898" s="35"/>
      <c r="DL898" s="35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35"/>
      <c r="EE898" s="35"/>
      <c r="EF898" s="35"/>
      <c r="EG898" s="35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  <c r="ER898" s="35"/>
      <c r="ES898" s="35"/>
      <c r="ET898" s="35"/>
      <c r="EU898" s="35"/>
      <c r="EV898" s="35"/>
      <c r="EW898" s="35"/>
      <c r="EX898" s="35"/>
      <c r="EY898" s="35"/>
      <c r="EZ898" s="35"/>
      <c r="FA898" s="35"/>
      <c r="FB898" s="35"/>
      <c r="FC898" s="35"/>
      <c r="FD898" s="35"/>
      <c r="FE898" s="35"/>
      <c r="FF898" s="35"/>
      <c r="FG898" s="35"/>
      <c r="FH898" s="35"/>
      <c r="FI898" s="35"/>
      <c r="FJ898" s="35"/>
      <c r="FK898" s="35"/>
      <c r="FL898" s="35"/>
      <c r="FM898" s="35"/>
      <c r="FN898" s="35"/>
      <c r="FO898" s="35"/>
      <c r="FP898" s="35"/>
      <c r="FQ898" s="35"/>
      <c r="FR898" s="35"/>
      <c r="FS898" s="35"/>
      <c r="FT898" s="35"/>
      <c r="FU898" s="35"/>
      <c r="FV898" s="35"/>
      <c r="FW898" s="35"/>
      <c r="FX898" s="35"/>
      <c r="FY898" s="35"/>
      <c r="FZ898" s="35"/>
      <c r="GA898" s="35"/>
      <c r="GB898" s="35"/>
      <c r="GC898" s="35"/>
      <c r="GD898" s="35"/>
      <c r="GE898" s="35"/>
      <c r="GF898" s="35"/>
      <c r="GG898" s="35"/>
      <c r="GH898" s="35"/>
      <c r="GI898" s="35"/>
      <c r="GJ898" s="35"/>
      <c r="GK898" s="35"/>
      <c r="GL898" s="35"/>
      <c r="GM898" s="35"/>
      <c r="GN898" s="35"/>
      <c r="GO898" s="35"/>
      <c r="GP898" s="35"/>
      <c r="GQ898" s="35"/>
      <c r="GR898" s="35"/>
      <c r="GS898" s="35"/>
      <c r="GT898" s="35"/>
      <c r="GU898" s="35"/>
      <c r="GV898" s="35"/>
      <c r="GW898" s="35"/>
      <c r="GX898" s="35"/>
      <c r="GY898" s="35"/>
      <c r="GZ898" s="35"/>
      <c r="HA898" s="35"/>
      <c r="HB898" s="35"/>
      <c r="HC898" s="35"/>
      <c r="HD898" s="35"/>
      <c r="HE898" s="35"/>
      <c r="HF898" s="35"/>
      <c r="HG898" s="35"/>
      <c r="HH898" s="35"/>
      <c r="HI898" s="35"/>
      <c r="HJ898" s="35"/>
      <c r="HK898" s="35"/>
      <c r="HL898" s="35"/>
      <c r="HM898" s="35"/>
      <c r="HN898" s="35"/>
      <c r="HO898" s="35"/>
      <c r="HP898" s="35"/>
      <c r="HQ898" s="35"/>
      <c r="HR898" s="35"/>
      <c r="HS898" s="35"/>
      <c r="HT898" s="35"/>
      <c r="HU898" s="35"/>
      <c r="HV898" s="35"/>
      <c r="HW898" s="35"/>
      <c r="HX898" s="35"/>
      <c r="HY898" s="35"/>
      <c r="HZ898" s="35"/>
      <c r="IA898" s="35"/>
      <c r="IB898" s="35"/>
      <c r="IC898" s="35"/>
      <c r="ID898" s="35"/>
      <c r="IE898" s="35"/>
      <c r="IF898" s="35"/>
      <c r="IG898" s="35"/>
      <c r="IH898" s="35"/>
      <c r="II898" s="35"/>
      <c r="IJ898" s="35"/>
      <c r="IK898" s="35"/>
      <c r="IL898" s="35"/>
      <c r="IM898" s="35"/>
      <c r="IN898" s="35"/>
      <c r="IO898" s="35"/>
      <c r="IP898" s="35"/>
      <c r="IQ898" s="35"/>
      <c r="IR898" s="35"/>
      <c r="IS898" s="35"/>
      <c r="IT898" s="35"/>
      <c r="IU898" s="35"/>
      <c r="IV898" s="35"/>
      <c r="IW898" s="35"/>
      <c r="IX898" s="35"/>
      <c r="IY898" s="35"/>
      <c r="IZ898" s="35"/>
      <c r="JA898" s="35"/>
      <c r="JB898" s="35"/>
      <c r="JC898" s="35"/>
      <c r="JD898" s="35"/>
      <c r="JE898" s="35"/>
    </row>
    <row r="899">
      <c r="A899" s="42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  <c r="BC899" s="35"/>
      <c r="BD899" s="35"/>
      <c r="BE899" s="35"/>
      <c r="BF899" s="35"/>
      <c r="BG899" s="35"/>
      <c r="BH899" s="35"/>
      <c r="BI899" s="35"/>
      <c r="BJ899" s="35"/>
      <c r="BK899" s="35"/>
      <c r="BL899" s="35"/>
      <c r="BM899" s="35"/>
      <c r="BN899" s="35"/>
      <c r="BO899" s="35"/>
      <c r="BP899" s="35"/>
      <c r="BQ899" s="35"/>
      <c r="BR899" s="35"/>
      <c r="BS899" s="35"/>
      <c r="BT899" s="35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35"/>
      <c r="CO899" s="35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35"/>
      <c r="DJ899" s="35"/>
      <c r="DK899" s="35"/>
      <c r="DL899" s="35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35"/>
      <c r="EE899" s="35"/>
      <c r="EF899" s="35"/>
      <c r="EG899" s="35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  <c r="ER899" s="35"/>
      <c r="ES899" s="35"/>
      <c r="ET899" s="35"/>
      <c r="EU899" s="35"/>
      <c r="EV899" s="35"/>
      <c r="EW899" s="35"/>
      <c r="EX899" s="35"/>
      <c r="EY899" s="35"/>
      <c r="EZ899" s="35"/>
      <c r="FA899" s="35"/>
      <c r="FB899" s="35"/>
      <c r="FC899" s="35"/>
      <c r="FD899" s="35"/>
      <c r="FE899" s="35"/>
      <c r="FF899" s="35"/>
      <c r="FG899" s="35"/>
      <c r="FH899" s="35"/>
      <c r="FI899" s="35"/>
      <c r="FJ899" s="35"/>
      <c r="FK899" s="35"/>
      <c r="FL899" s="35"/>
      <c r="FM899" s="35"/>
      <c r="FN899" s="35"/>
      <c r="FO899" s="35"/>
      <c r="FP899" s="35"/>
      <c r="FQ899" s="35"/>
      <c r="FR899" s="35"/>
      <c r="FS899" s="35"/>
      <c r="FT899" s="35"/>
      <c r="FU899" s="35"/>
      <c r="FV899" s="35"/>
      <c r="FW899" s="35"/>
      <c r="FX899" s="35"/>
      <c r="FY899" s="35"/>
      <c r="FZ899" s="35"/>
      <c r="GA899" s="35"/>
      <c r="GB899" s="35"/>
      <c r="GC899" s="35"/>
      <c r="GD899" s="35"/>
      <c r="GE899" s="35"/>
      <c r="GF899" s="35"/>
      <c r="GG899" s="35"/>
      <c r="GH899" s="35"/>
      <c r="GI899" s="35"/>
      <c r="GJ899" s="35"/>
      <c r="GK899" s="35"/>
      <c r="GL899" s="35"/>
      <c r="GM899" s="35"/>
      <c r="GN899" s="35"/>
      <c r="GO899" s="35"/>
      <c r="GP899" s="35"/>
      <c r="GQ899" s="35"/>
      <c r="GR899" s="35"/>
      <c r="GS899" s="35"/>
      <c r="GT899" s="35"/>
      <c r="GU899" s="35"/>
      <c r="GV899" s="35"/>
      <c r="GW899" s="35"/>
      <c r="GX899" s="35"/>
      <c r="GY899" s="35"/>
      <c r="GZ899" s="35"/>
      <c r="HA899" s="35"/>
      <c r="HB899" s="35"/>
      <c r="HC899" s="35"/>
      <c r="HD899" s="35"/>
      <c r="HE899" s="35"/>
      <c r="HF899" s="35"/>
      <c r="HG899" s="35"/>
      <c r="HH899" s="35"/>
      <c r="HI899" s="35"/>
      <c r="HJ899" s="35"/>
      <c r="HK899" s="35"/>
      <c r="HL899" s="35"/>
      <c r="HM899" s="35"/>
      <c r="HN899" s="35"/>
      <c r="HO899" s="35"/>
      <c r="HP899" s="35"/>
      <c r="HQ899" s="35"/>
      <c r="HR899" s="35"/>
      <c r="HS899" s="35"/>
      <c r="HT899" s="35"/>
      <c r="HU899" s="35"/>
      <c r="HV899" s="35"/>
      <c r="HW899" s="35"/>
      <c r="HX899" s="35"/>
      <c r="HY899" s="35"/>
      <c r="HZ899" s="35"/>
      <c r="IA899" s="35"/>
      <c r="IB899" s="35"/>
      <c r="IC899" s="35"/>
      <c r="ID899" s="35"/>
      <c r="IE899" s="35"/>
      <c r="IF899" s="35"/>
      <c r="IG899" s="35"/>
      <c r="IH899" s="35"/>
      <c r="II899" s="35"/>
      <c r="IJ899" s="35"/>
      <c r="IK899" s="35"/>
      <c r="IL899" s="35"/>
      <c r="IM899" s="35"/>
      <c r="IN899" s="35"/>
      <c r="IO899" s="35"/>
      <c r="IP899" s="35"/>
      <c r="IQ899" s="35"/>
      <c r="IR899" s="35"/>
      <c r="IS899" s="35"/>
      <c r="IT899" s="35"/>
      <c r="IU899" s="35"/>
      <c r="IV899" s="35"/>
      <c r="IW899" s="35"/>
      <c r="IX899" s="35"/>
      <c r="IY899" s="35"/>
      <c r="IZ899" s="35"/>
      <c r="JA899" s="35"/>
      <c r="JB899" s="35"/>
      <c r="JC899" s="35"/>
      <c r="JD899" s="35"/>
      <c r="JE899" s="35"/>
    </row>
    <row r="900">
      <c r="A900" s="42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  <c r="BA900" s="35"/>
      <c r="BB900" s="35"/>
      <c r="BC900" s="35"/>
      <c r="BD900" s="35"/>
      <c r="BE900" s="35"/>
      <c r="BF900" s="35"/>
      <c r="BG900" s="35"/>
      <c r="BH900" s="35"/>
      <c r="BI900" s="35"/>
      <c r="BJ900" s="35"/>
      <c r="BK900" s="35"/>
      <c r="BL900" s="35"/>
      <c r="BM900" s="35"/>
      <c r="BN900" s="35"/>
      <c r="BO900" s="35"/>
      <c r="BP900" s="35"/>
      <c r="BQ900" s="35"/>
      <c r="BR900" s="35"/>
      <c r="BS900" s="35"/>
      <c r="BT900" s="35"/>
      <c r="BU900" s="35"/>
      <c r="BV900" s="35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35"/>
      <c r="CO900" s="35"/>
      <c r="CP900" s="35"/>
      <c r="CQ900" s="35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35"/>
      <c r="DJ900" s="35"/>
      <c r="DK900" s="35"/>
      <c r="DL900" s="35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35"/>
      <c r="EE900" s="35"/>
      <c r="EF900" s="35"/>
      <c r="EG900" s="35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  <c r="ER900" s="35"/>
      <c r="ES900" s="35"/>
      <c r="ET900" s="35"/>
      <c r="EU900" s="35"/>
      <c r="EV900" s="35"/>
      <c r="EW900" s="35"/>
      <c r="EX900" s="35"/>
      <c r="EY900" s="35"/>
      <c r="EZ900" s="35"/>
      <c r="FA900" s="35"/>
      <c r="FB900" s="35"/>
      <c r="FC900" s="35"/>
      <c r="FD900" s="35"/>
      <c r="FE900" s="35"/>
      <c r="FF900" s="35"/>
      <c r="FG900" s="35"/>
      <c r="FH900" s="35"/>
      <c r="FI900" s="35"/>
      <c r="FJ900" s="35"/>
      <c r="FK900" s="35"/>
      <c r="FL900" s="35"/>
      <c r="FM900" s="35"/>
      <c r="FN900" s="35"/>
      <c r="FO900" s="35"/>
      <c r="FP900" s="35"/>
      <c r="FQ900" s="35"/>
      <c r="FR900" s="35"/>
      <c r="FS900" s="35"/>
      <c r="FT900" s="35"/>
      <c r="FU900" s="35"/>
      <c r="FV900" s="35"/>
      <c r="FW900" s="35"/>
      <c r="FX900" s="35"/>
      <c r="FY900" s="35"/>
      <c r="FZ900" s="35"/>
      <c r="GA900" s="35"/>
      <c r="GB900" s="35"/>
      <c r="GC900" s="35"/>
      <c r="GD900" s="35"/>
      <c r="GE900" s="35"/>
      <c r="GF900" s="35"/>
      <c r="GG900" s="35"/>
      <c r="GH900" s="35"/>
      <c r="GI900" s="35"/>
      <c r="GJ900" s="35"/>
      <c r="GK900" s="35"/>
      <c r="GL900" s="35"/>
      <c r="GM900" s="35"/>
      <c r="GN900" s="35"/>
      <c r="GO900" s="35"/>
      <c r="GP900" s="35"/>
      <c r="GQ900" s="35"/>
      <c r="GR900" s="35"/>
      <c r="GS900" s="35"/>
      <c r="GT900" s="35"/>
      <c r="GU900" s="35"/>
      <c r="GV900" s="35"/>
      <c r="GW900" s="35"/>
      <c r="GX900" s="35"/>
      <c r="GY900" s="35"/>
      <c r="GZ900" s="35"/>
      <c r="HA900" s="35"/>
      <c r="HB900" s="35"/>
      <c r="HC900" s="35"/>
      <c r="HD900" s="35"/>
      <c r="HE900" s="35"/>
      <c r="HF900" s="35"/>
      <c r="HG900" s="35"/>
      <c r="HH900" s="35"/>
      <c r="HI900" s="35"/>
      <c r="HJ900" s="35"/>
      <c r="HK900" s="35"/>
      <c r="HL900" s="35"/>
      <c r="HM900" s="35"/>
      <c r="HN900" s="35"/>
      <c r="HO900" s="35"/>
      <c r="HP900" s="35"/>
      <c r="HQ900" s="35"/>
      <c r="HR900" s="35"/>
      <c r="HS900" s="35"/>
      <c r="HT900" s="35"/>
      <c r="HU900" s="35"/>
      <c r="HV900" s="35"/>
      <c r="HW900" s="35"/>
      <c r="HX900" s="35"/>
      <c r="HY900" s="35"/>
      <c r="HZ900" s="35"/>
      <c r="IA900" s="35"/>
      <c r="IB900" s="35"/>
      <c r="IC900" s="35"/>
      <c r="ID900" s="35"/>
      <c r="IE900" s="35"/>
      <c r="IF900" s="35"/>
      <c r="IG900" s="35"/>
      <c r="IH900" s="35"/>
      <c r="II900" s="35"/>
      <c r="IJ900" s="35"/>
      <c r="IK900" s="35"/>
      <c r="IL900" s="35"/>
      <c r="IM900" s="35"/>
      <c r="IN900" s="35"/>
      <c r="IO900" s="35"/>
      <c r="IP900" s="35"/>
      <c r="IQ900" s="35"/>
      <c r="IR900" s="35"/>
      <c r="IS900" s="35"/>
      <c r="IT900" s="35"/>
      <c r="IU900" s="35"/>
      <c r="IV900" s="35"/>
      <c r="IW900" s="35"/>
      <c r="IX900" s="35"/>
      <c r="IY900" s="35"/>
      <c r="IZ900" s="35"/>
      <c r="JA900" s="35"/>
      <c r="JB900" s="35"/>
      <c r="JC900" s="35"/>
      <c r="JD900" s="35"/>
      <c r="JE900" s="35"/>
    </row>
    <row r="901">
      <c r="A901" s="42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  <c r="BC901" s="35"/>
      <c r="BD901" s="35"/>
      <c r="BE901" s="35"/>
      <c r="BF901" s="35"/>
      <c r="BG901" s="35"/>
      <c r="BH901" s="35"/>
      <c r="BI901" s="35"/>
      <c r="BJ901" s="35"/>
      <c r="BK901" s="35"/>
      <c r="BL901" s="35"/>
      <c r="BM901" s="35"/>
      <c r="BN901" s="35"/>
      <c r="BO901" s="35"/>
      <c r="BP901" s="35"/>
      <c r="BQ901" s="35"/>
      <c r="BR901" s="35"/>
      <c r="BS901" s="35"/>
      <c r="BT901" s="35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35"/>
      <c r="CO901" s="35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35"/>
      <c r="DJ901" s="35"/>
      <c r="DK901" s="35"/>
      <c r="DL901" s="35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35"/>
      <c r="EE901" s="35"/>
      <c r="EF901" s="35"/>
      <c r="EG901" s="35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  <c r="ER901" s="35"/>
      <c r="ES901" s="35"/>
      <c r="ET901" s="35"/>
      <c r="EU901" s="35"/>
      <c r="EV901" s="35"/>
      <c r="EW901" s="35"/>
      <c r="EX901" s="35"/>
      <c r="EY901" s="35"/>
      <c r="EZ901" s="35"/>
      <c r="FA901" s="35"/>
      <c r="FB901" s="35"/>
      <c r="FC901" s="35"/>
      <c r="FD901" s="35"/>
      <c r="FE901" s="35"/>
      <c r="FF901" s="35"/>
      <c r="FG901" s="35"/>
      <c r="FH901" s="35"/>
      <c r="FI901" s="35"/>
      <c r="FJ901" s="35"/>
      <c r="FK901" s="35"/>
      <c r="FL901" s="35"/>
      <c r="FM901" s="35"/>
      <c r="FN901" s="35"/>
      <c r="FO901" s="35"/>
      <c r="FP901" s="35"/>
      <c r="FQ901" s="35"/>
      <c r="FR901" s="35"/>
      <c r="FS901" s="35"/>
      <c r="FT901" s="35"/>
      <c r="FU901" s="35"/>
      <c r="FV901" s="35"/>
      <c r="FW901" s="35"/>
      <c r="FX901" s="35"/>
      <c r="FY901" s="35"/>
      <c r="FZ901" s="35"/>
      <c r="GA901" s="35"/>
      <c r="GB901" s="35"/>
      <c r="GC901" s="35"/>
      <c r="GD901" s="35"/>
      <c r="GE901" s="35"/>
      <c r="GF901" s="35"/>
      <c r="GG901" s="35"/>
      <c r="GH901" s="35"/>
      <c r="GI901" s="35"/>
      <c r="GJ901" s="35"/>
      <c r="GK901" s="35"/>
      <c r="GL901" s="35"/>
      <c r="GM901" s="35"/>
      <c r="GN901" s="35"/>
      <c r="GO901" s="35"/>
      <c r="GP901" s="35"/>
      <c r="GQ901" s="35"/>
      <c r="GR901" s="35"/>
      <c r="GS901" s="35"/>
      <c r="GT901" s="35"/>
      <c r="GU901" s="35"/>
      <c r="GV901" s="35"/>
      <c r="GW901" s="35"/>
      <c r="GX901" s="35"/>
      <c r="GY901" s="35"/>
      <c r="GZ901" s="35"/>
      <c r="HA901" s="35"/>
      <c r="HB901" s="35"/>
      <c r="HC901" s="35"/>
      <c r="HD901" s="35"/>
      <c r="HE901" s="35"/>
      <c r="HF901" s="35"/>
      <c r="HG901" s="35"/>
      <c r="HH901" s="35"/>
      <c r="HI901" s="35"/>
      <c r="HJ901" s="35"/>
      <c r="HK901" s="35"/>
      <c r="HL901" s="35"/>
      <c r="HM901" s="35"/>
      <c r="HN901" s="35"/>
      <c r="HO901" s="35"/>
      <c r="HP901" s="35"/>
      <c r="HQ901" s="35"/>
      <c r="HR901" s="35"/>
      <c r="HS901" s="35"/>
      <c r="HT901" s="35"/>
      <c r="HU901" s="35"/>
      <c r="HV901" s="35"/>
      <c r="HW901" s="35"/>
      <c r="HX901" s="35"/>
      <c r="HY901" s="35"/>
      <c r="HZ901" s="35"/>
      <c r="IA901" s="35"/>
      <c r="IB901" s="35"/>
      <c r="IC901" s="35"/>
      <c r="ID901" s="35"/>
      <c r="IE901" s="35"/>
      <c r="IF901" s="35"/>
      <c r="IG901" s="35"/>
      <c r="IH901" s="35"/>
      <c r="II901" s="35"/>
      <c r="IJ901" s="35"/>
      <c r="IK901" s="35"/>
      <c r="IL901" s="35"/>
      <c r="IM901" s="35"/>
      <c r="IN901" s="35"/>
      <c r="IO901" s="35"/>
      <c r="IP901" s="35"/>
      <c r="IQ901" s="35"/>
      <c r="IR901" s="35"/>
      <c r="IS901" s="35"/>
      <c r="IT901" s="35"/>
      <c r="IU901" s="35"/>
      <c r="IV901" s="35"/>
      <c r="IW901" s="35"/>
      <c r="IX901" s="35"/>
      <c r="IY901" s="35"/>
      <c r="IZ901" s="35"/>
      <c r="JA901" s="35"/>
      <c r="JB901" s="35"/>
      <c r="JC901" s="35"/>
      <c r="JD901" s="35"/>
      <c r="JE901" s="35"/>
    </row>
    <row r="902">
      <c r="A902" s="42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  <c r="BA902" s="35"/>
      <c r="BB902" s="35"/>
      <c r="BC902" s="35"/>
      <c r="BD902" s="35"/>
      <c r="BE902" s="35"/>
      <c r="BF902" s="35"/>
      <c r="BG902" s="35"/>
      <c r="BH902" s="35"/>
      <c r="BI902" s="35"/>
      <c r="BJ902" s="35"/>
      <c r="BK902" s="35"/>
      <c r="BL902" s="35"/>
      <c r="BM902" s="35"/>
      <c r="BN902" s="35"/>
      <c r="BO902" s="35"/>
      <c r="BP902" s="35"/>
      <c r="BQ902" s="35"/>
      <c r="BR902" s="35"/>
      <c r="BS902" s="35"/>
      <c r="BT902" s="35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35"/>
      <c r="CO902" s="35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35"/>
      <c r="DJ902" s="35"/>
      <c r="DK902" s="35"/>
      <c r="DL902" s="35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35"/>
      <c r="EE902" s="35"/>
      <c r="EF902" s="35"/>
      <c r="EG902" s="35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  <c r="ER902" s="35"/>
      <c r="ES902" s="35"/>
      <c r="ET902" s="35"/>
      <c r="EU902" s="35"/>
      <c r="EV902" s="35"/>
      <c r="EW902" s="35"/>
      <c r="EX902" s="35"/>
      <c r="EY902" s="35"/>
      <c r="EZ902" s="35"/>
      <c r="FA902" s="35"/>
      <c r="FB902" s="35"/>
      <c r="FC902" s="35"/>
      <c r="FD902" s="35"/>
      <c r="FE902" s="35"/>
      <c r="FF902" s="35"/>
      <c r="FG902" s="35"/>
      <c r="FH902" s="35"/>
      <c r="FI902" s="35"/>
      <c r="FJ902" s="35"/>
      <c r="FK902" s="35"/>
      <c r="FL902" s="35"/>
      <c r="FM902" s="35"/>
      <c r="FN902" s="35"/>
      <c r="FO902" s="35"/>
      <c r="FP902" s="35"/>
      <c r="FQ902" s="35"/>
      <c r="FR902" s="35"/>
      <c r="FS902" s="35"/>
      <c r="FT902" s="35"/>
      <c r="FU902" s="35"/>
      <c r="FV902" s="35"/>
      <c r="FW902" s="35"/>
      <c r="FX902" s="35"/>
      <c r="FY902" s="35"/>
      <c r="FZ902" s="35"/>
      <c r="GA902" s="35"/>
      <c r="GB902" s="35"/>
      <c r="GC902" s="35"/>
      <c r="GD902" s="35"/>
      <c r="GE902" s="35"/>
      <c r="GF902" s="35"/>
      <c r="GG902" s="35"/>
      <c r="GH902" s="35"/>
      <c r="GI902" s="35"/>
      <c r="GJ902" s="35"/>
      <c r="GK902" s="35"/>
      <c r="GL902" s="35"/>
      <c r="GM902" s="35"/>
      <c r="GN902" s="35"/>
      <c r="GO902" s="35"/>
      <c r="GP902" s="35"/>
      <c r="GQ902" s="35"/>
      <c r="GR902" s="35"/>
      <c r="GS902" s="35"/>
      <c r="GT902" s="35"/>
      <c r="GU902" s="35"/>
      <c r="GV902" s="35"/>
      <c r="GW902" s="35"/>
      <c r="GX902" s="35"/>
      <c r="GY902" s="35"/>
      <c r="GZ902" s="35"/>
      <c r="HA902" s="35"/>
      <c r="HB902" s="35"/>
      <c r="HC902" s="35"/>
      <c r="HD902" s="35"/>
      <c r="HE902" s="35"/>
      <c r="HF902" s="35"/>
      <c r="HG902" s="35"/>
      <c r="HH902" s="35"/>
      <c r="HI902" s="35"/>
      <c r="HJ902" s="35"/>
      <c r="HK902" s="35"/>
      <c r="HL902" s="35"/>
      <c r="HM902" s="35"/>
      <c r="HN902" s="35"/>
      <c r="HO902" s="35"/>
      <c r="HP902" s="35"/>
      <c r="HQ902" s="35"/>
      <c r="HR902" s="35"/>
      <c r="HS902" s="35"/>
      <c r="HT902" s="35"/>
      <c r="HU902" s="35"/>
      <c r="HV902" s="35"/>
      <c r="HW902" s="35"/>
      <c r="HX902" s="35"/>
      <c r="HY902" s="35"/>
      <c r="HZ902" s="35"/>
      <c r="IA902" s="35"/>
      <c r="IB902" s="35"/>
      <c r="IC902" s="35"/>
      <c r="ID902" s="35"/>
      <c r="IE902" s="35"/>
      <c r="IF902" s="35"/>
      <c r="IG902" s="35"/>
      <c r="IH902" s="35"/>
      <c r="II902" s="35"/>
      <c r="IJ902" s="35"/>
      <c r="IK902" s="35"/>
      <c r="IL902" s="35"/>
      <c r="IM902" s="35"/>
      <c r="IN902" s="35"/>
      <c r="IO902" s="35"/>
      <c r="IP902" s="35"/>
      <c r="IQ902" s="35"/>
      <c r="IR902" s="35"/>
      <c r="IS902" s="35"/>
      <c r="IT902" s="35"/>
      <c r="IU902" s="35"/>
      <c r="IV902" s="35"/>
      <c r="IW902" s="35"/>
      <c r="IX902" s="35"/>
      <c r="IY902" s="35"/>
      <c r="IZ902" s="35"/>
      <c r="JA902" s="35"/>
      <c r="JB902" s="35"/>
      <c r="JC902" s="35"/>
      <c r="JD902" s="35"/>
      <c r="JE902" s="35"/>
    </row>
    <row r="903">
      <c r="A903" s="42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  <c r="BA903" s="35"/>
      <c r="BB903" s="35"/>
      <c r="BC903" s="35"/>
      <c r="BD903" s="35"/>
      <c r="BE903" s="35"/>
      <c r="BF903" s="35"/>
      <c r="BG903" s="35"/>
      <c r="BH903" s="35"/>
      <c r="BI903" s="35"/>
      <c r="BJ903" s="35"/>
      <c r="BK903" s="35"/>
      <c r="BL903" s="35"/>
      <c r="BM903" s="35"/>
      <c r="BN903" s="35"/>
      <c r="BO903" s="35"/>
      <c r="BP903" s="35"/>
      <c r="BQ903" s="35"/>
      <c r="BR903" s="35"/>
      <c r="BS903" s="35"/>
      <c r="BT903" s="35"/>
      <c r="BU903" s="35"/>
      <c r="BV903" s="35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35"/>
      <c r="CO903" s="35"/>
      <c r="CP903" s="35"/>
      <c r="CQ903" s="35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35"/>
      <c r="DJ903" s="35"/>
      <c r="DK903" s="35"/>
      <c r="DL903" s="35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35"/>
      <c r="EE903" s="35"/>
      <c r="EF903" s="35"/>
      <c r="EG903" s="35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  <c r="ER903" s="35"/>
      <c r="ES903" s="35"/>
      <c r="ET903" s="35"/>
      <c r="EU903" s="35"/>
      <c r="EV903" s="35"/>
      <c r="EW903" s="35"/>
      <c r="EX903" s="35"/>
      <c r="EY903" s="35"/>
      <c r="EZ903" s="35"/>
      <c r="FA903" s="35"/>
      <c r="FB903" s="35"/>
      <c r="FC903" s="35"/>
      <c r="FD903" s="35"/>
      <c r="FE903" s="35"/>
      <c r="FF903" s="35"/>
      <c r="FG903" s="35"/>
      <c r="FH903" s="35"/>
      <c r="FI903" s="35"/>
      <c r="FJ903" s="35"/>
      <c r="FK903" s="35"/>
      <c r="FL903" s="35"/>
      <c r="FM903" s="35"/>
      <c r="FN903" s="35"/>
      <c r="FO903" s="35"/>
      <c r="FP903" s="35"/>
      <c r="FQ903" s="35"/>
      <c r="FR903" s="35"/>
      <c r="FS903" s="35"/>
      <c r="FT903" s="35"/>
      <c r="FU903" s="35"/>
      <c r="FV903" s="35"/>
      <c r="FW903" s="35"/>
      <c r="FX903" s="35"/>
      <c r="FY903" s="35"/>
      <c r="FZ903" s="35"/>
      <c r="GA903" s="35"/>
      <c r="GB903" s="35"/>
      <c r="GC903" s="35"/>
      <c r="GD903" s="35"/>
      <c r="GE903" s="35"/>
      <c r="GF903" s="35"/>
      <c r="GG903" s="35"/>
      <c r="GH903" s="35"/>
      <c r="GI903" s="35"/>
      <c r="GJ903" s="35"/>
      <c r="GK903" s="35"/>
      <c r="GL903" s="35"/>
      <c r="GM903" s="35"/>
      <c r="GN903" s="35"/>
      <c r="GO903" s="35"/>
      <c r="GP903" s="35"/>
      <c r="GQ903" s="35"/>
      <c r="GR903" s="35"/>
      <c r="GS903" s="35"/>
      <c r="GT903" s="35"/>
      <c r="GU903" s="35"/>
      <c r="GV903" s="35"/>
      <c r="GW903" s="35"/>
      <c r="GX903" s="35"/>
      <c r="GY903" s="35"/>
      <c r="GZ903" s="35"/>
      <c r="HA903" s="35"/>
      <c r="HB903" s="35"/>
      <c r="HC903" s="35"/>
      <c r="HD903" s="35"/>
      <c r="HE903" s="35"/>
      <c r="HF903" s="35"/>
      <c r="HG903" s="35"/>
      <c r="HH903" s="35"/>
      <c r="HI903" s="35"/>
      <c r="HJ903" s="35"/>
      <c r="HK903" s="35"/>
      <c r="HL903" s="35"/>
      <c r="HM903" s="35"/>
      <c r="HN903" s="35"/>
      <c r="HO903" s="35"/>
      <c r="HP903" s="35"/>
      <c r="HQ903" s="35"/>
      <c r="HR903" s="35"/>
      <c r="HS903" s="35"/>
      <c r="HT903" s="35"/>
      <c r="HU903" s="35"/>
      <c r="HV903" s="35"/>
      <c r="HW903" s="35"/>
      <c r="HX903" s="35"/>
      <c r="HY903" s="35"/>
      <c r="HZ903" s="35"/>
      <c r="IA903" s="35"/>
      <c r="IB903" s="35"/>
      <c r="IC903" s="35"/>
      <c r="ID903" s="35"/>
      <c r="IE903" s="35"/>
      <c r="IF903" s="35"/>
      <c r="IG903" s="35"/>
      <c r="IH903" s="35"/>
      <c r="II903" s="35"/>
      <c r="IJ903" s="35"/>
      <c r="IK903" s="35"/>
      <c r="IL903" s="35"/>
      <c r="IM903" s="35"/>
      <c r="IN903" s="35"/>
      <c r="IO903" s="35"/>
      <c r="IP903" s="35"/>
      <c r="IQ903" s="35"/>
      <c r="IR903" s="35"/>
      <c r="IS903" s="35"/>
      <c r="IT903" s="35"/>
      <c r="IU903" s="35"/>
      <c r="IV903" s="35"/>
      <c r="IW903" s="35"/>
      <c r="IX903" s="35"/>
      <c r="IY903" s="35"/>
      <c r="IZ903" s="35"/>
      <c r="JA903" s="35"/>
      <c r="JB903" s="35"/>
      <c r="JC903" s="35"/>
      <c r="JD903" s="35"/>
      <c r="JE903" s="35"/>
    </row>
    <row r="904">
      <c r="A904" s="42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35"/>
      <c r="BA904" s="35"/>
      <c r="BB904" s="35"/>
      <c r="BC904" s="35"/>
      <c r="BD904" s="35"/>
      <c r="BE904" s="35"/>
      <c r="BF904" s="35"/>
      <c r="BG904" s="35"/>
      <c r="BH904" s="35"/>
      <c r="BI904" s="35"/>
      <c r="BJ904" s="35"/>
      <c r="BK904" s="35"/>
      <c r="BL904" s="35"/>
      <c r="BM904" s="35"/>
      <c r="BN904" s="35"/>
      <c r="BO904" s="35"/>
      <c r="BP904" s="35"/>
      <c r="BQ904" s="35"/>
      <c r="BR904" s="35"/>
      <c r="BS904" s="35"/>
      <c r="BT904" s="35"/>
      <c r="BU904" s="35"/>
      <c r="BV904" s="35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35"/>
      <c r="CO904" s="35"/>
      <c r="CP904" s="35"/>
      <c r="CQ904" s="35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35"/>
      <c r="DJ904" s="35"/>
      <c r="DK904" s="35"/>
      <c r="DL904" s="35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35"/>
      <c r="EE904" s="35"/>
      <c r="EF904" s="35"/>
      <c r="EG904" s="35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  <c r="ER904" s="35"/>
      <c r="ES904" s="35"/>
      <c r="ET904" s="35"/>
      <c r="EU904" s="35"/>
      <c r="EV904" s="35"/>
      <c r="EW904" s="35"/>
      <c r="EX904" s="35"/>
      <c r="EY904" s="35"/>
      <c r="EZ904" s="35"/>
      <c r="FA904" s="35"/>
      <c r="FB904" s="35"/>
      <c r="FC904" s="35"/>
      <c r="FD904" s="35"/>
      <c r="FE904" s="35"/>
      <c r="FF904" s="35"/>
      <c r="FG904" s="35"/>
      <c r="FH904" s="35"/>
      <c r="FI904" s="35"/>
      <c r="FJ904" s="35"/>
      <c r="FK904" s="35"/>
      <c r="FL904" s="35"/>
      <c r="FM904" s="35"/>
      <c r="FN904" s="35"/>
      <c r="FO904" s="35"/>
      <c r="FP904" s="35"/>
      <c r="FQ904" s="35"/>
      <c r="FR904" s="35"/>
      <c r="FS904" s="35"/>
      <c r="FT904" s="35"/>
      <c r="FU904" s="35"/>
      <c r="FV904" s="35"/>
      <c r="FW904" s="35"/>
      <c r="FX904" s="35"/>
      <c r="FY904" s="35"/>
      <c r="FZ904" s="35"/>
      <c r="GA904" s="35"/>
      <c r="GB904" s="35"/>
      <c r="GC904" s="35"/>
      <c r="GD904" s="35"/>
      <c r="GE904" s="35"/>
      <c r="GF904" s="35"/>
      <c r="GG904" s="35"/>
      <c r="GH904" s="35"/>
      <c r="GI904" s="35"/>
      <c r="GJ904" s="35"/>
      <c r="GK904" s="35"/>
      <c r="GL904" s="35"/>
      <c r="GM904" s="35"/>
      <c r="GN904" s="35"/>
      <c r="GO904" s="35"/>
      <c r="GP904" s="35"/>
      <c r="GQ904" s="35"/>
      <c r="GR904" s="35"/>
      <c r="GS904" s="35"/>
      <c r="GT904" s="35"/>
      <c r="GU904" s="35"/>
      <c r="GV904" s="35"/>
      <c r="GW904" s="35"/>
      <c r="GX904" s="35"/>
      <c r="GY904" s="35"/>
      <c r="GZ904" s="35"/>
      <c r="HA904" s="35"/>
      <c r="HB904" s="35"/>
      <c r="HC904" s="35"/>
      <c r="HD904" s="35"/>
      <c r="HE904" s="35"/>
      <c r="HF904" s="35"/>
      <c r="HG904" s="35"/>
      <c r="HH904" s="35"/>
      <c r="HI904" s="35"/>
      <c r="HJ904" s="35"/>
      <c r="HK904" s="35"/>
      <c r="HL904" s="35"/>
      <c r="HM904" s="35"/>
      <c r="HN904" s="35"/>
      <c r="HO904" s="35"/>
      <c r="HP904" s="35"/>
      <c r="HQ904" s="35"/>
      <c r="HR904" s="35"/>
      <c r="HS904" s="35"/>
      <c r="HT904" s="35"/>
      <c r="HU904" s="35"/>
      <c r="HV904" s="35"/>
      <c r="HW904" s="35"/>
      <c r="HX904" s="35"/>
      <c r="HY904" s="35"/>
      <c r="HZ904" s="35"/>
      <c r="IA904" s="35"/>
      <c r="IB904" s="35"/>
      <c r="IC904" s="35"/>
      <c r="ID904" s="35"/>
      <c r="IE904" s="35"/>
      <c r="IF904" s="35"/>
      <c r="IG904" s="35"/>
      <c r="IH904" s="35"/>
      <c r="II904" s="35"/>
      <c r="IJ904" s="35"/>
      <c r="IK904" s="35"/>
      <c r="IL904" s="35"/>
      <c r="IM904" s="35"/>
      <c r="IN904" s="35"/>
      <c r="IO904" s="35"/>
      <c r="IP904" s="35"/>
      <c r="IQ904" s="35"/>
      <c r="IR904" s="35"/>
      <c r="IS904" s="35"/>
      <c r="IT904" s="35"/>
      <c r="IU904" s="35"/>
      <c r="IV904" s="35"/>
      <c r="IW904" s="35"/>
      <c r="IX904" s="35"/>
      <c r="IY904" s="35"/>
      <c r="IZ904" s="35"/>
      <c r="JA904" s="35"/>
      <c r="JB904" s="35"/>
      <c r="JC904" s="35"/>
      <c r="JD904" s="35"/>
      <c r="JE904" s="35"/>
    </row>
    <row r="905">
      <c r="A905" s="42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35"/>
      <c r="BA905" s="35"/>
      <c r="BB905" s="35"/>
      <c r="BC905" s="35"/>
      <c r="BD905" s="35"/>
      <c r="BE905" s="35"/>
      <c r="BF905" s="35"/>
      <c r="BG905" s="35"/>
      <c r="BH905" s="35"/>
      <c r="BI905" s="35"/>
      <c r="BJ905" s="35"/>
      <c r="BK905" s="35"/>
      <c r="BL905" s="35"/>
      <c r="BM905" s="35"/>
      <c r="BN905" s="35"/>
      <c r="BO905" s="35"/>
      <c r="BP905" s="35"/>
      <c r="BQ905" s="35"/>
      <c r="BR905" s="35"/>
      <c r="BS905" s="35"/>
      <c r="BT905" s="35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35"/>
      <c r="CO905" s="35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35"/>
      <c r="DJ905" s="35"/>
      <c r="DK905" s="35"/>
      <c r="DL905" s="35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35"/>
      <c r="EE905" s="35"/>
      <c r="EF905" s="35"/>
      <c r="EG905" s="35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  <c r="ER905" s="35"/>
      <c r="ES905" s="35"/>
      <c r="ET905" s="35"/>
      <c r="EU905" s="35"/>
      <c r="EV905" s="35"/>
      <c r="EW905" s="35"/>
      <c r="EX905" s="35"/>
      <c r="EY905" s="35"/>
      <c r="EZ905" s="35"/>
      <c r="FA905" s="35"/>
      <c r="FB905" s="35"/>
      <c r="FC905" s="35"/>
      <c r="FD905" s="35"/>
      <c r="FE905" s="35"/>
      <c r="FF905" s="35"/>
      <c r="FG905" s="35"/>
      <c r="FH905" s="35"/>
      <c r="FI905" s="35"/>
      <c r="FJ905" s="35"/>
      <c r="FK905" s="35"/>
      <c r="FL905" s="35"/>
      <c r="FM905" s="35"/>
      <c r="FN905" s="35"/>
      <c r="FO905" s="35"/>
      <c r="FP905" s="35"/>
      <c r="FQ905" s="35"/>
      <c r="FR905" s="35"/>
      <c r="FS905" s="35"/>
      <c r="FT905" s="35"/>
      <c r="FU905" s="35"/>
      <c r="FV905" s="35"/>
      <c r="FW905" s="35"/>
      <c r="FX905" s="35"/>
      <c r="FY905" s="35"/>
      <c r="FZ905" s="35"/>
      <c r="GA905" s="35"/>
      <c r="GB905" s="35"/>
      <c r="GC905" s="35"/>
      <c r="GD905" s="35"/>
      <c r="GE905" s="35"/>
      <c r="GF905" s="35"/>
      <c r="GG905" s="35"/>
      <c r="GH905" s="35"/>
      <c r="GI905" s="35"/>
      <c r="GJ905" s="35"/>
      <c r="GK905" s="35"/>
      <c r="GL905" s="35"/>
      <c r="GM905" s="35"/>
      <c r="GN905" s="35"/>
      <c r="GO905" s="35"/>
      <c r="GP905" s="35"/>
      <c r="GQ905" s="35"/>
      <c r="GR905" s="35"/>
      <c r="GS905" s="35"/>
      <c r="GT905" s="35"/>
      <c r="GU905" s="35"/>
      <c r="GV905" s="35"/>
      <c r="GW905" s="35"/>
      <c r="GX905" s="35"/>
      <c r="GY905" s="35"/>
      <c r="GZ905" s="35"/>
      <c r="HA905" s="35"/>
      <c r="HB905" s="35"/>
      <c r="HC905" s="35"/>
      <c r="HD905" s="35"/>
      <c r="HE905" s="35"/>
      <c r="HF905" s="35"/>
      <c r="HG905" s="35"/>
      <c r="HH905" s="35"/>
      <c r="HI905" s="35"/>
      <c r="HJ905" s="35"/>
      <c r="HK905" s="35"/>
      <c r="HL905" s="35"/>
      <c r="HM905" s="35"/>
      <c r="HN905" s="35"/>
      <c r="HO905" s="35"/>
      <c r="HP905" s="35"/>
      <c r="HQ905" s="35"/>
      <c r="HR905" s="35"/>
      <c r="HS905" s="35"/>
      <c r="HT905" s="35"/>
      <c r="HU905" s="35"/>
      <c r="HV905" s="35"/>
      <c r="HW905" s="35"/>
      <c r="HX905" s="35"/>
      <c r="HY905" s="35"/>
      <c r="HZ905" s="35"/>
      <c r="IA905" s="35"/>
      <c r="IB905" s="35"/>
      <c r="IC905" s="35"/>
      <c r="ID905" s="35"/>
      <c r="IE905" s="35"/>
      <c r="IF905" s="35"/>
      <c r="IG905" s="35"/>
      <c r="IH905" s="35"/>
      <c r="II905" s="35"/>
      <c r="IJ905" s="35"/>
      <c r="IK905" s="35"/>
      <c r="IL905" s="35"/>
      <c r="IM905" s="35"/>
      <c r="IN905" s="35"/>
      <c r="IO905" s="35"/>
      <c r="IP905" s="35"/>
      <c r="IQ905" s="35"/>
      <c r="IR905" s="35"/>
      <c r="IS905" s="35"/>
      <c r="IT905" s="35"/>
      <c r="IU905" s="35"/>
      <c r="IV905" s="35"/>
      <c r="IW905" s="35"/>
      <c r="IX905" s="35"/>
      <c r="IY905" s="35"/>
      <c r="IZ905" s="35"/>
      <c r="JA905" s="35"/>
      <c r="JB905" s="35"/>
      <c r="JC905" s="35"/>
      <c r="JD905" s="35"/>
      <c r="JE905" s="35"/>
    </row>
    <row r="906">
      <c r="A906" s="42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/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/>
      <c r="BP906" s="35"/>
      <c r="BQ906" s="35"/>
      <c r="BR906" s="35"/>
      <c r="BS906" s="35"/>
      <c r="BT906" s="35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35"/>
      <c r="CO906" s="35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35"/>
      <c r="DJ906" s="35"/>
      <c r="DK906" s="35"/>
      <c r="DL906" s="35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35"/>
      <c r="EE906" s="35"/>
      <c r="EF906" s="35"/>
      <c r="EG906" s="35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  <c r="ER906" s="35"/>
      <c r="ES906" s="35"/>
      <c r="ET906" s="35"/>
      <c r="EU906" s="35"/>
      <c r="EV906" s="35"/>
      <c r="EW906" s="35"/>
      <c r="EX906" s="35"/>
      <c r="EY906" s="35"/>
      <c r="EZ906" s="35"/>
      <c r="FA906" s="35"/>
      <c r="FB906" s="35"/>
      <c r="FC906" s="35"/>
      <c r="FD906" s="35"/>
      <c r="FE906" s="35"/>
      <c r="FF906" s="35"/>
      <c r="FG906" s="35"/>
      <c r="FH906" s="35"/>
      <c r="FI906" s="35"/>
      <c r="FJ906" s="35"/>
      <c r="FK906" s="35"/>
      <c r="FL906" s="35"/>
      <c r="FM906" s="35"/>
      <c r="FN906" s="35"/>
      <c r="FO906" s="35"/>
      <c r="FP906" s="35"/>
      <c r="FQ906" s="35"/>
      <c r="FR906" s="35"/>
      <c r="FS906" s="35"/>
      <c r="FT906" s="35"/>
      <c r="FU906" s="35"/>
      <c r="FV906" s="35"/>
      <c r="FW906" s="35"/>
      <c r="FX906" s="35"/>
      <c r="FY906" s="35"/>
      <c r="FZ906" s="35"/>
      <c r="GA906" s="35"/>
      <c r="GB906" s="35"/>
      <c r="GC906" s="35"/>
      <c r="GD906" s="35"/>
      <c r="GE906" s="35"/>
      <c r="GF906" s="35"/>
      <c r="GG906" s="35"/>
      <c r="GH906" s="35"/>
      <c r="GI906" s="35"/>
      <c r="GJ906" s="35"/>
      <c r="GK906" s="35"/>
      <c r="GL906" s="35"/>
      <c r="GM906" s="35"/>
      <c r="GN906" s="35"/>
      <c r="GO906" s="35"/>
      <c r="GP906" s="35"/>
      <c r="GQ906" s="35"/>
      <c r="GR906" s="35"/>
      <c r="GS906" s="35"/>
      <c r="GT906" s="35"/>
      <c r="GU906" s="35"/>
      <c r="GV906" s="35"/>
      <c r="GW906" s="35"/>
      <c r="GX906" s="35"/>
      <c r="GY906" s="35"/>
      <c r="GZ906" s="35"/>
      <c r="HA906" s="35"/>
      <c r="HB906" s="35"/>
      <c r="HC906" s="35"/>
      <c r="HD906" s="35"/>
      <c r="HE906" s="35"/>
      <c r="HF906" s="35"/>
      <c r="HG906" s="35"/>
      <c r="HH906" s="35"/>
      <c r="HI906" s="35"/>
      <c r="HJ906" s="35"/>
      <c r="HK906" s="35"/>
      <c r="HL906" s="35"/>
      <c r="HM906" s="35"/>
      <c r="HN906" s="35"/>
      <c r="HO906" s="35"/>
      <c r="HP906" s="35"/>
      <c r="HQ906" s="35"/>
      <c r="HR906" s="35"/>
      <c r="HS906" s="35"/>
      <c r="HT906" s="35"/>
      <c r="HU906" s="35"/>
      <c r="HV906" s="35"/>
      <c r="HW906" s="35"/>
      <c r="HX906" s="35"/>
      <c r="HY906" s="35"/>
      <c r="HZ906" s="35"/>
      <c r="IA906" s="35"/>
      <c r="IB906" s="35"/>
      <c r="IC906" s="35"/>
      <c r="ID906" s="35"/>
      <c r="IE906" s="35"/>
      <c r="IF906" s="35"/>
      <c r="IG906" s="35"/>
      <c r="IH906" s="35"/>
      <c r="II906" s="35"/>
      <c r="IJ906" s="35"/>
      <c r="IK906" s="35"/>
      <c r="IL906" s="35"/>
      <c r="IM906" s="35"/>
      <c r="IN906" s="35"/>
      <c r="IO906" s="35"/>
      <c r="IP906" s="35"/>
      <c r="IQ906" s="35"/>
      <c r="IR906" s="35"/>
      <c r="IS906" s="35"/>
      <c r="IT906" s="35"/>
      <c r="IU906" s="35"/>
      <c r="IV906" s="35"/>
      <c r="IW906" s="35"/>
      <c r="IX906" s="35"/>
      <c r="IY906" s="35"/>
      <c r="IZ906" s="35"/>
      <c r="JA906" s="35"/>
      <c r="JB906" s="35"/>
      <c r="JC906" s="35"/>
      <c r="JD906" s="35"/>
      <c r="JE906" s="35"/>
    </row>
    <row r="907">
      <c r="A907" s="42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35"/>
      <c r="BA907" s="35"/>
      <c r="BB907" s="35"/>
      <c r="BC907" s="35"/>
      <c r="BD907" s="35"/>
      <c r="BE907" s="35"/>
      <c r="BF907" s="35"/>
      <c r="BG907" s="35"/>
      <c r="BH907" s="35"/>
      <c r="BI907" s="35"/>
      <c r="BJ907" s="35"/>
      <c r="BK907" s="35"/>
      <c r="BL907" s="35"/>
      <c r="BM907" s="35"/>
      <c r="BN907" s="35"/>
      <c r="BO907" s="35"/>
      <c r="BP907" s="35"/>
      <c r="BQ907" s="35"/>
      <c r="BR907" s="35"/>
      <c r="BS907" s="35"/>
      <c r="BT907" s="35"/>
      <c r="BU907" s="35"/>
      <c r="BV907" s="35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35"/>
      <c r="CO907" s="35"/>
      <c r="CP907" s="35"/>
      <c r="CQ907" s="35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35"/>
      <c r="DJ907" s="35"/>
      <c r="DK907" s="35"/>
      <c r="DL907" s="35"/>
      <c r="DM907" s="35"/>
      <c r="DN907" s="35"/>
      <c r="DO907" s="35"/>
      <c r="DP907" s="35"/>
      <c r="DQ907" s="35"/>
      <c r="DR907" s="35"/>
      <c r="DS907" s="35"/>
      <c r="DT907" s="35"/>
      <c r="DU907" s="35"/>
      <c r="DV907" s="35"/>
      <c r="DW907" s="35"/>
      <c r="DX907" s="35"/>
      <c r="DY907" s="35"/>
      <c r="DZ907" s="35"/>
      <c r="EA907" s="35"/>
      <c r="EB907" s="35"/>
      <c r="EC907" s="35"/>
      <c r="ED907" s="35"/>
      <c r="EE907" s="35"/>
      <c r="EF907" s="35"/>
      <c r="EG907" s="35"/>
      <c r="EH907" s="35"/>
      <c r="EI907" s="35"/>
      <c r="EJ907" s="35"/>
      <c r="EK907" s="35"/>
      <c r="EL907" s="35"/>
      <c r="EM907" s="35"/>
      <c r="EN907" s="35"/>
      <c r="EO907" s="35"/>
      <c r="EP907" s="35"/>
      <c r="EQ907" s="35"/>
      <c r="ER907" s="35"/>
      <c r="ES907" s="35"/>
      <c r="ET907" s="35"/>
      <c r="EU907" s="35"/>
      <c r="EV907" s="35"/>
      <c r="EW907" s="35"/>
      <c r="EX907" s="35"/>
      <c r="EY907" s="35"/>
      <c r="EZ907" s="35"/>
      <c r="FA907" s="35"/>
      <c r="FB907" s="35"/>
      <c r="FC907" s="35"/>
      <c r="FD907" s="35"/>
      <c r="FE907" s="35"/>
      <c r="FF907" s="35"/>
      <c r="FG907" s="35"/>
      <c r="FH907" s="35"/>
      <c r="FI907" s="35"/>
      <c r="FJ907" s="35"/>
      <c r="FK907" s="35"/>
      <c r="FL907" s="35"/>
      <c r="FM907" s="35"/>
      <c r="FN907" s="35"/>
      <c r="FO907" s="35"/>
      <c r="FP907" s="35"/>
      <c r="FQ907" s="35"/>
      <c r="FR907" s="35"/>
      <c r="FS907" s="35"/>
      <c r="FT907" s="35"/>
      <c r="FU907" s="35"/>
      <c r="FV907" s="35"/>
      <c r="FW907" s="35"/>
      <c r="FX907" s="35"/>
      <c r="FY907" s="35"/>
      <c r="FZ907" s="35"/>
      <c r="GA907" s="35"/>
      <c r="GB907" s="35"/>
      <c r="GC907" s="35"/>
      <c r="GD907" s="35"/>
      <c r="GE907" s="35"/>
      <c r="GF907" s="35"/>
      <c r="GG907" s="35"/>
      <c r="GH907" s="35"/>
      <c r="GI907" s="35"/>
      <c r="GJ907" s="35"/>
      <c r="GK907" s="35"/>
      <c r="GL907" s="35"/>
      <c r="GM907" s="35"/>
      <c r="GN907" s="35"/>
      <c r="GO907" s="35"/>
      <c r="GP907" s="35"/>
      <c r="GQ907" s="35"/>
      <c r="GR907" s="35"/>
      <c r="GS907" s="35"/>
      <c r="GT907" s="35"/>
      <c r="GU907" s="35"/>
      <c r="GV907" s="35"/>
      <c r="GW907" s="35"/>
      <c r="GX907" s="35"/>
      <c r="GY907" s="35"/>
      <c r="GZ907" s="35"/>
      <c r="HA907" s="35"/>
      <c r="HB907" s="35"/>
      <c r="HC907" s="35"/>
      <c r="HD907" s="35"/>
      <c r="HE907" s="35"/>
      <c r="HF907" s="35"/>
      <c r="HG907" s="35"/>
      <c r="HH907" s="35"/>
      <c r="HI907" s="35"/>
      <c r="HJ907" s="35"/>
      <c r="HK907" s="35"/>
      <c r="HL907" s="35"/>
      <c r="HM907" s="35"/>
      <c r="HN907" s="35"/>
      <c r="HO907" s="35"/>
      <c r="HP907" s="35"/>
      <c r="HQ907" s="35"/>
      <c r="HR907" s="35"/>
      <c r="HS907" s="35"/>
      <c r="HT907" s="35"/>
      <c r="HU907" s="35"/>
      <c r="HV907" s="35"/>
      <c r="HW907" s="35"/>
      <c r="HX907" s="35"/>
      <c r="HY907" s="35"/>
      <c r="HZ907" s="35"/>
      <c r="IA907" s="35"/>
      <c r="IB907" s="35"/>
      <c r="IC907" s="35"/>
      <c r="ID907" s="35"/>
      <c r="IE907" s="35"/>
      <c r="IF907" s="35"/>
      <c r="IG907" s="35"/>
      <c r="IH907" s="35"/>
      <c r="II907" s="35"/>
      <c r="IJ907" s="35"/>
      <c r="IK907" s="35"/>
      <c r="IL907" s="35"/>
      <c r="IM907" s="35"/>
      <c r="IN907" s="35"/>
      <c r="IO907" s="35"/>
      <c r="IP907" s="35"/>
      <c r="IQ907" s="35"/>
      <c r="IR907" s="35"/>
      <c r="IS907" s="35"/>
      <c r="IT907" s="35"/>
      <c r="IU907" s="35"/>
      <c r="IV907" s="35"/>
      <c r="IW907" s="35"/>
      <c r="IX907" s="35"/>
      <c r="IY907" s="35"/>
      <c r="IZ907" s="35"/>
      <c r="JA907" s="35"/>
      <c r="JB907" s="35"/>
      <c r="JC907" s="35"/>
      <c r="JD907" s="35"/>
      <c r="JE907" s="35"/>
    </row>
    <row r="908">
      <c r="A908" s="42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  <c r="AZ908" s="35"/>
      <c r="BA908" s="35"/>
      <c r="BB908" s="35"/>
      <c r="BC908" s="35"/>
      <c r="BD908" s="35"/>
      <c r="BE908" s="35"/>
      <c r="BF908" s="35"/>
      <c r="BG908" s="35"/>
      <c r="BH908" s="35"/>
      <c r="BI908" s="35"/>
      <c r="BJ908" s="35"/>
      <c r="BK908" s="35"/>
      <c r="BL908" s="35"/>
      <c r="BM908" s="35"/>
      <c r="BN908" s="35"/>
      <c r="BO908" s="35"/>
      <c r="BP908" s="35"/>
      <c r="BQ908" s="35"/>
      <c r="BR908" s="35"/>
      <c r="BS908" s="35"/>
      <c r="BT908" s="35"/>
      <c r="BU908" s="35"/>
      <c r="BV908" s="35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35"/>
      <c r="CO908" s="35"/>
      <c r="CP908" s="35"/>
      <c r="CQ908" s="35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35"/>
      <c r="DJ908" s="35"/>
      <c r="DK908" s="35"/>
      <c r="DL908" s="35"/>
      <c r="DM908" s="35"/>
      <c r="DN908" s="35"/>
      <c r="DO908" s="35"/>
      <c r="DP908" s="35"/>
      <c r="DQ908" s="35"/>
      <c r="DR908" s="35"/>
      <c r="DS908" s="35"/>
      <c r="DT908" s="35"/>
      <c r="DU908" s="35"/>
      <c r="DV908" s="35"/>
      <c r="DW908" s="35"/>
      <c r="DX908" s="35"/>
      <c r="DY908" s="35"/>
      <c r="DZ908" s="35"/>
      <c r="EA908" s="35"/>
      <c r="EB908" s="35"/>
      <c r="EC908" s="35"/>
      <c r="ED908" s="35"/>
      <c r="EE908" s="35"/>
      <c r="EF908" s="35"/>
      <c r="EG908" s="35"/>
      <c r="EH908" s="35"/>
      <c r="EI908" s="35"/>
      <c r="EJ908" s="35"/>
      <c r="EK908" s="35"/>
      <c r="EL908" s="35"/>
      <c r="EM908" s="35"/>
      <c r="EN908" s="35"/>
      <c r="EO908" s="35"/>
      <c r="EP908" s="35"/>
      <c r="EQ908" s="35"/>
      <c r="ER908" s="35"/>
      <c r="ES908" s="35"/>
      <c r="ET908" s="35"/>
      <c r="EU908" s="35"/>
      <c r="EV908" s="35"/>
      <c r="EW908" s="35"/>
      <c r="EX908" s="35"/>
      <c r="EY908" s="35"/>
      <c r="EZ908" s="35"/>
      <c r="FA908" s="35"/>
      <c r="FB908" s="35"/>
      <c r="FC908" s="35"/>
      <c r="FD908" s="35"/>
      <c r="FE908" s="35"/>
      <c r="FF908" s="35"/>
      <c r="FG908" s="35"/>
      <c r="FH908" s="35"/>
      <c r="FI908" s="35"/>
      <c r="FJ908" s="35"/>
      <c r="FK908" s="35"/>
      <c r="FL908" s="35"/>
      <c r="FM908" s="35"/>
      <c r="FN908" s="35"/>
      <c r="FO908" s="35"/>
      <c r="FP908" s="35"/>
      <c r="FQ908" s="35"/>
      <c r="FR908" s="35"/>
      <c r="FS908" s="35"/>
      <c r="FT908" s="35"/>
      <c r="FU908" s="35"/>
      <c r="FV908" s="35"/>
      <c r="FW908" s="35"/>
      <c r="FX908" s="35"/>
      <c r="FY908" s="35"/>
      <c r="FZ908" s="35"/>
      <c r="GA908" s="35"/>
      <c r="GB908" s="35"/>
      <c r="GC908" s="35"/>
      <c r="GD908" s="35"/>
      <c r="GE908" s="35"/>
      <c r="GF908" s="35"/>
      <c r="GG908" s="35"/>
      <c r="GH908" s="35"/>
      <c r="GI908" s="35"/>
      <c r="GJ908" s="35"/>
      <c r="GK908" s="35"/>
      <c r="GL908" s="35"/>
      <c r="GM908" s="35"/>
      <c r="GN908" s="35"/>
      <c r="GO908" s="35"/>
      <c r="GP908" s="35"/>
      <c r="GQ908" s="35"/>
      <c r="GR908" s="35"/>
      <c r="GS908" s="35"/>
      <c r="GT908" s="35"/>
      <c r="GU908" s="35"/>
      <c r="GV908" s="35"/>
      <c r="GW908" s="35"/>
      <c r="GX908" s="35"/>
      <c r="GY908" s="35"/>
      <c r="GZ908" s="35"/>
      <c r="HA908" s="35"/>
      <c r="HB908" s="35"/>
      <c r="HC908" s="35"/>
      <c r="HD908" s="35"/>
      <c r="HE908" s="35"/>
      <c r="HF908" s="35"/>
      <c r="HG908" s="35"/>
      <c r="HH908" s="35"/>
      <c r="HI908" s="35"/>
      <c r="HJ908" s="35"/>
      <c r="HK908" s="35"/>
      <c r="HL908" s="35"/>
      <c r="HM908" s="35"/>
      <c r="HN908" s="35"/>
      <c r="HO908" s="35"/>
      <c r="HP908" s="35"/>
      <c r="HQ908" s="35"/>
      <c r="HR908" s="35"/>
      <c r="HS908" s="35"/>
      <c r="HT908" s="35"/>
      <c r="HU908" s="35"/>
      <c r="HV908" s="35"/>
      <c r="HW908" s="35"/>
      <c r="HX908" s="35"/>
      <c r="HY908" s="35"/>
      <c r="HZ908" s="35"/>
      <c r="IA908" s="35"/>
      <c r="IB908" s="35"/>
      <c r="IC908" s="35"/>
      <c r="ID908" s="35"/>
      <c r="IE908" s="35"/>
      <c r="IF908" s="35"/>
      <c r="IG908" s="35"/>
      <c r="IH908" s="35"/>
      <c r="II908" s="35"/>
      <c r="IJ908" s="35"/>
      <c r="IK908" s="35"/>
      <c r="IL908" s="35"/>
      <c r="IM908" s="35"/>
      <c r="IN908" s="35"/>
      <c r="IO908" s="35"/>
      <c r="IP908" s="35"/>
      <c r="IQ908" s="35"/>
      <c r="IR908" s="35"/>
      <c r="IS908" s="35"/>
      <c r="IT908" s="35"/>
      <c r="IU908" s="35"/>
      <c r="IV908" s="35"/>
      <c r="IW908" s="35"/>
      <c r="IX908" s="35"/>
      <c r="IY908" s="35"/>
      <c r="IZ908" s="35"/>
      <c r="JA908" s="35"/>
      <c r="JB908" s="35"/>
      <c r="JC908" s="35"/>
      <c r="JD908" s="35"/>
      <c r="JE908" s="35"/>
    </row>
    <row r="909">
      <c r="A909" s="42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  <c r="AZ909" s="35"/>
      <c r="BA909" s="35"/>
      <c r="BB909" s="35"/>
      <c r="BC909" s="35"/>
      <c r="BD909" s="35"/>
      <c r="BE909" s="35"/>
      <c r="BF909" s="35"/>
      <c r="BG909" s="35"/>
      <c r="BH909" s="35"/>
      <c r="BI909" s="35"/>
      <c r="BJ909" s="35"/>
      <c r="BK909" s="35"/>
      <c r="BL909" s="35"/>
      <c r="BM909" s="35"/>
      <c r="BN909" s="35"/>
      <c r="BO909" s="35"/>
      <c r="BP909" s="35"/>
      <c r="BQ909" s="35"/>
      <c r="BR909" s="35"/>
      <c r="BS909" s="35"/>
      <c r="BT909" s="35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35"/>
      <c r="CO909" s="35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35"/>
      <c r="DJ909" s="35"/>
      <c r="DK909" s="35"/>
      <c r="DL909" s="35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35"/>
      <c r="EE909" s="35"/>
      <c r="EF909" s="35"/>
      <c r="EG909" s="35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  <c r="ER909" s="35"/>
      <c r="ES909" s="35"/>
      <c r="ET909" s="35"/>
      <c r="EU909" s="35"/>
      <c r="EV909" s="35"/>
      <c r="EW909" s="35"/>
      <c r="EX909" s="35"/>
      <c r="EY909" s="35"/>
      <c r="EZ909" s="35"/>
      <c r="FA909" s="35"/>
      <c r="FB909" s="35"/>
      <c r="FC909" s="35"/>
      <c r="FD909" s="35"/>
      <c r="FE909" s="35"/>
      <c r="FF909" s="35"/>
      <c r="FG909" s="35"/>
      <c r="FH909" s="35"/>
      <c r="FI909" s="35"/>
      <c r="FJ909" s="35"/>
      <c r="FK909" s="35"/>
      <c r="FL909" s="35"/>
      <c r="FM909" s="35"/>
      <c r="FN909" s="35"/>
      <c r="FO909" s="35"/>
      <c r="FP909" s="35"/>
      <c r="FQ909" s="35"/>
      <c r="FR909" s="35"/>
      <c r="FS909" s="35"/>
      <c r="FT909" s="35"/>
      <c r="FU909" s="35"/>
      <c r="FV909" s="35"/>
      <c r="FW909" s="35"/>
      <c r="FX909" s="35"/>
      <c r="FY909" s="35"/>
      <c r="FZ909" s="35"/>
      <c r="GA909" s="35"/>
      <c r="GB909" s="35"/>
      <c r="GC909" s="35"/>
      <c r="GD909" s="35"/>
      <c r="GE909" s="35"/>
      <c r="GF909" s="35"/>
      <c r="GG909" s="35"/>
      <c r="GH909" s="35"/>
      <c r="GI909" s="35"/>
      <c r="GJ909" s="35"/>
      <c r="GK909" s="35"/>
      <c r="GL909" s="35"/>
      <c r="GM909" s="35"/>
      <c r="GN909" s="35"/>
      <c r="GO909" s="35"/>
      <c r="GP909" s="35"/>
      <c r="GQ909" s="35"/>
      <c r="GR909" s="35"/>
      <c r="GS909" s="35"/>
      <c r="GT909" s="35"/>
      <c r="GU909" s="35"/>
      <c r="GV909" s="35"/>
      <c r="GW909" s="35"/>
      <c r="GX909" s="35"/>
      <c r="GY909" s="35"/>
      <c r="GZ909" s="35"/>
      <c r="HA909" s="35"/>
      <c r="HB909" s="35"/>
      <c r="HC909" s="35"/>
      <c r="HD909" s="35"/>
      <c r="HE909" s="35"/>
      <c r="HF909" s="35"/>
      <c r="HG909" s="35"/>
      <c r="HH909" s="35"/>
      <c r="HI909" s="35"/>
      <c r="HJ909" s="35"/>
      <c r="HK909" s="35"/>
      <c r="HL909" s="35"/>
      <c r="HM909" s="35"/>
      <c r="HN909" s="35"/>
      <c r="HO909" s="35"/>
      <c r="HP909" s="35"/>
      <c r="HQ909" s="35"/>
      <c r="HR909" s="35"/>
      <c r="HS909" s="35"/>
      <c r="HT909" s="35"/>
      <c r="HU909" s="35"/>
      <c r="HV909" s="35"/>
      <c r="HW909" s="35"/>
      <c r="HX909" s="35"/>
      <c r="HY909" s="35"/>
      <c r="HZ909" s="35"/>
      <c r="IA909" s="35"/>
      <c r="IB909" s="35"/>
      <c r="IC909" s="35"/>
      <c r="ID909" s="35"/>
      <c r="IE909" s="35"/>
      <c r="IF909" s="35"/>
      <c r="IG909" s="35"/>
      <c r="IH909" s="35"/>
      <c r="II909" s="35"/>
      <c r="IJ909" s="35"/>
      <c r="IK909" s="35"/>
      <c r="IL909" s="35"/>
      <c r="IM909" s="35"/>
      <c r="IN909" s="35"/>
      <c r="IO909" s="35"/>
      <c r="IP909" s="35"/>
      <c r="IQ909" s="35"/>
      <c r="IR909" s="35"/>
      <c r="IS909" s="35"/>
      <c r="IT909" s="35"/>
      <c r="IU909" s="35"/>
      <c r="IV909" s="35"/>
      <c r="IW909" s="35"/>
      <c r="IX909" s="35"/>
      <c r="IY909" s="35"/>
      <c r="IZ909" s="35"/>
      <c r="JA909" s="35"/>
      <c r="JB909" s="35"/>
      <c r="JC909" s="35"/>
      <c r="JD909" s="35"/>
      <c r="JE909" s="35"/>
    </row>
    <row r="910">
      <c r="A910" s="42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  <c r="AZ910" s="35"/>
      <c r="BA910" s="35"/>
      <c r="BB910" s="35"/>
      <c r="BC910" s="35"/>
      <c r="BD910" s="35"/>
      <c r="BE910" s="35"/>
      <c r="BF910" s="35"/>
      <c r="BG910" s="35"/>
      <c r="BH910" s="35"/>
      <c r="BI910" s="35"/>
      <c r="BJ910" s="35"/>
      <c r="BK910" s="35"/>
      <c r="BL910" s="35"/>
      <c r="BM910" s="35"/>
      <c r="BN910" s="35"/>
      <c r="BO910" s="35"/>
      <c r="BP910" s="35"/>
      <c r="BQ910" s="35"/>
      <c r="BR910" s="35"/>
      <c r="BS910" s="35"/>
      <c r="BT910" s="35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35"/>
      <c r="CO910" s="35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35"/>
      <c r="DJ910" s="35"/>
      <c r="DK910" s="35"/>
      <c r="DL910" s="35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35"/>
      <c r="EE910" s="35"/>
      <c r="EF910" s="35"/>
      <c r="EG910" s="35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  <c r="ER910" s="35"/>
      <c r="ES910" s="35"/>
      <c r="ET910" s="35"/>
      <c r="EU910" s="35"/>
      <c r="EV910" s="35"/>
      <c r="EW910" s="35"/>
      <c r="EX910" s="35"/>
      <c r="EY910" s="35"/>
      <c r="EZ910" s="35"/>
      <c r="FA910" s="35"/>
      <c r="FB910" s="35"/>
      <c r="FC910" s="35"/>
      <c r="FD910" s="35"/>
      <c r="FE910" s="35"/>
      <c r="FF910" s="35"/>
      <c r="FG910" s="35"/>
      <c r="FH910" s="35"/>
      <c r="FI910" s="35"/>
      <c r="FJ910" s="35"/>
      <c r="FK910" s="35"/>
      <c r="FL910" s="35"/>
      <c r="FM910" s="35"/>
      <c r="FN910" s="35"/>
      <c r="FO910" s="35"/>
      <c r="FP910" s="35"/>
      <c r="FQ910" s="35"/>
      <c r="FR910" s="35"/>
      <c r="FS910" s="35"/>
      <c r="FT910" s="35"/>
      <c r="FU910" s="35"/>
      <c r="FV910" s="35"/>
      <c r="FW910" s="35"/>
      <c r="FX910" s="35"/>
      <c r="FY910" s="35"/>
      <c r="FZ910" s="35"/>
      <c r="GA910" s="35"/>
      <c r="GB910" s="35"/>
      <c r="GC910" s="35"/>
      <c r="GD910" s="35"/>
      <c r="GE910" s="35"/>
      <c r="GF910" s="35"/>
      <c r="GG910" s="35"/>
      <c r="GH910" s="35"/>
      <c r="GI910" s="35"/>
      <c r="GJ910" s="35"/>
      <c r="GK910" s="35"/>
      <c r="GL910" s="35"/>
      <c r="GM910" s="35"/>
      <c r="GN910" s="35"/>
      <c r="GO910" s="35"/>
      <c r="GP910" s="35"/>
      <c r="GQ910" s="35"/>
      <c r="GR910" s="35"/>
      <c r="GS910" s="35"/>
      <c r="GT910" s="35"/>
      <c r="GU910" s="35"/>
      <c r="GV910" s="35"/>
      <c r="GW910" s="35"/>
      <c r="GX910" s="35"/>
      <c r="GY910" s="35"/>
      <c r="GZ910" s="35"/>
      <c r="HA910" s="35"/>
      <c r="HB910" s="35"/>
      <c r="HC910" s="35"/>
      <c r="HD910" s="35"/>
      <c r="HE910" s="35"/>
      <c r="HF910" s="35"/>
      <c r="HG910" s="35"/>
      <c r="HH910" s="35"/>
      <c r="HI910" s="35"/>
      <c r="HJ910" s="35"/>
      <c r="HK910" s="35"/>
      <c r="HL910" s="35"/>
      <c r="HM910" s="35"/>
      <c r="HN910" s="35"/>
      <c r="HO910" s="35"/>
      <c r="HP910" s="35"/>
      <c r="HQ910" s="35"/>
      <c r="HR910" s="35"/>
      <c r="HS910" s="35"/>
      <c r="HT910" s="35"/>
      <c r="HU910" s="35"/>
      <c r="HV910" s="35"/>
      <c r="HW910" s="35"/>
      <c r="HX910" s="35"/>
      <c r="HY910" s="35"/>
      <c r="HZ910" s="35"/>
      <c r="IA910" s="35"/>
      <c r="IB910" s="35"/>
      <c r="IC910" s="35"/>
      <c r="ID910" s="35"/>
      <c r="IE910" s="35"/>
      <c r="IF910" s="35"/>
      <c r="IG910" s="35"/>
      <c r="IH910" s="35"/>
      <c r="II910" s="35"/>
      <c r="IJ910" s="35"/>
      <c r="IK910" s="35"/>
      <c r="IL910" s="35"/>
      <c r="IM910" s="35"/>
      <c r="IN910" s="35"/>
      <c r="IO910" s="35"/>
      <c r="IP910" s="35"/>
      <c r="IQ910" s="35"/>
      <c r="IR910" s="35"/>
      <c r="IS910" s="35"/>
      <c r="IT910" s="35"/>
      <c r="IU910" s="35"/>
      <c r="IV910" s="35"/>
      <c r="IW910" s="35"/>
      <c r="IX910" s="35"/>
      <c r="IY910" s="35"/>
      <c r="IZ910" s="35"/>
      <c r="JA910" s="35"/>
      <c r="JB910" s="35"/>
      <c r="JC910" s="35"/>
      <c r="JD910" s="35"/>
      <c r="JE910" s="35"/>
    </row>
    <row r="911">
      <c r="A911" s="42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  <c r="AZ911" s="35"/>
      <c r="BA911" s="35"/>
      <c r="BB911" s="35"/>
      <c r="BC911" s="35"/>
      <c r="BD911" s="35"/>
      <c r="BE911" s="35"/>
      <c r="BF911" s="35"/>
      <c r="BG911" s="35"/>
      <c r="BH911" s="35"/>
      <c r="BI911" s="35"/>
      <c r="BJ911" s="35"/>
      <c r="BK911" s="35"/>
      <c r="BL911" s="35"/>
      <c r="BM911" s="35"/>
      <c r="BN911" s="35"/>
      <c r="BO911" s="35"/>
      <c r="BP911" s="35"/>
      <c r="BQ911" s="35"/>
      <c r="BR911" s="35"/>
      <c r="BS911" s="35"/>
      <c r="BT911" s="35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35"/>
      <c r="CO911" s="35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35"/>
      <c r="DJ911" s="35"/>
      <c r="DK911" s="35"/>
      <c r="DL911" s="35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35"/>
      <c r="EE911" s="35"/>
      <c r="EF911" s="35"/>
      <c r="EG911" s="35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  <c r="ER911" s="35"/>
      <c r="ES911" s="35"/>
      <c r="ET911" s="35"/>
      <c r="EU911" s="35"/>
      <c r="EV911" s="35"/>
      <c r="EW911" s="35"/>
      <c r="EX911" s="35"/>
      <c r="EY911" s="35"/>
      <c r="EZ911" s="35"/>
      <c r="FA911" s="35"/>
      <c r="FB911" s="35"/>
      <c r="FC911" s="35"/>
      <c r="FD911" s="35"/>
      <c r="FE911" s="35"/>
      <c r="FF911" s="35"/>
      <c r="FG911" s="35"/>
      <c r="FH911" s="35"/>
      <c r="FI911" s="35"/>
      <c r="FJ911" s="35"/>
      <c r="FK911" s="35"/>
      <c r="FL911" s="35"/>
      <c r="FM911" s="35"/>
      <c r="FN911" s="35"/>
      <c r="FO911" s="35"/>
      <c r="FP911" s="35"/>
      <c r="FQ911" s="35"/>
      <c r="FR911" s="35"/>
      <c r="FS911" s="35"/>
      <c r="FT911" s="35"/>
      <c r="FU911" s="35"/>
      <c r="FV911" s="35"/>
      <c r="FW911" s="35"/>
      <c r="FX911" s="35"/>
      <c r="FY911" s="35"/>
      <c r="FZ911" s="35"/>
      <c r="GA911" s="35"/>
      <c r="GB911" s="35"/>
      <c r="GC911" s="35"/>
      <c r="GD911" s="35"/>
      <c r="GE911" s="35"/>
      <c r="GF911" s="35"/>
      <c r="GG911" s="35"/>
      <c r="GH911" s="35"/>
      <c r="GI911" s="35"/>
      <c r="GJ911" s="35"/>
      <c r="GK911" s="35"/>
      <c r="GL911" s="35"/>
      <c r="GM911" s="35"/>
      <c r="GN911" s="35"/>
      <c r="GO911" s="35"/>
      <c r="GP911" s="35"/>
      <c r="GQ911" s="35"/>
      <c r="GR911" s="35"/>
      <c r="GS911" s="35"/>
      <c r="GT911" s="35"/>
      <c r="GU911" s="35"/>
      <c r="GV911" s="35"/>
      <c r="GW911" s="35"/>
      <c r="GX911" s="35"/>
      <c r="GY911" s="35"/>
      <c r="GZ911" s="35"/>
      <c r="HA911" s="35"/>
      <c r="HB911" s="35"/>
      <c r="HC911" s="35"/>
      <c r="HD911" s="35"/>
      <c r="HE911" s="35"/>
      <c r="HF911" s="35"/>
      <c r="HG911" s="35"/>
      <c r="HH911" s="35"/>
      <c r="HI911" s="35"/>
      <c r="HJ911" s="35"/>
      <c r="HK911" s="35"/>
      <c r="HL911" s="35"/>
      <c r="HM911" s="35"/>
      <c r="HN911" s="35"/>
      <c r="HO911" s="35"/>
      <c r="HP911" s="35"/>
      <c r="HQ911" s="35"/>
      <c r="HR911" s="35"/>
      <c r="HS911" s="35"/>
      <c r="HT911" s="35"/>
      <c r="HU911" s="35"/>
      <c r="HV911" s="35"/>
      <c r="HW911" s="35"/>
      <c r="HX911" s="35"/>
      <c r="HY911" s="35"/>
      <c r="HZ911" s="35"/>
      <c r="IA911" s="35"/>
      <c r="IB911" s="35"/>
      <c r="IC911" s="35"/>
      <c r="ID911" s="35"/>
      <c r="IE911" s="35"/>
      <c r="IF911" s="35"/>
      <c r="IG911" s="35"/>
      <c r="IH911" s="35"/>
      <c r="II911" s="35"/>
      <c r="IJ911" s="35"/>
      <c r="IK911" s="35"/>
      <c r="IL911" s="35"/>
      <c r="IM911" s="35"/>
      <c r="IN911" s="35"/>
      <c r="IO911" s="35"/>
      <c r="IP911" s="35"/>
      <c r="IQ911" s="35"/>
      <c r="IR911" s="35"/>
      <c r="IS911" s="35"/>
      <c r="IT911" s="35"/>
      <c r="IU911" s="35"/>
      <c r="IV911" s="35"/>
      <c r="IW911" s="35"/>
      <c r="IX911" s="35"/>
      <c r="IY911" s="35"/>
      <c r="IZ911" s="35"/>
      <c r="JA911" s="35"/>
      <c r="JB911" s="35"/>
      <c r="JC911" s="35"/>
      <c r="JD911" s="35"/>
      <c r="JE911" s="35"/>
    </row>
    <row r="912">
      <c r="A912" s="42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  <c r="AZ912" s="35"/>
      <c r="BA912" s="35"/>
      <c r="BB912" s="35"/>
      <c r="BC912" s="35"/>
      <c r="BD912" s="35"/>
      <c r="BE912" s="35"/>
      <c r="BF912" s="35"/>
      <c r="BG912" s="35"/>
      <c r="BH912" s="35"/>
      <c r="BI912" s="35"/>
      <c r="BJ912" s="35"/>
      <c r="BK912" s="35"/>
      <c r="BL912" s="35"/>
      <c r="BM912" s="35"/>
      <c r="BN912" s="35"/>
      <c r="BO912" s="35"/>
      <c r="BP912" s="35"/>
      <c r="BQ912" s="35"/>
      <c r="BR912" s="35"/>
      <c r="BS912" s="35"/>
      <c r="BT912" s="35"/>
      <c r="BU912" s="35"/>
      <c r="BV912" s="35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35"/>
      <c r="CO912" s="35"/>
      <c r="CP912" s="35"/>
      <c r="CQ912" s="35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35"/>
      <c r="DJ912" s="35"/>
      <c r="DK912" s="35"/>
      <c r="DL912" s="35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35"/>
      <c r="EE912" s="35"/>
      <c r="EF912" s="35"/>
      <c r="EG912" s="35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  <c r="ER912" s="35"/>
      <c r="ES912" s="35"/>
      <c r="ET912" s="35"/>
      <c r="EU912" s="35"/>
      <c r="EV912" s="35"/>
      <c r="EW912" s="35"/>
      <c r="EX912" s="35"/>
      <c r="EY912" s="35"/>
      <c r="EZ912" s="35"/>
      <c r="FA912" s="35"/>
      <c r="FB912" s="35"/>
      <c r="FC912" s="35"/>
      <c r="FD912" s="35"/>
      <c r="FE912" s="35"/>
      <c r="FF912" s="35"/>
      <c r="FG912" s="35"/>
      <c r="FH912" s="35"/>
      <c r="FI912" s="35"/>
      <c r="FJ912" s="35"/>
      <c r="FK912" s="35"/>
      <c r="FL912" s="35"/>
      <c r="FM912" s="35"/>
      <c r="FN912" s="35"/>
      <c r="FO912" s="35"/>
      <c r="FP912" s="35"/>
      <c r="FQ912" s="35"/>
      <c r="FR912" s="35"/>
      <c r="FS912" s="35"/>
      <c r="FT912" s="35"/>
      <c r="FU912" s="35"/>
      <c r="FV912" s="35"/>
      <c r="FW912" s="35"/>
      <c r="FX912" s="35"/>
      <c r="FY912" s="35"/>
      <c r="FZ912" s="35"/>
      <c r="GA912" s="35"/>
      <c r="GB912" s="35"/>
      <c r="GC912" s="35"/>
      <c r="GD912" s="35"/>
      <c r="GE912" s="35"/>
      <c r="GF912" s="35"/>
      <c r="GG912" s="35"/>
      <c r="GH912" s="35"/>
      <c r="GI912" s="35"/>
      <c r="GJ912" s="35"/>
      <c r="GK912" s="35"/>
      <c r="GL912" s="35"/>
      <c r="GM912" s="35"/>
      <c r="GN912" s="35"/>
      <c r="GO912" s="35"/>
      <c r="GP912" s="35"/>
      <c r="GQ912" s="35"/>
      <c r="GR912" s="35"/>
      <c r="GS912" s="35"/>
      <c r="GT912" s="35"/>
      <c r="GU912" s="35"/>
      <c r="GV912" s="35"/>
      <c r="GW912" s="35"/>
      <c r="GX912" s="35"/>
      <c r="GY912" s="35"/>
      <c r="GZ912" s="35"/>
      <c r="HA912" s="35"/>
      <c r="HB912" s="35"/>
      <c r="HC912" s="35"/>
      <c r="HD912" s="35"/>
      <c r="HE912" s="35"/>
      <c r="HF912" s="35"/>
      <c r="HG912" s="35"/>
      <c r="HH912" s="35"/>
      <c r="HI912" s="35"/>
      <c r="HJ912" s="35"/>
      <c r="HK912" s="35"/>
      <c r="HL912" s="35"/>
      <c r="HM912" s="35"/>
      <c r="HN912" s="35"/>
      <c r="HO912" s="35"/>
      <c r="HP912" s="35"/>
      <c r="HQ912" s="35"/>
      <c r="HR912" s="35"/>
      <c r="HS912" s="35"/>
      <c r="HT912" s="35"/>
      <c r="HU912" s="35"/>
      <c r="HV912" s="35"/>
      <c r="HW912" s="35"/>
      <c r="HX912" s="35"/>
      <c r="HY912" s="35"/>
      <c r="HZ912" s="35"/>
      <c r="IA912" s="35"/>
      <c r="IB912" s="35"/>
      <c r="IC912" s="35"/>
      <c r="ID912" s="35"/>
      <c r="IE912" s="35"/>
      <c r="IF912" s="35"/>
      <c r="IG912" s="35"/>
      <c r="IH912" s="35"/>
      <c r="II912" s="35"/>
      <c r="IJ912" s="35"/>
      <c r="IK912" s="35"/>
      <c r="IL912" s="35"/>
      <c r="IM912" s="35"/>
      <c r="IN912" s="35"/>
      <c r="IO912" s="35"/>
      <c r="IP912" s="35"/>
      <c r="IQ912" s="35"/>
      <c r="IR912" s="35"/>
      <c r="IS912" s="35"/>
      <c r="IT912" s="35"/>
      <c r="IU912" s="35"/>
      <c r="IV912" s="35"/>
      <c r="IW912" s="35"/>
      <c r="IX912" s="35"/>
      <c r="IY912" s="35"/>
      <c r="IZ912" s="35"/>
      <c r="JA912" s="35"/>
      <c r="JB912" s="35"/>
      <c r="JC912" s="35"/>
      <c r="JD912" s="35"/>
      <c r="JE912" s="35"/>
    </row>
    <row r="913">
      <c r="A913" s="42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  <c r="AZ913" s="35"/>
      <c r="BA913" s="35"/>
      <c r="BB913" s="35"/>
      <c r="BC913" s="35"/>
      <c r="BD913" s="35"/>
      <c r="BE913" s="35"/>
      <c r="BF913" s="35"/>
      <c r="BG913" s="35"/>
      <c r="BH913" s="35"/>
      <c r="BI913" s="35"/>
      <c r="BJ913" s="35"/>
      <c r="BK913" s="35"/>
      <c r="BL913" s="35"/>
      <c r="BM913" s="35"/>
      <c r="BN913" s="35"/>
      <c r="BO913" s="35"/>
      <c r="BP913" s="35"/>
      <c r="BQ913" s="35"/>
      <c r="BR913" s="35"/>
      <c r="BS913" s="35"/>
      <c r="BT913" s="35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35"/>
      <c r="CO913" s="35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35"/>
      <c r="DJ913" s="35"/>
      <c r="DK913" s="35"/>
      <c r="DL913" s="35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35"/>
      <c r="EE913" s="35"/>
      <c r="EF913" s="35"/>
      <c r="EG913" s="35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  <c r="ER913" s="35"/>
      <c r="ES913" s="35"/>
      <c r="ET913" s="35"/>
      <c r="EU913" s="35"/>
      <c r="EV913" s="35"/>
      <c r="EW913" s="35"/>
      <c r="EX913" s="35"/>
      <c r="EY913" s="35"/>
      <c r="EZ913" s="35"/>
      <c r="FA913" s="35"/>
      <c r="FB913" s="35"/>
      <c r="FC913" s="35"/>
      <c r="FD913" s="35"/>
      <c r="FE913" s="35"/>
      <c r="FF913" s="35"/>
      <c r="FG913" s="35"/>
      <c r="FH913" s="35"/>
      <c r="FI913" s="35"/>
      <c r="FJ913" s="35"/>
      <c r="FK913" s="35"/>
      <c r="FL913" s="35"/>
      <c r="FM913" s="35"/>
      <c r="FN913" s="35"/>
      <c r="FO913" s="35"/>
      <c r="FP913" s="35"/>
      <c r="FQ913" s="35"/>
      <c r="FR913" s="35"/>
      <c r="FS913" s="35"/>
      <c r="FT913" s="35"/>
      <c r="FU913" s="35"/>
      <c r="FV913" s="35"/>
      <c r="FW913" s="35"/>
      <c r="FX913" s="35"/>
      <c r="FY913" s="35"/>
      <c r="FZ913" s="35"/>
      <c r="GA913" s="35"/>
      <c r="GB913" s="35"/>
      <c r="GC913" s="35"/>
      <c r="GD913" s="35"/>
      <c r="GE913" s="35"/>
      <c r="GF913" s="35"/>
      <c r="GG913" s="35"/>
      <c r="GH913" s="35"/>
      <c r="GI913" s="35"/>
      <c r="GJ913" s="35"/>
      <c r="GK913" s="35"/>
      <c r="GL913" s="35"/>
      <c r="GM913" s="35"/>
      <c r="GN913" s="35"/>
      <c r="GO913" s="35"/>
      <c r="GP913" s="35"/>
      <c r="GQ913" s="35"/>
      <c r="GR913" s="35"/>
      <c r="GS913" s="35"/>
      <c r="GT913" s="35"/>
      <c r="GU913" s="35"/>
      <c r="GV913" s="35"/>
      <c r="GW913" s="35"/>
      <c r="GX913" s="35"/>
      <c r="GY913" s="35"/>
      <c r="GZ913" s="35"/>
      <c r="HA913" s="35"/>
      <c r="HB913" s="35"/>
      <c r="HC913" s="35"/>
      <c r="HD913" s="35"/>
      <c r="HE913" s="35"/>
      <c r="HF913" s="35"/>
      <c r="HG913" s="35"/>
      <c r="HH913" s="35"/>
      <c r="HI913" s="35"/>
      <c r="HJ913" s="35"/>
      <c r="HK913" s="35"/>
      <c r="HL913" s="35"/>
      <c r="HM913" s="35"/>
      <c r="HN913" s="35"/>
      <c r="HO913" s="35"/>
      <c r="HP913" s="35"/>
      <c r="HQ913" s="35"/>
      <c r="HR913" s="35"/>
      <c r="HS913" s="35"/>
      <c r="HT913" s="35"/>
      <c r="HU913" s="35"/>
      <c r="HV913" s="35"/>
      <c r="HW913" s="35"/>
      <c r="HX913" s="35"/>
      <c r="HY913" s="35"/>
      <c r="HZ913" s="35"/>
      <c r="IA913" s="35"/>
      <c r="IB913" s="35"/>
      <c r="IC913" s="35"/>
      <c r="ID913" s="35"/>
      <c r="IE913" s="35"/>
      <c r="IF913" s="35"/>
      <c r="IG913" s="35"/>
      <c r="IH913" s="35"/>
      <c r="II913" s="35"/>
      <c r="IJ913" s="35"/>
      <c r="IK913" s="35"/>
      <c r="IL913" s="35"/>
      <c r="IM913" s="35"/>
      <c r="IN913" s="35"/>
      <c r="IO913" s="35"/>
      <c r="IP913" s="35"/>
      <c r="IQ913" s="35"/>
      <c r="IR913" s="35"/>
      <c r="IS913" s="35"/>
      <c r="IT913" s="35"/>
      <c r="IU913" s="35"/>
      <c r="IV913" s="35"/>
      <c r="IW913" s="35"/>
      <c r="IX913" s="35"/>
      <c r="IY913" s="35"/>
      <c r="IZ913" s="35"/>
      <c r="JA913" s="35"/>
      <c r="JB913" s="35"/>
      <c r="JC913" s="35"/>
      <c r="JD913" s="35"/>
      <c r="JE913" s="35"/>
    </row>
    <row r="914">
      <c r="A914" s="42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  <c r="AZ914" s="35"/>
      <c r="BA914" s="35"/>
      <c r="BB914" s="35"/>
      <c r="BC914" s="35"/>
      <c r="BD914" s="35"/>
      <c r="BE914" s="35"/>
      <c r="BF914" s="35"/>
      <c r="BG914" s="35"/>
      <c r="BH914" s="35"/>
      <c r="BI914" s="35"/>
      <c r="BJ914" s="35"/>
      <c r="BK914" s="35"/>
      <c r="BL914" s="35"/>
      <c r="BM914" s="35"/>
      <c r="BN914" s="35"/>
      <c r="BO914" s="35"/>
      <c r="BP914" s="35"/>
      <c r="BQ914" s="35"/>
      <c r="BR914" s="35"/>
      <c r="BS914" s="35"/>
      <c r="BT914" s="35"/>
      <c r="BU914" s="35"/>
      <c r="BV914" s="35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35"/>
      <c r="CO914" s="35"/>
      <c r="CP914" s="35"/>
      <c r="CQ914" s="35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35"/>
      <c r="DJ914" s="35"/>
      <c r="DK914" s="35"/>
      <c r="DL914" s="35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35"/>
      <c r="EE914" s="35"/>
      <c r="EF914" s="35"/>
      <c r="EG914" s="35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  <c r="ER914" s="35"/>
      <c r="ES914" s="35"/>
      <c r="ET914" s="35"/>
      <c r="EU914" s="35"/>
      <c r="EV914" s="35"/>
      <c r="EW914" s="35"/>
      <c r="EX914" s="35"/>
      <c r="EY914" s="35"/>
      <c r="EZ914" s="35"/>
      <c r="FA914" s="35"/>
      <c r="FB914" s="35"/>
      <c r="FC914" s="35"/>
      <c r="FD914" s="35"/>
      <c r="FE914" s="35"/>
      <c r="FF914" s="35"/>
      <c r="FG914" s="35"/>
      <c r="FH914" s="35"/>
      <c r="FI914" s="35"/>
      <c r="FJ914" s="35"/>
      <c r="FK914" s="35"/>
      <c r="FL914" s="35"/>
      <c r="FM914" s="35"/>
      <c r="FN914" s="35"/>
      <c r="FO914" s="35"/>
      <c r="FP914" s="35"/>
      <c r="FQ914" s="35"/>
      <c r="FR914" s="35"/>
      <c r="FS914" s="35"/>
      <c r="FT914" s="35"/>
      <c r="FU914" s="35"/>
      <c r="FV914" s="35"/>
      <c r="FW914" s="35"/>
      <c r="FX914" s="35"/>
      <c r="FY914" s="35"/>
      <c r="FZ914" s="35"/>
      <c r="GA914" s="35"/>
      <c r="GB914" s="35"/>
      <c r="GC914" s="35"/>
      <c r="GD914" s="35"/>
      <c r="GE914" s="35"/>
      <c r="GF914" s="35"/>
      <c r="GG914" s="35"/>
      <c r="GH914" s="35"/>
      <c r="GI914" s="35"/>
      <c r="GJ914" s="35"/>
      <c r="GK914" s="35"/>
      <c r="GL914" s="35"/>
      <c r="GM914" s="35"/>
      <c r="GN914" s="35"/>
      <c r="GO914" s="35"/>
      <c r="GP914" s="35"/>
      <c r="GQ914" s="35"/>
      <c r="GR914" s="35"/>
      <c r="GS914" s="35"/>
      <c r="GT914" s="35"/>
      <c r="GU914" s="35"/>
      <c r="GV914" s="35"/>
      <c r="GW914" s="35"/>
      <c r="GX914" s="35"/>
      <c r="GY914" s="35"/>
      <c r="GZ914" s="35"/>
      <c r="HA914" s="35"/>
      <c r="HB914" s="35"/>
      <c r="HC914" s="35"/>
      <c r="HD914" s="35"/>
      <c r="HE914" s="35"/>
      <c r="HF914" s="35"/>
      <c r="HG914" s="35"/>
      <c r="HH914" s="35"/>
      <c r="HI914" s="35"/>
      <c r="HJ914" s="35"/>
      <c r="HK914" s="35"/>
      <c r="HL914" s="35"/>
      <c r="HM914" s="35"/>
      <c r="HN914" s="35"/>
      <c r="HO914" s="35"/>
      <c r="HP914" s="35"/>
      <c r="HQ914" s="35"/>
      <c r="HR914" s="35"/>
      <c r="HS914" s="35"/>
      <c r="HT914" s="35"/>
      <c r="HU914" s="35"/>
      <c r="HV914" s="35"/>
      <c r="HW914" s="35"/>
      <c r="HX914" s="35"/>
      <c r="HY914" s="35"/>
      <c r="HZ914" s="35"/>
      <c r="IA914" s="35"/>
      <c r="IB914" s="35"/>
      <c r="IC914" s="35"/>
      <c r="ID914" s="35"/>
      <c r="IE914" s="35"/>
      <c r="IF914" s="35"/>
      <c r="IG914" s="35"/>
      <c r="IH914" s="35"/>
      <c r="II914" s="35"/>
      <c r="IJ914" s="35"/>
      <c r="IK914" s="35"/>
      <c r="IL914" s="35"/>
      <c r="IM914" s="35"/>
      <c r="IN914" s="35"/>
      <c r="IO914" s="35"/>
      <c r="IP914" s="35"/>
      <c r="IQ914" s="35"/>
      <c r="IR914" s="35"/>
      <c r="IS914" s="35"/>
      <c r="IT914" s="35"/>
      <c r="IU914" s="35"/>
      <c r="IV914" s="35"/>
      <c r="IW914" s="35"/>
      <c r="IX914" s="35"/>
      <c r="IY914" s="35"/>
      <c r="IZ914" s="35"/>
      <c r="JA914" s="35"/>
      <c r="JB914" s="35"/>
      <c r="JC914" s="35"/>
      <c r="JD914" s="35"/>
      <c r="JE914" s="35"/>
    </row>
    <row r="915">
      <c r="A915" s="42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  <c r="AZ915" s="35"/>
      <c r="BA915" s="35"/>
      <c r="BB915" s="35"/>
      <c r="BC915" s="35"/>
      <c r="BD915" s="35"/>
      <c r="BE915" s="35"/>
      <c r="BF915" s="35"/>
      <c r="BG915" s="35"/>
      <c r="BH915" s="35"/>
      <c r="BI915" s="35"/>
      <c r="BJ915" s="35"/>
      <c r="BK915" s="35"/>
      <c r="BL915" s="35"/>
      <c r="BM915" s="35"/>
      <c r="BN915" s="35"/>
      <c r="BO915" s="35"/>
      <c r="BP915" s="35"/>
      <c r="BQ915" s="35"/>
      <c r="BR915" s="35"/>
      <c r="BS915" s="35"/>
      <c r="BT915" s="35"/>
      <c r="BU915" s="35"/>
      <c r="BV915" s="35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35"/>
      <c r="CO915" s="35"/>
      <c r="CP915" s="35"/>
      <c r="CQ915" s="35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35"/>
      <c r="DJ915" s="35"/>
      <c r="DK915" s="35"/>
      <c r="DL915" s="35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35"/>
      <c r="EE915" s="35"/>
      <c r="EF915" s="35"/>
      <c r="EG915" s="35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  <c r="ER915" s="35"/>
      <c r="ES915" s="35"/>
      <c r="ET915" s="35"/>
      <c r="EU915" s="35"/>
      <c r="EV915" s="35"/>
      <c r="EW915" s="35"/>
      <c r="EX915" s="35"/>
      <c r="EY915" s="35"/>
      <c r="EZ915" s="35"/>
      <c r="FA915" s="35"/>
      <c r="FB915" s="35"/>
      <c r="FC915" s="35"/>
      <c r="FD915" s="35"/>
      <c r="FE915" s="35"/>
      <c r="FF915" s="35"/>
      <c r="FG915" s="35"/>
      <c r="FH915" s="35"/>
      <c r="FI915" s="35"/>
      <c r="FJ915" s="35"/>
      <c r="FK915" s="35"/>
      <c r="FL915" s="35"/>
      <c r="FM915" s="35"/>
      <c r="FN915" s="35"/>
      <c r="FO915" s="35"/>
      <c r="FP915" s="35"/>
      <c r="FQ915" s="35"/>
      <c r="FR915" s="35"/>
      <c r="FS915" s="35"/>
      <c r="FT915" s="35"/>
      <c r="FU915" s="35"/>
      <c r="FV915" s="35"/>
      <c r="FW915" s="35"/>
      <c r="FX915" s="35"/>
      <c r="FY915" s="35"/>
      <c r="FZ915" s="35"/>
      <c r="GA915" s="35"/>
      <c r="GB915" s="35"/>
      <c r="GC915" s="35"/>
      <c r="GD915" s="35"/>
      <c r="GE915" s="35"/>
      <c r="GF915" s="35"/>
      <c r="GG915" s="35"/>
      <c r="GH915" s="35"/>
      <c r="GI915" s="35"/>
      <c r="GJ915" s="35"/>
      <c r="GK915" s="35"/>
      <c r="GL915" s="35"/>
      <c r="GM915" s="35"/>
      <c r="GN915" s="35"/>
      <c r="GO915" s="35"/>
      <c r="GP915" s="35"/>
      <c r="GQ915" s="35"/>
      <c r="GR915" s="35"/>
      <c r="GS915" s="35"/>
      <c r="GT915" s="35"/>
      <c r="GU915" s="35"/>
      <c r="GV915" s="35"/>
      <c r="GW915" s="35"/>
      <c r="GX915" s="35"/>
      <c r="GY915" s="35"/>
      <c r="GZ915" s="35"/>
      <c r="HA915" s="35"/>
      <c r="HB915" s="35"/>
      <c r="HC915" s="35"/>
      <c r="HD915" s="35"/>
      <c r="HE915" s="35"/>
      <c r="HF915" s="35"/>
      <c r="HG915" s="35"/>
      <c r="HH915" s="35"/>
      <c r="HI915" s="35"/>
      <c r="HJ915" s="35"/>
      <c r="HK915" s="35"/>
      <c r="HL915" s="35"/>
      <c r="HM915" s="35"/>
      <c r="HN915" s="35"/>
      <c r="HO915" s="35"/>
      <c r="HP915" s="35"/>
      <c r="HQ915" s="35"/>
      <c r="HR915" s="35"/>
      <c r="HS915" s="35"/>
      <c r="HT915" s="35"/>
      <c r="HU915" s="35"/>
      <c r="HV915" s="35"/>
      <c r="HW915" s="35"/>
      <c r="HX915" s="35"/>
      <c r="HY915" s="35"/>
      <c r="HZ915" s="35"/>
      <c r="IA915" s="35"/>
      <c r="IB915" s="35"/>
      <c r="IC915" s="35"/>
      <c r="ID915" s="35"/>
      <c r="IE915" s="35"/>
      <c r="IF915" s="35"/>
      <c r="IG915" s="35"/>
      <c r="IH915" s="35"/>
      <c r="II915" s="35"/>
      <c r="IJ915" s="35"/>
      <c r="IK915" s="35"/>
      <c r="IL915" s="35"/>
      <c r="IM915" s="35"/>
      <c r="IN915" s="35"/>
      <c r="IO915" s="35"/>
      <c r="IP915" s="35"/>
      <c r="IQ915" s="35"/>
      <c r="IR915" s="35"/>
      <c r="IS915" s="35"/>
      <c r="IT915" s="35"/>
      <c r="IU915" s="35"/>
      <c r="IV915" s="35"/>
      <c r="IW915" s="35"/>
      <c r="IX915" s="35"/>
      <c r="IY915" s="35"/>
      <c r="IZ915" s="35"/>
      <c r="JA915" s="35"/>
      <c r="JB915" s="35"/>
      <c r="JC915" s="35"/>
      <c r="JD915" s="35"/>
      <c r="JE915" s="35"/>
    </row>
    <row r="916">
      <c r="A916" s="42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  <c r="AZ916" s="35"/>
      <c r="BA916" s="35"/>
      <c r="BB916" s="35"/>
      <c r="BC916" s="35"/>
      <c r="BD916" s="35"/>
      <c r="BE916" s="35"/>
      <c r="BF916" s="35"/>
      <c r="BG916" s="35"/>
      <c r="BH916" s="35"/>
      <c r="BI916" s="35"/>
      <c r="BJ916" s="35"/>
      <c r="BK916" s="35"/>
      <c r="BL916" s="35"/>
      <c r="BM916" s="35"/>
      <c r="BN916" s="35"/>
      <c r="BO916" s="35"/>
      <c r="BP916" s="35"/>
      <c r="BQ916" s="35"/>
      <c r="BR916" s="35"/>
      <c r="BS916" s="35"/>
      <c r="BT916" s="35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35"/>
      <c r="CO916" s="35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35"/>
      <c r="DJ916" s="35"/>
      <c r="DK916" s="35"/>
      <c r="DL916" s="35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35"/>
      <c r="EE916" s="35"/>
      <c r="EF916" s="35"/>
      <c r="EG916" s="35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  <c r="ER916" s="35"/>
      <c r="ES916" s="35"/>
      <c r="ET916" s="35"/>
      <c r="EU916" s="35"/>
      <c r="EV916" s="35"/>
      <c r="EW916" s="35"/>
      <c r="EX916" s="35"/>
      <c r="EY916" s="35"/>
      <c r="EZ916" s="35"/>
      <c r="FA916" s="35"/>
      <c r="FB916" s="35"/>
      <c r="FC916" s="35"/>
      <c r="FD916" s="35"/>
      <c r="FE916" s="35"/>
      <c r="FF916" s="35"/>
      <c r="FG916" s="35"/>
      <c r="FH916" s="35"/>
      <c r="FI916" s="35"/>
      <c r="FJ916" s="35"/>
      <c r="FK916" s="35"/>
      <c r="FL916" s="35"/>
      <c r="FM916" s="35"/>
      <c r="FN916" s="35"/>
      <c r="FO916" s="35"/>
      <c r="FP916" s="35"/>
      <c r="FQ916" s="35"/>
      <c r="FR916" s="35"/>
      <c r="FS916" s="35"/>
      <c r="FT916" s="35"/>
      <c r="FU916" s="35"/>
      <c r="FV916" s="35"/>
      <c r="FW916" s="35"/>
      <c r="FX916" s="35"/>
      <c r="FY916" s="35"/>
      <c r="FZ916" s="35"/>
      <c r="GA916" s="35"/>
      <c r="GB916" s="35"/>
      <c r="GC916" s="35"/>
      <c r="GD916" s="35"/>
      <c r="GE916" s="35"/>
      <c r="GF916" s="35"/>
      <c r="GG916" s="35"/>
      <c r="GH916" s="35"/>
      <c r="GI916" s="35"/>
      <c r="GJ916" s="35"/>
      <c r="GK916" s="35"/>
      <c r="GL916" s="35"/>
      <c r="GM916" s="35"/>
      <c r="GN916" s="35"/>
      <c r="GO916" s="35"/>
      <c r="GP916" s="35"/>
      <c r="GQ916" s="35"/>
      <c r="GR916" s="35"/>
      <c r="GS916" s="35"/>
      <c r="GT916" s="35"/>
      <c r="GU916" s="35"/>
      <c r="GV916" s="35"/>
      <c r="GW916" s="35"/>
      <c r="GX916" s="35"/>
      <c r="GY916" s="35"/>
      <c r="GZ916" s="35"/>
      <c r="HA916" s="35"/>
      <c r="HB916" s="35"/>
      <c r="HC916" s="35"/>
      <c r="HD916" s="35"/>
      <c r="HE916" s="35"/>
      <c r="HF916" s="35"/>
      <c r="HG916" s="35"/>
      <c r="HH916" s="35"/>
      <c r="HI916" s="35"/>
      <c r="HJ916" s="35"/>
      <c r="HK916" s="35"/>
      <c r="HL916" s="35"/>
      <c r="HM916" s="35"/>
      <c r="HN916" s="35"/>
      <c r="HO916" s="35"/>
      <c r="HP916" s="35"/>
      <c r="HQ916" s="35"/>
      <c r="HR916" s="35"/>
      <c r="HS916" s="35"/>
      <c r="HT916" s="35"/>
      <c r="HU916" s="35"/>
      <c r="HV916" s="35"/>
      <c r="HW916" s="35"/>
      <c r="HX916" s="35"/>
      <c r="HY916" s="35"/>
      <c r="HZ916" s="35"/>
      <c r="IA916" s="35"/>
      <c r="IB916" s="35"/>
      <c r="IC916" s="35"/>
      <c r="ID916" s="35"/>
      <c r="IE916" s="35"/>
      <c r="IF916" s="35"/>
      <c r="IG916" s="35"/>
      <c r="IH916" s="35"/>
      <c r="II916" s="35"/>
      <c r="IJ916" s="35"/>
      <c r="IK916" s="35"/>
      <c r="IL916" s="35"/>
      <c r="IM916" s="35"/>
      <c r="IN916" s="35"/>
      <c r="IO916" s="35"/>
      <c r="IP916" s="35"/>
      <c r="IQ916" s="35"/>
      <c r="IR916" s="35"/>
      <c r="IS916" s="35"/>
      <c r="IT916" s="35"/>
      <c r="IU916" s="35"/>
      <c r="IV916" s="35"/>
      <c r="IW916" s="35"/>
      <c r="IX916" s="35"/>
      <c r="IY916" s="35"/>
      <c r="IZ916" s="35"/>
      <c r="JA916" s="35"/>
      <c r="JB916" s="35"/>
      <c r="JC916" s="35"/>
      <c r="JD916" s="35"/>
      <c r="JE916" s="35"/>
    </row>
    <row r="917">
      <c r="A917" s="42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  <c r="AZ917" s="35"/>
      <c r="BA917" s="35"/>
      <c r="BB917" s="35"/>
      <c r="BC917" s="35"/>
      <c r="BD917" s="35"/>
      <c r="BE917" s="35"/>
      <c r="BF917" s="35"/>
      <c r="BG917" s="35"/>
      <c r="BH917" s="35"/>
      <c r="BI917" s="35"/>
      <c r="BJ917" s="35"/>
      <c r="BK917" s="35"/>
      <c r="BL917" s="35"/>
      <c r="BM917" s="35"/>
      <c r="BN917" s="35"/>
      <c r="BO917" s="35"/>
      <c r="BP917" s="35"/>
      <c r="BQ917" s="35"/>
      <c r="BR917" s="35"/>
      <c r="BS917" s="35"/>
      <c r="BT917" s="35"/>
      <c r="BU917" s="35"/>
      <c r="BV917" s="35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35"/>
      <c r="CO917" s="35"/>
      <c r="CP917" s="35"/>
      <c r="CQ917" s="35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35"/>
      <c r="DJ917" s="35"/>
      <c r="DK917" s="35"/>
      <c r="DL917" s="35"/>
      <c r="DM917" s="35"/>
      <c r="DN917" s="35"/>
      <c r="DO917" s="35"/>
      <c r="DP917" s="35"/>
      <c r="DQ917" s="35"/>
      <c r="DR917" s="35"/>
      <c r="DS917" s="35"/>
      <c r="DT917" s="35"/>
      <c r="DU917" s="35"/>
      <c r="DV917" s="35"/>
      <c r="DW917" s="35"/>
      <c r="DX917" s="35"/>
      <c r="DY917" s="35"/>
      <c r="DZ917" s="35"/>
      <c r="EA917" s="35"/>
      <c r="EB917" s="35"/>
      <c r="EC917" s="35"/>
      <c r="ED917" s="35"/>
      <c r="EE917" s="35"/>
      <c r="EF917" s="35"/>
      <c r="EG917" s="35"/>
      <c r="EH917" s="35"/>
      <c r="EI917" s="35"/>
      <c r="EJ917" s="35"/>
      <c r="EK917" s="35"/>
      <c r="EL917" s="35"/>
      <c r="EM917" s="35"/>
      <c r="EN917" s="35"/>
      <c r="EO917" s="35"/>
      <c r="EP917" s="35"/>
      <c r="EQ917" s="35"/>
      <c r="ER917" s="35"/>
      <c r="ES917" s="35"/>
      <c r="ET917" s="35"/>
      <c r="EU917" s="35"/>
      <c r="EV917" s="35"/>
      <c r="EW917" s="35"/>
      <c r="EX917" s="35"/>
      <c r="EY917" s="35"/>
      <c r="EZ917" s="35"/>
      <c r="FA917" s="35"/>
      <c r="FB917" s="35"/>
      <c r="FC917" s="35"/>
      <c r="FD917" s="35"/>
      <c r="FE917" s="35"/>
      <c r="FF917" s="35"/>
      <c r="FG917" s="35"/>
      <c r="FH917" s="35"/>
      <c r="FI917" s="35"/>
      <c r="FJ917" s="35"/>
      <c r="FK917" s="35"/>
      <c r="FL917" s="35"/>
      <c r="FM917" s="35"/>
      <c r="FN917" s="35"/>
      <c r="FO917" s="35"/>
      <c r="FP917" s="35"/>
      <c r="FQ917" s="35"/>
      <c r="FR917" s="35"/>
      <c r="FS917" s="35"/>
      <c r="FT917" s="35"/>
      <c r="FU917" s="35"/>
      <c r="FV917" s="35"/>
      <c r="FW917" s="35"/>
      <c r="FX917" s="35"/>
      <c r="FY917" s="35"/>
      <c r="FZ917" s="35"/>
      <c r="GA917" s="35"/>
      <c r="GB917" s="35"/>
      <c r="GC917" s="35"/>
      <c r="GD917" s="35"/>
      <c r="GE917" s="35"/>
      <c r="GF917" s="35"/>
      <c r="GG917" s="35"/>
      <c r="GH917" s="35"/>
      <c r="GI917" s="35"/>
      <c r="GJ917" s="35"/>
      <c r="GK917" s="35"/>
      <c r="GL917" s="35"/>
      <c r="GM917" s="35"/>
      <c r="GN917" s="35"/>
      <c r="GO917" s="35"/>
      <c r="GP917" s="35"/>
      <c r="GQ917" s="35"/>
      <c r="GR917" s="35"/>
      <c r="GS917" s="35"/>
      <c r="GT917" s="35"/>
      <c r="GU917" s="35"/>
      <c r="GV917" s="35"/>
      <c r="GW917" s="35"/>
      <c r="GX917" s="35"/>
      <c r="GY917" s="35"/>
      <c r="GZ917" s="35"/>
      <c r="HA917" s="35"/>
      <c r="HB917" s="35"/>
      <c r="HC917" s="35"/>
      <c r="HD917" s="35"/>
      <c r="HE917" s="35"/>
      <c r="HF917" s="35"/>
      <c r="HG917" s="35"/>
      <c r="HH917" s="35"/>
      <c r="HI917" s="35"/>
      <c r="HJ917" s="35"/>
      <c r="HK917" s="35"/>
      <c r="HL917" s="35"/>
      <c r="HM917" s="35"/>
      <c r="HN917" s="35"/>
      <c r="HO917" s="35"/>
      <c r="HP917" s="35"/>
      <c r="HQ917" s="35"/>
      <c r="HR917" s="35"/>
      <c r="HS917" s="35"/>
      <c r="HT917" s="35"/>
      <c r="HU917" s="35"/>
      <c r="HV917" s="35"/>
      <c r="HW917" s="35"/>
      <c r="HX917" s="35"/>
      <c r="HY917" s="35"/>
      <c r="HZ917" s="35"/>
      <c r="IA917" s="35"/>
      <c r="IB917" s="35"/>
      <c r="IC917" s="35"/>
      <c r="ID917" s="35"/>
      <c r="IE917" s="35"/>
      <c r="IF917" s="35"/>
      <c r="IG917" s="35"/>
      <c r="IH917" s="35"/>
      <c r="II917" s="35"/>
      <c r="IJ917" s="35"/>
      <c r="IK917" s="35"/>
      <c r="IL917" s="35"/>
      <c r="IM917" s="35"/>
      <c r="IN917" s="35"/>
      <c r="IO917" s="35"/>
      <c r="IP917" s="35"/>
      <c r="IQ917" s="35"/>
      <c r="IR917" s="35"/>
      <c r="IS917" s="35"/>
      <c r="IT917" s="35"/>
      <c r="IU917" s="35"/>
      <c r="IV917" s="35"/>
      <c r="IW917" s="35"/>
      <c r="IX917" s="35"/>
      <c r="IY917" s="35"/>
      <c r="IZ917" s="35"/>
      <c r="JA917" s="35"/>
      <c r="JB917" s="35"/>
      <c r="JC917" s="35"/>
      <c r="JD917" s="35"/>
      <c r="JE917" s="35"/>
    </row>
    <row r="918">
      <c r="A918" s="42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  <c r="AZ918" s="35"/>
      <c r="BA918" s="35"/>
      <c r="BB918" s="35"/>
      <c r="BC918" s="35"/>
      <c r="BD918" s="35"/>
      <c r="BE918" s="35"/>
      <c r="BF918" s="35"/>
      <c r="BG918" s="35"/>
      <c r="BH918" s="35"/>
      <c r="BI918" s="35"/>
      <c r="BJ918" s="35"/>
      <c r="BK918" s="35"/>
      <c r="BL918" s="35"/>
      <c r="BM918" s="35"/>
      <c r="BN918" s="35"/>
      <c r="BO918" s="35"/>
      <c r="BP918" s="35"/>
      <c r="BQ918" s="35"/>
      <c r="BR918" s="35"/>
      <c r="BS918" s="35"/>
      <c r="BT918" s="35"/>
      <c r="BU918" s="35"/>
      <c r="BV918" s="35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35"/>
      <c r="CO918" s="35"/>
      <c r="CP918" s="35"/>
      <c r="CQ918" s="35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35"/>
      <c r="DJ918" s="35"/>
      <c r="DK918" s="35"/>
      <c r="DL918" s="35"/>
      <c r="DM918" s="35"/>
      <c r="DN918" s="35"/>
      <c r="DO918" s="35"/>
      <c r="DP918" s="35"/>
      <c r="DQ918" s="35"/>
      <c r="DR918" s="35"/>
      <c r="DS918" s="35"/>
      <c r="DT918" s="35"/>
      <c r="DU918" s="35"/>
      <c r="DV918" s="35"/>
      <c r="DW918" s="35"/>
      <c r="DX918" s="35"/>
      <c r="DY918" s="35"/>
      <c r="DZ918" s="35"/>
      <c r="EA918" s="35"/>
      <c r="EB918" s="35"/>
      <c r="EC918" s="35"/>
      <c r="ED918" s="35"/>
      <c r="EE918" s="35"/>
      <c r="EF918" s="35"/>
      <c r="EG918" s="35"/>
      <c r="EH918" s="35"/>
      <c r="EI918" s="35"/>
      <c r="EJ918" s="35"/>
      <c r="EK918" s="35"/>
      <c r="EL918" s="35"/>
      <c r="EM918" s="35"/>
      <c r="EN918" s="35"/>
      <c r="EO918" s="35"/>
      <c r="EP918" s="35"/>
      <c r="EQ918" s="35"/>
      <c r="ER918" s="35"/>
      <c r="ES918" s="35"/>
      <c r="ET918" s="35"/>
      <c r="EU918" s="35"/>
      <c r="EV918" s="35"/>
      <c r="EW918" s="35"/>
      <c r="EX918" s="35"/>
      <c r="EY918" s="35"/>
      <c r="EZ918" s="35"/>
      <c r="FA918" s="35"/>
      <c r="FB918" s="35"/>
      <c r="FC918" s="35"/>
      <c r="FD918" s="35"/>
      <c r="FE918" s="35"/>
      <c r="FF918" s="35"/>
      <c r="FG918" s="35"/>
      <c r="FH918" s="35"/>
      <c r="FI918" s="35"/>
      <c r="FJ918" s="35"/>
      <c r="FK918" s="35"/>
      <c r="FL918" s="35"/>
      <c r="FM918" s="35"/>
      <c r="FN918" s="35"/>
      <c r="FO918" s="35"/>
      <c r="FP918" s="35"/>
      <c r="FQ918" s="35"/>
      <c r="FR918" s="35"/>
      <c r="FS918" s="35"/>
      <c r="FT918" s="35"/>
      <c r="FU918" s="35"/>
      <c r="FV918" s="35"/>
      <c r="FW918" s="35"/>
      <c r="FX918" s="35"/>
      <c r="FY918" s="35"/>
      <c r="FZ918" s="35"/>
      <c r="GA918" s="35"/>
      <c r="GB918" s="35"/>
      <c r="GC918" s="35"/>
      <c r="GD918" s="35"/>
      <c r="GE918" s="35"/>
      <c r="GF918" s="35"/>
      <c r="GG918" s="35"/>
      <c r="GH918" s="35"/>
      <c r="GI918" s="35"/>
      <c r="GJ918" s="35"/>
      <c r="GK918" s="35"/>
      <c r="GL918" s="35"/>
      <c r="GM918" s="35"/>
      <c r="GN918" s="35"/>
      <c r="GO918" s="35"/>
      <c r="GP918" s="35"/>
      <c r="GQ918" s="35"/>
      <c r="GR918" s="35"/>
      <c r="GS918" s="35"/>
      <c r="GT918" s="35"/>
      <c r="GU918" s="35"/>
      <c r="GV918" s="35"/>
      <c r="GW918" s="35"/>
      <c r="GX918" s="35"/>
      <c r="GY918" s="35"/>
      <c r="GZ918" s="35"/>
      <c r="HA918" s="35"/>
      <c r="HB918" s="35"/>
      <c r="HC918" s="35"/>
      <c r="HD918" s="35"/>
      <c r="HE918" s="35"/>
      <c r="HF918" s="35"/>
      <c r="HG918" s="35"/>
      <c r="HH918" s="35"/>
      <c r="HI918" s="35"/>
      <c r="HJ918" s="35"/>
      <c r="HK918" s="35"/>
      <c r="HL918" s="35"/>
      <c r="HM918" s="35"/>
      <c r="HN918" s="35"/>
      <c r="HO918" s="35"/>
      <c r="HP918" s="35"/>
      <c r="HQ918" s="35"/>
      <c r="HR918" s="35"/>
      <c r="HS918" s="35"/>
      <c r="HT918" s="35"/>
      <c r="HU918" s="35"/>
      <c r="HV918" s="35"/>
      <c r="HW918" s="35"/>
      <c r="HX918" s="35"/>
      <c r="HY918" s="35"/>
      <c r="HZ918" s="35"/>
      <c r="IA918" s="35"/>
      <c r="IB918" s="35"/>
      <c r="IC918" s="35"/>
      <c r="ID918" s="35"/>
      <c r="IE918" s="35"/>
      <c r="IF918" s="35"/>
      <c r="IG918" s="35"/>
      <c r="IH918" s="35"/>
      <c r="II918" s="35"/>
      <c r="IJ918" s="35"/>
      <c r="IK918" s="35"/>
      <c r="IL918" s="35"/>
      <c r="IM918" s="35"/>
      <c r="IN918" s="35"/>
      <c r="IO918" s="35"/>
      <c r="IP918" s="35"/>
      <c r="IQ918" s="35"/>
      <c r="IR918" s="35"/>
      <c r="IS918" s="35"/>
      <c r="IT918" s="35"/>
      <c r="IU918" s="35"/>
      <c r="IV918" s="35"/>
      <c r="IW918" s="35"/>
      <c r="IX918" s="35"/>
      <c r="IY918" s="35"/>
      <c r="IZ918" s="35"/>
      <c r="JA918" s="35"/>
      <c r="JB918" s="35"/>
      <c r="JC918" s="35"/>
      <c r="JD918" s="35"/>
      <c r="JE918" s="35"/>
    </row>
    <row r="919">
      <c r="A919" s="42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  <c r="AZ919" s="35"/>
      <c r="BA919" s="35"/>
      <c r="BB919" s="35"/>
      <c r="BC919" s="35"/>
      <c r="BD919" s="35"/>
      <c r="BE919" s="35"/>
      <c r="BF919" s="35"/>
      <c r="BG919" s="35"/>
      <c r="BH919" s="35"/>
      <c r="BI919" s="35"/>
      <c r="BJ919" s="35"/>
      <c r="BK919" s="35"/>
      <c r="BL919" s="35"/>
      <c r="BM919" s="35"/>
      <c r="BN919" s="35"/>
      <c r="BO919" s="35"/>
      <c r="BP919" s="35"/>
      <c r="BQ919" s="35"/>
      <c r="BR919" s="35"/>
      <c r="BS919" s="35"/>
      <c r="BT919" s="35"/>
      <c r="BU919" s="35"/>
      <c r="BV919" s="35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35"/>
      <c r="CO919" s="35"/>
      <c r="CP919" s="35"/>
      <c r="CQ919" s="35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35"/>
      <c r="DJ919" s="35"/>
      <c r="DK919" s="35"/>
      <c r="DL919" s="35"/>
      <c r="DM919" s="35"/>
      <c r="DN919" s="35"/>
      <c r="DO919" s="35"/>
      <c r="DP919" s="35"/>
      <c r="DQ919" s="35"/>
      <c r="DR919" s="35"/>
      <c r="DS919" s="35"/>
      <c r="DT919" s="35"/>
      <c r="DU919" s="35"/>
      <c r="DV919" s="35"/>
      <c r="DW919" s="35"/>
      <c r="DX919" s="35"/>
      <c r="DY919" s="35"/>
      <c r="DZ919" s="35"/>
      <c r="EA919" s="35"/>
      <c r="EB919" s="35"/>
      <c r="EC919" s="35"/>
      <c r="ED919" s="35"/>
      <c r="EE919" s="35"/>
      <c r="EF919" s="35"/>
      <c r="EG919" s="35"/>
      <c r="EH919" s="35"/>
      <c r="EI919" s="35"/>
      <c r="EJ919" s="35"/>
      <c r="EK919" s="35"/>
      <c r="EL919" s="35"/>
      <c r="EM919" s="35"/>
      <c r="EN919" s="35"/>
      <c r="EO919" s="35"/>
      <c r="EP919" s="35"/>
      <c r="EQ919" s="35"/>
      <c r="ER919" s="35"/>
      <c r="ES919" s="35"/>
      <c r="ET919" s="35"/>
      <c r="EU919" s="35"/>
      <c r="EV919" s="35"/>
      <c r="EW919" s="35"/>
      <c r="EX919" s="35"/>
      <c r="EY919" s="35"/>
      <c r="EZ919" s="35"/>
      <c r="FA919" s="35"/>
      <c r="FB919" s="35"/>
      <c r="FC919" s="35"/>
      <c r="FD919" s="35"/>
      <c r="FE919" s="35"/>
      <c r="FF919" s="35"/>
      <c r="FG919" s="35"/>
      <c r="FH919" s="35"/>
      <c r="FI919" s="35"/>
      <c r="FJ919" s="35"/>
      <c r="FK919" s="35"/>
      <c r="FL919" s="35"/>
      <c r="FM919" s="35"/>
      <c r="FN919" s="35"/>
      <c r="FO919" s="35"/>
      <c r="FP919" s="35"/>
      <c r="FQ919" s="35"/>
      <c r="FR919" s="35"/>
      <c r="FS919" s="35"/>
      <c r="FT919" s="35"/>
      <c r="FU919" s="35"/>
      <c r="FV919" s="35"/>
      <c r="FW919" s="35"/>
      <c r="FX919" s="35"/>
      <c r="FY919" s="35"/>
      <c r="FZ919" s="35"/>
      <c r="GA919" s="35"/>
      <c r="GB919" s="35"/>
      <c r="GC919" s="35"/>
      <c r="GD919" s="35"/>
      <c r="GE919" s="35"/>
      <c r="GF919" s="35"/>
      <c r="GG919" s="35"/>
      <c r="GH919" s="35"/>
      <c r="GI919" s="35"/>
      <c r="GJ919" s="35"/>
      <c r="GK919" s="35"/>
      <c r="GL919" s="35"/>
      <c r="GM919" s="35"/>
      <c r="GN919" s="35"/>
      <c r="GO919" s="35"/>
      <c r="GP919" s="35"/>
      <c r="GQ919" s="35"/>
      <c r="GR919" s="35"/>
      <c r="GS919" s="35"/>
      <c r="GT919" s="35"/>
      <c r="GU919" s="35"/>
      <c r="GV919" s="35"/>
      <c r="GW919" s="35"/>
      <c r="GX919" s="35"/>
      <c r="GY919" s="35"/>
      <c r="GZ919" s="35"/>
      <c r="HA919" s="35"/>
      <c r="HB919" s="35"/>
      <c r="HC919" s="35"/>
      <c r="HD919" s="35"/>
      <c r="HE919" s="35"/>
      <c r="HF919" s="35"/>
      <c r="HG919" s="35"/>
      <c r="HH919" s="35"/>
      <c r="HI919" s="35"/>
      <c r="HJ919" s="35"/>
      <c r="HK919" s="35"/>
      <c r="HL919" s="35"/>
      <c r="HM919" s="35"/>
      <c r="HN919" s="35"/>
      <c r="HO919" s="35"/>
      <c r="HP919" s="35"/>
      <c r="HQ919" s="35"/>
      <c r="HR919" s="35"/>
      <c r="HS919" s="35"/>
      <c r="HT919" s="35"/>
      <c r="HU919" s="35"/>
      <c r="HV919" s="35"/>
      <c r="HW919" s="35"/>
      <c r="HX919" s="35"/>
      <c r="HY919" s="35"/>
      <c r="HZ919" s="35"/>
      <c r="IA919" s="35"/>
      <c r="IB919" s="35"/>
      <c r="IC919" s="35"/>
      <c r="ID919" s="35"/>
      <c r="IE919" s="35"/>
      <c r="IF919" s="35"/>
      <c r="IG919" s="35"/>
      <c r="IH919" s="35"/>
      <c r="II919" s="35"/>
      <c r="IJ919" s="35"/>
      <c r="IK919" s="35"/>
      <c r="IL919" s="35"/>
      <c r="IM919" s="35"/>
      <c r="IN919" s="35"/>
      <c r="IO919" s="35"/>
      <c r="IP919" s="35"/>
      <c r="IQ919" s="35"/>
      <c r="IR919" s="35"/>
      <c r="IS919" s="35"/>
      <c r="IT919" s="35"/>
      <c r="IU919" s="35"/>
      <c r="IV919" s="35"/>
      <c r="IW919" s="35"/>
      <c r="IX919" s="35"/>
      <c r="IY919" s="35"/>
      <c r="IZ919" s="35"/>
      <c r="JA919" s="35"/>
      <c r="JB919" s="35"/>
      <c r="JC919" s="35"/>
      <c r="JD919" s="35"/>
      <c r="JE919" s="35"/>
    </row>
    <row r="920">
      <c r="A920" s="42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  <c r="AZ920" s="35"/>
      <c r="BA920" s="35"/>
      <c r="BB920" s="35"/>
      <c r="BC920" s="35"/>
      <c r="BD920" s="35"/>
      <c r="BE920" s="35"/>
      <c r="BF920" s="35"/>
      <c r="BG920" s="35"/>
      <c r="BH920" s="35"/>
      <c r="BI920" s="35"/>
      <c r="BJ920" s="35"/>
      <c r="BK920" s="35"/>
      <c r="BL920" s="35"/>
      <c r="BM920" s="35"/>
      <c r="BN920" s="35"/>
      <c r="BO920" s="35"/>
      <c r="BP920" s="35"/>
      <c r="BQ920" s="35"/>
      <c r="BR920" s="35"/>
      <c r="BS920" s="35"/>
      <c r="BT920" s="35"/>
      <c r="BU920" s="35"/>
      <c r="BV920" s="35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35"/>
      <c r="CO920" s="35"/>
      <c r="CP920" s="35"/>
      <c r="CQ920" s="35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35"/>
      <c r="DJ920" s="35"/>
      <c r="DK920" s="35"/>
      <c r="DL920" s="35"/>
      <c r="DM920" s="35"/>
      <c r="DN920" s="35"/>
      <c r="DO920" s="35"/>
      <c r="DP920" s="35"/>
      <c r="DQ920" s="35"/>
      <c r="DR920" s="35"/>
      <c r="DS920" s="35"/>
      <c r="DT920" s="35"/>
      <c r="DU920" s="35"/>
      <c r="DV920" s="35"/>
      <c r="DW920" s="35"/>
      <c r="DX920" s="35"/>
      <c r="DY920" s="35"/>
      <c r="DZ920" s="35"/>
      <c r="EA920" s="35"/>
      <c r="EB920" s="35"/>
      <c r="EC920" s="35"/>
      <c r="ED920" s="35"/>
      <c r="EE920" s="35"/>
      <c r="EF920" s="35"/>
      <c r="EG920" s="35"/>
      <c r="EH920" s="35"/>
      <c r="EI920" s="35"/>
      <c r="EJ920" s="35"/>
      <c r="EK920" s="35"/>
      <c r="EL920" s="35"/>
      <c r="EM920" s="35"/>
      <c r="EN920" s="35"/>
      <c r="EO920" s="35"/>
      <c r="EP920" s="35"/>
      <c r="EQ920" s="35"/>
      <c r="ER920" s="35"/>
      <c r="ES920" s="35"/>
      <c r="ET920" s="35"/>
      <c r="EU920" s="35"/>
      <c r="EV920" s="35"/>
      <c r="EW920" s="35"/>
      <c r="EX920" s="35"/>
      <c r="EY920" s="35"/>
      <c r="EZ920" s="35"/>
      <c r="FA920" s="35"/>
      <c r="FB920" s="35"/>
      <c r="FC920" s="35"/>
      <c r="FD920" s="35"/>
      <c r="FE920" s="35"/>
      <c r="FF920" s="35"/>
      <c r="FG920" s="35"/>
      <c r="FH920" s="35"/>
      <c r="FI920" s="35"/>
      <c r="FJ920" s="35"/>
      <c r="FK920" s="35"/>
      <c r="FL920" s="35"/>
      <c r="FM920" s="35"/>
      <c r="FN920" s="35"/>
      <c r="FO920" s="35"/>
      <c r="FP920" s="35"/>
      <c r="FQ920" s="35"/>
      <c r="FR920" s="35"/>
      <c r="FS920" s="35"/>
      <c r="FT920" s="35"/>
      <c r="FU920" s="35"/>
      <c r="FV920" s="35"/>
      <c r="FW920" s="35"/>
      <c r="FX920" s="35"/>
      <c r="FY920" s="35"/>
      <c r="FZ920" s="35"/>
      <c r="GA920" s="35"/>
      <c r="GB920" s="35"/>
      <c r="GC920" s="35"/>
      <c r="GD920" s="35"/>
      <c r="GE920" s="35"/>
      <c r="GF920" s="35"/>
      <c r="GG920" s="35"/>
      <c r="GH920" s="35"/>
      <c r="GI920" s="35"/>
      <c r="GJ920" s="35"/>
      <c r="GK920" s="35"/>
      <c r="GL920" s="35"/>
      <c r="GM920" s="35"/>
      <c r="GN920" s="35"/>
      <c r="GO920" s="35"/>
      <c r="GP920" s="35"/>
      <c r="GQ920" s="35"/>
      <c r="GR920" s="35"/>
      <c r="GS920" s="35"/>
      <c r="GT920" s="35"/>
      <c r="GU920" s="35"/>
      <c r="GV920" s="35"/>
      <c r="GW920" s="35"/>
      <c r="GX920" s="35"/>
      <c r="GY920" s="35"/>
      <c r="GZ920" s="35"/>
      <c r="HA920" s="35"/>
      <c r="HB920" s="35"/>
      <c r="HC920" s="35"/>
      <c r="HD920" s="35"/>
      <c r="HE920" s="35"/>
      <c r="HF920" s="35"/>
      <c r="HG920" s="35"/>
      <c r="HH920" s="35"/>
      <c r="HI920" s="35"/>
      <c r="HJ920" s="35"/>
      <c r="HK920" s="35"/>
      <c r="HL920" s="35"/>
      <c r="HM920" s="35"/>
      <c r="HN920" s="35"/>
      <c r="HO920" s="35"/>
      <c r="HP920" s="35"/>
      <c r="HQ920" s="35"/>
      <c r="HR920" s="35"/>
      <c r="HS920" s="35"/>
      <c r="HT920" s="35"/>
      <c r="HU920" s="35"/>
      <c r="HV920" s="35"/>
      <c r="HW920" s="35"/>
      <c r="HX920" s="35"/>
      <c r="HY920" s="35"/>
      <c r="HZ920" s="35"/>
      <c r="IA920" s="35"/>
      <c r="IB920" s="35"/>
      <c r="IC920" s="35"/>
      <c r="ID920" s="35"/>
      <c r="IE920" s="35"/>
      <c r="IF920" s="35"/>
      <c r="IG920" s="35"/>
      <c r="IH920" s="35"/>
      <c r="II920" s="35"/>
      <c r="IJ920" s="35"/>
      <c r="IK920" s="35"/>
      <c r="IL920" s="35"/>
      <c r="IM920" s="35"/>
      <c r="IN920" s="35"/>
      <c r="IO920" s="35"/>
      <c r="IP920" s="35"/>
      <c r="IQ920" s="35"/>
      <c r="IR920" s="35"/>
      <c r="IS920" s="35"/>
      <c r="IT920" s="35"/>
      <c r="IU920" s="35"/>
      <c r="IV920" s="35"/>
      <c r="IW920" s="35"/>
      <c r="IX920" s="35"/>
      <c r="IY920" s="35"/>
      <c r="IZ920" s="35"/>
      <c r="JA920" s="35"/>
      <c r="JB920" s="35"/>
      <c r="JC920" s="35"/>
      <c r="JD920" s="35"/>
      <c r="JE920" s="35"/>
    </row>
    <row r="921">
      <c r="A921" s="42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  <c r="AZ921" s="35"/>
      <c r="BA921" s="35"/>
      <c r="BB921" s="35"/>
      <c r="BC921" s="35"/>
      <c r="BD921" s="35"/>
      <c r="BE921" s="35"/>
      <c r="BF921" s="35"/>
      <c r="BG921" s="35"/>
      <c r="BH921" s="35"/>
      <c r="BI921" s="35"/>
      <c r="BJ921" s="35"/>
      <c r="BK921" s="35"/>
      <c r="BL921" s="35"/>
      <c r="BM921" s="35"/>
      <c r="BN921" s="35"/>
      <c r="BO921" s="35"/>
      <c r="BP921" s="35"/>
      <c r="BQ921" s="35"/>
      <c r="BR921" s="35"/>
      <c r="BS921" s="35"/>
      <c r="BT921" s="35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35"/>
      <c r="CO921" s="35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35"/>
      <c r="DJ921" s="35"/>
      <c r="DK921" s="35"/>
      <c r="DL921" s="35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35"/>
      <c r="EE921" s="35"/>
      <c r="EF921" s="35"/>
      <c r="EG921" s="35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  <c r="ER921" s="35"/>
      <c r="ES921" s="35"/>
      <c r="ET921" s="35"/>
      <c r="EU921" s="35"/>
      <c r="EV921" s="35"/>
      <c r="EW921" s="35"/>
      <c r="EX921" s="35"/>
      <c r="EY921" s="35"/>
      <c r="EZ921" s="35"/>
      <c r="FA921" s="35"/>
      <c r="FB921" s="35"/>
      <c r="FC921" s="35"/>
      <c r="FD921" s="35"/>
      <c r="FE921" s="35"/>
      <c r="FF921" s="35"/>
      <c r="FG921" s="35"/>
      <c r="FH921" s="35"/>
      <c r="FI921" s="35"/>
      <c r="FJ921" s="35"/>
      <c r="FK921" s="35"/>
      <c r="FL921" s="35"/>
      <c r="FM921" s="35"/>
      <c r="FN921" s="35"/>
      <c r="FO921" s="35"/>
      <c r="FP921" s="35"/>
      <c r="FQ921" s="35"/>
      <c r="FR921" s="35"/>
      <c r="FS921" s="35"/>
      <c r="FT921" s="35"/>
      <c r="FU921" s="35"/>
      <c r="FV921" s="35"/>
      <c r="FW921" s="35"/>
      <c r="FX921" s="35"/>
      <c r="FY921" s="35"/>
      <c r="FZ921" s="35"/>
      <c r="GA921" s="35"/>
      <c r="GB921" s="35"/>
      <c r="GC921" s="35"/>
      <c r="GD921" s="35"/>
      <c r="GE921" s="35"/>
      <c r="GF921" s="35"/>
      <c r="GG921" s="35"/>
      <c r="GH921" s="35"/>
      <c r="GI921" s="35"/>
      <c r="GJ921" s="35"/>
      <c r="GK921" s="35"/>
      <c r="GL921" s="35"/>
      <c r="GM921" s="35"/>
      <c r="GN921" s="35"/>
      <c r="GO921" s="35"/>
      <c r="GP921" s="35"/>
      <c r="GQ921" s="35"/>
      <c r="GR921" s="35"/>
      <c r="GS921" s="35"/>
      <c r="GT921" s="35"/>
      <c r="GU921" s="35"/>
      <c r="GV921" s="35"/>
      <c r="GW921" s="35"/>
      <c r="GX921" s="35"/>
      <c r="GY921" s="35"/>
      <c r="GZ921" s="35"/>
      <c r="HA921" s="35"/>
      <c r="HB921" s="35"/>
      <c r="HC921" s="35"/>
      <c r="HD921" s="35"/>
      <c r="HE921" s="35"/>
      <c r="HF921" s="35"/>
      <c r="HG921" s="35"/>
      <c r="HH921" s="35"/>
      <c r="HI921" s="35"/>
      <c r="HJ921" s="35"/>
      <c r="HK921" s="35"/>
      <c r="HL921" s="35"/>
      <c r="HM921" s="35"/>
      <c r="HN921" s="35"/>
      <c r="HO921" s="35"/>
      <c r="HP921" s="35"/>
      <c r="HQ921" s="35"/>
      <c r="HR921" s="35"/>
      <c r="HS921" s="35"/>
      <c r="HT921" s="35"/>
      <c r="HU921" s="35"/>
      <c r="HV921" s="35"/>
      <c r="HW921" s="35"/>
      <c r="HX921" s="35"/>
      <c r="HY921" s="35"/>
      <c r="HZ921" s="35"/>
      <c r="IA921" s="35"/>
      <c r="IB921" s="35"/>
      <c r="IC921" s="35"/>
      <c r="ID921" s="35"/>
      <c r="IE921" s="35"/>
      <c r="IF921" s="35"/>
      <c r="IG921" s="35"/>
      <c r="IH921" s="35"/>
      <c r="II921" s="35"/>
      <c r="IJ921" s="35"/>
      <c r="IK921" s="35"/>
      <c r="IL921" s="35"/>
      <c r="IM921" s="35"/>
      <c r="IN921" s="35"/>
      <c r="IO921" s="35"/>
      <c r="IP921" s="35"/>
      <c r="IQ921" s="35"/>
      <c r="IR921" s="35"/>
      <c r="IS921" s="35"/>
      <c r="IT921" s="35"/>
      <c r="IU921" s="35"/>
      <c r="IV921" s="35"/>
      <c r="IW921" s="35"/>
      <c r="IX921" s="35"/>
      <c r="IY921" s="35"/>
      <c r="IZ921" s="35"/>
      <c r="JA921" s="35"/>
      <c r="JB921" s="35"/>
      <c r="JC921" s="35"/>
      <c r="JD921" s="35"/>
      <c r="JE921" s="35"/>
    </row>
    <row r="922">
      <c r="A922" s="42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  <c r="AZ922" s="35"/>
      <c r="BA922" s="35"/>
      <c r="BB922" s="35"/>
      <c r="BC922" s="35"/>
      <c r="BD922" s="35"/>
      <c r="BE922" s="35"/>
      <c r="BF922" s="35"/>
      <c r="BG922" s="35"/>
      <c r="BH922" s="35"/>
      <c r="BI922" s="35"/>
      <c r="BJ922" s="35"/>
      <c r="BK922" s="35"/>
      <c r="BL922" s="35"/>
      <c r="BM922" s="35"/>
      <c r="BN922" s="35"/>
      <c r="BO922" s="35"/>
      <c r="BP922" s="35"/>
      <c r="BQ922" s="35"/>
      <c r="BR922" s="35"/>
      <c r="BS922" s="35"/>
      <c r="BT922" s="35"/>
      <c r="BU922" s="35"/>
      <c r="BV922" s="35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35"/>
      <c r="CO922" s="35"/>
      <c r="CP922" s="35"/>
      <c r="CQ922" s="35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35"/>
      <c r="DJ922" s="35"/>
      <c r="DK922" s="35"/>
      <c r="DL922" s="35"/>
      <c r="DM922" s="35"/>
      <c r="DN922" s="35"/>
      <c r="DO922" s="35"/>
      <c r="DP922" s="35"/>
      <c r="DQ922" s="35"/>
      <c r="DR922" s="35"/>
      <c r="DS922" s="35"/>
      <c r="DT922" s="35"/>
      <c r="DU922" s="35"/>
      <c r="DV922" s="35"/>
      <c r="DW922" s="35"/>
      <c r="DX922" s="35"/>
      <c r="DY922" s="35"/>
      <c r="DZ922" s="35"/>
      <c r="EA922" s="35"/>
      <c r="EB922" s="35"/>
      <c r="EC922" s="35"/>
      <c r="ED922" s="35"/>
      <c r="EE922" s="35"/>
      <c r="EF922" s="35"/>
      <c r="EG922" s="35"/>
      <c r="EH922" s="35"/>
      <c r="EI922" s="35"/>
      <c r="EJ922" s="35"/>
      <c r="EK922" s="35"/>
      <c r="EL922" s="35"/>
      <c r="EM922" s="35"/>
      <c r="EN922" s="35"/>
      <c r="EO922" s="35"/>
      <c r="EP922" s="35"/>
      <c r="EQ922" s="35"/>
      <c r="ER922" s="35"/>
      <c r="ES922" s="35"/>
      <c r="ET922" s="35"/>
      <c r="EU922" s="35"/>
      <c r="EV922" s="35"/>
      <c r="EW922" s="35"/>
      <c r="EX922" s="35"/>
      <c r="EY922" s="35"/>
      <c r="EZ922" s="35"/>
      <c r="FA922" s="35"/>
      <c r="FB922" s="35"/>
      <c r="FC922" s="35"/>
      <c r="FD922" s="35"/>
      <c r="FE922" s="35"/>
      <c r="FF922" s="35"/>
      <c r="FG922" s="35"/>
      <c r="FH922" s="35"/>
      <c r="FI922" s="35"/>
      <c r="FJ922" s="35"/>
      <c r="FK922" s="35"/>
      <c r="FL922" s="35"/>
      <c r="FM922" s="35"/>
      <c r="FN922" s="35"/>
      <c r="FO922" s="35"/>
      <c r="FP922" s="35"/>
      <c r="FQ922" s="35"/>
      <c r="FR922" s="35"/>
      <c r="FS922" s="35"/>
      <c r="FT922" s="35"/>
      <c r="FU922" s="35"/>
      <c r="FV922" s="35"/>
      <c r="FW922" s="35"/>
      <c r="FX922" s="35"/>
      <c r="FY922" s="35"/>
      <c r="FZ922" s="35"/>
      <c r="GA922" s="35"/>
      <c r="GB922" s="35"/>
      <c r="GC922" s="35"/>
      <c r="GD922" s="35"/>
      <c r="GE922" s="35"/>
      <c r="GF922" s="35"/>
      <c r="GG922" s="35"/>
      <c r="GH922" s="35"/>
      <c r="GI922" s="35"/>
      <c r="GJ922" s="35"/>
      <c r="GK922" s="35"/>
      <c r="GL922" s="35"/>
      <c r="GM922" s="35"/>
      <c r="GN922" s="35"/>
      <c r="GO922" s="35"/>
      <c r="GP922" s="35"/>
      <c r="GQ922" s="35"/>
      <c r="GR922" s="35"/>
      <c r="GS922" s="35"/>
      <c r="GT922" s="35"/>
      <c r="GU922" s="35"/>
      <c r="GV922" s="35"/>
      <c r="GW922" s="35"/>
      <c r="GX922" s="35"/>
      <c r="GY922" s="35"/>
      <c r="GZ922" s="35"/>
      <c r="HA922" s="35"/>
      <c r="HB922" s="35"/>
      <c r="HC922" s="35"/>
      <c r="HD922" s="35"/>
      <c r="HE922" s="35"/>
      <c r="HF922" s="35"/>
      <c r="HG922" s="35"/>
      <c r="HH922" s="35"/>
      <c r="HI922" s="35"/>
      <c r="HJ922" s="35"/>
      <c r="HK922" s="35"/>
      <c r="HL922" s="35"/>
      <c r="HM922" s="35"/>
      <c r="HN922" s="35"/>
      <c r="HO922" s="35"/>
      <c r="HP922" s="35"/>
      <c r="HQ922" s="35"/>
      <c r="HR922" s="35"/>
      <c r="HS922" s="35"/>
      <c r="HT922" s="35"/>
      <c r="HU922" s="35"/>
      <c r="HV922" s="35"/>
      <c r="HW922" s="35"/>
      <c r="HX922" s="35"/>
      <c r="HY922" s="35"/>
      <c r="HZ922" s="35"/>
      <c r="IA922" s="35"/>
      <c r="IB922" s="35"/>
      <c r="IC922" s="35"/>
      <c r="ID922" s="35"/>
      <c r="IE922" s="35"/>
      <c r="IF922" s="35"/>
      <c r="IG922" s="35"/>
      <c r="IH922" s="35"/>
      <c r="II922" s="35"/>
      <c r="IJ922" s="35"/>
      <c r="IK922" s="35"/>
      <c r="IL922" s="35"/>
      <c r="IM922" s="35"/>
      <c r="IN922" s="35"/>
      <c r="IO922" s="35"/>
      <c r="IP922" s="35"/>
      <c r="IQ922" s="35"/>
      <c r="IR922" s="35"/>
      <c r="IS922" s="35"/>
      <c r="IT922" s="35"/>
      <c r="IU922" s="35"/>
      <c r="IV922" s="35"/>
      <c r="IW922" s="35"/>
      <c r="IX922" s="35"/>
      <c r="IY922" s="35"/>
      <c r="IZ922" s="35"/>
      <c r="JA922" s="35"/>
      <c r="JB922" s="35"/>
      <c r="JC922" s="35"/>
      <c r="JD922" s="35"/>
      <c r="JE922" s="35"/>
    </row>
    <row r="923">
      <c r="A923" s="42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  <c r="AZ923" s="35"/>
      <c r="BA923" s="35"/>
      <c r="BB923" s="35"/>
      <c r="BC923" s="35"/>
      <c r="BD923" s="35"/>
      <c r="BE923" s="35"/>
      <c r="BF923" s="35"/>
      <c r="BG923" s="35"/>
      <c r="BH923" s="35"/>
      <c r="BI923" s="35"/>
      <c r="BJ923" s="35"/>
      <c r="BK923" s="35"/>
      <c r="BL923" s="35"/>
      <c r="BM923" s="35"/>
      <c r="BN923" s="35"/>
      <c r="BO923" s="35"/>
      <c r="BP923" s="35"/>
      <c r="BQ923" s="35"/>
      <c r="BR923" s="35"/>
      <c r="BS923" s="35"/>
      <c r="BT923" s="35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35"/>
      <c r="CO923" s="35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35"/>
      <c r="DJ923" s="35"/>
      <c r="DK923" s="35"/>
      <c r="DL923" s="35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35"/>
      <c r="EE923" s="35"/>
      <c r="EF923" s="35"/>
      <c r="EG923" s="35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  <c r="ER923" s="35"/>
      <c r="ES923" s="35"/>
      <c r="ET923" s="35"/>
      <c r="EU923" s="35"/>
      <c r="EV923" s="35"/>
      <c r="EW923" s="35"/>
      <c r="EX923" s="35"/>
      <c r="EY923" s="35"/>
      <c r="EZ923" s="35"/>
      <c r="FA923" s="35"/>
      <c r="FB923" s="35"/>
      <c r="FC923" s="35"/>
      <c r="FD923" s="35"/>
      <c r="FE923" s="35"/>
      <c r="FF923" s="35"/>
      <c r="FG923" s="35"/>
      <c r="FH923" s="35"/>
      <c r="FI923" s="35"/>
      <c r="FJ923" s="35"/>
      <c r="FK923" s="35"/>
      <c r="FL923" s="35"/>
      <c r="FM923" s="35"/>
      <c r="FN923" s="35"/>
      <c r="FO923" s="35"/>
      <c r="FP923" s="35"/>
      <c r="FQ923" s="35"/>
      <c r="FR923" s="35"/>
      <c r="FS923" s="35"/>
      <c r="FT923" s="35"/>
      <c r="FU923" s="35"/>
      <c r="FV923" s="35"/>
      <c r="FW923" s="35"/>
      <c r="FX923" s="35"/>
      <c r="FY923" s="35"/>
      <c r="FZ923" s="35"/>
      <c r="GA923" s="35"/>
      <c r="GB923" s="35"/>
      <c r="GC923" s="35"/>
      <c r="GD923" s="35"/>
      <c r="GE923" s="35"/>
      <c r="GF923" s="35"/>
      <c r="GG923" s="35"/>
      <c r="GH923" s="35"/>
      <c r="GI923" s="35"/>
      <c r="GJ923" s="35"/>
      <c r="GK923" s="35"/>
      <c r="GL923" s="35"/>
      <c r="GM923" s="35"/>
      <c r="GN923" s="35"/>
      <c r="GO923" s="35"/>
      <c r="GP923" s="35"/>
      <c r="GQ923" s="35"/>
      <c r="GR923" s="35"/>
      <c r="GS923" s="35"/>
      <c r="GT923" s="35"/>
      <c r="GU923" s="35"/>
      <c r="GV923" s="35"/>
      <c r="GW923" s="35"/>
      <c r="GX923" s="35"/>
      <c r="GY923" s="35"/>
      <c r="GZ923" s="35"/>
      <c r="HA923" s="35"/>
      <c r="HB923" s="35"/>
      <c r="HC923" s="35"/>
      <c r="HD923" s="35"/>
      <c r="HE923" s="35"/>
      <c r="HF923" s="35"/>
      <c r="HG923" s="35"/>
      <c r="HH923" s="35"/>
      <c r="HI923" s="35"/>
      <c r="HJ923" s="35"/>
      <c r="HK923" s="35"/>
      <c r="HL923" s="35"/>
      <c r="HM923" s="35"/>
      <c r="HN923" s="35"/>
      <c r="HO923" s="35"/>
      <c r="HP923" s="35"/>
      <c r="HQ923" s="35"/>
      <c r="HR923" s="35"/>
      <c r="HS923" s="35"/>
      <c r="HT923" s="35"/>
      <c r="HU923" s="35"/>
      <c r="HV923" s="35"/>
      <c r="HW923" s="35"/>
      <c r="HX923" s="35"/>
      <c r="HY923" s="35"/>
      <c r="HZ923" s="35"/>
      <c r="IA923" s="35"/>
      <c r="IB923" s="35"/>
      <c r="IC923" s="35"/>
      <c r="ID923" s="35"/>
      <c r="IE923" s="35"/>
      <c r="IF923" s="35"/>
      <c r="IG923" s="35"/>
      <c r="IH923" s="35"/>
      <c r="II923" s="35"/>
      <c r="IJ923" s="35"/>
      <c r="IK923" s="35"/>
      <c r="IL923" s="35"/>
      <c r="IM923" s="35"/>
      <c r="IN923" s="35"/>
      <c r="IO923" s="35"/>
      <c r="IP923" s="35"/>
      <c r="IQ923" s="35"/>
      <c r="IR923" s="35"/>
      <c r="IS923" s="35"/>
      <c r="IT923" s="35"/>
      <c r="IU923" s="35"/>
      <c r="IV923" s="35"/>
      <c r="IW923" s="35"/>
      <c r="IX923" s="35"/>
      <c r="IY923" s="35"/>
      <c r="IZ923" s="35"/>
      <c r="JA923" s="35"/>
      <c r="JB923" s="35"/>
      <c r="JC923" s="35"/>
      <c r="JD923" s="35"/>
      <c r="JE923" s="35"/>
    </row>
    <row r="924">
      <c r="A924" s="42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  <c r="AZ924" s="35"/>
      <c r="BA924" s="35"/>
      <c r="BB924" s="35"/>
      <c r="BC924" s="35"/>
      <c r="BD924" s="35"/>
      <c r="BE924" s="35"/>
      <c r="BF924" s="35"/>
      <c r="BG924" s="35"/>
      <c r="BH924" s="35"/>
      <c r="BI924" s="35"/>
      <c r="BJ924" s="35"/>
      <c r="BK924" s="35"/>
      <c r="BL924" s="35"/>
      <c r="BM924" s="35"/>
      <c r="BN924" s="35"/>
      <c r="BO924" s="35"/>
      <c r="BP924" s="35"/>
      <c r="BQ924" s="35"/>
      <c r="BR924" s="35"/>
      <c r="BS924" s="35"/>
      <c r="BT924" s="35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35"/>
      <c r="CO924" s="35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35"/>
      <c r="DJ924" s="35"/>
      <c r="DK924" s="35"/>
      <c r="DL924" s="35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35"/>
      <c r="EE924" s="35"/>
      <c r="EF924" s="35"/>
      <c r="EG924" s="35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  <c r="ER924" s="35"/>
      <c r="ES924" s="35"/>
      <c r="ET924" s="35"/>
      <c r="EU924" s="35"/>
      <c r="EV924" s="35"/>
      <c r="EW924" s="35"/>
      <c r="EX924" s="35"/>
      <c r="EY924" s="35"/>
      <c r="EZ924" s="35"/>
      <c r="FA924" s="35"/>
      <c r="FB924" s="35"/>
      <c r="FC924" s="35"/>
      <c r="FD924" s="35"/>
      <c r="FE924" s="35"/>
      <c r="FF924" s="35"/>
      <c r="FG924" s="35"/>
      <c r="FH924" s="35"/>
      <c r="FI924" s="35"/>
      <c r="FJ924" s="35"/>
      <c r="FK924" s="35"/>
      <c r="FL924" s="35"/>
      <c r="FM924" s="35"/>
      <c r="FN924" s="35"/>
      <c r="FO924" s="35"/>
      <c r="FP924" s="35"/>
      <c r="FQ924" s="35"/>
      <c r="FR924" s="35"/>
      <c r="FS924" s="35"/>
      <c r="FT924" s="35"/>
      <c r="FU924" s="35"/>
      <c r="FV924" s="35"/>
      <c r="FW924" s="35"/>
      <c r="FX924" s="35"/>
      <c r="FY924" s="35"/>
      <c r="FZ924" s="35"/>
      <c r="GA924" s="35"/>
      <c r="GB924" s="35"/>
      <c r="GC924" s="35"/>
      <c r="GD924" s="35"/>
      <c r="GE924" s="35"/>
      <c r="GF924" s="35"/>
      <c r="GG924" s="35"/>
      <c r="GH924" s="35"/>
      <c r="GI924" s="35"/>
      <c r="GJ924" s="35"/>
      <c r="GK924" s="35"/>
      <c r="GL924" s="35"/>
      <c r="GM924" s="35"/>
      <c r="GN924" s="35"/>
      <c r="GO924" s="35"/>
      <c r="GP924" s="35"/>
      <c r="GQ924" s="35"/>
      <c r="GR924" s="35"/>
      <c r="GS924" s="35"/>
      <c r="GT924" s="35"/>
      <c r="GU924" s="35"/>
      <c r="GV924" s="35"/>
      <c r="GW924" s="35"/>
      <c r="GX924" s="35"/>
      <c r="GY924" s="35"/>
      <c r="GZ924" s="35"/>
      <c r="HA924" s="35"/>
      <c r="HB924" s="35"/>
      <c r="HC924" s="35"/>
      <c r="HD924" s="35"/>
      <c r="HE924" s="35"/>
      <c r="HF924" s="35"/>
      <c r="HG924" s="35"/>
      <c r="HH924" s="35"/>
      <c r="HI924" s="35"/>
      <c r="HJ924" s="35"/>
      <c r="HK924" s="35"/>
      <c r="HL924" s="35"/>
      <c r="HM924" s="35"/>
      <c r="HN924" s="35"/>
      <c r="HO924" s="35"/>
      <c r="HP924" s="35"/>
      <c r="HQ924" s="35"/>
      <c r="HR924" s="35"/>
      <c r="HS924" s="35"/>
      <c r="HT924" s="35"/>
      <c r="HU924" s="35"/>
      <c r="HV924" s="35"/>
      <c r="HW924" s="35"/>
      <c r="HX924" s="35"/>
      <c r="HY924" s="35"/>
      <c r="HZ924" s="35"/>
      <c r="IA924" s="35"/>
      <c r="IB924" s="35"/>
      <c r="IC924" s="35"/>
      <c r="ID924" s="35"/>
      <c r="IE924" s="35"/>
      <c r="IF924" s="35"/>
      <c r="IG924" s="35"/>
      <c r="IH924" s="35"/>
      <c r="II924" s="35"/>
      <c r="IJ924" s="35"/>
      <c r="IK924" s="35"/>
      <c r="IL924" s="35"/>
      <c r="IM924" s="35"/>
      <c r="IN924" s="35"/>
      <c r="IO924" s="35"/>
      <c r="IP924" s="35"/>
      <c r="IQ924" s="35"/>
      <c r="IR924" s="35"/>
      <c r="IS924" s="35"/>
      <c r="IT924" s="35"/>
      <c r="IU924" s="35"/>
      <c r="IV924" s="35"/>
      <c r="IW924" s="35"/>
      <c r="IX924" s="35"/>
      <c r="IY924" s="35"/>
      <c r="IZ924" s="35"/>
      <c r="JA924" s="35"/>
      <c r="JB924" s="35"/>
      <c r="JC924" s="35"/>
      <c r="JD924" s="35"/>
      <c r="JE924" s="35"/>
    </row>
    <row r="925">
      <c r="A925" s="42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  <c r="AZ925" s="35"/>
      <c r="BA925" s="35"/>
      <c r="BB925" s="35"/>
      <c r="BC925" s="35"/>
      <c r="BD925" s="35"/>
      <c r="BE925" s="35"/>
      <c r="BF925" s="35"/>
      <c r="BG925" s="35"/>
      <c r="BH925" s="35"/>
      <c r="BI925" s="35"/>
      <c r="BJ925" s="35"/>
      <c r="BK925" s="35"/>
      <c r="BL925" s="35"/>
      <c r="BM925" s="35"/>
      <c r="BN925" s="35"/>
      <c r="BO925" s="35"/>
      <c r="BP925" s="35"/>
      <c r="BQ925" s="35"/>
      <c r="BR925" s="35"/>
      <c r="BS925" s="35"/>
      <c r="BT925" s="35"/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35"/>
      <c r="CO925" s="35"/>
      <c r="CP925" s="35"/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35"/>
      <c r="DJ925" s="35"/>
      <c r="DK925" s="35"/>
      <c r="DL925" s="35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35"/>
      <c r="EE925" s="35"/>
      <c r="EF925" s="35"/>
      <c r="EG925" s="35"/>
      <c r="EH925" s="35"/>
      <c r="EI925" s="35"/>
      <c r="EJ925" s="35"/>
      <c r="EK925" s="35"/>
      <c r="EL925" s="35"/>
      <c r="EM925" s="35"/>
      <c r="EN925" s="35"/>
      <c r="EO925" s="35"/>
      <c r="EP925" s="35"/>
      <c r="EQ925" s="35"/>
      <c r="ER925" s="35"/>
      <c r="ES925" s="35"/>
      <c r="ET925" s="35"/>
      <c r="EU925" s="35"/>
      <c r="EV925" s="35"/>
      <c r="EW925" s="35"/>
      <c r="EX925" s="35"/>
      <c r="EY925" s="35"/>
      <c r="EZ925" s="35"/>
      <c r="FA925" s="35"/>
      <c r="FB925" s="35"/>
      <c r="FC925" s="35"/>
      <c r="FD925" s="35"/>
      <c r="FE925" s="35"/>
      <c r="FF925" s="35"/>
      <c r="FG925" s="35"/>
      <c r="FH925" s="35"/>
      <c r="FI925" s="35"/>
      <c r="FJ925" s="35"/>
      <c r="FK925" s="35"/>
      <c r="FL925" s="35"/>
      <c r="FM925" s="35"/>
      <c r="FN925" s="35"/>
      <c r="FO925" s="35"/>
      <c r="FP925" s="35"/>
      <c r="FQ925" s="35"/>
      <c r="FR925" s="35"/>
      <c r="FS925" s="35"/>
      <c r="FT925" s="35"/>
      <c r="FU925" s="35"/>
      <c r="FV925" s="35"/>
      <c r="FW925" s="35"/>
      <c r="FX925" s="35"/>
      <c r="FY925" s="35"/>
      <c r="FZ925" s="35"/>
      <c r="GA925" s="35"/>
      <c r="GB925" s="35"/>
      <c r="GC925" s="35"/>
      <c r="GD925" s="35"/>
      <c r="GE925" s="35"/>
      <c r="GF925" s="35"/>
      <c r="GG925" s="35"/>
      <c r="GH925" s="35"/>
      <c r="GI925" s="35"/>
      <c r="GJ925" s="35"/>
      <c r="GK925" s="35"/>
      <c r="GL925" s="35"/>
      <c r="GM925" s="35"/>
      <c r="GN925" s="35"/>
      <c r="GO925" s="35"/>
      <c r="GP925" s="35"/>
      <c r="GQ925" s="35"/>
      <c r="GR925" s="35"/>
      <c r="GS925" s="35"/>
      <c r="GT925" s="35"/>
      <c r="GU925" s="35"/>
      <c r="GV925" s="35"/>
      <c r="GW925" s="35"/>
      <c r="GX925" s="35"/>
      <c r="GY925" s="35"/>
      <c r="GZ925" s="35"/>
      <c r="HA925" s="35"/>
      <c r="HB925" s="35"/>
      <c r="HC925" s="35"/>
      <c r="HD925" s="35"/>
      <c r="HE925" s="35"/>
      <c r="HF925" s="35"/>
      <c r="HG925" s="35"/>
      <c r="HH925" s="35"/>
      <c r="HI925" s="35"/>
      <c r="HJ925" s="35"/>
      <c r="HK925" s="35"/>
      <c r="HL925" s="35"/>
      <c r="HM925" s="35"/>
      <c r="HN925" s="35"/>
      <c r="HO925" s="35"/>
      <c r="HP925" s="35"/>
      <c r="HQ925" s="35"/>
      <c r="HR925" s="35"/>
      <c r="HS925" s="35"/>
      <c r="HT925" s="35"/>
      <c r="HU925" s="35"/>
      <c r="HV925" s="35"/>
      <c r="HW925" s="35"/>
      <c r="HX925" s="35"/>
      <c r="HY925" s="35"/>
      <c r="HZ925" s="35"/>
      <c r="IA925" s="35"/>
      <c r="IB925" s="35"/>
      <c r="IC925" s="35"/>
      <c r="ID925" s="35"/>
      <c r="IE925" s="35"/>
      <c r="IF925" s="35"/>
      <c r="IG925" s="35"/>
      <c r="IH925" s="35"/>
      <c r="II925" s="35"/>
      <c r="IJ925" s="35"/>
      <c r="IK925" s="35"/>
      <c r="IL925" s="35"/>
      <c r="IM925" s="35"/>
      <c r="IN925" s="35"/>
      <c r="IO925" s="35"/>
      <c r="IP925" s="35"/>
      <c r="IQ925" s="35"/>
      <c r="IR925" s="35"/>
      <c r="IS925" s="35"/>
      <c r="IT925" s="35"/>
      <c r="IU925" s="35"/>
      <c r="IV925" s="35"/>
      <c r="IW925" s="35"/>
      <c r="IX925" s="35"/>
      <c r="IY925" s="35"/>
      <c r="IZ925" s="35"/>
      <c r="JA925" s="35"/>
      <c r="JB925" s="35"/>
      <c r="JC925" s="35"/>
      <c r="JD925" s="35"/>
      <c r="JE925" s="35"/>
    </row>
    <row r="926">
      <c r="A926" s="42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  <c r="AZ926" s="35"/>
      <c r="BA926" s="35"/>
      <c r="BB926" s="35"/>
      <c r="BC926" s="35"/>
      <c r="BD926" s="35"/>
      <c r="BE926" s="35"/>
      <c r="BF926" s="35"/>
      <c r="BG926" s="35"/>
      <c r="BH926" s="35"/>
      <c r="BI926" s="35"/>
      <c r="BJ926" s="35"/>
      <c r="BK926" s="35"/>
      <c r="BL926" s="35"/>
      <c r="BM926" s="35"/>
      <c r="BN926" s="35"/>
      <c r="BO926" s="35"/>
      <c r="BP926" s="35"/>
      <c r="BQ926" s="35"/>
      <c r="BR926" s="35"/>
      <c r="BS926" s="35"/>
      <c r="BT926" s="35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35"/>
      <c r="CO926" s="35"/>
      <c r="CP926" s="35"/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35"/>
      <c r="DJ926" s="35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35"/>
      <c r="EE926" s="35"/>
      <c r="EF926" s="35"/>
      <c r="EG926" s="35"/>
      <c r="EH926" s="35"/>
      <c r="EI926" s="35"/>
      <c r="EJ926" s="35"/>
      <c r="EK926" s="35"/>
      <c r="EL926" s="35"/>
      <c r="EM926" s="35"/>
      <c r="EN926" s="35"/>
      <c r="EO926" s="35"/>
      <c r="EP926" s="35"/>
      <c r="EQ926" s="35"/>
      <c r="ER926" s="35"/>
      <c r="ES926" s="35"/>
      <c r="ET926" s="35"/>
      <c r="EU926" s="35"/>
      <c r="EV926" s="35"/>
      <c r="EW926" s="35"/>
      <c r="EX926" s="35"/>
      <c r="EY926" s="35"/>
      <c r="EZ926" s="35"/>
      <c r="FA926" s="35"/>
      <c r="FB926" s="35"/>
      <c r="FC926" s="35"/>
      <c r="FD926" s="35"/>
      <c r="FE926" s="35"/>
      <c r="FF926" s="35"/>
      <c r="FG926" s="35"/>
      <c r="FH926" s="35"/>
      <c r="FI926" s="35"/>
      <c r="FJ926" s="35"/>
      <c r="FK926" s="35"/>
      <c r="FL926" s="35"/>
      <c r="FM926" s="35"/>
      <c r="FN926" s="35"/>
      <c r="FO926" s="35"/>
      <c r="FP926" s="35"/>
      <c r="FQ926" s="35"/>
      <c r="FR926" s="35"/>
      <c r="FS926" s="35"/>
      <c r="FT926" s="35"/>
      <c r="FU926" s="35"/>
      <c r="FV926" s="35"/>
      <c r="FW926" s="35"/>
      <c r="FX926" s="35"/>
      <c r="FY926" s="35"/>
      <c r="FZ926" s="35"/>
      <c r="GA926" s="35"/>
      <c r="GB926" s="35"/>
      <c r="GC926" s="35"/>
      <c r="GD926" s="35"/>
      <c r="GE926" s="35"/>
      <c r="GF926" s="35"/>
      <c r="GG926" s="35"/>
      <c r="GH926" s="35"/>
      <c r="GI926" s="35"/>
      <c r="GJ926" s="35"/>
      <c r="GK926" s="35"/>
      <c r="GL926" s="35"/>
      <c r="GM926" s="35"/>
      <c r="GN926" s="35"/>
      <c r="GO926" s="35"/>
      <c r="GP926" s="35"/>
      <c r="GQ926" s="35"/>
      <c r="GR926" s="35"/>
      <c r="GS926" s="35"/>
      <c r="GT926" s="35"/>
      <c r="GU926" s="35"/>
      <c r="GV926" s="35"/>
      <c r="GW926" s="35"/>
      <c r="GX926" s="35"/>
      <c r="GY926" s="35"/>
      <c r="GZ926" s="35"/>
      <c r="HA926" s="35"/>
      <c r="HB926" s="35"/>
      <c r="HC926" s="35"/>
      <c r="HD926" s="35"/>
      <c r="HE926" s="35"/>
      <c r="HF926" s="35"/>
      <c r="HG926" s="35"/>
      <c r="HH926" s="35"/>
      <c r="HI926" s="35"/>
      <c r="HJ926" s="35"/>
      <c r="HK926" s="35"/>
      <c r="HL926" s="35"/>
      <c r="HM926" s="35"/>
      <c r="HN926" s="35"/>
      <c r="HO926" s="35"/>
      <c r="HP926" s="35"/>
      <c r="HQ926" s="35"/>
      <c r="HR926" s="35"/>
      <c r="HS926" s="35"/>
      <c r="HT926" s="35"/>
      <c r="HU926" s="35"/>
      <c r="HV926" s="35"/>
      <c r="HW926" s="35"/>
      <c r="HX926" s="35"/>
      <c r="HY926" s="35"/>
      <c r="HZ926" s="35"/>
      <c r="IA926" s="35"/>
      <c r="IB926" s="35"/>
      <c r="IC926" s="35"/>
      <c r="ID926" s="35"/>
      <c r="IE926" s="35"/>
      <c r="IF926" s="35"/>
      <c r="IG926" s="35"/>
      <c r="IH926" s="35"/>
      <c r="II926" s="35"/>
      <c r="IJ926" s="35"/>
      <c r="IK926" s="35"/>
      <c r="IL926" s="35"/>
      <c r="IM926" s="35"/>
      <c r="IN926" s="35"/>
      <c r="IO926" s="35"/>
      <c r="IP926" s="35"/>
      <c r="IQ926" s="35"/>
      <c r="IR926" s="35"/>
      <c r="IS926" s="35"/>
      <c r="IT926" s="35"/>
      <c r="IU926" s="35"/>
      <c r="IV926" s="35"/>
      <c r="IW926" s="35"/>
      <c r="IX926" s="35"/>
      <c r="IY926" s="35"/>
      <c r="IZ926" s="35"/>
      <c r="JA926" s="35"/>
      <c r="JB926" s="35"/>
      <c r="JC926" s="35"/>
      <c r="JD926" s="35"/>
      <c r="JE926" s="35"/>
    </row>
    <row r="927">
      <c r="A927" s="42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  <c r="AZ927" s="35"/>
      <c r="BA927" s="35"/>
      <c r="BB927" s="35"/>
      <c r="BC927" s="35"/>
      <c r="BD927" s="35"/>
      <c r="BE927" s="35"/>
      <c r="BF927" s="35"/>
      <c r="BG927" s="35"/>
      <c r="BH927" s="35"/>
      <c r="BI927" s="35"/>
      <c r="BJ927" s="35"/>
      <c r="BK927" s="35"/>
      <c r="BL927" s="35"/>
      <c r="BM927" s="35"/>
      <c r="BN927" s="35"/>
      <c r="BO927" s="35"/>
      <c r="BP927" s="35"/>
      <c r="BQ927" s="35"/>
      <c r="BR927" s="35"/>
      <c r="BS927" s="35"/>
      <c r="BT927" s="35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35"/>
      <c r="CO927" s="35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35"/>
      <c r="DJ927" s="35"/>
      <c r="DK927" s="35"/>
      <c r="DL927" s="35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35"/>
      <c r="EE927" s="35"/>
      <c r="EF927" s="35"/>
      <c r="EG927" s="35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  <c r="ER927" s="35"/>
      <c r="ES927" s="35"/>
      <c r="ET927" s="35"/>
      <c r="EU927" s="35"/>
      <c r="EV927" s="35"/>
      <c r="EW927" s="35"/>
      <c r="EX927" s="35"/>
      <c r="EY927" s="35"/>
      <c r="EZ927" s="35"/>
      <c r="FA927" s="35"/>
      <c r="FB927" s="35"/>
      <c r="FC927" s="35"/>
      <c r="FD927" s="35"/>
      <c r="FE927" s="35"/>
      <c r="FF927" s="35"/>
      <c r="FG927" s="35"/>
      <c r="FH927" s="35"/>
      <c r="FI927" s="35"/>
      <c r="FJ927" s="35"/>
      <c r="FK927" s="35"/>
      <c r="FL927" s="35"/>
      <c r="FM927" s="35"/>
      <c r="FN927" s="35"/>
      <c r="FO927" s="35"/>
      <c r="FP927" s="35"/>
      <c r="FQ927" s="35"/>
      <c r="FR927" s="35"/>
      <c r="FS927" s="35"/>
      <c r="FT927" s="35"/>
      <c r="FU927" s="35"/>
      <c r="FV927" s="35"/>
      <c r="FW927" s="35"/>
      <c r="FX927" s="35"/>
      <c r="FY927" s="35"/>
      <c r="FZ927" s="35"/>
      <c r="GA927" s="35"/>
      <c r="GB927" s="35"/>
      <c r="GC927" s="35"/>
      <c r="GD927" s="35"/>
      <c r="GE927" s="35"/>
      <c r="GF927" s="35"/>
      <c r="GG927" s="35"/>
      <c r="GH927" s="35"/>
      <c r="GI927" s="35"/>
      <c r="GJ927" s="35"/>
      <c r="GK927" s="35"/>
      <c r="GL927" s="35"/>
      <c r="GM927" s="35"/>
      <c r="GN927" s="35"/>
      <c r="GO927" s="35"/>
      <c r="GP927" s="35"/>
      <c r="GQ927" s="35"/>
      <c r="GR927" s="35"/>
      <c r="GS927" s="35"/>
      <c r="GT927" s="35"/>
      <c r="GU927" s="35"/>
      <c r="GV927" s="35"/>
      <c r="GW927" s="35"/>
      <c r="GX927" s="35"/>
      <c r="GY927" s="35"/>
      <c r="GZ927" s="35"/>
      <c r="HA927" s="35"/>
      <c r="HB927" s="35"/>
      <c r="HC927" s="35"/>
      <c r="HD927" s="35"/>
      <c r="HE927" s="35"/>
      <c r="HF927" s="35"/>
      <c r="HG927" s="35"/>
      <c r="HH927" s="35"/>
      <c r="HI927" s="35"/>
      <c r="HJ927" s="35"/>
      <c r="HK927" s="35"/>
      <c r="HL927" s="35"/>
      <c r="HM927" s="35"/>
      <c r="HN927" s="35"/>
      <c r="HO927" s="35"/>
      <c r="HP927" s="35"/>
      <c r="HQ927" s="35"/>
      <c r="HR927" s="35"/>
      <c r="HS927" s="35"/>
      <c r="HT927" s="35"/>
      <c r="HU927" s="35"/>
      <c r="HV927" s="35"/>
      <c r="HW927" s="35"/>
      <c r="HX927" s="35"/>
      <c r="HY927" s="35"/>
      <c r="HZ927" s="35"/>
      <c r="IA927" s="35"/>
      <c r="IB927" s="35"/>
      <c r="IC927" s="35"/>
      <c r="ID927" s="35"/>
      <c r="IE927" s="35"/>
      <c r="IF927" s="35"/>
      <c r="IG927" s="35"/>
      <c r="IH927" s="35"/>
      <c r="II927" s="35"/>
      <c r="IJ927" s="35"/>
      <c r="IK927" s="35"/>
      <c r="IL927" s="35"/>
      <c r="IM927" s="35"/>
      <c r="IN927" s="35"/>
      <c r="IO927" s="35"/>
      <c r="IP927" s="35"/>
      <c r="IQ927" s="35"/>
      <c r="IR927" s="35"/>
      <c r="IS927" s="35"/>
      <c r="IT927" s="35"/>
      <c r="IU927" s="35"/>
      <c r="IV927" s="35"/>
      <c r="IW927" s="35"/>
      <c r="IX927" s="35"/>
      <c r="IY927" s="35"/>
      <c r="IZ927" s="35"/>
      <c r="JA927" s="35"/>
      <c r="JB927" s="35"/>
      <c r="JC927" s="35"/>
      <c r="JD927" s="35"/>
      <c r="JE927" s="35"/>
    </row>
    <row r="928">
      <c r="A928" s="42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  <c r="AZ928" s="35"/>
      <c r="BA928" s="35"/>
      <c r="BB928" s="35"/>
      <c r="BC928" s="35"/>
      <c r="BD928" s="35"/>
      <c r="BE928" s="35"/>
      <c r="BF928" s="35"/>
      <c r="BG928" s="35"/>
      <c r="BH928" s="35"/>
      <c r="BI928" s="35"/>
      <c r="BJ928" s="35"/>
      <c r="BK928" s="35"/>
      <c r="BL928" s="35"/>
      <c r="BM928" s="35"/>
      <c r="BN928" s="35"/>
      <c r="BO928" s="35"/>
      <c r="BP928" s="35"/>
      <c r="BQ928" s="35"/>
      <c r="BR928" s="35"/>
      <c r="BS928" s="35"/>
      <c r="BT928" s="35"/>
      <c r="BU928" s="35"/>
      <c r="BV928" s="35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35"/>
      <c r="CO928" s="35"/>
      <c r="CP928" s="35"/>
      <c r="CQ928" s="35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35"/>
      <c r="DJ928" s="35"/>
      <c r="DK928" s="35"/>
      <c r="DL928" s="35"/>
      <c r="DM928" s="35"/>
      <c r="DN928" s="35"/>
      <c r="DO928" s="35"/>
      <c r="DP928" s="35"/>
      <c r="DQ928" s="35"/>
      <c r="DR928" s="35"/>
      <c r="DS928" s="35"/>
      <c r="DT928" s="35"/>
      <c r="DU928" s="35"/>
      <c r="DV928" s="35"/>
      <c r="DW928" s="35"/>
      <c r="DX928" s="35"/>
      <c r="DY928" s="35"/>
      <c r="DZ928" s="35"/>
      <c r="EA928" s="35"/>
      <c r="EB928" s="35"/>
      <c r="EC928" s="35"/>
      <c r="ED928" s="35"/>
      <c r="EE928" s="35"/>
      <c r="EF928" s="35"/>
      <c r="EG928" s="35"/>
      <c r="EH928" s="35"/>
      <c r="EI928" s="35"/>
      <c r="EJ928" s="35"/>
      <c r="EK928" s="35"/>
      <c r="EL928" s="35"/>
      <c r="EM928" s="35"/>
      <c r="EN928" s="35"/>
      <c r="EO928" s="35"/>
      <c r="EP928" s="35"/>
      <c r="EQ928" s="35"/>
      <c r="ER928" s="35"/>
      <c r="ES928" s="35"/>
      <c r="ET928" s="35"/>
      <c r="EU928" s="35"/>
      <c r="EV928" s="35"/>
      <c r="EW928" s="35"/>
      <c r="EX928" s="35"/>
      <c r="EY928" s="35"/>
      <c r="EZ928" s="35"/>
      <c r="FA928" s="35"/>
      <c r="FB928" s="35"/>
      <c r="FC928" s="35"/>
      <c r="FD928" s="35"/>
      <c r="FE928" s="35"/>
      <c r="FF928" s="35"/>
      <c r="FG928" s="35"/>
      <c r="FH928" s="35"/>
      <c r="FI928" s="35"/>
      <c r="FJ928" s="35"/>
      <c r="FK928" s="35"/>
      <c r="FL928" s="35"/>
      <c r="FM928" s="35"/>
      <c r="FN928" s="35"/>
      <c r="FO928" s="35"/>
      <c r="FP928" s="35"/>
      <c r="FQ928" s="35"/>
      <c r="FR928" s="35"/>
      <c r="FS928" s="35"/>
      <c r="FT928" s="35"/>
      <c r="FU928" s="35"/>
      <c r="FV928" s="35"/>
      <c r="FW928" s="35"/>
      <c r="FX928" s="35"/>
      <c r="FY928" s="35"/>
      <c r="FZ928" s="35"/>
      <c r="GA928" s="35"/>
      <c r="GB928" s="35"/>
      <c r="GC928" s="35"/>
      <c r="GD928" s="35"/>
      <c r="GE928" s="35"/>
      <c r="GF928" s="35"/>
      <c r="GG928" s="35"/>
      <c r="GH928" s="35"/>
      <c r="GI928" s="35"/>
      <c r="GJ928" s="35"/>
      <c r="GK928" s="35"/>
      <c r="GL928" s="35"/>
      <c r="GM928" s="35"/>
      <c r="GN928" s="35"/>
      <c r="GO928" s="35"/>
      <c r="GP928" s="35"/>
      <c r="GQ928" s="35"/>
      <c r="GR928" s="35"/>
      <c r="GS928" s="35"/>
      <c r="GT928" s="35"/>
      <c r="GU928" s="35"/>
      <c r="GV928" s="35"/>
      <c r="GW928" s="35"/>
      <c r="GX928" s="35"/>
      <c r="GY928" s="35"/>
      <c r="GZ928" s="35"/>
      <c r="HA928" s="35"/>
      <c r="HB928" s="35"/>
      <c r="HC928" s="35"/>
      <c r="HD928" s="35"/>
      <c r="HE928" s="35"/>
      <c r="HF928" s="35"/>
      <c r="HG928" s="35"/>
      <c r="HH928" s="35"/>
      <c r="HI928" s="35"/>
      <c r="HJ928" s="35"/>
      <c r="HK928" s="35"/>
      <c r="HL928" s="35"/>
      <c r="HM928" s="35"/>
      <c r="HN928" s="35"/>
      <c r="HO928" s="35"/>
      <c r="HP928" s="35"/>
      <c r="HQ928" s="35"/>
      <c r="HR928" s="35"/>
      <c r="HS928" s="35"/>
      <c r="HT928" s="35"/>
      <c r="HU928" s="35"/>
      <c r="HV928" s="35"/>
      <c r="HW928" s="35"/>
      <c r="HX928" s="35"/>
      <c r="HY928" s="35"/>
      <c r="HZ928" s="35"/>
      <c r="IA928" s="35"/>
      <c r="IB928" s="35"/>
      <c r="IC928" s="35"/>
      <c r="ID928" s="35"/>
      <c r="IE928" s="35"/>
      <c r="IF928" s="35"/>
      <c r="IG928" s="35"/>
      <c r="IH928" s="35"/>
      <c r="II928" s="35"/>
      <c r="IJ928" s="35"/>
      <c r="IK928" s="35"/>
      <c r="IL928" s="35"/>
      <c r="IM928" s="35"/>
      <c r="IN928" s="35"/>
      <c r="IO928" s="35"/>
      <c r="IP928" s="35"/>
      <c r="IQ928" s="35"/>
      <c r="IR928" s="35"/>
      <c r="IS928" s="35"/>
      <c r="IT928" s="35"/>
      <c r="IU928" s="35"/>
      <c r="IV928" s="35"/>
      <c r="IW928" s="35"/>
      <c r="IX928" s="35"/>
      <c r="IY928" s="35"/>
      <c r="IZ928" s="35"/>
      <c r="JA928" s="35"/>
      <c r="JB928" s="35"/>
      <c r="JC928" s="35"/>
      <c r="JD928" s="35"/>
      <c r="JE928" s="35"/>
    </row>
    <row r="929">
      <c r="A929" s="42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  <c r="AZ929" s="35"/>
      <c r="BA929" s="35"/>
      <c r="BB929" s="35"/>
      <c r="BC929" s="35"/>
      <c r="BD929" s="35"/>
      <c r="BE929" s="35"/>
      <c r="BF929" s="35"/>
      <c r="BG929" s="35"/>
      <c r="BH929" s="35"/>
      <c r="BI929" s="35"/>
      <c r="BJ929" s="35"/>
      <c r="BK929" s="35"/>
      <c r="BL929" s="35"/>
      <c r="BM929" s="35"/>
      <c r="BN929" s="35"/>
      <c r="BO929" s="35"/>
      <c r="BP929" s="35"/>
      <c r="BQ929" s="35"/>
      <c r="BR929" s="35"/>
      <c r="BS929" s="35"/>
      <c r="BT929" s="35"/>
      <c r="BU929" s="35"/>
      <c r="BV929" s="35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35"/>
      <c r="CO929" s="35"/>
      <c r="CP929" s="35"/>
      <c r="CQ929" s="35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35"/>
      <c r="DJ929" s="35"/>
      <c r="DK929" s="35"/>
      <c r="DL929" s="35"/>
      <c r="DM929" s="35"/>
      <c r="DN929" s="35"/>
      <c r="DO929" s="35"/>
      <c r="DP929" s="35"/>
      <c r="DQ929" s="35"/>
      <c r="DR929" s="35"/>
      <c r="DS929" s="35"/>
      <c r="DT929" s="35"/>
      <c r="DU929" s="35"/>
      <c r="DV929" s="35"/>
      <c r="DW929" s="35"/>
      <c r="DX929" s="35"/>
      <c r="DY929" s="35"/>
      <c r="DZ929" s="35"/>
      <c r="EA929" s="35"/>
      <c r="EB929" s="35"/>
      <c r="EC929" s="35"/>
      <c r="ED929" s="35"/>
      <c r="EE929" s="35"/>
      <c r="EF929" s="35"/>
      <c r="EG929" s="35"/>
      <c r="EH929" s="35"/>
      <c r="EI929" s="35"/>
      <c r="EJ929" s="35"/>
      <c r="EK929" s="35"/>
      <c r="EL929" s="35"/>
      <c r="EM929" s="35"/>
      <c r="EN929" s="35"/>
      <c r="EO929" s="35"/>
      <c r="EP929" s="35"/>
      <c r="EQ929" s="35"/>
      <c r="ER929" s="35"/>
      <c r="ES929" s="35"/>
      <c r="ET929" s="35"/>
      <c r="EU929" s="35"/>
      <c r="EV929" s="35"/>
      <c r="EW929" s="35"/>
      <c r="EX929" s="35"/>
      <c r="EY929" s="35"/>
      <c r="EZ929" s="35"/>
      <c r="FA929" s="35"/>
      <c r="FB929" s="35"/>
      <c r="FC929" s="35"/>
      <c r="FD929" s="35"/>
      <c r="FE929" s="35"/>
      <c r="FF929" s="35"/>
      <c r="FG929" s="35"/>
      <c r="FH929" s="35"/>
      <c r="FI929" s="35"/>
      <c r="FJ929" s="35"/>
      <c r="FK929" s="35"/>
      <c r="FL929" s="35"/>
      <c r="FM929" s="35"/>
      <c r="FN929" s="35"/>
      <c r="FO929" s="35"/>
      <c r="FP929" s="35"/>
      <c r="FQ929" s="35"/>
      <c r="FR929" s="35"/>
      <c r="FS929" s="35"/>
      <c r="FT929" s="35"/>
      <c r="FU929" s="35"/>
      <c r="FV929" s="35"/>
      <c r="FW929" s="35"/>
      <c r="FX929" s="35"/>
      <c r="FY929" s="35"/>
      <c r="FZ929" s="35"/>
      <c r="GA929" s="35"/>
      <c r="GB929" s="35"/>
      <c r="GC929" s="35"/>
      <c r="GD929" s="35"/>
      <c r="GE929" s="35"/>
      <c r="GF929" s="35"/>
      <c r="GG929" s="35"/>
      <c r="GH929" s="35"/>
      <c r="GI929" s="35"/>
      <c r="GJ929" s="35"/>
      <c r="GK929" s="35"/>
      <c r="GL929" s="35"/>
      <c r="GM929" s="35"/>
      <c r="GN929" s="35"/>
      <c r="GO929" s="35"/>
      <c r="GP929" s="35"/>
      <c r="GQ929" s="35"/>
      <c r="GR929" s="35"/>
      <c r="GS929" s="35"/>
      <c r="GT929" s="35"/>
      <c r="GU929" s="35"/>
      <c r="GV929" s="35"/>
      <c r="GW929" s="35"/>
      <c r="GX929" s="35"/>
      <c r="GY929" s="35"/>
      <c r="GZ929" s="35"/>
      <c r="HA929" s="35"/>
      <c r="HB929" s="35"/>
      <c r="HC929" s="35"/>
      <c r="HD929" s="35"/>
      <c r="HE929" s="35"/>
      <c r="HF929" s="35"/>
      <c r="HG929" s="35"/>
      <c r="HH929" s="35"/>
      <c r="HI929" s="35"/>
      <c r="HJ929" s="35"/>
      <c r="HK929" s="35"/>
      <c r="HL929" s="35"/>
      <c r="HM929" s="35"/>
      <c r="HN929" s="35"/>
      <c r="HO929" s="35"/>
      <c r="HP929" s="35"/>
      <c r="HQ929" s="35"/>
      <c r="HR929" s="35"/>
      <c r="HS929" s="35"/>
      <c r="HT929" s="35"/>
      <c r="HU929" s="35"/>
      <c r="HV929" s="35"/>
      <c r="HW929" s="35"/>
      <c r="HX929" s="35"/>
      <c r="HY929" s="35"/>
      <c r="HZ929" s="35"/>
      <c r="IA929" s="35"/>
      <c r="IB929" s="35"/>
      <c r="IC929" s="35"/>
      <c r="ID929" s="35"/>
      <c r="IE929" s="35"/>
      <c r="IF929" s="35"/>
      <c r="IG929" s="35"/>
      <c r="IH929" s="35"/>
      <c r="II929" s="35"/>
      <c r="IJ929" s="35"/>
      <c r="IK929" s="35"/>
      <c r="IL929" s="35"/>
      <c r="IM929" s="35"/>
      <c r="IN929" s="35"/>
      <c r="IO929" s="35"/>
      <c r="IP929" s="35"/>
      <c r="IQ929" s="35"/>
      <c r="IR929" s="35"/>
      <c r="IS929" s="35"/>
      <c r="IT929" s="35"/>
      <c r="IU929" s="35"/>
      <c r="IV929" s="35"/>
      <c r="IW929" s="35"/>
      <c r="IX929" s="35"/>
      <c r="IY929" s="35"/>
      <c r="IZ929" s="35"/>
      <c r="JA929" s="35"/>
      <c r="JB929" s="35"/>
      <c r="JC929" s="35"/>
      <c r="JD929" s="35"/>
      <c r="JE929" s="35"/>
    </row>
    <row r="930">
      <c r="A930" s="42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  <c r="AZ930" s="35"/>
      <c r="BA930" s="35"/>
      <c r="BB930" s="35"/>
      <c r="BC930" s="35"/>
      <c r="BD930" s="35"/>
      <c r="BE930" s="35"/>
      <c r="BF930" s="35"/>
      <c r="BG930" s="35"/>
      <c r="BH930" s="35"/>
      <c r="BI930" s="35"/>
      <c r="BJ930" s="35"/>
      <c r="BK930" s="35"/>
      <c r="BL930" s="35"/>
      <c r="BM930" s="35"/>
      <c r="BN930" s="35"/>
      <c r="BO930" s="35"/>
      <c r="BP930" s="35"/>
      <c r="BQ930" s="35"/>
      <c r="BR930" s="35"/>
      <c r="BS930" s="35"/>
      <c r="BT930" s="35"/>
      <c r="BU930" s="35"/>
      <c r="BV930" s="35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35"/>
      <c r="CO930" s="35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35"/>
      <c r="DJ930" s="35"/>
      <c r="DK930" s="35"/>
      <c r="DL930" s="35"/>
      <c r="DM930" s="35"/>
      <c r="DN930" s="35"/>
      <c r="DO930" s="35"/>
      <c r="DP930" s="35"/>
      <c r="DQ930" s="35"/>
      <c r="DR930" s="35"/>
      <c r="DS930" s="35"/>
      <c r="DT930" s="35"/>
      <c r="DU930" s="35"/>
      <c r="DV930" s="35"/>
      <c r="DW930" s="35"/>
      <c r="DX930" s="35"/>
      <c r="DY930" s="35"/>
      <c r="DZ930" s="35"/>
      <c r="EA930" s="35"/>
      <c r="EB930" s="35"/>
      <c r="EC930" s="35"/>
      <c r="ED930" s="35"/>
      <c r="EE930" s="35"/>
      <c r="EF930" s="35"/>
      <c r="EG930" s="35"/>
      <c r="EH930" s="35"/>
      <c r="EI930" s="35"/>
      <c r="EJ930" s="35"/>
      <c r="EK930" s="35"/>
      <c r="EL930" s="35"/>
      <c r="EM930" s="35"/>
      <c r="EN930" s="35"/>
      <c r="EO930" s="35"/>
      <c r="EP930" s="35"/>
      <c r="EQ930" s="35"/>
      <c r="ER930" s="35"/>
      <c r="ES930" s="35"/>
      <c r="ET930" s="35"/>
      <c r="EU930" s="35"/>
      <c r="EV930" s="35"/>
      <c r="EW930" s="35"/>
      <c r="EX930" s="35"/>
      <c r="EY930" s="35"/>
      <c r="EZ930" s="35"/>
      <c r="FA930" s="35"/>
      <c r="FB930" s="35"/>
      <c r="FC930" s="35"/>
      <c r="FD930" s="35"/>
      <c r="FE930" s="35"/>
      <c r="FF930" s="35"/>
      <c r="FG930" s="35"/>
      <c r="FH930" s="35"/>
      <c r="FI930" s="35"/>
      <c r="FJ930" s="35"/>
      <c r="FK930" s="35"/>
      <c r="FL930" s="35"/>
      <c r="FM930" s="35"/>
      <c r="FN930" s="35"/>
      <c r="FO930" s="35"/>
      <c r="FP930" s="35"/>
      <c r="FQ930" s="35"/>
      <c r="FR930" s="35"/>
      <c r="FS930" s="35"/>
      <c r="FT930" s="35"/>
      <c r="FU930" s="35"/>
      <c r="FV930" s="35"/>
      <c r="FW930" s="35"/>
      <c r="FX930" s="35"/>
      <c r="FY930" s="35"/>
      <c r="FZ930" s="35"/>
      <c r="GA930" s="35"/>
      <c r="GB930" s="35"/>
      <c r="GC930" s="35"/>
      <c r="GD930" s="35"/>
      <c r="GE930" s="35"/>
      <c r="GF930" s="35"/>
      <c r="GG930" s="35"/>
      <c r="GH930" s="35"/>
      <c r="GI930" s="35"/>
      <c r="GJ930" s="35"/>
      <c r="GK930" s="35"/>
      <c r="GL930" s="35"/>
      <c r="GM930" s="35"/>
      <c r="GN930" s="35"/>
      <c r="GO930" s="35"/>
      <c r="GP930" s="35"/>
      <c r="GQ930" s="35"/>
      <c r="GR930" s="35"/>
      <c r="GS930" s="35"/>
      <c r="GT930" s="35"/>
      <c r="GU930" s="35"/>
      <c r="GV930" s="35"/>
      <c r="GW930" s="35"/>
      <c r="GX930" s="35"/>
      <c r="GY930" s="35"/>
      <c r="GZ930" s="35"/>
      <c r="HA930" s="35"/>
      <c r="HB930" s="35"/>
      <c r="HC930" s="35"/>
      <c r="HD930" s="35"/>
      <c r="HE930" s="35"/>
      <c r="HF930" s="35"/>
      <c r="HG930" s="35"/>
      <c r="HH930" s="35"/>
      <c r="HI930" s="35"/>
      <c r="HJ930" s="35"/>
      <c r="HK930" s="35"/>
      <c r="HL930" s="35"/>
      <c r="HM930" s="35"/>
      <c r="HN930" s="35"/>
      <c r="HO930" s="35"/>
      <c r="HP930" s="35"/>
      <c r="HQ930" s="35"/>
      <c r="HR930" s="35"/>
      <c r="HS930" s="35"/>
      <c r="HT930" s="35"/>
      <c r="HU930" s="35"/>
      <c r="HV930" s="35"/>
      <c r="HW930" s="35"/>
      <c r="HX930" s="35"/>
      <c r="HY930" s="35"/>
      <c r="HZ930" s="35"/>
      <c r="IA930" s="35"/>
      <c r="IB930" s="35"/>
      <c r="IC930" s="35"/>
      <c r="ID930" s="35"/>
      <c r="IE930" s="35"/>
      <c r="IF930" s="35"/>
      <c r="IG930" s="35"/>
      <c r="IH930" s="35"/>
      <c r="II930" s="35"/>
      <c r="IJ930" s="35"/>
      <c r="IK930" s="35"/>
      <c r="IL930" s="35"/>
      <c r="IM930" s="35"/>
      <c r="IN930" s="35"/>
      <c r="IO930" s="35"/>
      <c r="IP930" s="35"/>
      <c r="IQ930" s="35"/>
      <c r="IR930" s="35"/>
      <c r="IS930" s="35"/>
      <c r="IT930" s="35"/>
      <c r="IU930" s="35"/>
      <c r="IV930" s="35"/>
      <c r="IW930" s="35"/>
      <c r="IX930" s="35"/>
      <c r="IY930" s="35"/>
      <c r="IZ930" s="35"/>
      <c r="JA930" s="35"/>
      <c r="JB930" s="35"/>
      <c r="JC930" s="35"/>
      <c r="JD930" s="35"/>
      <c r="JE930" s="35"/>
    </row>
    <row r="931">
      <c r="A931" s="42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  <c r="AZ931" s="35"/>
      <c r="BA931" s="35"/>
      <c r="BB931" s="35"/>
      <c r="BC931" s="35"/>
      <c r="BD931" s="35"/>
      <c r="BE931" s="35"/>
      <c r="BF931" s="35"/>
      <c r="BG931" s="35"/>
      <c r="BH931" s="35"/>
      <c r="BI931" s="35"/>
      <c r="BJ931" s="35"/>
      <c r="BK931" s="35"/>
      <c r="BL931" s="35"/>
      <c r="BM931" s="35"/>
      <c r="BN931" s="35"/>
      <c r="BO931" s="35"/>
      <c r="BP931" s="35"/>
      <c r="BQ931" s="35"/>
      <c r="BR931" s="35"/>
      <c r="BS931" s="35"/>
      <c r="BT931" s="35"/>
      <c r="BU931" s="35"/>
      <c r="BV931" s="35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35"/>
      <c r="CO931" s="35"/>
      <c r="CP931" s="35"/>
      <c r="CQ931" s="35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35"/>
      <c r="DJ931" s="35"/>
      <c r="DK931" s="35"/>
      <c r="DL931" s="35"/>
      <c r="DM931" s="35"/>
      <c r="DN931" s="35"/>
      <c r="DO931" s="35"/>
      <c r="DP931" s="35"/>
      <c r="DQ931" s="35"/>
      <c r="DR931" s="35"/>
      <c r="DS931" s="35"/>
      <c r="DT931" s="35"/>
      <c r="DU931" s="35"/>
      <c r="DV931" s="35"/>
      <c r="DW931" s="35"/>
      <c r="DX931" s="35"/>
      <c r="DY931" s="35"/>
      <c r="DZ931" s="35"/>
      <c r="EA931" s="35"/>
      <c r="EB931" s="35"/>
      <c r="EC931" s="35"/>
      <c r="ED931" s="35"/>
      <c r="EE931" s="35"/>
      <c r="EF931" s="35"/>
      <c r="EG931" s="35"/>
      <c r="EH931" s="35"/>
      <c r="EI931" s="35"/>
      <c r="EJ931" s="35"/>
      <c r="EK931" s="35"/>
      <c r="EL931" s="35"/>
      <c r="EM931" s="35"/>
      <c r="EN931" s="35"/>
      <c r="EO931" s="35"/>
      <c r="EP931" s="35"/>
      <c r="EQ931" s="35"/>
      <c r="ER931" s="35"/>
      <c r="ES931" s="35"/>
      <c r="ET931" s="35"/>
      <c r="EU931" s="35"/>
      <c r="EV931" s="35"/>
      <c r="EW931" s="35"/>
      <c r="EX931" s="35"/>
      <c r="EY931" s="35"/>
      <c r="EZ931" s="35"/>
      <c r="FA931" s="35"/>
      <c r="FB931" s="35"/>
      <c r="FC931" s="35"/>
      <c r="FD931" s="35"/>
      <c r="FE931" s="35"/>
      <c r="FF931" s="35"/>
      <c r="FG931" s="35"/>
      <c r="FH931" s="35"/>
      <c r="FI931" s="35"/>
      <c r="FJ931" s="35"/>
      <c r="FK931" s="35"/>
      <c r="FL931" s="35"/>
      <c r="FM931" s="35"/>
      <c r="FN931" s="35"/>
      <c r="FO931" s="35"/>
      <c r="FP931" s="35"/>
      <c r="FQ931" s="35"/>
      <c r="FR931" s="35"/>
      <c r="FS931" s="35"/>
      <c r="FT931" s="35"/>
      <c r="FU931" s="35"/>
      <c r="FV931" s="35"/>
      <c r="FW931" s="35"/>
      <c r="FX931" s="35"/>
      <c r="FY931" s="35"/>
      <c r="FZ931" s="35"/>
      <c r="GA931" s="35"/>
      <c r="GB931" s="35"/>
      <c r="GC931" s="35"/>
      <c r="GD931" s="35"/>
      <c r="GE931" s="35"/>
      <c r="GF931" s="35"/>
      <c r="GG931" s="35"/>
      <c r="GH931" s="35"/>
      <c r="GI931" s="35"/>
      <c r="GJ931" s="35"/>
      <c r="GK931" s="35"/>
      <c r="GL931" s="35"/>
      <c r="GM931" s="35"/>
      <c r="GN931" s="35"/>
      <c r="GO931" s="35"/>
      <c r="GP931" s="35"/>
      <c r="GQ931" s="35"/>
      <c r="GR931" s="35"/>
      <c r="GS931" s="35"/>
      <c r="GT931" s="35"/>
      <c r="GU931" s="35"/>
      <c r="GV931" s="35"/>
      <c r="GW931" s="35"/>
      <c r="GX931" s="35"/>
      <c r="GY931" s="35"/>
      <c r="GZ931" s="35"/>
      <c r="HA931" s="35"/>
      <c r="HB931" s="35"/>
      <c r="HC931" s="35"/>
      <c r="HD931" s="35"/>
      <c r="HE931" s="35"/>
      <c r="HF931" s="35"/>
      <c r="HG931" s="35"/>
      <c r="HH931" s="35"/>
      <c r="HI931" s="35"/>
      <c r="HJ931" s="35"/>
      <c r="HK931" s="35"/>
      <c r="HL931" s="35"/>
      <c r="HM931" s="35"/>
      <c r="HN931" s="35"/>
      <c r="HO931" s="35"/>
      <c r="HP931" s="35"/>
      <c r="HQ931" s="35"/>
      <c r="HR931" s="35"/>
      <c r="HS931" s="35"/>
      <c r="HT931" s="35"/>
      <c r="HU931" s="35"/>
      <c r="HV931" s="35"/>
      <c r="HW931" s="35"/>
      <c r="HX931" s="35"/>
      <c r="HY931" s="35"/>
      <c r="HZ931" s="35"/>
      <c r="IA931" s="35"/>
      <c r="IB931" s="35"/>
      <c r="IC931" s="35"/>
      <c r="ID931" s="35"/>
      <c r="IE931" s="35"/>
      <c r="IF931" s="35"/>
      <c r="IG931" s="35"/>
      <c r="IH931" s="35"/>
      <c r="II931" s="35"/>
      <c r="IJ931" s="35"/>
      <c r="IK931" s="35"/>
      <c r="IL931" s="35"/>
      <c r="IM931" s="35"/>
      <c r="IN931" s="35"/>
      <c r="IO931" s="35"/>
      <c r="IP931" s="35"/>
      <c r="IQ931" s="35"/>
      <c r="IR931" s="35"/>
      <c r="IS931" s="35"/>
      <c r="IT931" s="35"/>
      <c r="IU931" s="35"/>
      <c r="IV931" s="35"/>
      <c r="IW931" s="35"/>
      <c r="IX931" s="35"/>
      <c r="IY931" s="35"/>
      <c r="IZ931" s="35"/>
      <c r="JA931" s="35"/>
      <c r="JB931" s="35"/>
      <c r="JC931" s="35"/>
      <c r="JD931" s="35"/>
      <c r="JE931" s="35"/>
    </row>
    <row r="932">
      <c r="A932" s="42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  <c r="AZ932" s="35"/>
      <c r="BA932" s="35"/>
      <c r="BB932" s="35"/>
      <c r="BC932" s="35"/>
      <c r="BD932" s="35"/>
      <c r="BE932" s="35"/>
      <c r="BF932" s="35"/>
      <c r="BG932" s="35"/>
      <c r="BH932" s="35"/>
      <c r="BI932" s="35"/>
      <c r="BJ932" s="35"/>
      <c r="BK932" s="35"/>
      <c r="BL932" s="35"/>
      <c r="BM932" s="35"/>
      <c r="BN932" s="35"/>
      <c r="BO932" s="35"/>
      <c r="BP932" s="35"/>
      <c r="BQ932" s="35"/>
      <c r="BR932" s="35"/>
      <c r="BS932" s="35"/>
      <c r="BT932" s="35"/>
      <c r="BU932" s="35"/>
      <c r="BV932" s="35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35"/>
      <c r="CO932" s="35"/>
      <c r="CP932" s="35"/>
      <c r="CQ932" s="35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35"/>
      <c r="DJ932" s="35"/>
      <c r="DK932" s="35"/>
      <c r="DL932" s="35"/>
      <c r="DM932" s="35"/>
      <c r="DN932" s="35"/>
      <c r="DO932" s="35"/>
      <c r="DP932" s="35"/>
      <c r="DQ932" s="35"/>
      <c r="DR932" s="35"/>
      <c r="DS932" s="35"/>
      <c r="DT932" s="35"/>
      <c r="DU932" s="35"/>
      <c r="DV932" s="35"/>
      <c r="DW932" s="35"/>
      <c r="DX932" s="35"/>
      <c r="DY932" s="35"/>
      <c r="DZ932" s="35"/>
      <c r="EA932" s="35"/>
      <c r="EB932" s="35"/>
      <c r="EC932" s="35"/>
      <c r="ED932" s="35"/>
      <c r="EE932" s="35"/>
      <c r="EF932" s="35"/>
      <c r="EG932" s="35"/>
      <c r="EH932" s="35"/>
      <c r="EI932" s="35"/>
      <c r="EJ932" s="35"/>
      <c r="EK932" s="35"/>
      <c r="EL932" s="35"/>
      <c r="EM932" s="35"/>
      <c r="EN932" s="35"/>
      <c r="EO932" s="35"/>
      <c r="EP932" s="35"/>
      <c r="EQ932" s="35"/>
      <c r="ER932" s="35"/>
      <c r="ES932" s="35"/>
      <c r="ET932" s="35"/>
      <c r="EU932" s="35"/>
      <c r="EV932" s="35"/>
      <c r="EW932" s="35"/>
      <c r="EX932" s="35"/>
      <c r="EY932" s="35"/>
      <c r="EZ932" s="35"/>
      <c r="FA932" s="35"/>
      <c r="FB932" s="35"/>
      <c r="FC932" s="35"/>
      <c r="FD932" s="35"/>
      <c r="FE932" s="35"/>
      <c r="FF932" s="35"/>
      <c r="FG932" s="35"/>
      <c r="FH932" s="35"/>
      <c r="FI932" s="35"/>
      <c r="FJ932" s="35"/>
      <c r="FK932" s="35"/>
      <c r="FL932" s="35"/>
      <c r="FM932" s="35"/>
      <c r="FN932" s="35"/>
      <c r="FO932" s="35"/>
      <c r="FP932" s="35"/>
      <c r="FQ932" s="35"/>
      <c r="FR932" s="35"/>
      <c r="FS932" s="35"/>
      <c r="FT932" s="35"/>
      <c r="FU932" s="35"/>
      <c r="FV932" s="35"/>
      <c r="FW932" s="35"/>
      <c r="FX932" s="35"/>
      <c r="FY932" s="35"/>
      <c r="FZ932" s="35"/>
      <c r="GA932" s="35"/>
      <c r="GB932" s="35"/>
      <c r="GC932" s="35"/>
      <c r="GD932" s="35"/>
      <c r="GE932" s="35"/>
      <c r="GF932" s="35"/>
      <c r="GG932" s="35"/>
      <c r="GH932" s="35"/>
      <c r="GI932" s="35"/>
      <c r="GJ932" s="35"/>
      <c r="GK932" s="35"/>
      <c r="GL932" s="35"/>
      <c r="GM932" s="35"/>
      <c r="GN932" s="35"/>
      <c r="GO932" s="35"/>
      <c r="GP932" s="35"/>
      <c r="GQ932" s="35"/>
      <c r="GR932" s="35"/>
      <c r="GS932" s="35"/>
      <c r="GT932" s="35"/>
      <c r="GU932" s="35"/>
      <c r="GV932" s="35"/>
      <c r="GW932" s="35"/>
      <c r="GX932" s="35"/>
      <c r="GY932" s="35"/>
      <c r="GZ932" s="35"/>
      <c r="HA932" s="35"/>
      <c r="HB932" s="35"/>
      <c r="HC932" s="35"/>
      <c r="HD932" s="35"/>
      <c r="HE932" s="35"/>
      <c r="HF932" s="35"/>
      <c r="HG932" s="35"/>
      <c r="HH932" s="35"/>
      <c r="HI932" s="35"/>
      <c r="HJ932" s="35"/>
      <c r="HK932" s="35"/>
      <c r="HL932" s="35"/>
      <c r="HM932" s="35"/>
      <c r="HN932" s="35"/>
      <c r="HO932" s="35"/>
      <c r="HP932" s="35"/>
      <c r="HQ932" s="35"/>
      <c r="HR932" s="35"/>
      <c r="HS932" s="35"/>
      <c r="HT932" s="35"/>
      <c r="HU932" s="35"/>
      <c r="HV932" s="35"/>
      <c r="HW932" s="35"/>
      <c r="HX932" s="35"/>
      <c r="HY932" s="35"/>
      <c r="HZ932" s="35"/>
      <c r="IA932" s="35"/>
      <c r="IB932" s="35"/>
      <c r="IC932" s="35"/>
      <c r="ID932" s="35"/>
      <c r="IE932" s="35"/>
      <c r="IF932" s="35"/>
      <c r="IG932" s="35"/>
      <c r="IH932" s="35"/>
      <c r="II932" s="35"/>
      <c r="IJ932" s="35"/>
      <c r="IK932" s="35"/>
      <c r="IL932" s="35"/>
      <c r="IM932" s="35"/>
      <c r="IN932" s="35"/>
      <c r="IO932" s="35"/>
      <c r="IP932" s="35"/>
      <c r="IQ932" s="35"/>
      <c r="IR932" s="35"/>
      <c r="IS932" s="35"/>
      <c r="IT932" s="35"/>
      <c r="IU932" s="35"/>
      <c r="IV932" s="35"/>
      <c r="IW932" s="35"/>
      <c r="IX932" s="35"/>
      <c r="IY932" s="35"/>
      <c r="IZ932" s="35"/>
      <c r="JA932" s="35"/>
      <c r="JB932" s="35"/>
      <c r="JC932" s="35"/>
      <c r="JD932" s="35"/>
      <c r="JE932" s="35"/>
    </row>
    <row r="933">
      <c r="A933" s="42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  <c r="AZ933" s="35"/>
      <c r="BA933" s="35"/>
      <c r="BB933" s="35"/>
      <c r="BC933" s="35"/>
      <c r="BD933" s="35"/>
      <c r="BE933" s="35"/>
      <c r="BF933" s="35"/>
      <c r="BG933" s="35"/>
      <c r="BH933" s="35"/>
      <c r="BI933" s="35"/>
      <c r="BJ933" s="35"/>
      <c r="BK933" s="35"/>
      <c r="BL933" s="35"/>
      <c r="BM933" s="35"/>
      <c r="BN933" s="35"/>
      <c r="BO933" s="35"/>
      <c r="BP933" s="35"/>
      <c r="BQ933" s="35"/>
      <c r="BR933" s="35"/>
      <c r="BS933" s="35"/>
      <c r="BT933" s="35"/>
      <c r="BU933" s="35"/>
      <c r="BV933" s="35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35"/>
      <c r="CO933" s="35"/>
      <c r="CP933" s="35"/>
      <c r="CQ933" s="35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35"/>
      <c r="DJ933" s="35"/>
      <c r="DK933" s="35"/>
      <c r="DL933" s="35"/>
      <c r="DM933" s="35"/>
      <c r="DN933" s="35"/>
      <c r="DO933" s="35"/>
      <c r="DP933" s="35"/>
      <c r="DQ933" s="35"/>
      <c r="DR933" s="35"/>
      <c r="DS933" s="35"/>
      <c r="DT933" s="35"/>
      <c r="DU933" s="35"/>
      <c r="DV933" s="35"/>
      <c r="DW933" s="35"/>
      <c r="DX933" s="35"/>
      <c r="DY933" s="35"/>
      <c r="DZ933" s="35"/>
      <c r="EA933" s="35"/>
      <c r="EB933" s="35"/>
      <c r="EC933" s="35"/>
      <c r="ED933" s="35"/>
      <c r="EE933" s="35"/>
      <c r="EF933" s="35"/>
      <c r="EG933" s="35"/>
      <c r="EH933" s="35"/>
      <c r="EI933" s="35"/>
      <c r="EJ933" s="35"/>
      <c r="EK933" s="35"/>
      <c r="EL933" s="35"/>
      <c r="EM933" s="35"/>
      <c r="EN933" s="35"/>
      <c r="EO933" s="35"/>
      <c r="EP933" s="35"/>
      <c r="EQ933" s="35"/>
      <c r="ER933" s="35"/>
      <c r="ES933" s="35"/>
      <c r="ET933" s="35"/>
      <c r="EU933" s="35"/>
      <c r="EV933" s="35"/>
      <c r="EW933" s="35"/>
      <c r="EX933" s="35"/>
      <c r="EY933" s="35"/>
      <c r="EZ933" s="35"/>
      <c r="FA933" s="35"/>
      <c r="FB933" s="35"/>
      <c r="FC933" s="35"/>
      <c r="FD933" s="35"/>
      <c r="FE933" s="35"/>
      <c r="FF933" s="35"/>
      <c r="FG933" s="35"/>
      <c r="FH933" s="35"/>
      <c r="FI933" s="35"/>
      <c r="FJ933" s="35"/>
      <c r="FK933" s="35"/>
      <c r="FL933" s="35"/>
      <c r="FM933" s="35"/>
      <c r="FN933" s="35"/>
      <c r="FO933" s="35"/>
      <c r="FP933" s="35"/>
      <c r="FQ933" s="35"/>
      <c r="FR933" s="35"/>
      <c r="FS933" s="35"/>
      <c r="FT933" s="35"/>
      <c r="FU933" s="35"/>
      <c r="FV933" s="35"/>
      <c r="FW933" s="35"/>
      <c r="FX933" s="35"/>
      <c r="FY933" s="35"/>
      <c r="FZ933" s="35"/>
      <c r="GA933" s="35"/>
      <c r="GB933" s="35"/>
      <c r="GC933" s="35"/>
      <c r="GD933" s="35"/>
      <c r="GE933" s="35"/>
      <c r="GF933" s="35"/>
      <c r="GG933" s="35"/>
      <c r="GH933" s="35"/>
      <c r="GI933" s="35"/>
      <c r="GJ933" s="35"/>
      <c r="GK933" s="35"/>
      <c r="GL933" s="35"/>
      <c r="GM933" s="35"/>
      <c r="GN933" s="35"/>
      <c r="GO933" s="35"/>
      <c r="GP933" s="35"/>
      <c r="GQ933" s="35"/>
      <c r="GR933" s="35"/>
      <c r="GS933" s="35"/>
      <c r="GT933" s="35"/>
      <c r="GU933" s="35"/>
      <c r="GV933" s="35"/>
      <c r="GW933" s="35"/>
      <c r="GX933" s="35"/>
      <c r="GY933" s="35"/>
      <c r="GZ933" s="35"/>
      <c r="HA933" s="35"/>
      <c r="HB933" s="35"/>
      <c r="HC933" s="35"/>
      <c r="HD933" s="35"/>
      <c r="HE933" s="35"/>
      <c r="HF933" s="35"/>
      <c r="HG933" s="35"/>
      <c r="HH933" s="35"/>
      <c r="HI933" s="35"/>
      <c r="HJ933" s="35"/>
      <c r="HK933" s="35"/>
      <c r="HL933" s="35"/>
      <c r="HM933" s="35"/>
      <c r="HN933" s="35"/>
      <c r="HO933" s="35"/>
      <c r="HP933" s="35"/>
      <c r="HQ933" s="35"/>
      <c r="HR933" s="35"/>
      <c r="HS933" s="35"/>
      <c r="HT933" s="35"/>
      <c r="HU933" s="35"/>
      <c r="HV933" s="35"/>
      <c r="HW933" s="35"/>
      <c r="HX933" s="35"/>
      <c r="HY933" s="35"/>
      <c r="HZ933" s="35"/>
      <c r="IA933" s="35"/>
      <c r="IB933" s="35"/>
      <c r="IC933" s="35"/>
      <c r="ID933" s="35"/>
      <c r="IE933" s="35"/>
      <c r="IF933" s="35"/>
      <c r="IG933" s="35"/>
      <c r="IH933" s="35"/>
      <c r="II933" s="35"/>
      <c r="IJ933" s="35"/>
      <c r="IK933" s="35"/>
      <c r="IL933" s="35"/>
      <c r="IM933" s="35"/>
      <c r="IN933" s="35"/>
      <c r="IO933" s="35"/>
      <c r="IP933" s="35"/>
      <c r="IQ933" s="35"/>
      <c r="IR933" s="35"/>
      <c r="IS933" s="35"/>
      <c r="IT933" s="35"/>
      <c r="IU933" s="35"/>
      <c r="IV933" s="35"/>
      <c r="IW933" s="35"/>
      <c r="IX933" s="35"/>
      <c r="IY933" s="35"/>
      <c r="IZ933" s="35"/>
      <c r="JA933" s="35"/>
      <c r="JB933" s="35"/>
      <c r="JC933" s="35"/>
      <c r="JD933" s="35"/>
      <c r="JE933" s="35"/>
    </row>
    <row r="934">
      <c r="A934" s="42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  <c r="AZ934" s="35"/>
      <c r="BA934" s="35"/>
      <c r="BB934" s="35"/>
      <c r="BC934" s="35"/>
      <c r="BD934" s="35"/>
      <c r="BE934" s="35"/>
      <c r="BF934" s="35"/>
      <c r="BG934" s="35"/>
      <c r="BH934" s="35"/>
      <c r="BI934" s="35"/>
      <c r="BJ934" s="35"/>
      <c r="BK934" s="35"/>
      <c r="BL934" s="35"/>
      <c r="BM934" s="35"/>
      <c r="BN934" s="35"/>
      <c r="BO934" s="35"/>
      <c r="BP934" s="35"/>
      <c r="BQ934" s="35"/>
      <c r="BR934" s="35"/>
      <c r="BS934" s="35"/>
      <c r="BT934" s="35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35"/>
      <c r="CO934" s="35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35"/>
      <c r="DJ934" s="35"/>
      <c r="DK934" s="35"/>
      <c r="DL934" s="35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35"/>
      <c r="EE934" s="35"/>
      <c r="EF934" s="35"/>
      <c r="EG934" s="35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  <c r="ER934" s="35"/>
      <c r="ES934" s="35"/>
      <c r="ET934" s="35"/>
      <c r="EU934" s="35"/>
      <c r="EV934" s="35"/>
      <c r="EW934" s="35"/>
      <c r="EX934" s="35"/>
      <c r="EY934" s="35"/>
      <c r="EZ934" s="35"/>
      <c r="FA934" s="35"/>
      <c r="FB934" s="35"/>
      <c r="FC934" s="35"/>
      <c r="FD934" s="35"/>
      <c r="FE934" s="35"/>
      <c r="FF934" s="35"/>
      <c r="FG934" s="35"/>
      <c r="FH934" s="35"/>
      <c r="FI934" s="35"/>
      <c r="FJ934" s="35"/>
      <c r="FK934" s="35"/>
      <c r="FL934" s="35"/>
      <c r="FM934" s="35"/>
      <c r="FN934" s="35"/>
      <c r="FO934" s="35"/>
      <c r="FP934" s="35"/>
      <c r="FQ934" s="35"/>
      <c r="FR934" s="35"/>
      <c r="FS934" s="35"/>
      <c r="FT934" s="35"/>
      <c r="FU934" s="35"/>
      <c r="FV934" s="35"/>
      <c r="FW934" s="35"/>
      <c r="FX934" s="35"/>
      <c r="FY934" s="35"/>
      <c r="FZ934" s="35"/>
      <c r="GA934" s="35"/>
      <c r="GB934" s="35"/>
      <c r="GC934" s="35"/>
      <c r="GD934" s="35"/>
      <c r="GE934" s="35"/>
      <c r="GF934" s="35"/>
      <c r="GG934" s="35"/>
      <c r="GH934" s="35"/>
      <c r="GI934" s="35"/>
      <c r="GJ934" s="35"/>
      <c r="GK934" s="35"/>
      <c r="GL934" s="35"/>
      <c r="GM934" s="35"/>
      <c r="GN934" s="35"/>
      <c r="GO934" s="35"/>
      <c r="GP934" s="35"/>
      <c r="GQ934" s="35"/>
      <c r="GR934" s="35"/>
      <c r="GS934" s="35"/>
      <c r="GT934" s="35"/>
      <c r="GU934" s="35"/>
      <c r="GV934" s="35"/>
      <c r="GW934" s="35"/>
      <c r="GX934" s="35"/>
      <c r="GY934" s="35"/>
      <c r="GZ934" s="35"/>
      <c r="HA934" s="35"/>
      <c r="HB934" s="35"/>
      <c r="HC934" s="35"/>
      <c r="HD934" s="35"/>
      <c r="HE934" s="35"/>
      <c r="HF934" s="35"/>
      <c r="HG934" s="35"/>
      <c r="HH934" s="35"/>
      <c r="HI934" s="35"/>
      <c r="HJ934" s="35"/>
      <c r="HK934" s="35"/>
      <c r="HL934" s="35"/>
      <c r="HM934" s="35"/>
      <c r="HN934" s="35"/>
      <c r="HO934" s="35"/>
      <c r="HP934" s="35"/>
      <c r="HQ934" s="35"/>
      <c r="HR934" s="35"/>
      <c r="HS934" s="35"/>
      <c r="HT934" s="35"/>
      <c r="HU934" s="35"/>
      <c r="HV934" s="35"/>
      <c r="HW934" s="35"/>
      <c r="HX934" s="35"/>
      <c r="HY934" s="35"/>
      <c r="HZ934" s="35"/>
      <c r="IA934" s="35"/>
      <c r="IB934" s="35"/>
      <c r="IC934" s="35"/>
      <c r="ID934" s="35"/>
      <c r="IE934" s="35"/>
      <c r="IF934" s="35"/>
      <c r="IG934" s="35"/>
      <c r="IH934" s="35"/>
      <c r="II934" s="35"/>
      <c r="IJ934" s="35"/>
      <c r="IK934" s="35"/>
      <c r="IL934" s="35"/>
      <c r="IM934" s="35"/>
      <c r="IN934" s="35"/>
      <c r="IO934" s="35"/>
      <c r="IP934" s="35"/>
      <c r="IQ934" s="35"/>
      <c r="IR934" s="35"/>
      <c r="IS934" s="35"/>
      <c r="IT934" s="35"/>
      <c r="IU934" s="35"/>
      <c r="IV934" s="35"/>
      <c r="IW934" s="35"/>
      <c r="IX934" s="35"/>
      <c r="IY934" s="35"/>
      <c r="IZ934" s="35"/>
      <c r="JA934" s="35"/>
      <c r="JB934" s="35"/>
      <c r="JC934" s="35"/>
      <c r="JD934" s="35"/>
      <c r="JE934" s="35"/>
    </row>
    <row r="935">
      <c r="A935" s="42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35"/>
      <c r="BA935" s="35"/>
      <c r="BB935" s="35"/>
      <c r="BC935" s="35"/>
      <c r="BD935" s="35"/>
      <c r="BE935" s="35"/>
      <c r="BF935" s="35"/>
      <c r="BG935" s="35"/>
      <c r="BH935" s="35"/>
      <c r="BI935" s="35"/>
      <c r="BJ935" s="35"/>
      <c r="BK935" s="35"/>
      <c r="BL935" s="35"/>
      <c r="BM935" s="35"/>
      <c r="BN935" s="35"/>
      <c r="BO935" s="35"/>
      <c r="BP935" s="35"/>
      <c r="BQ935" s="35"/>
      <c r="BR935" s="35"/>
      <c r="BS935" s="35"/>
      <c r="BT935" s="35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35"/>
      <c r="CO935" s="35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35"/>
      <c r="DJ935" s="35"/>
      <c r="DK935" s="35"/>
      <c r="DL935" s="35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35"/>
      <c r="EE935" s="35"/>
      <c r="EF935" s="35"/>
      <c r="EG935" s="35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  <c r="ER935" s="35"/>
      <c r="ES935" s="35"/>
      <c r="ET935" s="35"/>
      <c r="EU935" s="35"/>
      <c r="EV935" s="35"/>
      <c r="EW935" s="35"/>
      <c r="EX935" s="35"/>
      <c r="EY935" s="35"/>
      <c r="EZ935" s="35"/>
      <c r="FA935" s="35"/>
      <c r="FB935" s="35"/>
      <c r="FC935" s="35"/>
      <c r="FD935" s="35"/>
      <c r="FE935" s="35"/>
      <c r="FF935" s="35"/>
      <c r="FG935" s="35"/>
      <c r="FH935" s="35"/>
      <c r="FI935" s="35"/>
      <c r="FJ935" s="35"/>
      <c r="FK935" s="35"/>
      <c r="FL935" s="35"/>
      <c r="FM935" s="35"/>
      <c r="FN935" s="35"/>
      <c r="FO935" s="35"/>
      <c r="FP935" s="35"/>
      <c r="FQ935" s="35"/>
      <c r="FR935" s="35"/>
      <c r="FS935" s="35"/>
      <c r="FT935" s="35"/>
      <c r="FU935" s="35"/>
      <c r="FV935" s="35"/>
      <c r="FW935" s="35"/>
      <c r="FX935" s="35"/>
      <c r="FY935" s="35"/>
      <c r="FZ935" s="35"/>
      <c r="GA935" s="35"/>
      <c r="GB935" s="35"/>
      <c r="GC935" s="35"/>
      <c r="GD935" s="35"/>
      <c r="GE935" s="35"/>
      <c r="GF935" s="35"/>
      <c r="GG935" s="35"/>
      <c r="GH935" s="35"/>
      <c r="GI935" s="35"/>
      <c r="GJ935" s="35"/>
      <c r="GK935" s="35"/>
      <c r="GL935" s="35"/>
      <c r="GM935" s="35"/>
      <c r="GN935" s="35"/>
      <c r="GO935" s="35"/>
      <c r="GP935" s="35"/>
      <c r="GQ935" s="35"/>
      <c r="GR935" s="35"/>
      <c r="GS935" s="35"/>
      <c r="GT935" s="35"/>
      <c r="GU935" s="35"/>
      <c r="GV935" s="35"/>
      <c r="GW935" s="35"/>
      <c r="GX935" s="35"/>
      <c r="GY935" s="35"/>
      <c r="GZ935" s="35"/>
      <c r="HA935" s="35"/>
      <c r="HB935" s="35"/>
      <c r="HC935" s="35"/>
      <c r="HD935" s="35"/>
      <c r="HE935" s="35"/>
      <c r="HF935" s="35"/>
      <c r="HG935" s="35"/>
      <c r="HH935" s="35"/>
      <c r="HI935" s="35"/>
      <c r="HJ935" s="35"/>
      <c r="HK935" s="35"/>
      <c r="HL935" s="35"/>
      <c r="HM935" s="35"/>
      <c r="HN935" s="35"/>
      <c r="HO935" s="35"/>
      <c r="HP935" s="35"/>
      <c r="HQ935" s="35"/>
      <c r="HR935" s="35"/>
      <c r="HS935" s="35"/>
      <c r="HT935" s="35"/>
      <c r="HU935" s="35"/>
      <c r="HV935" s="35"/>
      <c r="HW935" s="35"/>
      <c r="HX935" s="35"/>
      <c r="HY935" s="35"/>
      <c r="HZ935" s="35"/>
      <c r="IA935" s="35"/>
      <c r="IB935" s="35"/>
      <c r="IC935" s="35"/>
      <c r="ID935" s="35"/>
      <c r="IE935" s="35"/>
      <c r="IF935" s="35"/>
      <c r="IG935" s="35"/>
      <c r="IH935" s="35"/>
      <c r="II935" s="35"/>
      <c r="IJ935" s="35"/>
      <c r="IK935" s="35"/>
      <c r="IL935" s="35"/>
      <c r="IM935" s="35"/>
      <c r="IN935" s="35"/>
      <c r="IO935" s="35"/>
      <c r="IP935" s="35"/>
      <c r="IQ935" s="35"/>
      <c r="IR935" s="35"/>
      <c r="IS935" s="35"/>
      <c r="IT935" s="35"/>
      <c r="IU935" s="35"/>
      <c r="IV935" s="35"/>
      <c r="IW935" s="35"/>
      <c r="IX935" s="35"/>
      <c r="IY935" s="35"/>
      <c r="IZ935" s="35"/>
      <c r="JA935" s="35"/>
      <c r="JB935" s="35"/>
      <c r="JC935" s="35"/>
      <c r="JD935" s="35"/>
      <c r="JE935" s="35"/>
    </row>
    <row r="936">
      <c r="A936" s="42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  <c r="AZ936" s="35"/>
      <c r="BA936" s="35"/>
      <c r="BB936" s="35"/>
      <c r="BC936" s="35"/>
      <c r="BD936" s="35"/>
      <c r="BE936" s="35"/>
      <c r="BF936" s="35"/>
      <c r="BG936" s="35"/>
      <c r="BH936" s="35"/>
      <c r="BI936" s="35"/>
      <c r="BJ936" s="35"/>
      <c r="BK936" s="35"/>
      <c r="BL936" s="35"/>
      <c r="BM936" s="35"/>
      <c r="BN936" s="35"/>
      <c r="BO936" s="35"/>
      <c r="BP936" s="35"/>
      <c r="BQ936" s="35"/>
      <c r="BR936" s="35"/>
      <c r="BS936" s="35"/>
      <c r="BT936" s="35"/>
      <c r="BU936" s="35"/>
      <c r="BV936" s="35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35"/>
      <c r="CO936" s="35"/>
      <c r="CP936" s="35"/>
      <c r="CQ936" s="35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35"/>
      <c r="DJ936" s="35"/>
      <c r="DK936" s="35"/>
      <c r="DL936" s="35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35"/>
      <c r="EE936" s="35"/>
      <c r="EF936" s="35"/>
      <c r="EG936" s="35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  <c r="ER936" s="35"/>
      <c r="ES936" s="35"/>
      <c r="ET936" s="35"/>
      <c r="EU936" s="35"/>
      <c r="EV936" s="35"/>
      <c r="EW936" s="35"/>
      <c r="EX936" s="35"/>
      <c r="EY936" s="35"/>
      <c r="EZ936" s="35"/>
      <c r="FA936" s="35"/>
      <c r="FB936" s="35"/>
      <c r="FC936" s="35"/>
      <c r="FD936" s="35"/>
      <c r="FE936" s="35"/>
      <c r="FF936" s="35"/>
      <c r="FG936" s="35"/>
      <c r="FH936" s="35"/>
      <c r="FI936" s="35"/>
      <c r="FJ936" s="35"/>
      <c r="FK936" s="35"/>
      <c r="FL936" s="35"/>
      <c r="FM936" s="35"/>
      <c r="FN936" s="35"/>
      <c r="FO936" s="35"/>
      <c r="FP936" s="35"/>
      <c r="FQ936" s="35"/>
      <c r="FR936" s="35"/>
      <c r="FS936" s="35"/>
      <c r="FT936" s="35"/>
      <c r="FU936" s="35"/>
      <c r="FV936" s="35"/>
      <c r="FW936" s="35"/>
      <c r="FX936" s="35"/>
      <c r="FY936" s="35"/>
      <c r="FZ936" s="35"/>
      <c r="GA936" s="35"/>
      <c r="GB936" s="35"/>
      <c r="GC936" s="35"/>
      <c r="GD936" s="35"/>
      <c r="GE936" s="35"/>
      <c r="GF936" s="35"/>
      <c r="GG936" s="35"/>
      <c r="GH936" s="35"/>
      <c r="GI936" s="35"/>
      <c r="GJ936" s="35"/>
      <c r="GK936" s="35"/>
      <c r="GL936" s="35"/>
      <c r="GM936" s="35"/>
      <c r="GN936" s="35"/>
      <c r="GO936" s="35"/>
      <c r="GP936" s="35"/>
      <c r="GQ936" s="35"/>
      <c r="GR936" s="35"/>
      <c r="GS936" s="35"/>
      <c r="GT936" s="35"/>
      <c r="GU936" s="35"/>
      <c r="GV936" s="35"/>
      <c r="GW936" s="35"/>
      <c r="GX936" s="35"/>
      <c r="GY936" s="35"/>
      <c r="GZ936" s="35"/>
      <c r="HA936" s="35"/>
      <c r="HB936" s="35"/>
      <c r="HC936" s="35"/>
      <c r="HD936" s="35"/>
      <c r="HE936" s="35"/>
      <c r="HF936" s="35"/>
      <c r="HG936" s="35"/>
      <c r="HH936" s="35"/>
      <c r="HI936" s="35"/>
      <c r="HJ936" s="35"/>
      <c r="HK936" s="35"/>
      <c r="HL936" s="35"/>
      <c r="HM936" s="35"/>
      <c r="HN936" s="35"/>
      <c r="HO936" s="35"/>
      <c r="HP936" s="35"/>
      <c r="HQ936" s="35"/>
      <c r="HR936" s="35"/>
      <c r="HS936" s="35"/>
      <c r="HT936" s="35"/>
      <c r="HU936" s="35"/>
      <c r="HV936" s="35"/>
      <c r="HW936" s="35"/>
      <c r="HX936" s="35"/>
      <c r="HY936" s="35"/>
      <c r="HZ936" s="35"/>
      <c r="IA936" s="35"/>
      <c r="IB936" s="35"/>
      <c r="IC936" s="35"/>
      <c r="ID936" s="35"/>
      <c r="IE936" s="35"/>
      <c r="IF936" s="35"/>
      <c r="IG936" s="35"/>
      <c r="IH936" s="35"/>
      <c r="II936" s="35"/>
      <c r="IJ936" s="35"/>
      <c r="IK936" s="35"/>
      <c r="IL936" s="35"/>
      <c r="IM936" s="35"/>
      <c r="IN936" s="35"/>
      <c r="IO936" s="35"/>
      <c r="IP936" s="35"/>
      <c r="IQ936" s="35"/>
      <c r="IR936" s="35"/>
      <c r="IS936" s="35"/>
      <c r="IT936" s="35"/>
      <c r="IU936" s="35"/>
      <c r="IV936" s="35"/>
      <c r="IW936" s="35"/>
      <c r="IX936" s="35"/>
      <c r="IY936" s="35"/>
      <c r="IZ936" s="35"/>
      <c r="JA936" s="35"/>
      <c r="JB936" s="35"/>
      <c r="JC936" s="35"/>
      <c r="JD936" s="35"/>
      <c r="JE936" s="35"/>
    </row>
    <row r="937">
      <c r="A937" s="42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35"/>
      <c r="BA937" s="35"/>
      <c r="BB937" s="35"/>
      <c r="BC937" s="35"/>
      <c r="BD937" s="35"/>
      <c r="BE937" s="35"/>
      <c r="BF937" s="35"/>
      <c r="BG937" s="35"/>
      <c r="BH937" s="35"/>
      <c r="BI937" s="35"/>
      <c r="BJ937" s="35"/>
      <c r="BK937" s="35"/>
      <c r="BL937" s="35"/>
      <c r="BM937" s="35"/>
      <c r="BN937" s="35"/>
      <c r="BO937" s="35"/>
      <c r="BP937" s="35"/>
      <c r="BQ937" s="35"/>
      <c r="BR937" s="35"/>
      <c r="BS937" s="35"/>
      <c r="BT937" s="35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35"/>
      <c r="CO937" s="35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35"/>
      <c r="DJ937" s="35"/>
      <c r="DK937" s="35"/>
      <c r="DL937" s="35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35"/>
      <c r="EE937" s="35"/>
      <c r="EF937" s="35"/>
      <c r="EG937" s="35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  <c r="ER937" s="35"/>
      <c r="ES937" s="35"/>
      <c r="ET937" s="35"/>
      <c r="EU937" s="35"/>
      <c r="EV937" s="35"/>
      <c r="EW937" s="35"/>
      <c r="EX937" s="35"/>
      <c r="EY937" s="35"/>
      <c r="EZ937" s="35"/>
      <c r="FA937" s="35"/>
      <c r="FB937" s="35"/>
      <c r="FC937" s="35"/>
      <c r="FD937" s="35"/>
      <c r="FE937" s="35"/>
      <c r="FF937" s="35"/>
      <c r="FG937" s="35"/>
      <c r="FH937" s="35"/>
      <c r="FI937" s="35"/>
      <c r="FJ937" s="35"/>
      <c r="FK937" s="35"/>
      <c r="FL937" s="35"/>
      <c r="FM937" s="35"/>
      <c r="FN937" s="35"/>
      <c r="FO937" s="35"/>
      <c r="FP937" s="35"/>
      <c r="FQ937" s="35"/>
      <c r="FR937" s="35"/>
      <c r="FS937" s="35"/>
      <c r="FT937" s="35"/>
      <c r="FU937" s="35"/>
      <c r="FV937" s="35"/>
      <c r="FW937" s="35"/>
      <c r="FX937" s="35"/>
      <c r="FY937" s="35"/>
      <c r="FZ937" s="35"/>
      <c r="GA937" s="35"/>
      <c r="GB937" s="35"/>
      <c r="GC937" s="35"/>
      <c r="GD937" s="35"/>
      <c r="GE937" s="35"/>
      <c r="GF937" s="35"/>
      <c r="GG937" s="35"/>
      <c r="GH937" s="35"/>
      <c r="GI937" s="35"/>
      <c r="GJ937" s="35"/>
      <c r="GK937" s="35"/>
      <c r="GL937" s="35"/>
      <c r="GM937" s="35"/>
      <c r="GN937" s="35"/>
      <c r="GO937" s="35"/>
      <c r="GP937" s="35"/>
      <c r="GQ937" s="35"/>
      <c r="GR937" s="35"/>
      <c r="GS937" s="35"/>
      <c r="GT937" s="35"/>
      <c r="GU937" s="35"/>
      <c r="GV937" s="35"/>
      <c r="GW937" s="35"/>
      <c r="GX937" s="35"/>
      <c r="GY937" s="35"/>
      <c r="GZ937" s="35"/>
      <c r="HA937" s="35"/>
      <c r="HB937" s="35"/>
      <c r="HC937" s="35"/>
      <c r="HD937" s="35"/>
      <c r="HE937" s="35"/>
      <c r="HF937" s="35"/>
      <c r="HG937" s="35"/>
      <c r="HH937" s="35"/>
      <c r="HI937" s="35"/>
      <c r="HJ937" s="35"/>
      <c r="HK937" s="35"/>
      <c r="HL937" s="35"/>
      <c r="HM937" s="35"/>
      <c r="HN937" s="35"/>
      <c r="HO937" s="35"/>
      <c r="HP937" s="35"/>
      <c r="HQ937" s="35"/>
      <c r="HR937" s="35"/>
      <c r="HS937" s="35"/>
      <c r="HT937" s="35"/>
      <c r="HU937" s="35"/>
      <c r="HV937" s="35"/>
      <c r="HW937" s="35"/>
      <c r="HX937" s="35"/>
      <c r="HY937" s="35"/>
      <c r="HZ937" s="35"/>
      <c r="IA937" s="35"/>
      <c r="IB937" s="35"/>
      <c r="IC937" s="35"/>
      <c r="ID937" s="35"/>
      <c r="IE937" s="35"/>
      <c r="IF937" s="35"/>
      <c r="IG937" s="35"/>
      <c r="IH937" s="35"/>
      <c r="II937" s="35"/>
      <c r="IJ937" s="35"/>
      <c r="IK937" s="35"/>
      <c r="IL937" s="35"/>
      <c r="IM937" s="35"/>
      <c r="IN937" s="35"/>
      <c r="IO937" s="35"/>
      <c r="IP937" s="35"/>
      <c r="IQ937" s="35"/>
      <c r="IR937" s="35"/>
      <c r="IS937" s="35"/>
      <c r="IT937" s="35"/>
      <c r="IU937" s="35"/>
      <c r="IV937" s="35"/>
      <c r="IW937" s="35"/>
      <c r="IX937" s="35"/>
      <c r="IY937" s="35"/>
      <c r="IZ937" s="35"/>
      <c r="JA937" s="35"/>
      <c r="JB937" s="35"/>
      <c r="JC937" s="35"/>
      <c r="JD937" s="35"/>
      <c r="JE937" s="35"/>
    </row>
    <row r="938">
      <c r="A938" s="42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  <c r="AZ938" s="35"/>
      <c r="BA938" s="35"/>
      <c r="BB938" s="35"/>
      <c r="BC938" s="35"/>
      <c r="BD938" s="35"/>
      <c r="BE938" s="35"/>
      <c r="BF938" s="35"/>
      <c r="BG938" s="35"/>
      <c r="BH938" s="35"/>
      <c r="BI938" s="35"/>
      <c r="BJ938" s="35"/>
      <c r="BK938" s="35"/>
      <c r="BL938" s="35"/>
      <c r="BM938" s="35"/>
      <c r="BN938" s="35"/>
      <c r="BO938" s="35"/>
      <c r="BP938" s="35"/>
      <c r="BQ938" s="35"/>
      <c r="BR938" s="35"/>
      <c r="BS938" s="35"/>
      <c r="BT938" s="35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35"/>
      <c r="CO938" s="35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35"/>
      <c r="DJ938" s="35"/>
      <c r="DK938" s="35"/>
      <c r="DL938" s="35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35"/>
      <c r="EE938" s="35"/>
      <c r="EF938" s="35"/>
      <c r="EG938" s="35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  <c r="ER938" s="35"/>
      <c r="ES938" s="35"/>
      <c r="ET938" s="35"/>
      <c r="EU938" s="35"/>
      <c r="EV938" s="35"/>
      <c r="EW938" s="35"/>
      <c r="EX938" s="35"/>
      <c r="EY938" s="35"/>
      <c r="EZ938" s="35"/>
      <c r="FA938" s="35"/>
      <c r="FB938" s="35"/>
      <c r="FC938" s="35"/>
      <c r="FD938" s="35"/>
      <c r="FE938" s="35"/>
      <c r="FF938" s="35"/>
      <c r="FG938" s="35"/>
      <c r="FH938" s="35"/>
      <c r="FI938" s="35"/>
      <c r="FJ938" s="35"/>
      <c r="FK938" s="35"/>
      <c r="FL938" s="35"/>
      <c r="FM938" s="35"/>
      <c r="FN938" s="35"/>
      <c r="FO938" s="35"/>
      <c r="FP938" s="35"/>
      <c r="FQ938" s="35"/>
      <c r="FR938" s="35"/>
      <c r="FS938" s="35"/>
      <c r="FT938" s="35"/>
      <c r="FU938" s="35"/>
      <c r="FV938" s="35"/>
      <c r="FW938" s="35"/>
      <c r="FX938" s="35"/>
      <c r="FY938" s="35"/>
      <c r="FZ938" s="35"/>
      <c r="GA938" s="35"/>
      <c r="GB938" s="35"/>
      <c r="GC938" s="35"/>
      <c r="GD938" s="35"/>
      <c r="GE938" s="35"/>
      <c r="GF938" s="35"/>
      <c r="GG938" s="35"/>
      <c r="GH938" s="35"/>
      <c r="GI938" s="35"/>
      <c r="GJ938" s="35"/>
      <c r="GK938" s="35"/>
      <c r="GL938" s="35"/>
      <c r="GM938" s="35"/>
      <c r="GN938" s="35"/>
      <c r="GO938" s="35"/>
      <c r="GP938" s="35"/>
      <c r="GQ938" s="35"/>
      <c r="GR938" s="35"/>
      <c r="GS938" s="35"/>
      <c r="GT938" s="35"/>
      <c r="GU938" s="35"/>
      <c r="GV938" s="35"/>
      <c r="GW938" s="35"/>
      <c r="GX938" s="35"/>
      <c r="GY938" s="35"/>
      <c r="GZ938" s="35"/>
      <c r="HA938" s="35"/>
      <c r="HB938" s="35"/>
      <c r="HC938" s="35"/>
      <c r="HD938" s="35"/>
      <c r="HE938" s="35"/>
      <c r="HF938" s="35"/>
      <c r="HG938" s="35"/>
      <c r="HH938" s="35"/>
      <c r="HI938" s="35"/>
      <c r="HJ938" s="35"/>
      <c r="HK938" s="35"/>
      <c r="HL938" s="35"/>
      <c r="HM938" s="35"/>
      <c r="HN938" s="35"/>
      <c r="HO938" s="35"/>
      <c r="HP938" s="35"/>
      <c r="HQ938" s="35"/>
      <c r="HR938" s="35"/>
      <c r="HS938" s="35"/>
      <c r="HT938" s="35"/>
      <c r="HU938" s="35"/>
      <c r="HV938" s="35"/>
      <c r="HW938" s="35"/>
      <c r="HX938" s="35"/>
      <c r="HY938" s="35"/>
      <c r="HZ938" s="35"/>
      <c r="IA938" s="35"/>
      <c r="IB938" s="35"/>
      <c r="IC938" s="35"/>
      <c r="ID938" s="35"/>
      <c r="IE938" s="35"/>
      <c r="IF938" s="35"/>
      <c r="IG938" s="35"/>
      <c r="IH938" s="35"/>
      <c r="II938" s="35"/>
      <c r="IJ938" s="35"/>
      <c r="IK938" s="35"/>
      <c r="IL938" s="35"/>
      <c r="IM938" s="35"/>
      <c r="IN938" s="35"/>
      <c r="IO938" s="35"/>
      <c r="IP938" s="35"/>
      <c r="IQ938" s="35"/>
      <c r="IR938" s="35"/>
      <c r="IS938" s="35"/>
      <c r="IT938" s="35"/>
      <c r="IU938" s="35"/>
      <c r="IV938" s="35"/>
      <c r="IW938" s="35"/>
      <c r="IX938" s="35"/>
      <c r="IY938" s="35"/>
      <c r="IZ938" s="35"/>
      <c r="JA938" s="35"/>
      <c r="JB938" s="35"/>
      <c r="JC938" s="35"/>
      <c r="JD938" s="35"/>
      <c r="JE938" s="35"/>
    </row>
    <row r="939">
      <c r="A939" s="42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35"/>
      <c r="BA939" s="35"/>
      <c r="BB939" s="35"/>
      <c r="BC939" s="35"/>
      <c r="BD939" s="35"/>
      <c r="BE939" s="35"/>
      <c r="BF939" s="35"/>
      <c r="BG939" s="35"/>
      <c r="BH939" s="35"/>
      <c r="BI939" s="35"/>
      <c r="BJ939" s="35"/>
      <c r="BK939" s="35"/>
      <c r="BL939" s="35"/>
      <c r="BM939" s="35"/>
      <c r="BN939" s="35"/>
      <c r="BO939" s="35"/>
      <c r="BP939" s="35"/>
      <c r="BQ939" s="35"/>
      <c r="BR939" s="35"/>
      <c r="BS939" s="35"/>
      <c r="BT939" s="35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35"/>
      <c r="CO939" s="35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35"/>
      <c r="DJ939" s="35"/>
      <c r="DK939" s="35"/>
      <c r="DL939" s="35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35"/>
      <c r="EE939" s="35"/>
      <c r="EF939" s="35"/>
      <c r="EG939" s="35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  <c r="ER939" s="35"/>
      <c r="ES939" s="35"/>
      <c r="ET939" s="35"/>
      <c r="EU939" s="35"/>
      <c r="EV939" s="35"/>
      <c r="EW939" s="35"/>
      <c r="EX939" s="35"/>
      <c r="EY939" s="35"/>
      <c r="EZ939" s="35"/>
      <c r="FA939" s="35"/>
      <c r="FB939" s="35"/>
      <c r="FC939" s="35"/>
      <c r="FD939" s="35"/>
      <c r="FE939" s="35"/>
      <c r="FF939" s="35"/>
      <c r="FG939" s="35"/>
      <c r="FH939" s="35"/>
      <c r="FI939" s="35"/>
      <c r="FJ939" s="35"/>
      <c r="FK939" s="35"/>
      <c r="FL939" s="35"/>
      <c r="FM939" s="35"/>
      <c r="FN939" s="35"/>
      <c r="FO939" s="35"/>
      <c r="FP939" s="35"/>
      <c r="FQ939" s="35"/>
      <c r="FR939" s="35"/>
      <c r="FS939" s="35"/>
      <c r="FT939" s="35"/>
      <c r="FU939" s="35"/>
      <c r="FV939" s="35"/>
      <c r="FW939" s="35"/>
      <c r="FX939" s="35"/>
      <c r="FY939" s="35"/>
      <c r="FZ939" s="35"/>
      <c r="GA939" s="35"/>
      <c r="GB939" s="35"/>
      <c r="GC939" s="35"/>
      <c r="GD939" s="35"/>
      <c r="GE939" s="35"/>
      <c r="GF939" s="35"/>
      <c r="GG939" s="35"/>
      <c r="GH939" s="35"/>
      <c r="GI939" s="35"/>
      <c r="GJ939" s="35"/>
      <c r="GK939" s="35"/>
      <c r="GL939" s="35"/>
      <c r="GM939" s="35"/>
      <c r="GN939" s="35"/>
      <c r="GO939" s="35"/>
      <c r="GP939" s="35"/>
      <c r="GQ939" s="35"/>
      <c r="GR939" s="35"/>
      <c r="GS939" s="35"/>
      <c r="GT939" s="35"/>
      <c r="GU939" s="35"/>
      <c r="GV939" s="35"/>
      <c r="GW939" s="35"/>
      <c r="GX939" s="35"/>
      <c r="GY939" s="35"/>
      <c r="GZ939" s="35"/>
      <c r="HA939" s="35"/>
      <c r="HB939" s="35"/>
      <c r="HC939" s="35"/>
      <c r="HD939" s="35"/>
      <c r="HE939" s="35"/>
      <c r="HF939" s="35"/>
      <c r="HG939" s="35"/>
      <c r="HH939" s="35"/>
      <c r="HI939" s="35"/>
      <c r="HJ939" s="35"/>
      <c r="HK939" s="35"/>
      <c r="HL939" s="35"/>
      <c r="HM939" s="35"/>
      <c r="HN939" s="35"/>
      <c r="HO939" s="35"/>
      <c r="HP939" s="35"/>
      <c r="HQ939" s="35"/>
      <c r="HR939" s="35"/>
      <c r="HS939" s="35"/>
      <c r="HT939" s="35"/>
      <c r="HU939" s="35"/>
      <c r="HV939" s="35"/>
      <c r="HW939" s="35"/>
      <c r="HX939" s="35"/>
      <c r="HY939" s="35"/>
      <c r="HZ939" s="35"/>
      <c r="IA939" s="35"/>
      <c r="IB939" s="35"/>
      <c r="IC939" s="35"/>
      <c r="ID939" s="35"/>
      <c r="IE939" s="35"/>
      <c r="IF939" s="35"/>
      <c r="IG939" s="35"/>
      <c r="IH939" s="35"/>
      <c r="II939" s="35"/>
      <c r="IJ939" s="35"/>
      <c r="IK939" s="35"/>
      <c r="IL939" s="35"/>
      <c r="IM939" s="35"/>
      <c r="IN939" s="35"/>
      <c r="IO939" s="35"/>
      <c r="IP939" s="35"/>
      <c r="IQ939" s="35"/>
      <c r="IR939" s="35"/>
      <c r="IS939" s="35"/>
      <c r="IT939" s="35"/>
      <c r="IU939" s="35"/>
      <c r="IV939" s="35"/>
      <c r="IW939" s="35"/>
      <c r="IX939" s="35"/>
      <c r="IY939" s="35"/>
      <c r="IZ939" s="35"/>
      <c r="JA939" s="35"/>
      <c r="JB939" s="35"/>
      <c r="JC939" s="35"/>
      <c r="JD939" s="35"/>
      <c r="JE939" s="35"/>
    </row>
    <row r="940">
      <c r="A940" s="42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  <c r="AZ940" s="35"/>
      <c r="BA940" s="35"/>
      <c r="BB940" s="35"/>
      <c r="BC940" s="35"/>
      <c r="BD940" s="35"/>
      <c r="BE940" s="35"/>
      <c r="BF940" s="35"/>
      <c r="BG940" s="35"/>
      <c r="BH940" s="35"/>
      <c r="BI940" s="35"/>
      <c r="BJ940" s="35"/>
      <c r="BK940" s="35"/>
      <c r="BL940" s="35"/>
      <c r="BM940" s="35"/>
      <c r="BN940" s="35"/>
      <c r="BO940" s="35"/>
      <c r="BP940" s="35"/>
      <c r="BQ940" s="35"/>
      <c r="BR940" s="35"/>
      <c r="BS940" s="35"/>
      <c r="BT940" s="35"/>
      <c r="BU940" s="35"/>
      <c r="BV940" s="35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35"/>
      <c r="CO940" s="35"/>
      <c r="CP940" s="35"/>
      <c r="CQ940" s="35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35"/>
      <c r="DJ940" s="35"/>
      <c r="DK940" s="35"/>
      <c r="DL940" s="35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35"/>
      <c r="EE940" s="35"/>
      <c r="EF940" s="35"/>
      <c r="EG940" s="35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  <c r="ER940" s="35"/>
      <c r="ES940" s="35"/>
      <c r="ET940" s="35"/>
      <c r="EU940" s="35"/>
      <c r="EV940" s="35"/>
      <c r="EW940" s="35"/>
      <c r="EX940" s="35"/>
      <c r="EY940" s="35"/>
      <c r="EZ940" s="35"/>
      <c r="FA940" s="35"/>
      <c r="FB940" s="35"/>
      <c r="FC940" s="35"/>
      <c r="FD940" s="35"/>
      <c r="FE940" s="35"/>
      <c r="FF940" s="35"/>
      <c r="FG940" s="35"/>
      <c r="FH940" s="35"/>
      <c r="FI940" s="35"/>
      <c r="FJ940" s="35"/>
      <c r="FK940" s="35"/>
      <c r="FL940" s="35"/>
      <c r="FM940" s="35"/>
      <c r="FN940" s="35"/>
      <c r="FO940" s="35"/>
      <c r="FP940" s="35"/>
      <c r="FQ940" s="35"/>
      <c r="FR940" s="35"/>
      <c r="FS940" s="35"/>
      <c r="FT940" s="35"/>
      <c r="FU940" s="35"/>
      <c r="FV940" s="35"/>
      <c r="FW940" s="35"/>
      <c r="FX940" s="35"/>
      <c r="FY940" s="35"/>
      <c r="FZ940" s="35"/>
      <c r="GA940" s="35"/>
      <c r="GB940" s="35"/>
      <c r="GC940" s="35"/>
      <c r="GD940" s="35"/>
      <c r="GE940" s="35"/>
      <c r="GF940" s="35"/>
      <c r="GG940" s="35"/>
      <c r="GH940" s="35"/>
      <c r="GI940" s="35"/>
      <c r="GJ940" s="35"/>
      <c r="GK940" s="35"/>
      <c r="GL940" s="35"/>
      <c r="GM940" s="35"/>
      <c r="GN940" s="35"/>
      <c r="GO940" s="35"/>
      <c r="GP940" s="35"/>
      <c r="GQ940" s="35"/>
      <c r="GR940" s="35"/>
      <c r="GS940" s="35"/>
      <c r="GT940" s="35"/>
      <c r="GU940" s="35"/>
      <c r="GV940" s="35"/>
      <c r="GW940" s="35"/>
      <c r="GX940" s="35"/>
      <c r="GY940" s="35"/>
      <c r="GZ940" s="35"/>
      <c r="HA940" s="35"/>
      <c r="HB940" s="35"/>
      <c r="HC940" s="35"/>
      <c r="HD940" s="35"/>
      <c r="HE940" s="35"/>
      <c r="HF940" s="35"/>
      <c r="HG940" s="35"/>
      <c r="HH940" s="35"/>
      <c r="HI940" s="35"/>
      <c r="HJ940" s="35"/>
      <c r="HK940" s="35"/>
      <c r="HL940" s="35"/>
      <c r="HM940" s="35"/>
      <c r="HN940" s="35"/>
      <c r="HO940" s="35"/>
      <c r="HP940" s="35"/>
      <c r="HQ940" s="35"/>
      <c r="HR940" s="35"/>
      <c r="HS940" s="35"/>
      <c r="HT940" s="35"/>
      <c r="HU940" s="35"/>
      <c r="HV940" s="35"/>
      <c r="HW940" s="35"/>
      <c r="HX940" s="35"/>
      <c r="HY940" s="35"/>
      <c r="HZ940" s="35"/>
      <c r="IA940" s="35"/>
      <c r="IB940" s="35"/>
      <c r="IC940" s="35"/>
      <c r="ID940" s="35"/>
      <c r="IE940" s="35"/>
      <c r="IF940" s="35"/>
      <c r="IG940" s="35"/>
      <c r="IH940" s="35"/>
      <c r="II940" s="35"/>
      <c r="IJ940" s="35"/>
      <c r="IK940" s="35"/>
      <c r="IL940" s="35"/>
      <c r="IM940" s="35"/>
      <c r="IN940" s="35"/>
      <c r="IO940" s="35"/>
      <c r="IP940" s="35"/>
      <c r="IQ940" s="35"/>
      <c r="IR940" s="35"/>
      <c r="IS940" s="35"/>
      <c r="IT940" s="35"/>
      <c r="IU940" s="35"/>
      <c r="IV940" s="35"/>
      <c r="IW940" s="35"/>
      <c r="IX940" s="35"/>
      <c r="IY940" s="35"/>
      <c r="IZ940" s="35"/>
      <c r="JA940" s="35"/>
      <c r="JB940" s="35"/>
      <c r="JC940" s="35"/>
      <c r="JD940" s="35"/>
      <c r="JE940" s="35"/>
    </row>
    <row r="941">
      <c r="A941" s="42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35"/>
      <c r="BA941" s="35"/>
      <c r="BB941" s="35"/>
      <c r="BC941" s="35"/>
      <c r="BD941" s="35"/>
      <c r="BE941" s="35"/>
      <c r="BF941" s="35"/>
      <c r="BG941" s="35"/>
      <c r="BH941" s="35"/>
      <c r="BI941" s="35"/>
      <c r="BJ941" s="35"/>
      <c r="BK941" s="35"/>
      <c r="BL941" s="35"/>
      <c r="BM941" s="35"/>
      <c r="BN941" s="35"/>
      <c r="BO941" s="35"/>
      <c r="BP941" s="35"/>
      <c r="BQ941" s="35"/>
      <c r="BR941" s="35"/>
      <c r="BS941" s="35"/>
      <c r="BT941" s="35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35"/>
      <c r="CO941" s="35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35"/>
      <c r="DJ941" s="35"/>
      <c r="DK941" s="35"/>
      <c r="DL941" s="35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35"/>
      <c r="EE941" s="35"/>
      <c r="EF941" s="35"/>
      <c r="EG941" s="35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35"/>
      <c r="EZ941" s="35"/>
      <c r="FA941" s="35"/>
      <c r="FB941" s="35"/>
      <c r="FC941" s="35"/>
      <c r="FD941" s="35"/>
      <c r="FE941" s="35"/>
      <c r="FF941" s="35"/>
      <c r="FG941" s="35"/>
      <c r="FH941" s="35"/>
      <c r="FI941" s="35"/>
      <c r="FJ941" s="35"/>
      <c r="FK941" s="35"/>
      <c r="FL941" s="35"/>
      <c r="FM941" s="35"/>
      <c r="FN941" s="35"/>
      <c r="FO941" s="35"/>
      <c r="FP941" s="35"/>
      <c r="FQ941" s="35"/>
      <c r="FR941" s="35"/>
      <c r="FS941" s="35"/>
      <c r="FT941" s="35"/>
      <c r="FU941" s="35"/>
      <c r="FV941" s="35"/>
      <c r="FW941" s="35"/>
      <c r="FX941" s="35"/>
      <c r="FY941" s="35"/>
      <c r="FZ941" s="35"/>
      <c r="GA941" s="35"/>
      <c r="GB941" s="35"/>
      <c r="GC941" s="35"/>
      <c r="GD941" s="35"/>
      <c r="GE941" s="35"/>
      <c r="GF941" s="35"/>
      <c r="GG941" s="35"/>
      <c r="GH941" s="35"/>
      <c r="GI941" s="35"/>
      <c r="GJ941" s="35"/>
      <c r="GK941" s="35"/>
      <c r="GL941" s="35"/>
      <c r="GM941" s="35"/>
      <c r="GN941" s="35"/>
      <c r="GO941" s="35"/>
      <c r="GP941" s="35"/>
      <c r="GQ941" s="35"/>
      <c r="GR941" s="35"/>
      <c r="GS941" s="35"/>
      <c r="GT941" s="35"/>
      <c r="GU941" s="35"/>
      <c r="GV941" s="35"/>
      <c r="GW941" s="35"/>
      <c r="GX941" s="35"/>
      <c r="GY941" s="35"/>
      <c r="GZ941" s="35"/>
      <c r="HA941" s="35"/>
      <c r="HB941" s="35"/>
      <c r="HC941" s="35"/>
      <c r="HD941" s="35"/>
      <c r="HE941" s="35"/>
      <c r="HF941" s="35"/>
      <c r="HG941" s="35"/>
      <c r="HH941" s="35"/>
      <c r="HI941" s="35"/>
      <c r="HJ941" s="35"/>
      <c r="HK941" s="35"/>
      <c r="HL941" s="35"/>
      <c r="HM941" s="35"/>
      <c r="HN941" s="35"/>
      <c r="HO941" s="35"/>
      <c r="HP941" s="35"/>
      <c r="HQ941" s="35"/>
      <c r="HR941" s="35"/>
      <c r="HS941" s="35"/>
      <c r="HT941" s="35"/>
      <c r="HU941" s="35"/>
      <c r="HV941" s="35"/>
      <c r="HW941" s="35"/>
      <c r="HX941" s="35"/>
      <c r="HY941" s="35"/>
      <c r="HZ941" s="35"/>
      <c r="IA941" s="35"/>
      <c r="IB941" s="35"/>
      <c r="IC941" s="35"/>
      <c r="ID941" s="35"/>
      <c r="IE941" s="35"/>
      <c r="IF941" s="35"/>
      <c r="IG941" s="35"/>
      <c r="IH941" s="35"/>
      <c r="II941" s="35"/>
      <c r="IJ941" s="35"/>
      <c r="IK941" s="35"/>
      <c r="IL941" s="35"/>
      <c r="IM941" s="35"/>
      <c r="IN941" s="35"/>
      <c r="IO941" s="35"/>
      <c r="IP941" s="35"/>
      <c r="IQ941" s="35"/>
      <c r="IR941" s="35"/>
      <c r="IS941" s="35"/>
      <c r="IT941" s="35"/>
      <c r="IU941" s="35"/>
      <c r="IV941" s="35"/>
      <c r="IW941" s="35"/>
      <c r="IX941" s="35"/>
      <c r="IY941" s="35"/>
      <c r="IZ941" s="35"/>
      <c r="JA941" s="35"/>
      <c r="JB941" s="35"/>
      <c r="JC941" s="35"/>
      <c r="JD941" s="35"/>
      <c r="JE941" s="35"/>
    </row>
    <row r="942">
      <c r="A942" s="42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35"/>
      <c r="BA942" s="35"/>
      <c r="BB942" s="35"/>
      <c r="BC942" s="35"/>
      <c r="BD942" s="35"/>
      <c r="BE942" s="35"/>
      <c r="BF942" s="35"/>
      <c r="BG942" s="35"/>
      <c r="BH942" s="35"/>
      <c r="BI942" s="35"/>
      <c r="BJ942" s="35"/>
      <c r="BK942" s="35"/>
      <c r="BL942" s="35"/>
      <c r="BM942" s="35"/>
      <c r="BN942" s="35"/>
      <c r="BO942" s="35"/>
      <c r="BP942" s="35"/>
      <c r="BQ942" s="35"/>
      <c r="BR942" s="35"/>
      <c r="BS942" s="35"/>
      <c r="BT942" s="35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35"/>
      <c r="CO942" s="35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35"/>
      <c r="DJ942" s="35"/>
      <c r="DK942" s="35"/>
      <c r="DL942" s="35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35"/>
      <c r="EE942" s="35"/>
      <c r="EF942" s="35"/>
      <c r="EG942" s="35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  <c r="ER942" s="35"/>
      <c r="ES942" s="35"/>
      <c r="ET942" s="35"/>
      <c r="EU942" s="35"/>
      <c r="EV942" s="35"/>
      <c r="EW942" s="35"/>
      <c r="EX942" s="35"/>
      <c r="EY942" s="35"/>
      <c r="EZ942" s="35"/>
      <c r="FA942" s="35"/>
      <c r="FB942" s="35"/>
      <c r="FC942" s="35"/>
      <c r="FD942" s="35"/>
      <c r="FE942" s="35"/>
      <c r="FF942" s="35"/>
      <c r="FG942" s="35"/>
      <c r="FH942" s="35"/>
      <c r="FI942" s="35"/>
      <c r="FJ942" s="35"/>
      <c r="FK942" s="35"/>
      <c r="FL942" s="35"/>
      <c r="FM942" s="35"/>
      <c r="FN942" s="35"/>
      <c r="FO942" s="35"/>
      <c r="FP942" s="35"/>
      <c r="FQ942" s="35"/>
      <c r="FR942" s="35"/>
      <c r="FS942" s="35"/>
      <c r="FT942" s="35"/>
      <c r="FU942" s="35"/>
      <c r="FV942" s="35"/>
      <c r="FW942" s="35"/>
      <c r="FX942" s="35"/>
      <c r="FY942" s="35"/>
      <c r="FZ942" s="35"/>
      <c r="GA942" s="35"/>
      <c r="GB942" s="35"/>
      <c r="GC942" s="35"/>
      <c r="GD942" s="35"/>
      <c r="GE942" s="35"/>
      <c r="GF942" s="35"/>
      <c r="GG942" s="35"/>
      <c r="GH942" s="35"/>
      <c r="GI942" s="35"/>
      <c r="GJ942" s="35"/>
      <c r="GK942" s="35"/>
      <c r="GL942" s="35"/>
      <c r="GM942" s="35"/>
      <c r="GN942" s="35"/>
      <c r="GO942" s="35"/>
      <c r="GP942" s="35"/>
      <c r="GQ942" s="35"/>
      <c r="GR942" s="35"/>
      <c r="GS942" s="35"/>
      <c r="GT942" s="35"/>
      <c r="GU942" s="35"/>
      <c r="GV942" s="35"/>
      <c r="GW942" s="35"/>
      <c r="GX942" s="35"/>
      <c r="GY942" s="35"/>
      <c r="GZ942" s="35"/>
      <c r="HA942" s="35"/>
      <c r="HB942" s="35"/>
      <c r="HC942" s="35"/>
      <c r="HD942" s="35"/>
      <c r="HE942" s="35"/>
      <c r="HF942" s="35"/>
      <c r="HG942" s="35"/>
      <c r="HH942" s="35"/>
      <c r="HI942" s="35"/>
      <c r="HJ942" s="35"/>
      <c r="HK942" s="35"/>
      <c r="HL942" s="35"/>
      <c r="HM942" s="35"/>
      <c r="HN942" s="35"/>
      <c r="HO942" s="35"/>
      <c r="HP942" s="35"/>
      <c r="HQ942" s="35"/>
      <c r="HR942" s="35"/>
      <c r="HS942" s="35"/>
      <c r="HT942" s="35"/>
      <c r="HU942" s="35"/>
      <c r="HV942" s="35"/>
      <c r="HW942" s="35"/>
      <c r="HX942" s="35"/>
      <c r="HY942" s="35"/>
      <c r="HZ942" s="35"/>
      <c r="IA942" s="35"/>
      <c r="IB942" s="35"/>
      <c r="IC942" s="35"/>
      <c r="ID942" s="35"/>
      <c r="IE942" s="35"/>
      <c r="IF942" s="35"/>
      <c r="IG942" s="35"/>
      <c r="IH942" s="35"/>
      <c r="II942" s="35"/>
      <c r="IJ942" s="35"/>
      <c r="IK942" s="35"/>
      <c r="IL942" s="35"/>
      <c r="IM942" s="35"/>
      <c r="IN942" s="35"/>
      <c r="IO942" s="35"/>
      <c r="IP942" s="35"/>
      <c r="IQ942" s="35"/>
      <c r="IR942" s="35"/>
      <c r="IS942" s="35"/>
      <c r="IT942" s="35"/>
      <c r="IU942" s="35"/>
      <c r="IV942" s="35"/>
      <c r="IW942" s="35"/>
      <c r="IX942" s="35"/>
      <c r="IY942" s="35"/>
      <c r="IZ942" s="35"/>
      <c r="JA942" s="35"/>
      <c r="JB942" s="35"/>
      <c r="JC942" s="35"/>
      <c r="JD942" s="35"/>
      <c r="JE942" s="35"/>
    </row>
    <row r="943">
      <c r="A943" s="42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  <c r="BA943" s="35"/>
      <c r="BB943" s="35"/>
      <c r="BC943" s="35"/>
      <c r="BD943" s="35"/>
      <c r="BE943" s="35"/>
      <c r="BF943" s="35"/>
      <c r="BG943" s="35"/>
      <c r="BH943" s="35"/>
      <c r="BI943" s="35"/>
      <c r="BJ943" s="35"/>
      <c r="BK943" s="35"/>
      <c r="BL943" s="35"/>
      <c r="BM943" s="35"/>
      <c r="BN943" s="35"/>
      <c r="BO943" s="35"/>
      <c r="BP943" s="35"/>
      <c r="BQ943" s="35"/>
      <c r="BR943" s="35"/>
      <c r="BS943" s="35"/>
      <c r="BT943" s="35"/>
      <c r="BU943" s="35"/>
      <c r="BV943" s="35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35"/>
      <c r="CO943" s="35"/>
      <c r="CP943" s="35"/>
      <c r="CQ943" s="35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35"/>
      <c r="DJ943" s="35"/>
      <c r="DK943" s="35"/>
      <c r="DL943" s="35"/>
      <c r="DM943" s="35"/>
      <c r="DN943" s="35"/>
      <c r="DO943" s="35"/>
      <c r="DP943" s="35"/>
      <c r="DQ943" s="35"/>
      <c r="DR943" s="35"/>
      <c r="DS943" s="35"/>
      <c r="DT943" s="35"/>
      <c r="DU943" s="35"/>
      <c r="DV943" s="35"/>
      <c r="DW943" s="35"/>
      <c r="DX943" s="35"/>
      <c r="DY943" s="35"/>
      <c r="DZ943" s="35"/>
      <c r="EA943" s="35"/>
      <c r="EB943" s="35"/>
      <c r="EC943" s="35"/>
      <c r="ED943" s="35"/>
      <c r="EE943" s="35"/>
      <c r="EF943" s="35"/>
      <c r="EG943" s="35"/>
      <c r="EH943" s="35"/>
      <c r="EI943" s="35"/>
      <c r="EJ943" s="35"/>
      <c r="EK943" s="35"/>
      <c r="EL943" s="35"/>
      <c r="EM943" s="35"/>
      <c r="EN943" s="35"/>
      <c r="EO943" s="35"/>
      <c r="EP943" s="35"/>
      <c r="EQ943" s="35"/>
      <c r="ER943" s="35"/>
      <c r="ES943" s="35"/>
      <c r="ET943" s="35"/>
      <c r="EU943" s="35"/>
      <c r="EV943" s="35"/>
      <c r="EW943" s="35"/>
      <c r="EX943" s="35"/>
      <c r="EY943" s="35"/>
      <c r="EZ943" s="35"/>
      <c r="FA943" s="35"/>
      <c r="FB943" s="35"/>
      <c r="FC943" s="35"/>
      <c r="FD943" s="35"/>
      <c r="FE943" s="35"/>
      <c r="FF943" s="35"/>
      <c r="FG943" s="35"/>
      <c r="FH943" s="35"/>
      <c r="FI943" s="35"/>
      <c r="FJ943" s="35"/>
      <c r="FK943" s="35"/>
      <c r="FL943" s="35"/>
      <c r="FM943" s="35"/>
      <c r="FN943" s="35"/>
      <c r="FO943" s="35"/>
      <c r="FP943" s="35"/>
      <c r="FQ943" s="35"/>
      <c r="FR943" s="35"/>
      <c r="FS943" s="35"/>
      <c r="FT943" s="35"/>
      <c r="FU943" s="35"/>
      <c r="FV943" s="35"/>
      <c r="FW943" s="35"/>
      <c r="FX943" s="35"/>
      <c r="FY943" s="35"/>
      <c r="FZ943" s="35"/>
      <c r="GA943" s="35"/>
      <c r="GB943" s="35"/>
      <c r="GC943" s="35"/>
      <c r="GD943" s="35"/>
      <c r="GE943" s="35"/>
      <c r="GF943" s="35"/>
      <c r="GG943" s="35"/>
      <c r="GH943" s="35"/>
      <c r="GI943" s="35"/>
      <c r="GJ943" s="35"/>
      <c r="GK943" s="35"/>
      <c r="GL943" s="35"/>
      <c r="GM943" s="35"/>
      <c r="GN943" s="35"/>
      <c r="GO943" s="35"/>
      <c r="GP943" s="35"/>
      <c r="GQ943" s="35"/>
      <c r="GR943" s="35"/>
      <c r="GS943" s="35"/>
      <c r="GT943" s="35"/>
      <c r="GU943" s="35"/>
      <c r="GV943" s="35"/>
      <c r="GW943" s="35"/>
      <c r="GX943" s="35"/>
      <c r="GY943" s="35"/>
      <c r="GZ943" s="35"/>
      <c r="HA943" s="35"/>
      <c r="HB943" s="35"/>
      <c r="HC943" s="35"/>
      <c r="HD943" s="35"/>
      <c r="HE943" s="35"/>
      <c r="HF943" s="35"/>
      <c r="HG943" s="35"/>
      <c r="HH943" s="35"/>
      <c r="HI943" s="35"/>
      <c r="HJ943" s="35"/>
      <c r="HK943" s="35"/>
      <c r="HL943" s="35"/>
      <c r="HM943" s="35"/>
      <c r="HN943" s="35"/>
      <c r="HO943" s="35"/>
      <c r="HP943" s="35"/>
      <c r="HQ943" s="35"/>
      <c r="HR943" s="35"/>
      <c r="HS943" s="35"/>
      <c r="HT943" s="35"/>
      <c r="HU943" s="35"/>
      <c r="HV943" s="35"/>
      <c r="HW943" s="35"/>
      <c r="HX943" s="35"/>
      <c r="HY943" s="35"/>
      <c r="HZ943" s="35"/>
      <c r="IA943" s="35"/>
      <c r="IB943" s="35"/>
      <c r="IC943" s="35"/>
      <c r="ID943" s="35"/>
      <c r="IE943" s="35"/>
      <c r="IF943" s="35"/>
      <c r="IG943" s="35"/>
      <c r="IH943" s="35"/>
      <c r="II943" s="35"/>
      <c r="IJ943" s="35"/>
      <c r="IK943" s="35"/>
      <c r="IL943" s="35"/>
      <c r="IM943" s="35"/>
      <c r="IN943" s="35"/>
      <c r="IO943" s="35"/>
      <c r="IP943" s="35"/>
      <c r="IQ943" s="35"/>
      <c r="IR943" s="35"/>
      <c r="IS943" s="35"/>
      <c r="IT943" s="35"/>
      <c r="IU943" s="35"/>
      <c r="IV943" s="35"/>
      <c r="IW943" s="35"/>
      <c r="IX943" s="35"/>
      <c r="IY943" s="35"/>
      <c r="IZ943" s="35"/>
      <c r="JA943" s="35"/>
      <c r="JB943" s="35"/>
      <c r="JC943" s="35"/>
      <c r="JD943" s="35"/>
      <c r="JE943" s="35"/>
    </row>
    <row r="944">
      <c r="A944" s="42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35"/>
      <c r="BA944" s="35"/>
      <c r="BB944" s="35"/>
      <c r="BC944" s="35"/>
      <c r="BD944" s="35"/>
      <c r="BE944" s="35"/>
      <c r="BF944" s="35"/>
      <c r="BG944" s="35"/>
      <c r="BH944" s="35"/>
      <c r="BI944" s="35"/>
      <c r="BJ944" s="35"/>
      <c r="BK944" s="35"/>
      <c r="BL944" s="35"/>
      <c r="BM944" s="35"/>
      <c r="BN944" s="35"/>
      <c r="BO944" s="35"/>
      <c r="BP944" s="35"/>
      <c r="BQ944" s="35"/>
      <c r="BR944" s="35"/>
      <c r="BS944" s="35"/>
      <c r="BT944" s="35"/>
      <c r="BU944" s="35"/>
      <c r="BV944" s="35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35"/>
      <c r="CO944" s="35"/>
      <c r="CP944" s="35"/>
      <c r="CQ944" s="35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35"/>
      <c r="DJ944" s="35"/>
      <c r="DK944" s="35"/>
      <c r="DL944" s="35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35"/>
      <c r="EE944" s="35"/>
      <c r="EF944" s="35"/>
      <c r="EG944" s="35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  <c r="ER944" s="35"/>
      <c r="ES944" s="35"/>
      <c r="ET944" s="35"/>
      <c r="EU944" s="35"/>
      <c r="EV944" s="35"/>
      <c r="EW944" s="35"/>
      <c r="EX944" s="35"/>
      <c r="EY944" s="35"/>
      <c r="EZ944" s="35"/>
      <c r="FA944" s="35"/>
      <c r="FB944" s="35"/>
      <c r="FC944" s="35"/>
      <c r="FD944" s="35"/>
      <c r="FE944" s="35"/>
      <c r="FF944" s="35"/>
      <c r="FG944" s="35"/>
      <c r="FH944" s="35"/>
      <c r="FI944" s="35"/>
      <c r="FJ944" s="35"/>
      <c r="FK944" s="35"/>
      <c r="FL944" s="35"/>
      <c r="FM944" s="35"/>
      <c r="FN944" s="35"/>
      <c r="FO944" s="35"/>
      <c r="FP944" s="35"/>
      <c r="FQ944" s="35"/>
      <c r="FR944" s="35"/>
      <c r="FS944" s="35"/>
      <c r="FT944" s="35"/>
      <c r="FU944" s="35"/>
      <c r="FV944" s="35"/>
      <c r="FW944" s="35"/>
      <c r="FX944" s="35"/>
      <c r="FY944" s="35"/>
      <c r="FZ944" s="35"/>
      <c r="GA944" s="35"/>
      <c r="GB944" s="35"/>
      <c r="GC944" s="35"/>
      <c r="GD944" s="35"/>
      <c r="GE944" s="35"/>
      <c r="GF944" s="35"/>
      <c r="GG944" s="35"/>
      <c r="GH944" s="35"/>
      <c r="GI944" s="35"/>
      <c r="GJ944" s="35"/>
      <c r="GK944" s="35"/>
      <c r="GL944" s="35"/>
      <c r="GM944" s="35"/>
      <c r="GN944" s="35"/>
      <c r="GO944" s="35"/>
      <c r="GP944" s="35"/>
      <c r="GQ944" s="35"/>
      <c r="GR944" s="35"/>
      <c r="GS944" s="35"/>
      <c r="GT944" s="35"/>
      <c r="GU944" s="35"/>
      <c r="GV944" s="35"/>
      <c r="GW944" s="35"/>
      <c r="GX944" s="35"/>
      <c r="GY944" s="35"/>
      <c r="GZ944" s="35"/>
      <c r="HA944" s="35"/>
      <c r="HB944" s="35"/>
      <c r="HC944" s="35"/>
      <c r="HD944" s="35"/>
      <c r="HE944" s="35"/>
      <c r="HF944" s="35"/>
      <c r="HG944" s="35"/>
      <c r="HH944" s="35"/>
      <c r="HI944" s="35"/>
      <c r="HJ944" s="35"/>
      <c r="HK944" s="35"/>
      <c r="HL944" s="35"/>
      <c r="HM944" s="35"/>
      <c r="HN944" s="35"/>
      <c r="HO944" s="35"/>
      <c r="HP944" s="35"/>
      <c r="HQ944" s="35"/>
      <c r="HR944" s="35"/>
      <c r="HS944" s="35"/>
      <c r="HT944" s="35"/>
      <c r="HU944" s="35"/>
      <c r="HV944" s="35"/>
      <c r="HW944" s="35"/>
      <c r="HX944" s="35"/>
      <c r="HY944" s="35"/>
      <c r="HZ944" s="35"/>
      <c r="IA944" s="35"/>
      <c r="IB944" s="35"/>
      <c r="IC944" s="35"/>
      <c r="ID944" s="35"/>
      <c r="IE944" s="35"/>
      <c r="IF944" s="35"/>
      <c r="IG944" s="35"/>
      <c r="IH944" s="35"/>
      <c r="II944" s="35"/>
      <c r="IJ944" s="35"/>
      <c r="IK944" s="35"/>
      <c r="IL944" s="35"/>
      <c r="IM944" s="35"/>
      <c r="IN944" s="35"/>
      <c r="IO944" s="35"/>
      <c r="IP944" s="35"/>
      <c r="IQ944" s="35"/>
      <c r="IR944" s="35"/>
      <c r="IS944" s="35"/>
      <c r="IT944" s="35"/>
      <c r="IU944" s="35"/>
      <c r="IV944" s="35"/>
      <c r="IW944" s="35"/>
      <c r="IX944" s="35"/>
      <c r="IY944" s="35"/>
      <c r="IZ944" s="35"/>
      <c r="JA944" s="35"/>
      <c r="JB944" s="35"/>
      <c r="JC944" s="35"/>
      <c r="JD944" s="35"/>
      <c r="JE944" s="35"/>
    </row>
    <row r="945">
      <c r="A945" s="42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  <c r="AZ945" s="35"/>
      <c r="BA945" s="35"/>
      <c r="BB945" s="35"/>
      <c r="BC945" s="35"/>
      <c r="BD945" s="35"/>
      <c r="BE945" s="35"/>
      <c r="BF945" s="35"/>
      <c r="BG945" s="35"/>
      <c r="BH945" s="35"/>
      <c r="BI945" s="35"/>
      <c r="BJ945" s="35"/>
      <c r="BK945" s="35"/>
      <c r="BL945" s="35"/>
      <c r="BM945" s="35"/>
      <c r="BN945" s="35"/>
      <c r="BO945" s="35"/>
      <c r="BP945" s="35"/>
      <c r="BQ945" s="35"/>
      <c r="BR945" s="35"/>
      <c r="BS945" s="35"/>
      <c r="BT945" s="35"/>
      <c r="BU945" s="35"/>
      <c r="BV945" s="35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35"/>
      <c r="CO945" s="35"/>
      <c r="CP945" s="35"/>
      <c r="CQ945" s="35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35"/>
      <c r="DJ945" s="35"/>
      <c r="DK945" s="35"/>
      <c r="DL945" s="35"/>
      <c r="DM945" s="35"/>
      <c r="DN945" s="35"/>
      <c r="DO945" s="35"/>
      <c r="DP945" s="35"/>
      <c r="DQ945" s="35"/>
      <c r="DR945" s="35"/>
      <c r="DS945" s="35"/>
      <c r="DT945" s="35"/>
      <c r="DU945" s="35"/>
      <c r="DV945" s="35"/>
      <c r="DW945" s="35"/>
      <c r="DX945" s="35"/>
      <c r="DY945" s="35"/>
      <c r="DZ945" s="35"/>
      <c r="EA945" s="35"/>
      <c r="EB945" s="35"/>
      <c r="EC945" s="35"/>
      <c r="ED945" s="35"/>
      <c r="EE945" s="35"/>
      <c r="EF945" s="35"/>
      <c r="EG945" s="35"/>
      <c r="EH945" s="35"/>
      <c r="EI945" s="35"/>
      <c r="EJ945" s="35"/>
      <c r="EK945" s="35"/>
      <c r="EL945" s="35"/>
      <c r="EM945" s="35"/>
      <c r="EN945" s="35"/>
      <c r="EO945" s="35"/>
      <c r="EP945" s="35"/>
      <c r="EQ945" s="35"/>
      <c r="ER945" s="35"/>
      <c r="ES945" s="35"/>
      <c r="ET945" s="35"/>
      <c r="EU945" s="35"/>
      <c r="EV945" s="35"/>
      <c r="EW945" s="35"/>
      <c r="EX945" s="35"/>
      <c r="EY945" s="35"/>
      <c r="EZ945" s="35"/>
      <c r="FA945" s="35"/>
      <c r="FB945" s="35"/>
      <c r="FC945" s="35"/>
      <c r="FD945" s="35"/>
      <c r="FE945" s="35"/>
      <c r="FF945" s="35"/>
      <c r="FG945" s="35"/>
      <c r="FH945" s="35"/>
      <c r="FI945" s="35"/>
      <c r="FJ945" s="35"/>
      <c r="FK945" s="35"/>
      <c r="FL945" s="35"/>
      <c r="FM945" s="35"/>
      <c r="FN945" s="35"/>
      <c r="FO945" s="35"/>
      <c r="FP945" s="35"/>
      <c r="FQ945" s="35"/>
      <c r="FR945" s="35"/>
      <c r="FS945" s="35"/>
      <c r="FT945" s="35"/>
      <c r="FU945" s="35"/>
      <c r="FV945" s="35"/>
      <c r="FW945" s="35"/>
      <c r="FX945" s="35"/>
      <c r="FY945" s="35"/>
      <c r="FZ945" s="35"/>
      <c r="GA945" s="35"/>
      <c r="GB945" s="35"/>
      <c r="GC945" s="35"/>
      <c r="GD945" s="35"/>
      <c r="GE945" s="35"/>
      <c r="GF945" s="35"/>
      <c r="GG945" s="35"/>
      <c r="GH945" s="35"/>
      <c r="GI945" s="35"/>
      <c r="GJ945" s="35"/>
      <c r="GK945" s="35"/>
      <c r="GL945" s="35"/>
      <c r="GM945" s="35"/>
      <c r="GN945" s="35"/>
      <c r="GO945" s="35"/>
      <c r="GP945" s="35"/>
      <c r="GQ945" s="35"/>
      <c r="GR945" s="35"/>
      <c r="GS945" s="35"/>
      <c r="GT945" s="35"/>
      <c r="GU945" s="35"/>
      <c r="GV945" s="35"/>
      <c r="GW945" s="35"/>
      <c r="GX945" s="35"/>
      <c r="GY945" s="35"/>
      <c r="GZ945" s="35"/>
      <c r="HA945" s="35"/>
      <c r="HB945" s="35"/>
      <c r="HC945" s="35"/>
      <c r="HD945" s="35"/>
      <c r="HE945" s="35"/>
      <c r="HF945" s="35"/>
      <c r="HG945" s="35"/>
      <c r="HH945" s="35"/>
      <c r="HI945" s="35"/>
      <c r="HJ945" s="35"/>
      <c r="HK945" s="35"/>
      <c r="HL945" s="35"/>
      <c r="HM945" s="35"/>
      <c r="HN945" s="35"/>
      <c r="HO945" s="35"/>
      <c r="HP945" s="35"/>
      <c r="HQ945" s="35"/>
      <c r="HR945" s="35"/>
      <c r="HS945" s="35"/>
      <c r="HT945" s="35"/>
      <c r="HU945" s="35"/>
      <c r="HV945" s="35"/>
      <c r="HW945" s="35"/>
      <c r="HX945" s="35"/>
      <c r="HY945" s="35"/>
      <c r="HZ945" s="35"/>
      <c r="IA945" s="35"/>
      <c r="IB945" s="35"/>
      <c r="IC945" s="35"/>
      <c r="ID945" s="35"/>
      <c r="IE945" s="35"/>
      <c r="IF945" s="35"/>
      <c r="IG945" s="35"/>
      <c r="IH945" s="35"/>
      <c r="II945" s="35"/>
      <c r="IJ945" s="35"/>
      <c r="IK945" s="35"/>
      <c r="IL945" s="35"/>
      <c r="IM945" s="35"/>
      <c r="IN945" s="35"/>
      <c r="IO945" s="35"/>
      <c r="IP945" s="35"/>
      <c r="IQ945" s="35"/>
      <c r="IR945" s="35"/>
      <c r="IS945" s="35"/>
      <c r="IT945" s="35"/>
      <c r="IU945" s="35"/>
      <c r="IV945" s="35"/>
      <c r="IW945" s="35"/>
      <c r="IX945" s="35"/>
      <c r="IY945" s="35"/>
      <c r="IZ945" s="35"/>
      <c r="JA945" s="35"/>
      <c r="JB945" s="35"/>
      <c r="JC945" s="35"/>
      <c r="JD945" s="35"/>
      <c r="JE945" s="35"/>
    </row>
    <row r="946">
      <c r="A946" s="42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  <c r="AZ946" s="35"/>
      <c r="BA946" s="35"/>
      <c r="BB946" s="35"/>
      <c r="BC946" s="35"/>
      <c r="BD946" s="35"/>
      <c r="BE946" s="35"/>
      <c r="BF946" s="35"/>
      <c r="BG946" s="35"/>
      <c r="BH946" s="35"/>
      <c r="BI946" s="35"/>
      <c r="BJ946" s="35"/>
      <c r="BK946" s="35"/>
      <c r="BL946" s="35"/>
      <c r="BM946" s="35"/>
      <c r="BN946" s="35"/>
      <c r="BO946" s="35"/>
      <c r="BP946" s="35"/>
      <c r="BQ946" s="35"/>
      <c r="BR946" s="35"/>
      <c r="BS946" s="35"/>
      <c r="BT946" s="35"/>
      <c r="BU946" s="35"/>
      <c r="BV946" s="35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35"/>
      <c r="CO946" s="35"/>
      <c r="CP946" s="35"/>
      <c r="CQ946" s="35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35"/>
      <c r="DJ946" s="35"/>
      <c r="DK946" s="35"/>
      <c r="DL946" s="35"/>
      <c r="DM946" s="35"/>
      <c r="DN946" s="35"/>
      <c r="DO946" s="35"/>
      <c r="DP946" s="35"/>
      <c r="DQ946" s="35"/>
      <c r="DR946" s="35"/>
      <c r="DS946" s="35"/>
      <c r="DT946" s="35"/>
      <c r="DU946" s="35"/>
      <c r="DV946" s="35"/>
      <c r="DW946" s="35"/>
      <c r="DX946" s="35"/>
      <c r="DY946" s="35"/>
      <c r="DZ946" s="35"/>
      <c r="EA946" s="35"/>
      <c r="EB946" s="35"/>
      <c r="EC946" s="35"/>
      <c r="ED946" s="35"/>
      <c r="EE946" s="35"/>
      <c r="EF946" s="35"/>
      <c r="EG946" s="35"/>
      <c r="EH946" s="35"/>
      <c r="EI946" s="35"/>
      <c r="EJ946" s="35"/>
      <c r="EK946" s="35"/>
      <c r="EL946" s="35"/>
      <c r="EM946" s="35"/>
      <c r="EN946" s="35"/>
      <c r="EO946" s="35"/>
      <c r="EP946" s="35"/>
      <c r="EQ946" s="35"/>
      <c r="ER946" s="35"/>
      <c r="ES946" s="35"/>
      <c r="ET946" s="35"/>
      <c r="EU946" s="35"/>
      <c r="EV946" s="35"/>
      <c r="EW946" s="35"/>
      <c r="EX946" s="35"/>
      <c r="EY946" s="35"/>
      <c r="EZ946" s="35"/>
      <c r="FA946" s="35"/>
      <c r="FB946" s="35"/>
      <c r="FC946" s="35"/>
      <c r="FD946" s="35"/>
      <c r="FE946" s="35"/>
      <c r="FF946" s="35"/>
      <c r="FG946" s="35"/>
      <c r="FH946" s="35"/>
      <c r="FI946" s="35"/>
      <c r="FJ946" s="35"/>
      <c r="FK946" s="35"/>
      <c r="FL946" s="35"/>
      <c r="FM946" s="35"/>
      <c r="FN946" s="35"/>
      <c r="FO946" s="35"/>
      <c r="FP946" s="35"/>
      <c r="FQ946" s="35"/>
      <c r="FR946" s="35"/>
      <c r="FS946" s="35"/>
      <c r="FT946" s="35"/>
      <c r="FU946" s="35"/>
      <c r="FV946" s="35"/>
      <c r="FW946" s="35"/>
      <c r="FX946" s="35"/>
      <c r="FY946" s="35"/>
      <c r="FZ946" s="35"/>
      <c r="GA946" s="35"/>
      <c r="GB946" s="35"/>
      <c r="GC946" s="35"/>
      <c r="GD946" s="35"/>
      <c r="GE946" s="35"/>
      <c r="GF946" s="35"/>
      <c r="GG946" s="35"/>
      <c r="GH946" s="35"/>
      <c r="GI946" s="35"/>
      <c r="GJ946" s="35"/>
      <c r="GK946" s="35"/>
      <c r="GL946" s="35"/>
      <c r="GM946" s="35"/>
      <c r="GN946" s="35"/>
      <c r="GO946" s="35"/>
      <c r="GP946" s="35"/>
      <c r="GQ946" s="35"/>
      <c r="GR946" s="35"/>
      <c r="GS946" s="35"/>
      <c r="GT946" s="35"/>
      <c r="GU946" s="35"/>
      <c r="GV946" s="35"/>
      <c r="GW946" s="35"/>
      <c r="GX946" s="35"/>
      <c r="GY946" s="35"/>
      <c r="GZ946" s="35"/>
      <c r="HA946" s="35"/>
      <c r="HB946" s="35"/>
      <c r="HC946" s="35"/>
      <c r="HD946" s="35"/>
      <c r="HE946" s="35"/>
      <c r="HF946" s="35"/>
      <c r="HG946" s="35"/>
      <c r="HH946" s="35"/>
      <c r="HI946" s="35"/>
      <c r="HJ946" s="35"/>
      <c r="HK946" s="35"/>
      <c r="HL946" s="35"/>
      <c r="HM946" s="35"/>
      <c r="HN946" s="35"/>
      <c r="HO946" s="35"/>
      <c r="HP946" s="35"/>
      <c r="HQ946" s="35"/>
      <c r="HR946" s="35"/>
      <c r="HS946" s="35"/>
      <c r="HT946" s="35"/>
      <c r="HU946" s="35"/>
      <c r="HV946" s="35"/>
      <c r="HW946" s="35"/>
      <c r="HX946" s="35"/>
      <c r="HY946" s="35"/>
      <c r="HZ946" s="35"/>
      <c r="IA946" s="35"/>
      <c r="IB946" s="35"/>
      <c r="IC946" s="35"/>
      <c r="ID946" s="35"/>
      <c r="IE946" s="35"/>
      <c r="IF946" s="35"/>
      <c r="IG946" s="35"/>
      <c r="IH946" s="35"/>
      <c r="II946" s="35"/>
      <c r="IJ946" s="35"/>
      <c r="IK946" s="35"/>
      <c r="IL946" s="35"/>
      <c r="IM946" s="35"/>
      <c r="IN946" s="35"/>
      <c r="IO946" s="35"/>
      <c r="IP946" s="35"/>
      <c r="IQ946" s="35"/>
      <c r="IR946" s="35"/>
      <c r="IS946" s="35"/>
      <c r="IT946" s="35"/>
      <c r="IU946" s="35"/>
      <c r="IV946" s="35"/>
      <c r="IW946" s="35"/>
      <c r="IX946" s="35"/>
      <c r="IY946" s="35"/>
      <c r="IZ946" s="35"/>
      <c r="JA946" s="35"/>
      <c r="JB946" s="35"/>
      <c r="JC946" s="35"/>
      <c r="JD946" s="35"/>
      <c r="JE946" s="35"/>
    </row>
    <row r="947">
      <c r="A947" s="42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  <c r="AZ947" s="35"/>
      <c r="BA947" s="35"/>
      <c r="BB947" s="35"/>
      <c r="BC947" s="35"/>
      <c r="BD947" s="35"/>
      <c r="BE947" s="35"/>
      <c r="BF947" s="35"/>
      <c r="BG947" s="35"/>
      <c r="BH947" s="35"/>
      <c r="BI947" s="35"/>
      <c r="BJ947" s="35"/>
      <c r="BK947" s="35"/>
      <c r="BL947" s="35"/>
      <c r="BM947" s="35"/>
      <c r="BN947" s="35"/>
      <c r="BO947" s="35"/>
      <c r="BP947" s="35"/>
      <c r="BQ947" s="35"/>
      <c r="BR947" s="35"/>
      <c r="BS947" s="35"/>
      <c r="BT947" s="35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35"/>
      <c r="CO947" s="35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35"/>
      <c r="DJ947" s="35"/>
      <c r="DK947" s="35"/>
      <c r="DL947" s="35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35"/>
      <c r="EE947" s="35"/>
      <c r="EF947" s="35"/>
      <c r="EG947" s="35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  <c r="ER947" s="35"/>
      <c r="ES947" s="35"/>
      <c r="ET947" s="35"/>
      <c r="EU947" s="35"/>
      <c r="EV947" s="35"/>
      <c r="EW947" s="35"/>
      <c r="EX947" s="35"/>
      <c r="EY947" s="35"/>
      <c r="EZ947" s="35"/>
      <c r="FA947" s="35"/>
      <c r="FB947" s="35"/>
      <c r="FC947" s="35"/>
      <c r="FD947" s="35"/>
      <c r="FE947" s="35"/>
      <c r="FF947" s="35"/>
      <c r="FG947" s="35"/>
      <c r="FH947" s="35"/>
      <c r="FI947" s="35"/>
      <c r="FJ947" s="35"/>
      <c r="FK947" s="35"/>
      <c r="FL947" s="35"/>
      <c r="FM947" s="35"/>
      <c r="FN947" s="35"/>
      <c r="FO947" s="35"/>
      <c r="FP947" s="35"/>
      <c r="FQ947" s="35"/>
      <c r="FR947" s="35"/>
      <c r="FS947" s="35"/>
      <c r="FT947" s="35"/>
      <c r="FU947" s="35"/>
      <c r="FV947" s="35"/>
      <c r="FW947" s="35"/>
      <c r="FX947" s="35"/>
      <c r="FY947" s="35"/>
      <c r="FZ947" s="35"/>
      <c r="GA947" s="35"/>
      <c r="GB947" s="35"/>
      <c r="GC947" s="35"/>
      <c r="GD947" s="35"/>
      <c r="GE947" s="35"/>
      <c r="GF947" s="35"/>
      <c r="GG947" s="35"/>
      <c r="GH947" s="35"/>
      <c r="GI947" s="35"/>
      <c r="GJ947" s="35"/>
      <c r="GK947" s="35"/>
      <c r="GL947" s="35"/>
      <c r="GM947" s="35"/>
      <c r="GN947" s="35"/>
      <c r="GO947" s="35"/>
      <c r="GP947" s="35"/>
      <c r="GQ947" s="35"/>
      <c r="GR947" s="35"/>
      <c r="GS947" s="35"/>
      <c r="GT947" s="35"/>
      <c r="GU947" s="35"/>
      <c r="GV947" s="35"/>
      <c r="GW947" s="35"/>
      <c r="GX947" s="35"/>
      <c r="GY947" s="35"/>
      <c r="GZ947" s="35"/>
      <c r="HA947" s="35"/>
      <c r="HB947" s="35"/>
      <c r="HC947" s="35"/>
      <c r="HD947" s="35"/>
      <c r="HE947" s="35"/>
      <c r="HF947" s="35"/>
      <c r="HG947" s="35"/>
      <c r="HH947" s="35"/>
      <c r="HI947" s="35"/>
      <c r="HJ947" s="35"/>
      <c r="HK947" s="35"/>
      <c r="HL947" s="35"/>
      <c r="HM947" s="35"/>
      <c r="HN947" s="35"/>
      <c r="HO947" s="35"/>
      <c r="HP947" s="35"/>
      <c r="HQ947" s="35"/>
      <c r="HR947" s="35"/>
      <c r="HS947" s="35"/>
      <c r="HT947" s="35"/>
      <c r="HU947" s="35"/>
      <c r="HV947" s="35"/>
      <c r="HW947" s="35"/>
      <c r="HX947" s="35"/>
      <c r="HY947" s="35"/>
      <c r="HZ947" s="35"/>
      <c r="IA947" s="35"/>
      <c r="IB947" s="35"/>
      <c r="IC947" s="35"/>
      <c r="ID947" s="35"/>
      <c r="IE947" s="35"/>
      <c r="IF947" s="35"/>
      <c r="IG947" s="35"/>
      <c r="IH947" s="35"/>
      <c r="II947" s="35"/>
      <c r="IJ947" s="35"/>
      <c r="IK947" s="35"/>
      <c r="IL947" s="35"/>
      <c r="IM947" s="35"/>
      <c r="IN947" s="35"/>
      <c r="IO947" s="35"/>
      <c r="IP947" s="35"/>
      <c r="IQ947" s="35"/>
      <c r="IR947" s="35"/>
      <c r="IS947" s="35"/>
      <c r="IT947" s="35"/>
      <c r="IU947" s="35"/>
      <c r="IV947" s="35"/>
      <c r="IW947" s="35"/>
      <c r="IX947" s="35"/>
      <c r="IY947" s="35"/>
      <c r="IZ947" s="35"/>
      <c r="JA947" s="35"/>
      <c r="JB947" s="35"/>
      <c r="JC947" s="35"/>
      <c r="JD947" s="35"/>
      <c r="JE947" s="35"/>
    </row>
    <row r="948">
      <c r="A948" s="42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  <c r="AZ948" s="35"/>
      <c r="BA948" s="35"/>
      <c r="BB948" s="35"/>
      <c r="BC948" s="35"/>
      <c r="BD948" s="35"/>
      <c r="BE948" s="35"/>
      <c r="BF948" s="35"/>
      <c r="BG948" s="35"/>
      <c r="BH948" s="35"/>
      <c r="BI948" s="35"/>
      <c r="BJ948" s="35"/>
      <c r="BK948" s="35"/>
      <c r="BL948" s="35"/>
      <c r="BM948" s="35"/>
      <c r="BN948" s="35"/>
      <c r="BO948" s="35"/>
      <c r="BP948" s="35"/>
      <c r="BQ948" s="35"/>
      <c r="BR948" s="35"/>
      <c r="BS948" s="35"/>
      <c r="BT948" s="35"/>
      <c r="BU948" s="35"/>
      <c r="BV948" s="35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35"/>
      <c r="CO948" s="35"/>
      <c r="CP948" s="35"/>
      <c r="CQ948" s="35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35"/>
      <c r="DJ948" s="35"/>
      <c r="DK948" s="35"/>
      <c r="DL948" s="35"/>
      <c r="DM948" s="35"/>
      <c r="DN948" s="35"/>
      <c r="DO948" s="35"/>
      <c r="DP948" s="35"/>
      <c r="DQ948" s="35"/>
      <c r="DR948" s="35"/>
      <c r="DS948" s="35"/>
      <c r="DT948" s="35"/>
      <c r="DU948" s="35"/>
      <c r="DV948" s="35"/>
      <c r="DW948" s="35"/>
      <c r="DX948" s="35"/>
      <c r="DY948" s="35"/>
      <c r="DZ948" s="35"/>
      <c r="EA948" s="35"/>
      <c r="EB948" s="35"/>
      <c r="EC948" s="35"/>
      <c r="ED948" s="35"/>
      <c r="EE948" s="35"/>
      <c r="EF948" s="35"/>
      <c r="EG948" s="35"/>
      <c r="EH948" s="35"/>
      <c r="EI948" s="35"/>
      <c r="EJ948" s="35"/>
      <c r="EK948" s="35"/>
      <c r="EL948" s="35"/>
      <c r="EM948" s="35"/>
      <c r="EN948" s="35"/>
      <c r="EO948" s="35"/>
      <c r="EP948" s="35"/>
      <c r="EQ948" s="35"/>
      <c r="ER948" s="35"/>
      <c r="ES948" s="35"/>
      <c r="ET948" s="35"/>
      <c r="EU948" s="35"/>
      <c r="EV948" s="35"/>
      <c r="EW948" s="35"/>
      <c r="EX948" s="35"/>
      <c r="EY948" s="35"/>
      <c r="EZ948" s="35"/>
      <c r="FA948" s="35"/>
      <c r="FB948" s="35"/>
      <c r="FC948" s="35"/>
      <c r="FD948" s="35"/>
      <c r="FE948" s="35"/>
      <c r="FF948" s="35"/>
      <c r="FG948" s="35"/>
      <c r="FH948" s="35"/>
      <c r="FI948" s="35"/>
      <c r="FJ948" s="35"/>
      <c r="FK948" s="35"/>
      <c r="FL948" s="35"/>
      <c r="FM948" s="35"/>
      <c r="FN948" s="35"/>
      <c r="FO948" s="35"/>
      <c r="FP948" s="35"/>
      <c r="FQ948" s="35"/>
      <c r="FR948" s="35"/>
      <c r="FS948" s="35"/>
      <c r="FT948" s="35"/>
      <c r="FU948" s="35"/>
      <c r="FV948" s="35"/>
      <c r="FW948" s="35"/>
      <c r="FX948" s="35"/>
      <c r="FY948" s="35"/>
      <c r="FZ948" s="35"/>
      <c r="GA948" s="35"/>
      <c r="GB948" s="35"/>
      <c r="GC948" s="35"/>
      <c r="GD948" s="35"/>
      <c r="GE948" s="35"/>
      <c r="GF948" s="35"/>
      <c r="GG948" s="35"/>
      <c r="GH948" s="35"/>
      <c r="GI948" s="35"/>
      <c r="GJ948" s="35"/>
      <c r="GK948" s="35"/>
      <c r="GL948" s="35"/>
      <c r="GM948" s="35"/>
      <c r="GN948" s="35"/>
      <c r="GO948" s="35"/>
      <c r="GP948" s="35"/>
      <c r="GQ948" s="35"/>
      <c r="GR948" s="35"/>
      <c r="GS948" s="35"/>
      <c r="GT948" s="35"/>
      <c r="GU948" s="35"/>
      <c r="GV948" s="35"/>
      <c r="GW948" s="35"/>
      <c r="GX948" s="35"/>
      <c r="GY948" s="35"/>
      <c r="GZ948" s="35"/>
      <c r="HA948" s="35"/>
      <c r="HB948" s="35"/>
      <c r="HC948" s="35"/>
      <c r="HD948" s="35"/>
      <c r="HE948" s="35"/>
      <c r="HF948" s="35"/>
      <c r="HG948" s="35"/>
      <c r="HH948" s="35"/>
      <c r="HI948" s="35"/>
      <c r="HJ948" s="35"/>
      <c r="HK948" s="35"/>
      <c r="HL948" s="35"/>
      <c r="HM948" s="35"/>
      <c r="HN948" s="35"/>
      <c r="HO948" s="35"/>
      <c r="HP948" s="35"/>
      <c r="HQ948" s="35"/>
      <c r="HR948" s="35"/>
      <c r="HS948" s="35"/>
      <c r="HT948" s="35"/>
      <c r="HU948" s="35"/>
      <c r="HV948" s="35"/>
      <c r="HW948" s="35"/>
      <c r="HX948" s="35"/>
      <c r="HY948" s="35"/>
      <c r="HZ948" s="35"/>
      <c r="IA948" s="35"/>
      <c r="IB948" s="35"/>
      <c r="IC948" s="35"/>
      <c r="ID948" s="35"/>
      <c r="IE948" s="35"/>
      <c r="IF948" s="35"/>
      <c r="IG948" s="35"/>
      <c r="IH948" s="35"/>
      <c r="II948" s="35"/>
      <c r="IJ948" s="35"/>
      <c r="IK948" s="35"/>
      <c r="IL948" s="35"/>
      <c r="IM948" s="35"/>
      <c r="IN948" s="35"/>
      <c r="IO948" s="35"/>
      <c r="IP948" s="35"/>
      <c r="IQ948" s="35"/>
      <c r="IR948" s="35"/>
      <c r="IS948" s="35"/>
      <c r="IT948" s="35"/>
      <c r="IU948" s="35"/>
      <c r="IV948" s="35"/>
      <c r="IW948" s="35"/>
      <c r="IX948" s="35"/>
      <c r="IY948" s="35"/>
      <c r="IZ948" s="35"/>
      <c r="JA948" s="35"/>
      <c r="JB948" s="35"/>
      <c r="JC948" s="35"/>
      <c r="JD948" s="35"/>
      <c r="JE948" s="35"/>
    </row>
    <row r="949">
      <c r="A949" s="42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  <c r="AZ949" s="35"/>
      <c r="BA949" s="35"/>
      <c r="BB949" s="35"/>
      <c r="BC949" s="35"/>
      <c r="BD949" s="35"/>
      <c r="BE949" s="35"/>
      <c r="BF949" s="35"/>
      <c r="BG949" s="35"/>
      <c r="BH949" s="35"/>
      <c r="BI949" s="35"/>
      <c r="BJ949" s="35"/>
      <c r="BK949" s="35"/>
      <c r="BL949" s="35"/>
      <c r="BM949" s="35"/>
      <c r="BN949" s="35"/>
      <c r="BO949" s="35"/>
      <c r="BP949" s="35"/>
      <c r="BQ949" s="35"/>
      <c r="BR949" s="35"/>
      <c r="BS949" s="35"/>
      <c r="BT949" s="35"/>
      <c r="BU949" s="35"/>
      <c r="BV949" s="35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35"/>
      <c r="CO949" s="35"/>
      <c r="CP949" s="35"/>
      <c r="CQ949" s="35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35"/>
      <c r="DJ949" s="35"/>
      <c r="DK949" s="35"/>
      <c r="DL949" s="35"/>
      <c r="DM949" s="35"/>
      <c r="DN949" s="35"/>
      <c r="DO949" s="35"/>
      <c r="DP949" s="35"/>
      <c r="DQ949" s="35"/>
      <c r="DR949" s="35"/>
      <c r="DS949" s="35"/>
      <c r="DT949" s="35"/>
      <c r="DU949" s="35"/>
      <c r="DV949" s="35"/>
      <c r="DW949" s="35"/>
      <c r="DX949" s="35"/>
      <c r="DY949" s="35"/>
      <c r="DZ949" s="35"/>
      <c r="EA949" s="35"/>
      <c r="EB949" s="35"/>
      <c r="EC949" s="35"/>
      <c r="ED949" s="35"/>
      <c r="EE949" s="35"/>
      <c r="EF949" s="35"/>
      <c r="EG949" s="35"/>
      <c r="EH949" s="35"/>
      <c r="EI949" s="35"/>
      <c r="EJ949" s="35"/>
      <c r="EK949" s="35"/>
      <c r="EL949" s="35"/>
      <c r="EM949" s="35"/>
      <c r="EN949" s="35"/>
      <c r="EO949" s="35"/>
      <c r="EP949" s="35"/>
      <c r="EQ949" s="35"/>
      <c r="ER949" s="35"/>
      <c r="ES949" s="35"/>
      <c r="ET949" s="35"/>
      <c r="EU949" s="35"/>
      <c r="EV949" s="35"/>
      <c r="EW949" s="35"/>
      <c r="EX949" s="35"/>
      <c r="EY949" s="35"/>
      <c r="EZ949" s="35"/>
      <c r="FA949" s="35"/>
      <c r="FB949" s="35"/>
      <c r="FC949" s="35"/>
      <c r="FD949" s="35"/>
      <c r="FE949" s="35"/>
      <c r="FF949" s="35"/>
      <c r="FG949" s="35"/>
      <c r="FH949" s="35"/>
      <c r="FI949" s="35"/>
      <c r="FJ949" s="35"/>
      <c r="FK949" s="35"/>
      <c r="FL949" s="35"/>
      <c r="FM949" s="35"/>
      <c r="FN949" s="35"/>
      <c r="FO949" s="35"/>
      <c r="FP949" s="35"/>
      <c r="FQ949" s="35"/>
      <c r="FR949" s="35"/>
      <c r="FS949" s="35"/>
      <c r="FT949" s="35"/>
      <c r="FU949" s="35"/>
      <c r="FV949" s="35"/>
      <c r="FW949" s="35"/>
      <c r="FX949" s="35"/>
      <c r="FY949" s="35"/>
      <c r="FZ949" s="35"/>
      <c r="GA949" s="35"/>
      <c r="GB949" s="35"/>
      <c r="GC949" s="35"/>
      <c r="GD949" s="35"/>
      <c r="GE949" s="35"/>
      <c r="GF949" s="35"/>
      <c r="GG949" s="35"/>
      <c r="GH949" s="35"/>
      <c r="GI949" s="35"/>
      <c r="GJ949" s="35"/>
      <c r="GK949" s="35"/>
      <c r="GL949" s="35"/>
      <c r="GM949" s="35"/>
      <c r="GN949" s="35"/>
      <c r="GO949" s="35"/>
      <c r="GP949" s="35"/>
      <c r="GQ949" s="35"/>
      <c r="GR949" s="35"/>
      <c r="GS949" s="35"/>
      <c r="GT949" s="35"/>
      <c r="GU949" s="35"/>
      <c r="GV949" s="35"/>
      <c r="GW949" s="35"/>
      <c r="GX949" s="35"/>
      <c r="GY949" s="35"/>
      <c r="GZ949" s="35"/>
      <c r="HA949" s="35"/>
      <c r="HB949" s="35"/>
      <c r="HC949" s="35"/>
      <c r="HD949" s="35"/>
      <c r="HE949" s="35"/>
      <c r="HF949" s="35"/>
      <c r="HG949" s="35"/>
      <c r="HH949" s="35"/>
      <c r="HI949" s="35"/>
      <c r="HJ949" s="35"/>
      <c r="HK949" s="35"/>
      <c r="HL949" s="35"/>
      <c r="HM949" s="35"/>
      <c r="HN949" s="35"/>
      <c r="HO949" s="35"/>
      <c r="HP949" s="35"/>
      <c r="HQ949" s="35"/>
      <c r="HR949" s="35"/>
      <c r="HS949" s="35"/>
      <c r="HT949" s="35"/>
      <c r="HU949" s="35"/>
      <c r="HV949" s="35"/>
      <c r="HW949" s="35"/>
      <c r="HX949" s="35"/>
      <c r="HY949" s="35"/>
      <c r="HZ949" s="35"/>
      <c r="IA949" s="35"/>
      <c r="IB949" s="35"/>
      <c r="IC949" s="35"/>
      <c r="ID949" s="35"/>
      <c r="IE949" s="35"/>
      <c r="IF949" s="35"/>
      <c r="IG949" s="35"/>
      <c r="IH949" s="35"/>
      <c r="II949" s="35"/>
      <c r="IJ949" s="35"/>
      <c r="IK949" s="35"/>
      <c r="IL949" s="35"/>
      <c r="IM949" s="35"/>
      <c r="IN949" s="35"/>
      <c r="IO949" s="35"/>
      <c r="IP949" s="35"/>
      <c r="IQ949" s="35"/>
      <c r="IR949" s="35"/>
      <c r="IS949" s="35"/>
      <c r="IT949" s="35"/>
      <c r="IU949" s="35"/>
      <c r="IV949" s="35"/>
      <c r="IW949" s="35"/>
      <c r="IX949" s="35"/>
      <c r="IY949" s="35"/>
      <c r="IZ949" s="35"/>
      <c r="JA949" s="35"/>
      <c r="JB949" s="35"/>
      <c r="JC949" s="35"/>
      <c r="JD949" s="35"/>
      <c r="JE949" s="35"/>
    </row>
    <row r="950">
      <c r="A950" s="42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  <c r="AZ950" s="35"/>
      <c r="BA950" s="35"/>
      <c r="BB950" s="35"/>
      <c r="BC950" s="35"/>
      <c r="BD950" s="35"/>
      <c r="BE950" s="35"/>
      <c r="BF950" s="35"/>
      <c r="BG950" s="35"/>
      <c r="BH950" s="35"/>
      <c r="BI950" s="35"/>
      <c r="BJ950" s="35"/>
      <c r="BK950" s="35"/>
      <c r="BL950" s="35"/>
      <c r="BM950" s="35"/>
      <c r="BN950" s="35"/>
      <c r="BO950" s="35"/>
      <c r="BP950" s="35"/>
      <c r="BQ950" s="35"/>
      <c r="BR950" s="35"/>
      <c r="BS950" s="35"/>
      <c r="BT950" s="35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35"/>
      <c r="CO950" s="35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35"/>
      <c r="DJ950" s="35"/>
      <c r="DK950" s="35"/>
      <c r="DL950" s="35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35"/>
      <c r="EE950" s="35"/>
      <c r="EF950" s="35"/>
      <c r="EG950" s="35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  <c r="ER950" s="35"/>
      <c r="ES950" s="35"/>
      <c r="ET950" s="35"/>
      <c r="EU950" s="35"/>
      <c r="EV950" s="35"/>
      <c r="EW950" s="35"/>
      <c r="EX950" s="35"/>
      <c r="EY950" s="35"/>
      <c r="EZ950" s="35"/>
      <c r="FA950" s="35"/>
      <c r="FB950" s="35"/>
      <c r="FC950" s="35"/>
      <c r="FD950" s="35"/>
      <c r="FE950" s="35"/>
      <c r="FF950" s="35"/>
      <c r="FG950" s="35"/>
      <c r="FH950" s="35"/>
      <c r="FI950" s="35"/>
      <c r="FJ950" s="35"/>
      <c r="FK950" s="35"/>
      <c r="FL950" s="35"/>
      <c r="FM950" s="35"/>
      <c r="FN950" s="35"/>
      <c r="FO950" s="35"/>
      <c r="FP950" s="35"/>
      <c r="FQ950" s="35"/>
      <c r="FR950" s="35"/>
      <c r="FS950" s="35"/>
      <c r="FT950" s="35"/>
      <c r="FU950" s="35"/>
      <c r="FV950" s="35"/>
      <c r="FW950" s="35"/>
      <c r="FX950" s="35"/>
      <c r="FY950" s="35"/>
      <c r="FZ950" s="35"/>
      <c r="GA950" s="35"/>
      <c r="GB950" s="35"/>
      <c r="GC950" s="35"/>
      <c r="GD950" s="35"/>
      <c r="GE950" s="35"/>
      <c r="GF950" s="35"/>
      <c r="GG950" s="35"/>
      <c r="GH950" s="35"/>
      <c r="GI950" s="35"/>
      <c r="GJ950" s="35"/>
      <c r="GK950" s="35"/>
      <c r="GL950" s="35"/>
      <c r="GM950" s="35"/>
      <c r="GN950" s="35"/>
      <c r="GO950" s="35"/>
      <c r="GP950" s="35"/>
      <c r="GQ950" s="35"/>
      <c r="GR950" s="35"/>
      <c r="GS950" s="35"/>
      <c r="GT950" s="35"/>
      <c r="GU950" s="35"/>
      <c r="GV950" s="35"/>
      <c r="GW950" s="35"/>
      <c r="GX950" s="35"/>
      <c r="GY950" s="35"/>
      <c r="GZ950" s="35"/>
      <c r="HA950" s="35"/>
      <c r="HB950" s="35"/>
      <c r="HC950" s="35"/>
      <c r="HD950" s="35"/>
      <c r="HE950" s="35"/>
      <c r="HF950" s="35"/>
      <c r="HG950" s="35"/>
      <c r="HH950" s="35"/>
      <c r="HI950" s="35"/>
      <c r="HJ950" s="35"/>
      <c r="HK950" s="35"/>
      <c r="HL950" s="35"/>
      <c r="HM950" s="35"/>
      <c r="HN950" s="35"/>
      <c r="HO950" s="35"/>
      <c r="HP950" s="35"/>
      <c r="HQ950" s="35"/>
      <c r="HR950" s="35"/>
      <c r="HS950" s="35"/>
      <c r="HT950" s="35"/>
      <c r="HU950" s="35"/>
      <c r="HV950" s="35"/>
      <c r="HW950" s="35"/>
      <c r="HX950" s="35"/>
      <c r="HY950" s="35"/>
      <c r="HZ950" s="35"/>
      <c r="IA950" s="35"/>
      <c r="IB950" s="35"/>
      <c r="IC950" s="35"/>
      <c r="ID950" s="35"/>
      <c r="IE950" s="35"/>
      <c r="IF950" s="35"/>
      <c r="IG950" s="35"/>
      <c r="IH950" s="35"/>
      <c r="II950" s="35"/>
      <c r="IJ950" s="35"/>
      <c r="IK950" s="35"/>
      <c r="IL950" s="35"/>
      <c r="IM950" s="35"/>
      <c r="IN950" s="35"/>
      <c r="IO950" s="35"/>
      <c r="IP950" s="35"/>
      <c r="IQ950" s="35"/>
      <c r="IR950" s="35"/>
      <c r="IS950" s="35"/>
      <c r="IT950" s="35"/>
      <c r="IU950" s="35"/>
      <c r="IV950" s="35"/>
      <c r="IW950" s="35"/>
      <c r="IX950" s="35"/>
      <c r="IY950" s="35"/>
      <c r="IZ950" s="35"/>
      <c r="JA950" s="35"/>
      <c r="JB950" s="35"/>
      <c r="JC950" s="35"/>
      <c r="JD950" s="35"/>
      <c r="JE950" s="35"/>
    </row>
    <row r="951">
      <c r="A951" s="42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  <c r="AZ951" s="35"/>
      <c r="BA951" s="35"/>
      <c r="BB951" s="35"/>
      <c r="BC951" s="35"/>
      <c r="BD951" s="35"/>
      <c r="BE951" s="35"/>
      <c r="BF951" s="35"/>
      <c r="BG951" s="35"/>
      <c r="BH951" s="35"/>
      <c r="BI951" s="35"/>
      <c r="BJ951" s="35"/>
      <c r="BK951" s="35"/>
      <c r="BL951" s="35"/>
      <c r="BM951" s="35"/>
      <c r="BN951" s="35"/>
      <c r="BO951" s="35"/>
      <c r="BP951" s="35"/>
      <c r="BQ951" s="35"/>
      <c r="BR951" s="35"/>
      <c r="BS951" s="35"/>
      <c r="BT951" s="35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35"/>
      <c r="CO951" s="35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35"/>
      <c r="DJ951" s="35"/>
      <c r="DK951" s="35"/>
      <c r="DL951" s="35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35"/>
      <c r="EE951" s="35"/>
      <c r="EF951" s="35"/>
      <c r="EG951" s="35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  <c r="ER951" s="35"/>
      <c r="ES951" s="35"/>
      <c r="ET951" s="35"/>
      <c r="EU951" s="35"/>
      <c r="EV951" s="35"/>
      <c r="EW951" s="35"/>
      <c r="EX951" s="35"/>
      <c r="EY951" s="35"/>
      <c r="EZ951" s="35"/>
      <c r="FA951" s="35"/>
      <c r="FB951" s="35"/>
      <c r="FC951" s="35"/>
      <c r="FD951" s="35"/>
      <c r="FE951" s="35"/>
      <c r="FF951" s="35"/>
      <c r="FG951" s="35"/>
      <c r="FH951" s="35"/>
      <c r="FI951" s="35"/>
      <c r="FJ951" s="35"/>
      <c r="FK951" s="35"/>
      <c r="FL951" s="35"/>
      <c r="FM951" s="35"/>
      <c r="FN951" s="35"/>
      <c r="FO951" s="35"/>
      <c r="FP951" s="35"/>
      <c r="FQ951" s="35"/>
      <c r="FR951" s="35"/>
      <c r="FS951" s="35"/>
      <c r="FT951" s="35"/>
      <c r="FU951" s="35"/>
      <c r="FV951" s="35"/>
      <c r="FW951" s="35"/>
      <c r="FX951" s="35"/>
      <c r="FY951" s="35"/>
      <c r="FZ951" s="35"/>
      <c r="GA951" s="35"/>
      <c r="GB951" s="35"/>
      <c r="GC951" s="35"/>
      <c r="GD951" s="35"/>
      <c r="GE951" s="35"/>
      <c r="GF951" s="35"/>
      <c r="GG951" s="35"/>
      <c r="GH951" s="35"/>
      <c r="GI951" s="35"/>
      <c r="GJ951" s="35"/>
      <c r="GK951" s="35"/>
      <c r="GL951" s="35"/>
      <c r="GM951" s="35"/>
      <c r="GN951" s="35"/>
      <c r="GO951" s="35"/>
      <c r="GP951" s="35"/>
      <c r="GQ951" s="35"/>
      <c r="GR951" s="35"/>
      <c r="GS951" s="35"/>
      <c r="GT951" s="35"/>
      <c r="GU951" s="35"/>
      <c r="GV951" s="35"/>
      <c r="GW951" s="35"/>
      <c r="GX951" s="35"/>
      <c r="GY951" s="35"/>
      <c r="GZ951" s="35"/>
      <c r="HA951" s="35"/>
      <c r="HB951" s="35"/>
      <c r="HC951" s="35"/>
      <c r="HD951" s="35"/>
      <c r="HE951" s="35"/>
      <c r="HF951" s="35"/>
      <c r="HG951" s="35"/>
      <c r="HH951" s="35"/>
      <c r="HI951" s="35"/>
      <c r="HJ951" s="35"/>
      <c r="HK951" s="35"/>
      <c r="HL951" s="35"/>
      <c r="HM951" s="35"/>
      <c r="HN951" s="35"/>
      <c r="HO951" s="35"/>
      <c r="HP951" s="35"/>
      <c r="HQ951" s="35"/>
      <c r="HR951" s="35"/>
      <c r="HS951" s="35"/>
      <c r="HT951" s="35"/>
      <c r="HU951" s="35"/>
      <c r="HV951" s="35"/>
      <c r="HW951" s="35"/>
      <c r="HX951" s="35"/>
      <c r="HY951" s="35"/>
      <c r="HZ951" s="35"/>
      <c r="IA951" s="35"/>
      <c r="IB951" s="35"/>
      <c r="IC951" s="35"/>
      <c r="ID951" s="35"/>
      <c r="IE951" s="35"/>
      <c r="IF951" s="35"/>
      <c r="IG951" s="35"/>
      <c r="IH951" s="35"/>
      <c r="II951" s="35"/>
      <c r="IJ951" s="35"/>
      <c r="IK951" s="35"/>
      <c r="IL951" s="35"/>
      <c r="IM951" s="35"/>
      <c r="IN951" s="35"/>
      <c r="IO951" s="35"/>
      <c r="IP951" s="35"/>
      <c r="IQ951" s="35"/>
      <c r="IR951" s="35"/>
      <c r="IS951" s="35"/>
      <c r="IT951" s="35"/>
      <c r="IU951" s="35"/>
      <c r="IV951" s="35"/>
      <c r="IW951" s="35"/>
      <c r="IX951" s="35"/>
      <c r="IY951" s="35"/>
      <c r="IZ951" s="35"/>
      <c r="JA951" s="35"/>
      <c r="JB951" s="35"/>
      <c r="JC951" s="35"/>
      <c r="JD951" s="35"/>
      <c r="JE951" s="35"/>
    </row>
    <row r="952">
      <c r="A952" s="42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  <c r="AZ952" s="35"/>
      <c r="BA952" s="35"/>
      <c r="BB952" s="35"/>
      <c r="BC952" s="35"/>
      <c r="BD952" s="35"/>
      <c r="BE952" s="35"/>
      <c r="BF952" s="35"/>
      <c r="BG952" s="35"/>
      <c r="BH952" s="35"/>
      <c r="BI952" s="35"/>
      <c r="BJ952" s="35"/>
      <c r="BK952" s="35"/>
      <c r="BL952" s="35"/>
      <c r="BM952" s="35"/>
      <c r="BN952" s="35"/>
      <c r="BO952" s="35"/>
      <c r="BP952" s="35"/>
      <c r="BQ952" s="35"/>
      <c r="BR952" s="35"/>
      <c r="BS952" s="35"/>
      <c r="BT952" s="35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35"/>
      <c r="CO952" s="35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35"/>
      <c r="DJ952" s="35"/>
      <c r="DK952" s="35"/>
      <c r="DL952" s="35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35"/>
      <c r="EE952" s="35"/>
      <c r="EF952" s="35"/>
      <c r="EG952" s="35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  <c r="ER952" s="35"/>
      <c r="ES952" s="35"/>
      <c r="ET952" s="35"/>
      <c r="EU952" s="35"/>
      <c r="EV952" s="35"/>
      <c r="EW952" s="35"/>
      <c r="EX952" s="35"/>
      <c r="EY952" s="35"/>
      <c r="EZ952" s="35"/>
      <c r="FA952" s="35"/>
      <c r="FB952" s="35"/>
      <c r="FC952" s="35"/>
      <c r="FD952" s="35"/>
      <c r="FE952" s="35"/>
      <c r="FF952" s="35"/>
      <c r="FG952" s="35"/>
      <c r="FH952" s="35"/>
      <c r="FI952" s="35"/>
      <c r="FJ952" s="35"/>
      <c r="FK952" s="35"/>
      <c r="FL952" s="35"/>
      <c r="FM952" s="35"/>
      <c r="FN952" s="35"/>
      <c r="FO952" s="35"/>
      <c r="FP952" s="35"/>
      <c r="FQ952" s="35"/>
      <c r="FR952" s="35"/>
      <c r="FS952" s="35"/>
      <c r="FT952" s="35"/>
      <c r="FU952" s="35"/>
      <c r="FV952" s="35"/>
      <c r="FW952" s="35"/>
      <c r="FX952" s="35"/>
      <c r="FY952" s="35"/>
      <c r="FZ952" s="35"/>
      <c r="GA952" s="35"/>
      <c r="GB952" s="35"/>
      <c r="GC952" s="35"/>
      <c r="GD952" s="35"/>
      <c r="GE952" s="35"/>
      <c r="GF952" s="35"/>
      <c r="GG952" s="35"/>
      <c r="GH952" s="35"/>
      <c r="GI952" s="35"/>
      <c r="GJ952" s="35"/>
      <c r="GK952" s="35"/>
      <c r="GL952" s="35"/>
      <c r="GM952" s="35"/>
      <c r="GN952" s="35"/>
      <c r="GO952" s="35"/>
      <c r="GP952" s="35"/>
      <c r="GQ952" s="35"/>
      <c r="GR952" s="35"/>
      <c r="GS952" s="35"/>
      <c r="GT952" s="35"/>
      <c r="GU952" s="35"/>
      <c r="GV952" s="35"/>
      <c r="GW952" s="35"/>
      <c r="GX952" s="35"/>
      <c r="GY952" s="35"/>
      <c r="GZ952" s="35"/>
      <c r="HA952" s="35"/>
      <c r="HB952" s="35"/>
      <c r="HC952" s="35"/>
      <c r="HD952" s="35"/>
      <c r="HE952" s="35"/>
      <c r="HF952" s="35"/>
      <c r="HG952" s="35"/>
      <c r="HH952" s="35"/>
      <c r="HI952" s="35"/>
      <c r="HJ952" s="35"/>
      <c r="HK952" s="35"/>
      <c r="HL952" s="35"/>
      <c r="HM952" s="35"/>
      <c r="HN952" s="35"/>
      <c r="HO952" s="35"/>
      <c r="HP952" s="35"/>
      <c r="HQ952" s="35"/>
      <c r="HR952" s="35"/>
      <c r="HS952" s="35"/>
      <c r="HT952" s="35"/>
      <c r="HU952" s="35"/>
      <c r="HV952" s="35"/>
      <c r="HW952" s="35"/>
      <c r="HX952" s="35"/>
      <c r="HY952" s="35"/>
      <c r="HZ952" s="35"/>
      <c r="IA952" s="35"/>
      <c r="IB952" s="35"/>
      <c r="IC952" s="35"/>
      <c r="ID952" s="35"/>
      <c r="IE952" s="35"/>
      <c r="IF952" s="35"/>
      <c r="IG952" s="35"/>
      <c r="IH952" s="35"/>
      <c r="II952" s="35"/>
      <c r="IJ952" s="35"/>
      <c r="IK952" s="35"/>
      <c r="IL952" s="35"/>
      <c r="IM952" s="35"/>
      <c r="IN952" s="35"/>
      <c r="IO952" s="35"/>
      <c r="IP952" s="35"/>
      <c r="IQ952" s="35"/>
      <c r="IR952" s="35"/>
      <c r="IS952" s="35"/>
      <c r="IT952" s="35"/>
      <c r="IU952" s="35"/>
      <c r="IV952" s="35"/>
      <c r="IW952" s="35"/>
      <c r="IX952" s="35"/>
      <c r="IY952" s="35"/>
      <c r="IZ952" s="35"/>
      <c r="JA952" s="35"/>
      <c r="JB952" s="35"/>
      <c r="JC952" s="35"/>
      <c r="JD952" s="35"/>
      <c r="JE952" s="35"/>
    </row>
    <row r="953">
      <c r="A953" s="42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  <c r="AZ953" s="35"/>
      <c r="BA953" s="35"/>
      <c r="BB953" s="35"/>
      <c r="BC953" s="35"/>
      <c r="BD953" s="35"/>
      <c r="BE953" s="35"/>
      <c r="BF953" s="35"/>
      <c r="BG953" s="35"/>
      <c r="BH953" s="35"/>
      <c r="BI953" s="35"/>
      <c r="BJ953" s="35"/>
      <c r="BK953" s="35"/>
      <c r="BL953" s="35"/>
      <c r="BM953" s="35"/>
      <c r="BN953" s="35"/>
      <c r="BO953" s="35"/>
      <c r="BP953" s="35"/>
      <c r="BQ953" s="35"/>
      <c r="BR953" s="35"/>
      <c r="BS953" s="35"/>
      <c r="BT953" s="35"/>
      <c r="BU953" s="35"/>
      <c r="BV953" s="35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35"/>
      <c r="CO953" s="35"/>
      <c r="CP953" s="35"/>
      <c r="CQ953" s="35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35"/>
      <c r="DJ953" s="35"/>
      <c r="DK953" s="35"/>
      <c r="DL953" s="35"/>
      <c r="DM953" s="35"/>
      <c r="DN953" s="35"/>
      <c r="DO953" s="35"/>
      <c r="DP953" s="35"/>
      <c r="DQ953" s="35"/>
      <c r="DR953" s="35"/>
      <c r="DS953" s="35"/>
      <c r="DT953" s="35"/>
      <c r="DU953" s="35"/>
      <c r="DV953" s="35"/>
      <c r="DW953" s="35"/>
      <c r="DX953" s="35"/>
      <c r="DY953" s="35"/>
      <c r="DZ953" s="35"/>
      <c r="EA953" s="35"/>
      <c r="EB953" s="35"/>
      <c r="EC953" s="35"/>
      <c r="ED953" s="35"/>
      <c r="EE953" s="35"/>
      <c r="EF953" s="35"/>
      <c r="EG953" s="35"/>
      <c r="EH953" s="35"/>
      <c r="EI953" s="35"/>
      <c r="EJ953" s="35"/>
      <c r="EK953" s="35"/>
      <c r="EL953" s="35"/>
      <c r="EM953" s="35"/>
      <c r="EN953" s="35"/>
      <c r="EO953" s="35"/>
      <c r="EP953" s="35"/>
      <c r="EQ953" s="35"/>
      <c r="ER953" s="35"/>
      <c r="ES953" s="35"/>
      <c r="ET953" s="35"/>
      <c r="EU953" s="35"/>
      <c r="EV953" s="35"/>
      <c r="EW953" s="35"/>
      <c r="EX953" s="35"/>
      <c r="EY953" s="35"/>
      <c r="EZ953" s="35"/>
      <c r="FA953" s="35"/>
      <c r="FB953" s="35"/>
      <c r="FC953" s="35"/>
      <c r="FD953" s="35"/>
      <c r="FE953" s="35"/>
      <c r="FF953" s="35"/>
      <c r="FG953" s="35"/>
      <c r="FH953" s="35"/>
      <c r="FI953" s="35"/>
      <c r="FJ953" s="35"/>
      <c r="FK953" s="35"/>
      <c r="FL953" s="35"/>
      <c r="FM953" s="35"/>
      <c r="FN953" s="35"/>
      <c r="FO953" s="35"/>
      <c r="FP953" s="35"/>
      <c r="FQ953" s="35"/>
      <c r="FR953" s="35"/>
      <c r="FS953" s="35"/>
      <c r="FT953" s="35"/>
      <c r="FU953" s="35"/>
      <c r="FV953" s="35"/>
      <c r="FW953" s="35"/>
      <c r="FX953" s="35"/>
      <c r="FY953" s="35"/>
      <c r="FZ953" s="35"/>
      <c r="GA953" s="35"/>
      <c r="GB953" s="35"/>
      <c r="GC953" s="35"/>
      <c r="GD953" s="35"/>
      <c r="GE953" s="35"/>
      <c r="GF953" s="35"/>
      <c r="GG953" s="35"/>
      <c r="GH953" s="35"/>
      <c r="GI953" s="35"/>
      <c r="GJ953" s="35"/>
      <c r="GK953" s="35"/>
      <c r="GL953" s="35"/>
      <c r="GM953" s="35"/>
      <c r="GN953" s="35"/>
      <c r="GO953" s="35"/>
      <c r="GP953" s="35"/>
      <c r="GQ953" s="35"/>
      <c r="GR953" s="35"/>
      <c r="GS953" s="35"/>
      <c r="GT953" s="35"/>
      <c r="GU953" s="35"/>
      <c r="GV953" s="35"/>
      <c r="GW953" s="35"/>
      <c r="GX953" s="35"/>
      <c r="GY953" s="35"/>
      <c r="GZ953" s="35"/>
      <c r="HA953" s="35"/>
      <c r="HB953" s="35"/>
      <c r="HC953" s="35"/>
      <c r="HD953" s="35"/>
      <c r="HE953" s="35"/>
      <c r="HF953" s="35"/>
      <c r="HG953" s="35"/>
      <c r="HH953" s="35"/>
      <c r="HI953" s="35"/>
      <c r="HJ953" s="35"/>
      <c r="HK953" s="35"/>
      <c r="HL953" s="35"/>
      <c r="HM953" s="35"/>
      <c r="HN953" s="35"/>
      <c r="HO953" s="35"/>
      <c r="HP953" s="35"/>
      <c r="HQ953" s="35"/>
      <c r="HR953" s="35"/>
      <c r="HS953" s="35"/>
      <c r="HT953" s="35"/>
      <c r="HU953" s="35"/>
      <c r="HV953" s="35"/>
      <c r="HW953" s="35"/>
      <c r="HX953" s="35"/>
      <c r="HY953" s="35"/>
      <c r="HZ953" s="35"/>
      <c r="IA953" s="35"/>
      <c r="IB953" s="35"/>
      <c r="IC953" s="35"/>
      <c r="ID953" s="35"/>
      <c r="IE953" s="35"/>
      <c r="IF953" s="35"/>
      <c r="IG953" s="35"/>
      <c r="IH953" s="35"/>
      <c r="II953" s="35"/>
      <c r="IJ953" s="35"/>
      <c r="IK953" s="35"/>
      <c r="IL953" s="35"/>
      <c r="IM953" s="35"/>
      <c r="IN953" s="35"/>
      <c r="IO953" s="35"/>
      <c r="IP953" s="35"/>
      <c r="IQ953" s="35"/>
      <c r="IR953" s="35"/>
      <c r="IS953" s="35"/>
      <c r="IT953" s="35"/>
      <c r="IU953" s="35"/>
      <c r="IV953" s="35"/>
      <c r="IW953" s="35"/>
      <c r="IX953" s="35"/>
      <c r="IY953" s="35"/>
      <c r="IZ953" s="35"/>
      <c r="JA953" s="35"/>
      <c r="JB953" s="35"/>
      <c r="JC953" s="35"/>
      <c r="JD953" s="35"/>
      <c r="JE953" s="35"/>
    </row>
    <row r="954">
      <c r="A954" s="42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35"/>
      <c r="BA954" s="35"/>
      <c r="BB954" s="35"/>
      <c r="BC954" s="35"/>
      <c r="BD954" s="35"/>
      <c r="BE954" s="35"/>
      <c r="BF954" s="35"/>
      <c r="BG954" s="35"/>
      <c r="BH954" s="35"/>
      <c r="BI954" s="35"/>
      <c r="BJ954" s="35"/>
      <c r="BK954" s="35"/>
      <c r="BL954" s="35"/>
      <c r="BM954" s="35"/>
      <c r="BN954" s="35"/>
      <c r="BO954" s="35"/>
      <c r="BP954" s="35"/>
      <c r="BQ954" s="35"/>
      <c r="BR954" s="35"/>
      <c r="BS954" s="35"/>
      <c r="BT954" s="35"/>
      <c r="BU954" s="35"/>
      <c r="BV954" s="35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35"/>
      <c r="CO954" s="35"/>
      <c r="CP954" s="35"/>
      <c r="CQ954" s="35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35"/>
      <c r="DJ954" s="35"/>
      <c r="DK954" s="35"/>
      <c r="DL954" s="35"/>
      <c r="DM954" s="35"/>
      <c r="DN954" s="35"/>
      <c r="DO954" s="35"/>
      <c r="DP954" s="35"/>
      <c r="DQ954" s="35"/>
      <c r="DR954" s="35"/>
      <c r="DS954" s="35"/>
      <c r="DT954" s="35"/>
      <c r="DU954" s="35"/>
      <c r="DV954" s="35"/>
      <c r="DW954" s="35"/>
      <c r="DX954" s="35"/>
      <c r="DY954" s="35"/>
      <c r="DZ954" s="35"/>
      <c r="EA954" s="35"/>
      <c r="EB954" s="35"/>
      <c r="EC954" s="35"/>
      <c r="ED954" s="35"/>
      <c r="EE954" s="35"/>
      <c r="EF954" s="35"/>
      <c r="EG954" s="35"/>
      <c r="EH954" s="35"/>
      <c r="EI954" s="35"/>
      <c r="EJ954" s="35"/>
      <c r="EK954" s="35"/>
      <c r="EL954" s="35"/>
      <c r="EM954" s="35"/>
      <c r="EN954" s="35"/>
      <c r="EO954" s="35"/>
      <c r="EP954" s="35"/>
      <c r="EQ954" s="35"/>
      <c r="ER954" s="35"/>
      <c r="ES954" s="35"/>
      <c r="ET954" s="35"/>
      <c r="EU954" s="35"/>
      <c r="EV954" s="35"/>
      <c r="EW954" s="35"/>
      <c r="EX954" s="35"/>
      <c r="EY954" s="35"/>
      <c r="EZ954" s="35"/>
      <c r="FA954" s="35"/>
      <c r="FB954" s="35"/>
      <c r="FC954" s="35"/>
      <c r="FD954" s="35"/>
      <c r="FE954" s="35"/>
      <c r="FF954" s="35"/>
      <c r="FG954" s="35"/>
      <c r="FH954" s="35"/>
      <c r="FI954" s="35"/>
      <c r="FJ954" s="35"/>
      <c r="FK954" s="35"/>
      <c r="FL954" s="35"/>
      <c r="FM954" s="35"/>
      <c r="FN954" s="35"/>
      <c r="FO954" s="35"/>
      <c r="FP954" s="35"/>
      <c r="FQ954" s="35"/>
      <c r="FR954" s="35"/>
      <c r="FS954" s="35"/>
      <c r="FT954" s="35"/>
      <c r="FU954" s="35"/>
      <c r="FV954" s="35"/>
      <c r="FW954" s="35"/>
      <c r="FX954" s="35"/>
      <c r="FY954" s="35"/>
      <c r="FZ954" s="35"/>
      <c r="GA954" s="35"/>
      <c r="GB954" s="35"/>
      <c r="GC954" s="35"/>
      <c r="GD954" s="35"/>
      <c r="GE954" s="35"/>
      <c r="GF954" s="35"/>
      <c r="GG954" s="35"/>
      <c r="GH954" s="35"/>
      <c r="GI954" s="35"/>
      <c r="GJ954" s="35"/>
      <c r="GK954" s="35"/>
      <c r="GL954" s="35"/>
      <c r="GM954" s="35"/>
      <c r="GN954" s="35"/>
      <c r="GO954" s="35"/>
      <c r="GP954" s="35"/>
      <c r="GQ954" s="35"/>
      <c r="GR954" s="35"/>
      <c r="GS954" s="35"/>
      <c r="GT954" s="35"/>
      <c r="GU954" s="35"/>
      <c r="GV954" s="35"/>
      <c r="GW954" s="35"/>
      <c r="GX954" s="35"/>
      <c r="GY954" s="35"/>
      <c r="GZ954" s="35"/>
      <c r="HA954" s="35"/>
      <c r="HB954" s="35"/>
      <c r="HC954" s="35"/>
      <c r="HD954" s="35"/>
      <c r="HE954" s="35"/>
      <c r="HF954" s="35"/>
      <c r="HG954" s="35"/>
      <c r="HH954" s="35"/>
      <c r="HI954" s="35"/>
      <c r="HJ954" s="35"/>
      <c r="HK954" s="35"/>
      <c r="HL954" s="35"/>
      <c r="HM954" s="35"/>
      <c r="HN954" s="35"/>
      <c r="HO954" s="35"/>
      <c r="HP954" s="35"/>
      <c r="HQ954" s="35"/>
      <c r="HR954" s="35"/>
      <c r="HS954" s="35"/>
      <c r="HT954" s="35"/>
      <c r="HU954" s="35"/>
      <c r="HV954" s="35"/>
      <c r="HW954" s="35"/>
      <c r="HX954" s="35"/>
      <c r="HY954" s="35"/>
      <c r="HZ954" s="35"/>
      <c r="IA954" s="35"/>
      <c r="IB954" s="35"/>
      <c r="IC954" s="35"/>
      <c r="ID954" s="35"/>
      <c r="IE954" s="35"/>
      <c r="IF954" s="35"/>
      <c r="IG954" s="35"/>
      <c r="IH954" s="35"/>
      <c r="II954" s="35"/>
      <c r="IJ954" s="35"/>
      <c r="IK954" s="35"/>
      <c r="IL954" s="35"/>
      <c r="IM954" s="35"/>
      <c r="IN954" s="35"/>
      <c r="IO954" s="35"/>
      <c r="IP954" s="35"/>
      <c r="IQ954" s="35"/>
      <c r="IR954" s="35"/>
      <c r="IS954" s="35"/>
      <c r="IT954" s="35"/>
      <c r="IU954" s="35"/>
      <c r="IV954" s="35"/>
      <c r="IW954" s="35"/>
      <c r="IX954" s="35"/>
      <c r="IY954" s="35"/>
      <c r="IZ954" s="35"/>
      <c r="JA954" s="35"/>
      <c r="JB954" s="35"/>
      <c r="JC954" s="35"/>
      <c r="JD954" s="35"/>
      <c r="JE954" s="35"/>
    </row>
    <row r="955">
      <c r="A955" s="42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  <c r="AZ955" s="35"/>
      <c r="BA955" s="35"/>
      <c r="BB955" s="35"/>
      <c r="BC955" s="35"/>
      <c r="BD955" s="35"/>
      <c r="BE955" s="35"/>
      <c r="BF955" s="35"/>
      <c r="BG955" s="35"/>
      <c r="BH955" s="35"/>
      <c r="BI955" s="35"/>
      <c r="BJ955" s="35"/>
      <c r="BK955" s="35"/>
      <c r="BL955" s="35"/>
      <c r="BM955" s="35"/>
      <c r="BN955" s="35"/>
      <c r="BO955" s="35"/>
      <c r="BP955" s="35"/>
      <c r="BQ955" s="35"/>
      <c r="BR955" s="35"/>
      <c r="BS955" s="35"/>
      <c r="BT955" s="35"/>
      <c r="BU955" s="35"/>
      <c r="BV955" s="35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35"/>
      <c r="CO955" s="35"/>
      <c r="CP955" s="35"/>
      <c r="CQ955" s="35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35"/>
      <c r="DJ955" s="35"/>
      <c r="DK955" s="35"/>
      <c r="DL955" s="35"/>
      <c r="DM955" s="35"/>
      <c r="DN955" s="35"/>
      <c r="DO955" s="35"/>
      <c r="DP955" s="35"/>
      <c r="DQ955" s="35"/>
      <c r="DR955" s="35"/>
      <c r="DS955" s="35"/>
      <c r="DT955" s="35"/>
      <c r="DU955" s="35"/>
      <c r="DV955" s="35"/>
      <c r="DW955" s="35"/>
      <c r="DX955" s="35"/>
      <c r="DY955" s="35"/>
      <c r="DZ955" s="35"/>
      <c r="EA955" s="35"/>
      <c r="EB955" s="35"/>
      <c r="EC955" s="35"/>
      <c r="ED955" s="35"/>
      <c r="EE955" s="35"/>
      <c r="EF955" s="35"/>
      <c r="EG955" s="35"/>
      <c r="EH955" s="35"/>
      <c r="EI955" s="35"/>
      <c r="EJ955" s="35"/>
      <c r="EK955" s="35"/>
      <c r="EL955" s="35"/>
      <c r="EM955" s="35"/>
      <c r="EN955" s="35"/>
      <c r="EO955" s="35"/>
      <c r="EP955" s="35"/>
      <c r="EQ955" s="35"/>
      <c r="ER955" s="35"/>
      <c r="ES955" s="35"/>
      <c r="ET955" s="35"/>
      <c r="EU955" s="35"/>
      <c r="EV955" s="35"/>
      <c r="EW955" s="35"/>
      <c r="EX955" s="35"/>
      <c r="EY955" s="35"/>
      <c r="EZ955" s="35"/>
      <c r="FA955" s="35"/>
      <c r="FB955" s="35"/>
      <c r="FC955" s="35"/>
      <c r="FD955" s="35"/>
      <c r="FE955" s="35"/>
      <c r="FF955" s="35"/>
      <c r="FG955" s="35"/>
      <c r="FH955" s="35"/>
      <c r="FI955" s="35"/>
      <c r="FJ955" s="35"/>
      <c r="FK955" s="35"/>
      <c r="FL955" s="35"/>
      <c r="FM955" s="35"/>
      <c r="FN955" s="35"/>
      <c r="FO955" s="35"/>
      <c r="FP955" s="35"/>
      <c r="FQ955" s="35"/>
      <c r="FR955" s="35"/>
      <c r="FS955" s="35"/>
      <c r="FT955" s="35"/>
      <c r="FU955" s="35"/>
      <c r="FV955" s="35"/>
      <c r="FW955" s="35"/>
      <c r="FX955" s="35"/>
      <c r="FY955" s="35"/>
      <c r="FZ955" s="35"/>
      <c r="GA955" s="35"/>
      <c r="GB955" s="35"/>
      <c r="GC955" s="35"/>
      <c r="GD955" s="35"/>
      <c r="GE955" s="35"/>
      <c r="GF955" s="35"/>
      <c r="GG955" s="35"/>
      <c r="GH955" s="35"/>
      <c r="GI955" s="35"/>
      <c r="GJ955" s="35"/>
      <c r="GK955" s="35"/>
      <c r="GL955" s="35"/>
      <c r="GM955" s="35"/>
      <c r="GN955" s="35"/>
      <c r="GO955" s="35"/>
      <c r="GP955" s="35"/>
      <c r="GQ955" s="35"/>
      <c r="GR955" s="35"/>
      <c r="GS955" s="35"/>
      <c r="GT955" s="35"/>
      <c r="GU955" s="35"/>
      <c r="GV955" s="35"/>
      <c r="GW955" s="35"/>
      <c r="GX955" s="35"/>
      <c r="GY955" s="35"/>
      <c r="GZ955" s="35"/>
      <c r="HA955" s="35"/>
      <c r="HB955" s="35"/>
      <c r="HC955" s="35"/>
      <c r="HD955" s="35"/>
      <c r="HE955" s="35"/>
      <c r="HF955" s="35"/>
      <c r="HG955" s="35"/>
      <c r="HH955" s="35"/>
      <c r="HI955" s="35"/>
      <c r="HJ955" s="35"/>
      <c r="HK955" s="35"/>
      <c r="HL955" s="35"/>
      <c r="HM955" s="35"/>
      <c r="HN955" s="35"/>
      <c r="HO955" s="35"/>
      <c r="HP955" s="35"/>
      <c r="HQ955" s="35"/>
      <c r="HR955" s="35"/>
      <c r="HS955" s="35"/>
      <c r="HT955" s="35"/>
      <c r="HU955" s="35"/>
      <c r="HV955" s="35"/>
      <c r="HW955" s="35"/>
      <c r="HX955" s="35"/>
      <c r="HY955" s="35"/>
      <c r="HZ955" s="35"/>
      <c r="IA955" s="35"/>
      <c r="IB955" s="35"/>
      <c r="IC955" s="35"/>
      <c r="ID955" s="35"/>
      <c r="IE955" s="35"/>
      <c r="IF955" s="35"/>
      <c r="IG955" s="35"/>
      <c r="IH955" s="35"/>
      <c r="II955" s="35"/>
      <c r="IJ955" s="35"/>
      <c r="IK955" s="35"/>
      <c r="IL955" s="35"/>
      <c r="IM955" s="35"/>
      <c r="IN955" s="35"/>
      <c r="IO955" s="35"/>
      <c r="IP955" s="35"/>
      <c r="IQ955" s="35"/>
      <c r="IR955" s="35"/>
      <c r="IS955" s="35"/>
      <c r="IT955" s="35"/>
      <c r="IU955" s="35"/>
      <c r="IV955" s="35"/>
      <c r="IW955" s="35"/>
      <c r="IX955" s="35"/>
      <c r="IY955" s="35"/>
      <c r="IZ955" s="35"/>
      <c r="JA955" s="35"/>
      <c r="JB955" s="35"/>
      <c r="JC955" s="35"/>
      <c r="JD955" s="35"/>
      <c r="JE955" s="35"/>
    </row>
    <row r="956">
      <c r="A956" s="42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  <c r="AZ956" s="35"/>
      <c r="BA956" s="35"/>
      <c r="BB956" s="35"/>
      <c r="BC956" s="35"/>
      <c r="BD956" s="35"/>
      <c r="BE956" s="35"/>
      <c r="BF956" s="35"/>
      <c r="BG956" s="35"/>
      <c r="BH956" s="35"/>
      <c r="BI956" s="35"/>
      <c r="BJ956" s="35"/>
      <c r="BK956" s="35"/>
      <c r="BL956" s="35"/>
      <c r="BM956" s="35"/>
      <c r="BN956" s="35"/>
      <c r="BO956" s="35"/>
      <c r="BP956" s="35"/>
      <c r="BQ956" s="35"/>
      <c r="BR956" s="35"/>
      <c r="BS956" s="35"/>
      <c r="BT956" s="35"/>
      <c r="BU956" s="35"/>
      <c r="BV956" s="35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35"/>
      <c r="CO956" s="35"/>
      <c r="CP956" s="35"/>
      <c r="CQ956" s="35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35"/>
      <c r="DJ956" s="35"/>
      <c r="DK956" s="35"/>
      <c r="DL956" s="35"/>
      <c r="DM956" s="35"/>
      <c r="DN956" s="35"/>
      <c r="DO956" s="35"/>
      <c r="DP956" s="35"/>
      <c r="DQ956" s="35"/>
      <c r="DR956" s="35"/>
      <c r="DS956" s="35"/>
      <c r="DT956" s="35"/>
      <c r="DU956" s="35"/>
      <c r="DV956" s="35"/>
      <c r="DW956" s="35"/>
      <c r="DX956" s="35"/>
      <c r="DY956" s="35"/>
      <c r="DZ956" s="35"/>
      <c r="EA956" s="35"/>
      <c r="EB956" s="35"/>
      <c r="EC956" s="35"/>
      <c r="ED956" s="35"/>
      <c r="EE956" s="35"/>
      <c r="EF956" s="35"/>
      <c r="EG956" s="35"/>
      <c r="EH956" s="35"/>
      <c r="EI956" s="35"/>
      <c r="EJ956" s="35"/>
      <c r="EK956" s="35"/>
      <c r="EL956" s="35"/>
      <c r="EM956" s="35"/>
      <c r="EN956" s="35"/>
      <c r="EO956" s="35"/>
      <c r="EP956" s="35"/>
      <c r="EQ956" s="35"/>
      <c r="ER956" s="35"/>
      <c r="ES956" s="35"/>
      <c r="ET956" s="35"/>
      <c r="EU956" s="35"/>
      <c r="EV956" s="35"/>
      <c r="EW956" s="35"/>
      <c r="EX956" s="35"/>
      <c r="EY956" s="35"/>
      <c r="EZ956" s="35"/>
      <c r="FA956" s="35"/>
      <c r="FB956" s="35"/>
      <c r="FC956" s="35"/>
      <c r="FD956" s="35"/>
      <c r="FE956" s="35"/>
      <c r="FF956" s="35"/>
      <c r="FG956" s="35"/>
      <c r="FH956" s="35"/>
      <c r="FI956" s="35"/>
      <c r="FJ956" s="35"/>
      <c r="FK956" s="35"/>
      <c r="FL956" s="35"/>
      <c r="FM956" s="35"/>
      <c r="FN956" s="35"/>
      <c r="FO956" s="35"/>
      <c r="FP956" s="35"/>
      <c r="FQ956" s="35"/>
      <c r="FR956" s="35"/>
      <c r="FS956" s="35"/>
      <c r="FT956" s="35"/>
      <c r="FU956" s="35"/>
      <c r="FV956" s="35"/>
      <c r="FW956" s="35"/>
      <c r="FX956" s="35"/>
      <c r="FY956" s="35"/>
      <c r="FZ956" s="35"/>
      <c r="GA956" s="35"/>
      <c r="GB956" s="35"/>
      <c r="GC956" s="35"/>
      <c r="GD956" s="35"/>
      <c r="GE956" s="35"/>
      <c r="GF956" s="35"/>
      <c r="GG956" s="35"/>
      <c r="GH956" s="35"/>
      <c r="GI956" s="35"/>
      <c r="GJ956" s="35"/>
      <c r="GK956" s="35"/>
      <c r="GL956" s="35"/>
      <c r="GM956" s="35"/>
      <c r="GN956" s="35"/>
      <c r="GO956" s="35"/>
      <c r="GP956" s="35"/>
      <c r="GQ956" s="35"/>
      <c r="GR956" s="35"/>
      <c r="GS956" s="35"/>
      <c r="GT956" s="35"/>
      <c r="GU956" s="35"/>
      <c r="GV956" s="35"/>
      <c r="GW956" s="35"/>
      <c r="GX956" s="35"/>
      <c r="GY956" s="35"/>
      <c r="GZ956" s="35"/>
      <c r="HA956" s="35"/>
      <c r="HB956" s="35"/>
      <c r="HC956" s="35"/>
      <c r="HD956" s="35"/>
      <c r="HE956" s="35"/>
      <c r="HF956" s="35"/>
      <c r="HG956" s="35"/>
      <c r="HH956" s="35"/>
      <c r="HI956" s="35"/>
      <c r="HJ956" s="35"/>
      <c r="HK956" s="35"/>
      <c r="HL956" s="35"/>
      <c r="HM956" s="35"/>
      <c r="HN956" s="35"/>
      <c r="HO956" s="35"/>
      <c r="HP956" s="35"/>
      <c r="HQ956" s="35"/>
      <c r="HR956" s="35"/>
      <c r="HS956" s="35"/>
      <c r="HT956" s="35"/>
      <c r="HU956" s="35"/>
      <c r="HV956" s="35"/>
      <c r="HW956" s="35"/>
      <c r="HX956" s="35"/>
      <c r="HY956" s="35"/>
      <c r="HZ956" s="35"/>
      <c r="IA956" s="35"/>
      <c r="IB956" s="35"/>
      <c r="IC956" s="35"/>
      <c r="ID956" s="35"/>
      <c r="IE956" s="35"/>
      <c r="IF956" s="35"/>
      <c r="IG956" s="35"/>
      <c r="IH956" s="35"/>
      <c r="II956" s="35"/>
      <c r="IJ956" s="35"/>
      <c r="IK956" s="35"/>
      <c r="IL956" s="35"/>
      <c r="IM956" s="35"/>
      <c r="IN956" s="35"/>
      <c r="IO956" s="35"/>
      <c r="IP956" s="35"/>
      <c r="IQ956" s="35"/>
      <c r="IR956" s="35"/>
      <c r="IS956" s="35"/>
      <c r="IT956" s="35"/>
      <c r="IU956" s="35"/>
      <c r="IV956" s="35"/>
      <c r="IW956" s="35"/>
      <c r="IX956" s="35"/>
      <c r="IY956" s="35"/>
      <c r="IZ956" s="35"/>
      <c r="JA956" s="35"/>
      <c r="JB956" s="35"/>
      <c r="JC956" s="35"/>
      <c r="JD956" s="35"/>
      <c r="JE956" s="35"/>
    </row>
    <row r="957">
      <c r="A957" s="42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35"/>
      <c r="BA957" s="35"/>
      <c r="BB957" s="35"/>
      <c r="BC957" s="35"/>
      <c r="BD957" s="35"/>
      <c r="BE957" s="35"/>
      <c r="BF957" s="35"/>
      <c r="BG957" s="35"/>
      <c r="BH957" s="35"/>
      <c r="BI957" s="35"/>
      <c r="BJ957" s="35"/>
      <c r="BK957" s="35"/>
      <c r="BL957" s="35"/>
      <c r="BM957" s="35"/>
      <c r="BN957" s="35"/>
      <c r="BO957" s="35"/>
      <c r="BP957" s="35"/>
      <c r="BQ957" s="35"/>
      <c r="BR957" s="35"/>
      <c r="BS957" s="35"/>
      <c r="BT957" s="35"/>
      <c r="BU957" s="35"/>
      <c r="BV957" s="35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35"/>
      <c r="CO957" s="35"/>
      <c r="CP957" s="35"/>
      <c r="CQ957" s="35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35"/>
      <c r="DJ957" s="35"/>
      <c r="DK957" s="35"/>
      <c r="DL957" s="35"/>
      <c r="DM957" s="35"/>
      <c r="DN957" s="35"/>
      <c r="DO957" s="35"/>
      <c r="DP957" s="35"/>
      <c r="DQ957" s="35"/>
      <c r="DR957" s="35"/>
      <c r="DS957" s="35"/>
      <c r="DT957" s="35"/>
      <c r="DU957" s="35"/>
      <c r="DV957" s="35"/>
      <c r="DW957" s="35"/>
      <c r="DX957" s="35"/>
      <c r="DY957" s="35"/>
      <c r="DZ957" s="35"/>
      <c r="EA957" s="35"/>
      <c r="EB957" s="35"/>
      <c r="EC957" s="35"/>
      <c r="ED957" s="35"/>
      <c r="EE957" s="35"/>
      <c r="EF957" s="35"/>
      <c r="EG957" s="35"/>
      <c r="EH957" s="35"/>
      <c r="EI957" s="35"/>
      <c r="EJ957" s="35"/>
      <c r="EK957" s="35"/>
      <c r="EL957" s="35"/>
      <c r="EM957" s="35"/>
      <c r="EN957" s="35"/>
      <c r="EO957" s="35"/>
      <c r="EP957" s="35"/>
      <c r="EQ957" s="35"/>
      <c r="ER957" s="35"/>
      <c r="ES957" s="35"/>
      <c r="ET957" s="35"/>
      <c r="EU957" s="35"/>
      <c r="EV957" s="35"/>
      <c r="EW957" s="35"/>
      <c r="EX957" s="35"/>
      <c r="EY957" s="35"/>
      <c r="EZ957" s="35"/>
      <c r="FA957" s="35"/>
      <c r="FB957" s="35"/>
      <c r="FC957" s="35"/>
      <c r="FD957" s="35"/>
      <c r="FE957" s="35"/>
      <c r="FF957" s="35"/>
      <c r="FG957" s="35"/>
      <c r="FH957" s="35"/>
      <c r="FI957" s="35"/>
      <c r="FJ957" s="35"/>
      <c r="FK957" s="35"/>
      <c r="FL957" s="35"/>
      <c r="FM957" s="35"/>
      <c r="FN957" s="35"/>
      <c r="FO957" s="35"/>
      <c r="FP957" s="35"/>
      <c r="FQ957" s="35"/>
      <c r="FR957" s="35"/>
      <c r="FS957" s="35"/>
      <c r="FT957" s="35"/>
      <c r="FU957" s="35"/>
      <c r="FV957" s="35"/>
      <c r="FW957" s="35"/>
      <c r="FX957" s="35"/>
      <c r="FY957" s="35"/>
      <c r="FZ957" s="35"/>
      <c r="GA957" s="35"/>
      <c r="GB957" s="35"/>
      <c r="GC957" s="35"/>
      <c r="GD957" s="35"/>
      <c r="GE957" s="35"/>
      <c r="GF957" s="35"/>
      <c r="GG957" s="35"/>
      <c r="GH957" s="35"/>
      <c r="GI957" s="35"/>
      <c r="GJ957" s="35"/>
      <c r="GK957" s="35"/>
      <c r="GL957" s="35"/>
      <c r="GM957" s="35"/>
      <c r="GN957" s="35"/>
      <c r="GO957" s="35"/>
      <c r="GP957" s="35"/>
      <c r="GQ957" s="35"/>
      <c r="GR957" s="35"/>
      <c r="GS957" s="35"/>
      <c r="GT957" s="35"/>
      <c r="GU957" s="35"/>
      <c r="GV957" s="35"/>
      <c r="GW957" s="35"/>
      <c r="GX957" s="35"/>
      <c r="GY957" s="35"/>
      <c r="GZ957" s="35"/>
      <c r="HA957" s="35"/>
      <c r="HB957" s="35"/>
      <c r="HC957" s="35"/>
      <c r="HD957" s="35"/>
      <c r="HE957" s="35"/>
      <c r="HF957" s="35"/>
      <c r="HG957" s="35"/>
      <c r="HH957" s="35"/>
      <c r="HI957" s="35"/>
      <c r="HJ957" s="35"/>
      <c r="HK957" s="35"/>
      <c r="HL957" s="35"/>
      <c r="HM957" s="35"/>
      <c r="HN957" s="35"/>
      <c r="HO957" s="35"/>
      <c r="HP957" s="35"/>
      <c r="HQ957" s="35"/>
      <c r="HR957" s="35"/>
      <c r="HS957" s="35"/>
      <c r="HT957" s="35"/>
      <c r="HU957" s="35"/>
      <c r="HV957" s="35"/>
      <c r="HW957" s="35"/>
      <c r="HX957" s="35"/>
      <c r="HY957" s="35"/>
      <c r="HZ957" s="35"/>
      <c r="IA957" s="35"/>
      <c r="IB957" s="35"/>
      <c r="IC957" s="35"/>
      <c r="ID957" s="35"/>
      <c r="IE957" s="35"/>
      <c r="IF957" s="35"/>
      <c r="IG957" s="35"/>
      <c r="IH957" s="35"/>
      <c r="II957" s="35"/>
      <c r="IJ957" s="35"/>
      <c r="IK957" s="35"/>
      <c r="IL957" s="35"/>
      <c r="IM957" s="35"/>
      <c r="IN957" s="35"/>
      <c r="IO957" s="35"/>
      <c r="IP957" s="35"/>
      <c r="IQ957" s="35"/>
      <c r="IR957" s="35"/>
      <c r="IS957" s="35"/>
      <c r="IT957" s="35"/>
      <c r="IU957" s="35"/>
      <c r="IV957" s="35"/>
      <c r="IW957" s="35"/>
      <c r="IX957" s="35"/>
      <c r="IY957" s="35"/>
      <c r="IZ957" s="35"/>
      <c r="JA957" s="35"/>
      <c r="JB957" s="35"/>
      <c r="JC957" s="35"/>
      <c r="JD957" s="35"/>
      <c r="JE957" s="35"/>
    </row>
    <row r="958">
      <c r="A958" s="42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  <c r="AZ958" s="35"/>
      <c r="BA958" s="35"/>
      <c r="BB958" s="35"/>
      <c r="BC958" s="35"/>
      <c r="BD958" s="35"/>
      <c r="BE958" s="35"/>
      <c r="BF958" s="35"/>
      <c r="BG958" s="35"/>
      <c r="BH958" s="35"/>
      <c r="BI958" s="35"/>
      <c r="BJ958" s="35"/>
      <c r="BK958" s="35"/>
      <c r="BL958" s="35"/>
      <c r="BM958" s="35"/>
      <c r="BN958" s="35"/>
      <c r="BO958" s="35"/>
      <c r="BP958" s="35"/>
      <c r="BQ958" s="35"/>
      <c r="BR958" s="35"/>
      <c r="BS958" s="35"/>
      <c r="BT958" s="35"/>
      <c r="BU958" s="35"/>
      <c r="BV958" s="35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35"/>
      <c r="CO958" s="35"/>
      <c r="CP958" s="35"/>
      <c r="CQ958" s="35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35"/>
      <c r="DJ958" s="35"/>
      <c r="DK958" s="35"/>
      <c r="DL958" s="35"/>
      <c r="DM958" s="35"/>
      <c r="DN958" s="35"/>
      <c r="DO958" s="35"/>
      <c r="DP958" s="35"/>
      <c r="DQ958" s="35"/>
      <c r="DR958" s="35"/>
      <c r="DS958" s="35"/>
      <c r="DT958" s="35"/>
      <c r="DU958" s="35"/>
      <c r="DV958" s="35"/>
      <c r="DW958" s="35"/>
      <c r="DX958" s="35"/>
      <c r="DY958" s="35"/>
      <c r="DZ958" s="35"/>
      <c r="EA958" s="35"/>
      <c r="EB958" s="35"/>
      <c r="EC958" s="35"/>
      <c r="ED958" s="35"/>
      <c r="EE958" s="35"/>
      <c r="EF958" s="35"/>
      <c r="EG958" s="35"/>
      <c r="EH958" s="35"/>
      <c r="EI958" s="35"/>
      <c r="EJ958" s="35"/>
      <c r="EK958" s="35"/>
      <c r="EL958" s="35"/>
      <c r="EM958" s="35"/>
      <c r="EN958" s="35"/>
      <c r="EO958" s="35"/>
      <c r="EP958" s="35"/>
      <c r="EQ958" s="35"/>
      <c r="ER958" s="35"/>
      <c r="ES958" s="35"/>
      <c r="ET958" s="35"/>
      <c r="EU958" s="35"/>
      <c r="EV958" s="35"/>
      <c r="EW958" s="35"/>
      <c r="EX958" s="35"/>
      <c r="EY958" s="35"/>
      <c r="EZ958" s="35"/>
      <c r="FA958" s="35"/>
      <c r="FB958" s="35"/>
      <c r="FC958" s="35"/>
      <c r="FD958" s="35"/>
      <c r="FE958" s="35"/>
      <c r="FF958" s="35"/>
      <c r="FG958" s="35"/>
      <c r="FH958" s="35"/>
      <c r="FI958" s="35"/>
      <c r="FJ958" s="35"/>
      <c r="FK958" s="35"/>
      <c r="FL958" s="35"/>
      <c r="FM958" s="35"/>
      <c r="FN958" s="35"/>
      <c r="FO958" s="35"/>
      <c r="FP958" s="35"/>
      <c r="FQ958" s="35"/>
      <c r="FR958" s="35"/>
      <c r="FS958" s="35"/>
      <c r="FT958" s="35"/>
      <c r="FU958" s="35"/>
      <c r="FV958" s="35"/>
      <c r="FW958" s="35"/>
      <c r="FX958" s="35"/>
      <c r="FY958" s="35"/>
      <c r="FZ958" s="35"/>
      <c r="GA958" s="35"/>
      <c r="GB958" s="35"/>
      <c r="GC958" s="35"/>
      <c r="GD958" s="35"/>
      <c r="GE958" s="35"/>
      <c r="GF958" s="35"/>
      <c r="GG958" s="35"/>
      <c r="GH958" s="35"/>
      <c r="GI958" s="35"/>
      <c r="GJ958" s="35"/>
      <c r="GK958" s="35"/>
      <c r="GL958" s="35"/>
      <c r="GM958" s="35"/>
      <c r="GN958" s="35"/>
      <c r="GO958" s="35"/>
      <c r="GP958" s="35"/>
      <c r="GQ958" s="35"/>
      <c r="GR958" s="35"/>
      <c r="GS958" s="35"/>
      <c r="GT958" s="35"/>
      <c r="GU958" s="35"/>
      <c r="GV958" s="35"/>
      <c r="GW958" s="35"/>
      <c r="GX958" s="35"/>
      <c r="GY958" s="35"/>
      <c r="GZ958" s="35"/>
      <c r="HA958" s="35"/>
      <c r="HB958" s="35"/>
      <c r="HC958" s="35"/>
      <c r="HD958" s="35"/>
      <c r="HE958" s="35"/>
      <c r="HF958" s="35"/>
      <c r="HG958" s="35"/>
      <c r="HH958" s="35"/>
      <c r="HI958" s="35"/>
      <c r="HJ958" s="35"/>
      <c r="HK958" s="35"/>
      <c r="HL958" s="35"/>
      <c r="HM958" s="35"/>
      <c r="HN958" s="35"/>
      <c r="HO958" s="35"/>
      <c r="HP958" s="35"/>
      <c r="HQ958" s="35"/>
      <c r="HR958" s="35"/>
      <c r="HS958" s="35"/>
      <c r="HT958" s="35"/>
      <c r="HU958" s="35"/>
      <c r="HV958" s="35"/>
      <c r="HW958" s="35"/>
      <c r="HX958" s="35"/>
      <c r="HY958" s="35"/>
      <c r="HZ958" s="35"/>
      <c r="IA958" s="35"/>
      <c r="IB958" s="35"/>
      <c r="IC958" s="35"/>
      <c r="ID958" s="35"/>
      <c r="IE958" s="35"/>
      <c r="IF958" s="35"/>
      <c r="IG958" s="35"/>
      <c r="IH958" s="35"/>
      <c r="II958" s="35"/>
      <c r="IJ958" s="35"/>
      <c r="IK958" s="35"/>
      <c r="IL958" s="35"/>
      <c r="IM958" s="35"/>
      <c r="IN958" s="35"/>
      <c r="IO958" s="35"/>
      <c r="IP958" s="35"/>
      <c r="IQ958" s="35"/>
      <c r="IR958" s="35"/>
      <c r="IS958" s="35"/>
      <c r="IT958" s="35"/>
      <c r="IU958" s="35"/>
      <c r="IV958" s="35"/>
      <c r="IW958" s="35"/>
      <c r="IX958" s="35"/>
      <c r="IY958" s="35"/>
      <c r="IZ958" s="35"/>
      <c r="JA958" s="35"/>
      <c r="JB958" s="35"/>
      <c r="JC958" s="35"/>
      <c r="JD958" s="35"/>
      <c r="JE958" s="35"/>
    </row>
    <row r="959">
      <c r="A959" s="42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  <c r="AZ959" s="35"/>
      <c r="BA959" s="35"/>
      <c r="BB959" s="35"/>
      <c r="BC959" s="35"/>
      <c r="BD959" s="35"/>
      <c r="BE959" s="35"/>
      <c r="BF959" s="35"/>
      <c r="BG959" s="35"/>
      <c r="BH959" s="35"/>
      <c r="BI959" s="35"/>
      <c r="BJ959" s="35"/>
      <c r="BK959" s="35"/>
      <c r="BL959" s="35"/>
      <c r="BM959" s="35"/>
      <c r="BN959" s="35"/>
      <c r="BO959" s="35"/>
      <c r="BP959" s="35"/>
      <c r="BQ959" s="35"/>
      <c r="BR959" s="35"/>
      <c r="BS959" s="35"/>
      <c r="BT959" s="35"/>
      <c r="BU959" s="35"/>
      <c r="BV959" s="35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35"/>
      <c r="CO959" s="35"/>
      <c r="CP959" s="35"/>
      <c r="CQ959" s="35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35"/>
      <c r="DJ959" s="35"/>
      <c r="DK959" s="35"/>
      <c r="DL959" s="35"/>
      <c r="DM959" s="35"/>
      <c r="DN959" s="35"/>
      <c r="DO959" s="35"/>
      <c r="DP959" s="35"/>
      <c r="DQ959" s="35"/>
      <c r="DR959" s="35"/>
      <c r="DS959" s="35"/>
      <c r="DT959" s="35"/>
      <c r="DU959" s="35"/>
      <c r="DV959" s="35"/>
      <c r="DW959" s="35"/>
      <c r="DX959" s="35"/>
      <c r="DY959" s="35"/>
      <c r="DZ959" s="35"/>
      <c r="EA959" s="35"/>
      <c r="EB959" s="35"/>
      <c r="EC959" s="35"/>
      <c r="ED959" s="35"/>
      <c r="EE959" s="35"/>
      <c r="EF959" s="35"/>
      <c r="EG959" s="35"/>
      <c r="EH959" s="35"/>
      <c r="EI959" s="35"/>
      <c r="EJ959" s="35"/>
      <c r="EK959" s="35"/>
      <c r="EL959" s="35"/>
      <c r="EM959" s="35"/>
      <c r="EN959" s="35"/>
      <c r="EO959" s="35"/>
      <c r="EP959" s="35"/>
      <c r="EQ959" s="35"/>
      <c r="ER959" s="35"/>
      <c r="ES959" s="35"/>
      <c r="ET959" s="35"/>
      <c r="EU959" s="35"/>
      <c r="EV959" s="35"/>
      <c r="EW959" s="35"/>
      <c r="EX959" s="35"/>
      <c r="EY959" s="35"/>
      <c r="EZ959" s="35"/>
      <c r="FA959" s="35"/>
      <c r="FB959" s="35"/>
      <c r="FC959" s="35"/>
      <c r="FD959" s="35"/>
      <c r="FE959" s="35"/>
      <c r="FF959" s="35"/>
      <c r="FG959" s="35"/>
      <c r="FH959" s="35"/>
      <c r="FI959" s="35"/>
      <c r="FJ959" s="35"/>
      <c r="FK959" s="35"/>
      <c r="FL959" s="35"/>
      <c r="FM959" s="35"/>
      <c r="FN959" s="35"/>
      <c r="FO959" s="35"/>
      <c r="FP959" s="35"/>
      <c r="FQ959" s="35"/>
      <c r="FR959" s="35"/>
      <c r="FS959" s="35"/>
      <c r="FT959" s="35"/>
      <c r="FU959" s="35"/>
      <c r="FV959" s="35"/>
      <c r="FW959" s="35"/>
      <c r="FX959" s="35"/>
      <c r="FY959" s="35"/>
      <c r="FZ959" s="35"/>
      <c r="GA959" s="35"/>
      <c r="GB959" s="35"/>
      <c r="GC959" s="35"/>
      <c r="GD959" s="35"/>
      <c r="GE959" s="35"/>
      <c r="GF959" s="35"/>
      <c r="GG959" s="35"/>
      <c r="GH959" s="35"/>
      <c r="GI959" s="35"/>
      <c r="GJ959" s="35"/>
      <c r="GK959" s="35"/>
      <c r="GL959" s="35"/>
      <c r="GM959" s="35"/>
      <c r="GN959" s="35"/>
      <c r="GO959" s="35"/>
      <c r="GP959" s="35"/>
      <c r="GQ959" s="35"/>
      <c r="GR959" s="35"/>
      <c r="GS959" s="35"/>
      <c r="GT959" s="35"/>
      <c r="GU959" s="35"/>
      <c r="GV959" s="35"/>
      <c r="GW959" s="35"/>
      <c r="GX959" s="35"/>
      <c r="GY959" s="35"/>
      <c r="GZ959" s="35"/>
      <c r="HA959" s="35"/>
      <c r="HB959" s="35"/>
      <c r="HC959" s="35"/>
      <c r="HD959" s="35"/>
      <c r="HE959" s="35"/>
      <c r="HF959" s="35"/>
      <c r="HG959" s="35"/>
      <c r="HH959" s="35"/>
      <c r="HI959" s="35"/>
      <c r="HJ959" s="35"/>
      <c r="HK959" s="35"/>
      <c r="HL959" s="35"/>
      <c r="HM959" s="35"/>
      <c r="HN959" s="35"/>
      <c r="HO959" s="35"/>
      <c r="HP959" s="35"/>
      <c r="HQ959" s="35"/>
      <c r="HR959" s="35"/>
      <c r="HS959" s="35"/>
      <c r="HT959" s="35"/>
      <c r="HU959" s="35"/>
      <c r="HV959" s="35"/>
      <c r="HW959" s="35"/>
      <c r="HX959" s="35"/>
      <c r="HY959" s="35"/>
      <c r="HZ959" s="35"/>
      <c r="IA959" s="35"/>
      <c r="IB959" s="35"/>
      <c r="IC959" s="35"/>
      <c r="ID959" s="35"/>
      <c r="IE959" s="35"/>
      <c r="IF959" s="35"/>
      <c r="IG959" s="35"/>
      <c r="IH959" s="35"/>
      <c r="II959" s="35"/>
      <c r="IJ959" s="35"/>
      <c r="IK959" s="35"/>
      <c r="IL959" s="35"/>
      <c r="IM959" s="35"/>
      <c r="IN959" s="35"/>
      <c r="IO959" s="35"/>
      <c r="IP959" s="35"/>
      <c r="IQ959" s="35"/>
      <c r="IR959" s="35"/>
      <c r="IS959" s="35"/>
      <c r="IT959" s="35"/>
      <c r="IU959" s="35"/>
      <c r="IV959" s="35"/>
      <c r="IW959" s="35"/>
      <c r="IX959" s="35"/>
      <c r="IY959" s="35"/>
      <c r="IZ959" s="35"/>
      <c r="JA959" s="35"/>
      <c r="JB959" s="35"/>
      <c r="JC959" s="35"/>
      <c r="JD959" s="35"/>
      <c r="JE959" s="35"/>
    </row>
    <row r="960">
      <c r="A960" s="42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  <c r="AZ960" s="35"/>
      <c r="BA960" s="35"/>
      <c r="BB960" s="35"/>
      <c r="BC960" s="35"/>
      <c r="BD960" s="35"/>
      <c r="BE960" s="35"/>
      <c r="BF960" s="35"/>
      <c r="BG960" s="35"/>
      <c r="BH960" s="35"/>
      <c r="BI960" s="35"/>
      <c r="BJ960" s="35"/>
      <c r="BK960" s="35"/>
      <c r="BL960" s="35"/>
      <c r="BM960" s="35"/>
      <c r="BN960" s="35"/>
      <c r="BO960" s="35"/>
      <c r="BP960" s="35"/>
      <c r="BQ960" s="35"/>
      <c r="BR960" s="35"/>
      <c r="BS960" s="35"/>
      <c r="BT960" s="35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35"/>
      <c r="CO960" s="35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35"/>
      <c r="DJ960" s="35"/>
      <c r="DK960" s="35"/>
      <c r="DL960" s="35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35"/>
      <c r="EE960" s="35"/>
      <c r="EF960" s="35"/>
      <c r="EG960" s="35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35"/>
      <c r="EZ960" s="35"/>
      <c r="FA960" s="35"/>
      <c r="FB960" s="35"/>
      <c r="FC960" s="35"/>
      <c r="FD960" s="35"/>
      <c r="FE960" s="35"/>
      <c r="FF960" s="35"/>
      <c r="FG960" s="35"/>
      <c r="FH960" s="35"/>
      <c r="FI960" s="35"/>
      <c r="FJ960" s="35"/>
      <c r="FK960" s="35"/>
      <c r="FL960" s="35"/>
      <c r="FM960" s="35"/>
      <c r="FN960" s="35"/>
      <c r="FO960" s="35"/>
      <c r="FP960" s="35"/>
      <c r="FQ960" s="35"/>
      <c r="FR960" s="35"/>
      <c r="FS960" s="35"/>
      <c r="FT960" s="35"/>
      <c r="FU960" s="35"/>
      <c r="FV960" s="35"/>
      <c r="FW960" s="35"/>
      <c r="FX960" s="35"/>
      <c r="FY960" s="35"/>
      <c r="FZ960" s="35"/>
      <c r="GA960" s="35"/>
      <c r="GB960" s="35"/>
      <c r="GC960" s="35"/>
      <c r="GD960" s="35"/>
      <c r="GE960" s="35"/>
      <c r="GF960" s="35"/>
      <c r="GG960" s="35"/>
      <c r="GH960" s="35"/>
      <c r="GI960" s="35"/>
      <c r="GJ960" s="35"/>
      <c r="GK960" s="35"/>
      <c r="GL960" s="35"/>
      <c r="GM960" s="35"/>
      <c r="GN960" s="35"/>
      <c r="GO960" s="35"/>
      <c r="GP960" s="35"/>
      <c r="GQ960" s="35"/>
      <c r="GR960" s="35"/>
      <c r="GS960" s="35"/>
      <c r="GT960" s="35"/>
      <c r="GU960" s="35"/>
      <c r="GV960" s="35"/>
      <c r="GW960" s="35"/>
      <c r="GX960" s="35"/>
      <c r="GY960" s="35"/>
      <c r="GZ960" s="35"/>
      <c r="HA960" s="35"/>
      <c r="HB960" s="35"/>
      <c r="HC960" s="35"/>
      <c r="HD960" s="35"/>
      <c r="HE960" s="35"/>
      <c r="HF960" s="35"/>
      <c r="HG960" s="35"/>
      <c r="HH960" s="35"/>
      <c r="HI960" s="35"/>
      <c r="HJ960" s="35"/>
      <c r="HK960" s="35"/>
      <c r="HL960" s="35"/>
      <c r="HM960" s="35"/>
      <c r="HN960" s="35"/>
      <c r="HO960" s="35"/>
      <c r="HP960" s="35"/>
      <c r="HQ960" s="35"/>
      <c r="HR960" s="35"/>
      <c r="HS960" s="35"/>
      <c r="HT960" s="35"/>
      <c r="HU960" s="35"/>
      <c r="HV960" s="35"/>
      <c r="HW960" s="35"/>
      <c r="HX960" s="35"/>
      <c r="HY960" s="35"/>
      <c r="HZ960" s="35"/>
      <c r="IA960" s="35"/>
      <c r="IB960" s="35"/>
      <c r="IC960" s="35"/>
      <c r="ID960" s="35"/>
      <c r="IE960" s="35"/>
      <c r="IF960" s="35"/>
      <c r="IG960" s="35"/>
      <c r="IH960" s="35"/>
      <c r="II960" s="35"/>
      <c r="IJ960" s="35"/>
      <c r="IK960" s="35"/>
      <c r="IL960" s="35"/>
      <c r="IM960" s="35"/>
      <c r="IN960" s="35"/>
      <c r="IO960" s="35"/>
      <c r="IP960" s="35"/>
      <c r="IQ960" s="35"/>
      <c r="IR960" s="35"/>
      <c r="IS960" s="35"/>
      <c r="IT960" s="35"/>
      <c r="IU960" s="35"/>
      <c r="IV960" s="35"/>
      <c r="IW960" s="35"/>
      <c r="IX960" s="35"/>
      <c r="IY960" s="35"/>
      <c r="IZ960" s="35"/>
      <c r="JA960" s="35"/>
      <c r="JB960" s="35"/>
      <c r="JC960" s="35"/>
      <c r="JD960" s="35"/>
      <c r="JE960" s="35"/>
    </row>
    <row r="961">
      <c r="A961" s="42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35"/>
      <c r="BA961" s="35"/>
      <c r="BB961" s="35"/>
      <c r="BC961" s="35"/>
      <c r="BD961" s="35"/>
      <c r="BE961" s="35"/>
      <c r="BF961" s="35"/>
      <c r="BG961" s="35"/>
      <c r="BH961" s="35"/>
      <c r="BI961" s="35"/>
      <c r="BJ961" s="35"/>
      <c r="BK961" s="35"/>
      <c r="BL961" s="35"/>
      <c r="BM961" s="35"/>
      <c r="BN961" s="35"/>
      <c r="BO961" s="35"/>
      <c r="BP961" s="35"/>
      <c r="BQ961" s="35"/>
      <c r="BR961" s="35"/>
      <c r="BS961" s="35"/>
      <c r="BT961" s="35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35"/>
      <c r="CO961" s="35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35"/>
      <c r="DJ961" s="35"/>
      <c r="DK961" s="35"/>
      <c r="DL961" s="35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35"/>
      <c r="EE961" s="35"/>
      <c r="EF961" s="35"/>
      <c r="EG961" s="35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35"/>
      <c r="EZ961" s="35"/>
      <c r="FA961" s="35"/>
      <c r="FB961" s="35"/>
      <c r="FC961" s="35"/>
      <c r="FD961" s="35"/>
      <c r="FE961" s="35"/>
      <c r="FF961" s="35"/>
      <c r="FG961" s="35"/>
      <c r="FH961" s="35"/>
      <c r="FI961" s="35"/>
      <c r="FJ961" s="35"/>
      <c r="FK961" s="35"/>
      <c r="FL961" s="35"/>
      <c r="FM961" s="35"/>
      <c r="FN961" s="35"/>
      <c r="FO961" s="35"/>
      <c r="FP961" s="35"/>
      <c r="FQ961" s="35"/>
      <c r="FR961" s="35"/>
      <c r="FS961" s="35"/>
      <c r="FT961" s="35"/>
      <c r="FU961" s="35"/>
      <c r="FV961" s="35"/>
      <c r="FW961" s="35"/>
      <c r="FX961" s="35"/>
      <c r="FY961" s="35"/>
      <c r="FZ961" s="35"/>
      <c r="GA961" s="35"/>
      <c r="GB961" s="35"/>
      <c r="GC961" s="35"/>
      <c r="GD961" s="35"/>
      <c r="GE961" s="35"/>
      <c r="GF961" s="35"/>
      <c r="GG961" s="35"/>
      <c r="GH961" s="35"/>
      <c r="GI961" s="35"/>
      <c r="GJ961" s="35"/>
      <c r="GK961" s="35"/>
      <c r="GL961" s="35"/>
      <c r="GM961" s="35"/>
      <c r="GN961" s="35"/>
      <c r="GO961" s="35"/>
      <c r="GP961" s="35"/>
      <c r="GQ961" s="35"/>
      <c r="GR961" s="35"/>
      <c r="GS961" s="35"/>
      <c r="GT961" s="35"/>
      <c r="GU961" s="35"/>
      <c r="GV961" s="35"/>
      <c r="GW961" s="35"/>
      <c r="GX961" s="35"/>
      <c r="GY961" s="35"/>
      <c r="GZ961" s="35"/>
      <c r="HA961" s="35"/>
      <c r="HB961" s="35"/>
      <c r="HC961" s="35"/>
      <c r="HD961" s="35"/>
      <c r="HE961" s="35"/>
      <c r="HF961" s="35"/>
      <c r="HG961" s="35"/>
      <c r="HH961" s="35"/>
      <c r="HI961" s="35"/>
      <c r="HJ961" s="35"/>
      <c r="HK961" s="35"/>
      <c r="HL961" s="35"/>
      <c r="HM961" s="35"/>
      <c r="HN961" s="35"/>
      <c r="HO961" s="35"/>
      <c r="HP961" s="35"/>
      <c r="HQ961" s="35"/>
      <c r="HR961" s="35"/>
      <c r="HS961" s="35"/>
      <c r="HT961" s="35"/>
      <c r="HU961" s="35"/>
      <c r="HV961" s="35"/>
      <c r="HW961" s="35"/>
      <c r="HX961" s="35"/>
      <c r="HY961" s="35"/>
      <c r="HZ961" s="35"/>
      <c r="IA961" s="35"/>
      <c r="IB961" s="35"/>
      <c r="IC961" s="35"/>
      <c r="ID961" s="35"/>
      <c r="IE961" s="35"/>
      <c r="IF961" s="35"/>
      <c r="IG961" s="35"/>
      <c r="IH961" s="35"/>
      <c r="II961" s="35"/>
      <c r="IJ961" s="35"/>
      <c r="IK961" s="35"/>
      <c r="IL961" s="35"/>
      <c r="IM961" s="35"/>
      <c r="IN961" s="35"/>
      <c r="IO961" s="35"/>
      <c r="IP961" s="35"/>
      <c r="IQ961" s="35"/>
      <c r="IR961" s="35"/>
      <c r="IS961" s="35"/>
      <c r="IT961" s="35"/>
      <c r="IU961" s="35"/>
      <c r="IV961" s="35"/>
      <c r="IW961" s="35"/>
      <c r="IX961" s="35"/>
      <c r="IY961" s="35"/>
      <c r="IZ961" s="35"/>
      <c r="JA961" s="35"/>
      <c r="JB961" s="35"/>
      <c r="JC961" s="35"/>
      <c r="JD961" s="35"/>
      <c r="JE961" s="35"/>
    </row>
    <row r="962">
      <c r="A962" s="42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  <c r="AZ962" s="35"/>
      <c r="BA962" s="35"/>
      <c r="BB962" s="35"/>
      <c r="BC962" s="35"/>
      <c r="BD962" s="35"/>
      <c r="BE962" s="35"/>
      <c r="BF962" s="35"/>
      <c r="BG962" s="35"/>
      <c r="BH962" s="35"/>
      <c r="BI962" s="35"/>
      <c r="BJ962" s="35"/>
      <c r="BK962" s="35"/>
      <c r="BL962" s="35"/>
      <c r="BM962" s="35"/>
      <c r="BN962" s="35"/>
      <c r="BO962" s="35"/>
      <c r="BP962" s="35"/>
      <c r="BQ962" s="35"/>
      <c r="BR962" s="35"/>
      <c r="BS962" s="35"/>
      <c r="BT962" s="35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35"/>
      <c r="CO962" s="35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35"/>
      <c r="DJ962" s="35"/>
      <c r="DK962" s="35"/>
      <c r="DL962" s="35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35"/>
      <c r="EE962" s="35"/>
      <c r="EF962" s="35"/>
      <c r="EG962" s="35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35"/>
      <c r="EZ962" s="35"/>
      <c r="FA962" s="35"/>
      <c r="FB962" s="35"/>
      <c r="FC962" s="35"/>
      <c r="FD962" s="35"/>
      <c r="FE962" s="35"/>
      <c r="FF962" s="35"/>
      <c r="FG962" s="35"/>
      <c r="FH962" s="35"/>
      <c r="FI962" s="35"/>
      <c r="FJ962" s="35"/>
      <c r="FK962" s="35"/>
      <c r="FL962" s="35"/>
      <c r="FM962" s="35"/>
      <c r="FN962" s="35"/>
      <c r="FO962" s="35"/>
      <c r="FP962" s="35"/>
      <c r="FQ962" s="35"/>
      <c r="FR962" s="35"/>
      <c r="FS962" s="35"/>
      <c r="FT962" s="35"/>
      <c r="FU962" s="35"/>
      <c r="FV962" s="35"/>
      <c r="FW962" s="35"/>
      <c r="FX962" s="35"/>
      <c r="FY962" s="35"/>
      <c r="FZ962" s="35"/>
      <c r="GA962" s="35"/>
      <c r="GB962" s="35"/>
      <c r="GC962" s="35"/>
      <c r="GD962" s="35"/>
      <c r="GE962" s="35"/>
      <c r="GF962" s="35"/>
      <c r="GG962" s="35"/>
      <c r="GH962" s="35"/>
      <c r="GI962" s="35"/>
      <c r="GJ962" s="35"/>
      <c r="GK962" s="35"/>
      <c r="GL962" s="35"/>
      <c r="GM962" s="35"/>
      <c r="GN962" s="35"/>
      <c r="GO962" s="35"/>
      <c r="GP962" s="35"/>
      <c r="GQ962" s="35"/>
      <c r="GR962" s="35"/>
      <c r="GS962" s="35"/>
      <c r="GT962" s="35"/>
      <c r="GU962" s="35"/>
      <c r="GV962" s="35"/>
      <c r="GW962" s="35"/>
      <c r="GX962" s="35"/>
      <c r="GY962" s="35"/>
      <c r="GZ962" s="35"/>
      <c r="HA962" s="35"/>
      <c r="HB962" s="35"/>
      <c r="HC962" s="35"/>
      <c r="HD962" s="35"/>
      <c r="HE962" s="35"/>
      <c r="HF962" s="35"/>
      <c r="HG962" s="35"/>
      <c r="HH962" s="35"/>
      <c r="HI962" s="35"/>
      <c r="HJ962" s="35"/>
      <c r="HK962" s="35"/>
      <c r="HL962" s="35"/>
      <c r="HM962" s="35"/>
      <c r="HN962" s="35"/>
      <c r="HO962" s="35"/>
      <c r="HP962" s="35"/>
      <c r="HQ962" s="35"/>
      <c r="HR962" s="35"/>
      <c r="HS962" s="35"/>
      <c r="HT962" s="35"/>
      <c r="HU962" s="35"/>
      <c r="HV962" s="35"/>
      <c r="HW962" s="35"/>
      <c r="HX962" s="35"/>
      <c r="HY962" s="35"/>
      <c r="HZ962" s="35"/>
      <c r="IA962" s="35"/>
      <c r="IB962" s="35"/>
      <c r="IC962" s="35"/>
      <c r="ID962" s="35"/>
      <c r="IE962" s="35"/>
      <c r="IF962" s="35"/>
      <c r="IG962" s="35"/>
      <c r="IH962" s="35"/>
      <c r="II962" s="35"/>
      <c r="IJ962" s="35"/>
      <c r="IK962" s="35"/>
      <c r="IL962" s="35"/>
      <c r="IM962" s="35"/>
      <c r="IN962" s="35"/>
      <c r="IO962" s="35"/>
      <c r="IP962" s="35"/>
      <c r="IQ962" s="35"/>
      <c r="IR962" s="35"/>
      <c r="IS962" s="35"/>
      <c r="IT962" s="35"/>
      <c r="IU962" s="35"/>
      <c r="IV962" s="35"/>
      <c r="IW962" s="35"/>
      <c r="IX962" s="35"/>
      <c r="IY962" s="35"/>
      <c r="IZ962" s="35"/>
      <c r="JA962" s="35"/>
      <c r="JB962" s="35"/>
      <c r="JC962" s="35"/>
      <c r="JD962" s="35"/>
      <c r="JE962" s="35"/>
    </row>
    <row r="963">
      <c r="A963" s="42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  <c r="AZ963" s="35"/>
      <c r="BA963" s="35"/>
      <c r="BB963" s="35"/>
      <c r="BC963" s="35"/>
      <c r="BD963" s="35"/>
      <c r="BE963" s="35"/>
      <c r="BF963" s="35"/>
      <c r="BG963" s="35"/>
      <c r="BH963" s="35"/>
      <c r="BI963" s="35"/>
      <c r="BJ963" s="35"/>
      <c r="BK963" s="35"/>
      <c r="BL963" s="35"/>
      <c r="BM963" s="35"/>
      <c r="BN963" s="35"/>
      <c r="BO963" s="35"/>
      <c r="BP963" s="35"/>
      <c r="BQ963" s="35"/>
      <c r="BR963" s="35"/>
      <c r="BS963" s="35"/>
      <c r="BT963" s="35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35"/>
      <c r="CO963" s="35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35"/>
      <c r="DJ963" s="35"/>
      <c r="DK963" s="35"/>
      <c r="DL963" s="35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35"/>
      <c r="EE963" s="35"/>
      <c r="EF963" s="35"/>
      <c r="EG963" s="35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35"/>
      <c r="EZ963" s="35"/>
      <c r="FA963" s="35"/>
      <c r="FB963" s="35"/>
      <c r="FC963" s="35"/>
      <c r="FD963" s="35"/>
      <c r="FE963" s="35"/>
      <c r="FF963" s="35"/>
      <c r="FG963" s="35"/>
      <c r="FH963" s="35"/>
      <c r="FI963" s="35"/>
      <c r="FJ963" s="35"/>
      <c r="FK963" s="35"/>
      <c r="FL963" s="35"/>
      <c r="FM963" s="35"/>
      <c r="FN963" s="35"/>
      <c r="FO963" s="35"/>
      <c r="FP963" s="35"/>
      <c r="FQ963" s="35"/>
      <c r="FR963" s="35"/>
      <c r="FS963" s="35"/>
      <c r="FT963" s="35"/>
      <c r="FU963" s="35"/>
      <c r="FV963" s="35"/>
      <c r="FW963" s="35"/>
      <c r="FX963" s="35"/>
      <c r="FY963" s="35"/>
      <c r="FZ963" s="35"/>
      <c r="GA963" s="35"/>
      <c r="GB963" s="35"/>
      <c r="GC963" s="35"/>
      <c r="GD963" s="35"/>
      <c r="GE963" s="35"/>
      <c r="GF963" s="35"/>
      <c r="GG963" s="35"/>
      <c r="GH963" s="35"/>
      <c r="GI963" s="35"/>
      <c r="GJ963" s="35"/>
      <c r="GK963" s="35"/>
      <c r="GL963" s="35"/>
      <c r="GM963" s="35"/>
      <c r="GN963" s="35"/>
      <c r="GO963" s="35"/>
      <c r="GP963" s="35"/>
      <c r="GQ963" s="35"/>
      <c r="GR963" s="35"/>
      <c r="GS963" s="35"/>
      <c r="GT963" s="35"/>
      <c r="GU963" s="35"/>
      <c r="GV963" s="35"/>
      <c r="GW963" s="35"/>
      <c r="GX963" s="35"/>
      <c r="GY963" s="35"/>
      <c r="GZ963" s="35"/>
      <c r="HA963" s="35"/>
      <c r="HB963" s="35"/>
      <c r="HC963" s="35"/>
      <c r="HD963" s="35"/>
      <c r="HE963" s="35"/>
      <c r="HF963" s="35"/>
      <c r="HG963" s="35"/>
      <c r="HH963" s="35"/>
      <c r="HI963" s="35"/>
      <c r="HJ963" s="35"/>
      <c r="HK963" s="35"/>
      <c r="HL963" s="35"/>
      <c r="HM963" s="35"/>
      <c r="HN963" s="35"/>
      <c r="HO963" s="35"/>
      <c r="HP963" s="35"/>
      <c r="HQ963" s="35"/>
      <c r="HR963" s="35"/>
      <c r="HS963" s="35"/>
      <c r="HT963" s="35"/>
      <c r="HU963" s="35"/>
      <c r="HV963" s="35"/>
      <c r="HW963" s="35"/>
      <c r="HX963" s="35"/>
      <c r="HY963" s="35"/>
      <c r="HZ963" s="35"/>
      <c r="IA963" s="35"/>
      <c r="IB963" s="35"/>
      <c r="IC963" s="35"/>
      <c r="ID963" s="35"/>
      <c r="IE963" s="35"/>
      <c r="IF963" s="35"/>
      <c r="IG963" s="35"/>
      <c r="IH963" s="35"/>
      <c r="II963" s="35"/>
      <c r="IJ963" s="35"/>
      <c r="IK963" s="35"/>
      <c r="IL963" s="35"/>
      <c r="IM963" s="35"/>
      <c r="IN963" s="35"/>
      <c r="IO963" s="35"/>
      <c r="IP963" s="35"/>
      <c r="IQ963" s="35"/>
      <c r="IR963" s="35"/>
      <c r="IS963" s="35"/>
      <c r="IT963" s="35"/>
      <c r="IU963" s="35"/>
      <c r="IV963" s="35"/>
      <c r="IW963" s="35"/>
      <c r="IX963" s="35"/>
      <c r="IY963" s="35"/>
      <c r="IZ963" s="35"/>
      <c r="JA963" s="35"/>
      <c r="JB963" s="35"/>
      <c r="JC963" s="35"/>
      <c r="JD963" s="35"/>
      <c r="JE963" s="35"/>
    </row>
    <row r="964">
      <c r="A964" s="42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  <c r="AZ964" s="35"/>
      <c r="BA964" s="35"/>
      <c r="BB964" s="35"/>
      <c r="BC964" s="35"/>
      <c r="BD964" s="35"/>
      <c r="BE964" s="35"/>
      <c r="BF964" s="35"/>
      <c r="BG964" s="35"/>
      <c r="BH964" s="35"/>
      <c r="BI964" s="35"/>
      <c r="BJ964" s="35"/>
      <c r="BK964" s="35"/>
      <c r="BL964" s="35"/>
      <c r="BM964" s="35"/>
      <c r="BN964" s="35"/>
      <c r="BO964" s="35"/>
      <c r="BP964" s="35"/>
      <c r="BQ964" s="35"/>
      <c r="BR964" s="35"/>
      <c r="BS964" s="35"/>
      <c r="BT964" s="35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35"/>
      <c r="CO964" s="35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35"/>
      <c r="DJ964" s="35"/>
      <c r="DK964" s="35"/>
      <c r="DL964" s="35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35"/>
      <c r="EE964" s="35"/>
      <c r="EF964" s="35"/>
      <c r="EG964" s="35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35"/>
      <c r="EZ964" s="35"/>
      <c r="FA964" s="35"/>
      <c r="FB964" s="35"/>
      <c r="FC964" s="35"/>
      <c r="FD964" s="35"/>
      <c r="FE964" s="35"/>
      <c r="FF964" s="35"/>
      <c r="FG964" s="35"/>
      <c r="FH964" s="35"/>
      <c r="FI964" s="35"/>
      <c r="FJ964" s="35"/>
      <c r="FK964" s="35"/>
      <c r="FL964" s="35"/>
      <c r="FM964" s="35"/>
      <c r="FN964" s="35"/>
      <c r="FO964" s="35"/>
      <c r="FP964" s="35"/>
      <c r="FQ964" s="35"/>
      <c r="FR964" s="35"/>
      <c r="FS964" s="35"/>
      <c r="FT964" s="35"/>
      <c r="FU964" s="35"/>
      <c r="FV964" s="35"/>
      <c r="FW964" s="35"/>
      <c r="FX964" s="35"/>
      <c r="FY964" s="35"/>
      <c r="FZ964" s="35"/>
      <c r="GA964" s="35"/>
      <c r="GB964" s="35"/>
      <c r="GC964" s="35"/>
      <c r="GD964" s="35"/>
      <c r="GE964" s="35"/>
      <c r="GF964" s="35"/>
      <c r="GG964" s="35"/>
      <c r="GH964" s="35"/>
      <c r="GI964" s="35"/>
      <c r="GJ964" s="35"/>
      <c r="GK964" s="35"/>
      <c r="GL964" s="35"/>
      <c r="GM964" s="35"/>
      <c r="GN964" s="35"/>
      <c r="GO964" s="35"/>
      <c r="GP964" s="35"/>
      <c r="GQ964" s="35"/>
      <c r="GR964" s="35"/>
      <c r="GS964" s="35"/>
      <c r="GT964" s="35"/>
      <c r="GU964" s="35"/>
      <c r="GV964" s="35"/>
      <c r="GW964" s="35"/>
      <c r="GX964" s="35"/>
      <c r="GY964" s="35"/>
      <c r="GZ964" s="35"/>
      <c r="HA964" s="35"/>
      <c r="HB964" s="35"/>
      <c r="HC964" s="35"/>
      <c r="HD964" s="35"/>
      <c r="HE964" s="35"/>
      <c r="HF964" s="35"/>
      <c r="HG964" s="35"/>
      <c r="HH964" s="35"/>
      <c r="HI964" s="35"/>
      <c r="HJ964" s="35"/>
      <c r="HK964" s="35"/>
      <c r="HL964" s="35"/>
      <c r="HM964" s="35"/>
      <c r="HN964" s="35"/>
      <c r="HO964" s="35"/>
      <c r="HP964" s="35"/>
      <c r="HQ964" s="35"/>
      <c r="HR964" s="35"/>
      <c r="HS964" s="35"/>
      <c r="HT964" s="35"/>
      <c r="HU964" s="35"/>
      <c r="HV964" s="35"/>
      <c r="HW964" s="35"/>
      <c r="HX964" s="35"/>
      <c r="HY964" s="35"/>
      <c r="HZ964" s="35"/>
      <c r="IA964" s="35"/>
      <c r="IB964" s="35"/>
      <c r="IC964" s="35"/>
      <c r="ID964" s="35"/>
      <c r="IE964" s="35"/>
      <c r="IF964" s="35"/>
      <c r="IG964" s="35"/>
      <c r="IH964" s="35"/>
      <c r="II964" s="35"/>
      <c r="IJ964" s="35"/>
      <c r="IK964" s="35"/>
      <c r="IL964" s="35"/>
      <c r="IM964" s="35"/>
      <c r="IN964" s="35"/>
      <c r="IO964" s="35"/>
      <c r="IP964" s="35"/>
      <c r="IQ964" s="35"/>
      <c r="IR964" s="35"/>
      <c r="IS964" s="35"/>
      <c r="IT964" s="35"/>
      <c r="IU964" s="35"/>
      <c r="IV964" s="35"/>
      <c r="IW964" s="35"/>
      <c r="IX964" s="35"/>
      <c r="IY964" s="35"/>
      <c r="IZ964" s="35"/>
      <c r="JA964" s="35"/>
      <c r="JB964" s="35"/>
      <c r="JC964" s="35"/>
      <c r="JD964" s="35"/>
      <c r="JE964" s="35"/>
    </row>
    <row r="965">
      <c r="A965" s="42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  <c r="AZ965" s="35"/>
      <c r="BA965" s="35"/>
      <c r="BB965" s="35"/>
      <c r="BC965" s="35"/>
      <c r="BD965" s="35"/>
      <c r="BE965" s="35"/>
      <c r="BF965" s="35"/>
      <c r="BG965" s="35"/>
      <c r="BH965" s="35"/>
      <c r="BI965" s="35"/>
      <c r="BJ965" s="35"/>
      <c r="BK965" s="35"/>
      <c r="BL965" s="35"/>
      <c r="BM965" s="35"/>
      <c r="BN965" s="35"/>
      <c r="BO965" s="35"/>
      <c r="BP965" s="35"/>
      <c r="BQ965" s="35"/>
      <c r="BR965" s="35"/>
      <c r="BS965" s="35"/>
      <c r="BT965" s="35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35"/>
      <c r="CO965" s="35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35"/>
      <c r="DJ965" s="35"/>
      <c r="DK965" s="35"/>
      <c r="DL965" s="35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35"/>
      <c r="EE965" s="35"/>
      <c r="EF965" s="35"/>
      <c r="EG965" s="35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35"/>
      <c r="EZ965" s="35"/>
      <c r="FA965" s="35"/>
      <c r="FB965" s="35"/>
      <c r="FC965" s="35"/>
      <c r="FD965" s="35"/>
      <c r="FE965" s="35"/>
      <c r="FF965" s="35"/>
      <c r="FG965" s="35"/>
      <c r="FH965" s="35"/>
      <c r="FI965" s="35"/>
      <c r="FJ965" s="35"/>
      <c r="FK965" s="35"/>
      <c r="FL965" s="35"/>
      <c r="FM965" s="35"/>
      <c r="FN965" s="35"/>
      <c r="FO965" s="35"/>
      <c r="FP965" s="35"/>
      <c r="FQ965" s="35"/>
      <c r="FR965" s="35"/>
      <c r="FS965" s="35"/>
      <c r="FT965" s="35"/>
      <c r="FU965" s="35"/>
      <c r="FV965" s="35"/>
      <c r="FW965" s="35"/>
      <c r="FX965" s="35"/>
      <c r="FY965" s="35"/>
      <c r="FZ965" s="35"/>
      <c r="GA965" s="35"/>
      <c r="GB965" s="35"/>
      <c r="GC965" s="35"/>
      <c r="GD965" s="35"/>
      <c r="GE965" s="35"/>
      <c r="GF965" s="35"/>
      <c r="GG965" s="35"/>
      <c r="GH965" s="35"/>
      <c r="GI965" s="35"/>
      <c r="GJ965" s="35"/>
      <c r="GK965" s="35"/>
      <c r="GL965" s="35"/>
      <c r="GM965" s="35"/>
      <c r="GN965" s="35"/>
      <c r="GO965" s="35"/>
      <c r="GP965" s="35"/>
      <c r="GQ965" s="35"/>
      <c r="GR965" s="35"/>
      <c r="GS965" s="35"/>
      <c r="GT965" s="35"/>
      <c r="GU965" s="35"/>
      <c r="GV965" s="35"/>
      <c r="GW965" s="35"/>
      <c r="GX965" s="35"/>
      <c r="GY965" s="35"/>
      <c r="GZ965" s="35"/>
      <c r="HA965" s="35"/>
      <c r="HB965" s="35"/>
      <c r="HC965" s="35"/>
      <c r="HD965" s="35"/>
      <c r="HE965" s="35"/>
      <c r="HF965" s="35"/>
      <c r="HG965" s="35"/>
      <c r="HH965" s="35"/>
      <c r="HI965" s="35"/>
      <c r="HJ965" s="35"/>
      <c r="HK965" s="35"/>
      <c r="HL965" s="35"/>
      <c r="HM965" s="35"/>
      <c r="HN965" s="35"/>
      <c r="HO965" s="35"/>
      <c r="HP965" s="35"/>
      <c r="HQ965" s="35"/>
      <c r="HR965" s="35"/>
      <c r="HS965" s="35"/>
      <c r="HT965" s="35"/>
      <c r="HU965" s="35"/>
      <c r="HV965" s="35"/>
      <c r="HW965" s="35"/>
      <c r="HX965" s="35"/>
      <c r="HY965" s="35"/>
      <c r="HZ965" s="35"/>
      <c r="IA965" s="35"/>
      <c r="IB965" s="35"/>
      <c r="IC965" s="35"/>
      <c r="ID965" s="35"/>
      <c r="IE965" s="35"/>
      <c r="IF965" s="35"/>
      <c r="IG965" s="35"/>
      <c r="IH965" s="35"/>
      <c r="II965" s="35"/>
      <c r="IJ965" s="35"/>
      <c r="IK965" s="35"/>
      <c r="IL965" s="35"/>
      <c r="IM965" s="35"/>
      <c r="IN965" s="35"/>
      <c r="IO965" s="35"/>
      <c r="IP965" s="35"/>
      <c r="IQ965" s="35"/>
      <c r="IR965" s="35"/>
      <c r="IS965" s="35"/>
      <c r="IT965" s="35"/>
      <c r="IU965" s="35"/>
      <c r="IV965" s="35"/>
      <c r="IW965" s="35"/>
      <c r="IX965" s="35"/>
      <c r="IY965" s="35"/>
      <c r="IZ965" s="35"/>
      <c r="JA965" s="35"/>
      <c r="JB965" s="35"/>
      <c r="JC965" s="35"/>
      <c r="JD965" s="35"/>
      <c r="JE965" s="35"/>
    </row>
    <row r="966">
      <c r="A966" s="42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  <c r="AZ966" s="35"/>
      <c r="BA966" s="35"/>
      <c r="BB966" s="35"/>
      <c r="BC966" s="35"/>
      <c r="BD966" s="35"/>
      <c r="BE966" s="35"/>
      <c r="BF966" s="35"/>
      <c r="BG966" s="35"/>
      <c r="BH966" s="35"/>
      <c r="BI966" s="35"/>
      <c r="BJ966" s="35"/>
      <c r="BK966" s="35"/>
      <c r="BL966" s="35"/>
      <c r="BM966" s="35"/>
      <c r="BN966" s="35"/>
      <c r="BO966" s="35"/>
      <c r="BP966" s="35"/>
      <c r="BQ966" s="35"/>
      <c r="BR966" s="35"/>
      <c r="BS966" s="35"/>
      <c r="BT966" s="35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35"/>
      <c r="CO966" s="35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35"/>
      <c r="DJ966" s="35"/>
      <c r="DK966" s="35"/>
      <c r="DL966" s="35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35"/>
      <c r="EE966" s="35"/>
      <c r="EF966" s="35"/>
      <c r="EG966" s="35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  <c r="ER966" s="35"/>
      <c r="ES966" s="35"/>
      <c r="ET966" s="35"/>
      <c r="EU966" s="35"/>
      <c r="EV966" s="35"/>
      <c r="EW966" s="35"/>
      <c r="EX966" s="35"/>
      <c r="EY966" s="35"/>
      <c r="EZ966" s="35"/>
      <c r="FA966" s="35"/>
      <c r="FB966" s="35"/>
      <c r="FC966" s="35"/>
      <c r="FD966" s="35"/>
      <c r="FE966" s="35"/>
      <c r="FF966" s="35"/>
      <c r="FG966" s="35"/>
      <c r="FH966" s="35"/>
      <c r="FI966" s="35"/>
      <c r="FJ966" s="35"/>
      <c r="FK966" s="35"/>
      <c r="FL966" s="35"/>
      <c r="FM966" s="35"/>
      <c r="FN966" s="35"/>
      <c r="FO966" s="35"/>
      <c r="FP966" s="35"/>
      <c r="FQ966" s="35"/>
      <c r="FR966" s="35"/>
      <c r="FS966" s="35"/>
      <c r="FT966" s="35"/>
      <c r="FU966" s="35"/>
      <c r="FV966" s="35"/>
      <c r="FW966" s="35"/>
      <c r="FX966" s="35"/>
      <c r="FY966" s="35"/>
      <c r="FZ966" s="35"/>
      <c r="GA966" s="35"/>
      <c r="GB966" s="35"/>
      <c r="GC966" s="35"/>
      <c r="GD966" s="35"/>
      <c r="GE966" s="35"/>
      <c r="GF966" s="35"/>
      <c r="GG966" s="35"/>
      <c r="GH966" s="35"/>
      <c r="GI966" s="35"/>
      <c r="GJ966" s="35"/>
      <c r="GK966" s="35"/>
      <c r="GL966" s="35"/>
      <c r="GM966" s="35"/>
      <c r="GN966" s="35"/>
      <c r="GO966" s="35"/>
      <c r="GP966" s="35"/>
      <c r="GQ966" s="35"/>
      <c r="GR966" s="35"/>
      <c r="GS966" s="35"/>
      <c r="GT966" s="35"/>
      <c r="GU966" s="35"/>
      <c r="GV966" s="35"/>
      <c r="GW966" s="35"/>
      <c r="GX966" s="35"/>
      <c r="GY966" s="35"/>
      <c r="GZ966" s="35"/>
      <c r="HA966" s="35"/>
      <c r="HB966" s="35"/>
      <c r="HC966" s="35"/>
      <c r="HD966" s="35"/>
      <c r="HE966" s="35"/>
      <c r="HF966" s="35"/>
      <c r="HG966" s="35"/>
      <c r="HH966" s="35"/>
      <c r="HI966" s="35"/>
      <c r="HJ966" s="35"/>
      <c r="HK966" s="35"/>
      <c r="HL966" s="35"/>
      <c r="HM966" s="35"/>
      <c r="HN966" s="35"/>
      <c r="HO966" s="35"/>
      <c r="HP966" s="35"/>
      <c r="HQ966" s="35"/>
      <c r="HR966" s="35"/>
      <c r="HS966" s="35"/>
      <c r="HT966" s="35"/>
      <c r="HU966" s="35"/>
      <c r="HV966" s="35"/>
      <c r="HW966" s="35"/>
      <c r="HX966" s="35"/>
      <c r="HY966" s="35"/>
      <c r="HZ966" s="35"/>
      <c r="IA966" s="35"/>
      <c r="IB966" s="35"/>
      <c r="IC966" s="35"/>
      <c r="ID966" s="35"/>
      <c r="IE966" s="35"/>
      <c r="IF966" s="35"/>
      <c r="IG966" s="35"/>
      <c r="IH966" s="35"/>
      <c r="II966" s="35"/>
      <c r="IJ966" s="35"/>
      <c r="IK966" s="35"/>
      <c r="IL966" s="35"/>
      <c r="IM966" s="35"/>
      <c r="IN966" s="35"/>
      <c r="IO966" s="35"/>
      <c r="IP966" s="35"/>
      <c r="IQ966" s="35"/>
      <c r="IR966" s="35"/>
      <c r="IS966" s="35"/>
      <c r="IT966" s="35"/>
      <c r="IU966" s="35"/>
      <c r="IV966" s="35"/>
      <c r="IW966" s="35"/>
      <c r="IX966" s="35"/>
      <c r="IY966" s="35"/>
      <c r="IZ966" s="35"/>
      <c r="JA966" s="35"/>
      <c r="JB966" s="35"/>
      <c r="JC966" s="35"/>
      <c r="JD966" s="35"/>
      <c r="JE966" s="35"/>
    </row>
    <row r="967">
      <c r="A967" s="42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  <c r="AZ967" s="35"/>
      <c r="BA967" s="35"/>
      <c r="BB967" s="35"/>
      <c r="BC967" s="35"/>
      <c r="BD967" s="35"/>
      <c r="BE967" s="35"/>
      <c r="BF967" s="35"/>
      <c r="BG967" s="35"/>
      <c r="BH967" s="35"/>
      <c r="BI967" s="35"/>
      <c r="BJ967" s="35"/>
      <c r="BK967" s="35"/>
      <c r="BL967" s="35"/>
      <c r="BM967" s="35"/>
      <c r="BN967" s="35"/>
      <c r="BO967" s="35"/>
      <c r="BP967" s="35"/>
      <c r="BQ967" s="35"/>
      <c r="BR967" s="35"/>
      <c r="BS967" s="35"/>
      <c r="BT967" s="35"/>
      <c r="BU967" s="35"/>
      <c r="BV967" s="35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35"/>
      <c r="CO967" s="35"/>
      <c r="CP967" s="35"/>
      <c r="CQ967" s="35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35"/>
      <c r="DJ967" s="35"/>
      <c r="DK967" s="35"/>
      <c r="DL967" s="35"/>
      <c r="DM967" s="35"/>
      <c r="DN967" s="35"/>
      <c r="DO967" s="35"/>
      <c r="DP967" s="35"/>
      <c r="DQ967" s="35"/>
      <c r="DR967" s="35"/>
      <c r="DS967" s="35"/>
      <c r="DT967" s="35"/>
      <c r="DU967" s="35"/>
      <c r="DV967" s="35"/>
      <c r="DW967" s="35"/>
      <c r="DX967" s="35"/>
      <c r="DY967" s="35"/>
      <c r="DZ967" s="35"/>
      <c r="EA967" s="35"/>
      <c r="EB967" s="35"/>
      <c r="EC967" s="35"/>
      <c r="ED967" s="35"/>
      <c r="EE967" s="35"/>
      <c r="EF967" s="35"/>
      <c r="EG967" s="35"/>
      <c r="EH967" s="35"/>
      <c r="EI967" s="35"/>
      <c r="EJ967" s="35"/>
      <c r="EK967" s="35"/>
      <c r="EL967" s="35"/>
      <c r="EM967" s="35"/>
      <c r="EN967" s="35"/>
      <c r="EO967" s="35"/>
      <c r="EP967" s="35"/>
      <c r="EQ967" s="35"/>
      <c r="ER967" s="35"/>
      <c r="ES967" s="35"/>
      <c r="ET967" s="35"/>
      <c r="EU967" s="35"/>
      <c r="EV967" s="35"/>
      <c r="EW967" s="35"/>
      <c r="EX967" s="35"/>
      <c r="EY967" s="35"/>
      <c r="EZ967" s="35"/>
      <c r="FA967" s="35"/>
      <c r="FB967" s="35"/>
      <c r="FC967" s="35"/>
      <c r="FD967" s="35"/>
      <c r="FE967" s="35"/>
      <c r="FF967" s="35"/>
      <c r="FG967" s="35"/>
      <c r="FH967" s="35"/>
      <c r="FI967" s="35"/>
      <c r="FJ967" s="35"/>
      <c r="FK967" s="35"/>
      <c r="FL967" s="35"/>
      <c r="FM967" s="35"/>
      <c r="FN967" s="35"/>
      <c r="FO967" s="35"/>
      <c r="FP967" s="35"/>
      <c r="FQ967" s="35"/>
      <c r="FR967" s="35"/>
      <c r="FS967" s="35"/>
      <c r="FT967" s="35"/>
      <c r="FU967" s="35"/>
      <c r="FV967" s="35"/>
      <c r="FW967" s="35"/>
      <c r="FX967" s="35"/>
      <c r="FY967" s="35"/>
      <c r="FZ967" s="35"/>
      <c r="GA967" s="35"/>
      <c r="GB967" s="35"/>
      <c r="GC967" s="35"/>
      <c r="GD967" s="35"/>
      <c r="GE967" s="35"/>
      <c r="GF967" s="35"/>
      <c r="GG967" s="35"/>
      <c r="GH967" s="35"/>
      <c r="GI967" s="35"/>
      <c r="GJ967" s="35"/>
      <c r="GK967" s="35"/>
      <c r="GL967" s="35"/>
      <c r="GM967" s="35"/>
      <c r="GN967" s="35"/>
      <c r="GO967" s="35"/>
      <c r="GP967" s="35"/>
      <c r="GQ967" s="35"/>
      <c r="GR967" s="35"/>
      <c r="GS967" s="35"/>
      <c r="GT967" s="35"/>
      <c r="GU967" s="35"/>
      <c r="GV967" s="35"/>
      <c r="GW967" s="35"/>
      <c r="GX967" s="35"/>
      <c r="GY967" s="35"/>
      <c r="GZ967" s="35"/>
      <c r="HA967" s="35"/>
      <c r="HB967" s="35"/>
      <c r="HC967" s="35"/>
      <c r="HD967" s="35"/>
      <c r="HE967" s="35"/>
      <c r="HF967" s="35"/>
      <c r="HG967" s="35"/>
      <c r="HH967" s="35"/>
      <c r="HI967" s="35"/>
      <c r="HJ967" s="35"/>
      <c r="HK967" s="35"/>
      <c r="HL967" s="35"/>
      <c r="HM967" s="35"/>
      <c r="HN967" s="35"/>
      <c r="HO967" s="35"/>
      <c r="HP967" s="35"/>
      <c r="HQ967" s="35"/>
      <c r="HR967" s="35"/>
      <c r="HS967" s="35"/>
      <c r="HT967" s="35"/>
      <c r="HU967" s="35"/>
      <c r="HV967" s="35"/>
      <c r="HW967" s="35"/>
      <c r="HX967" s="35"/>
      <c r="HY967" s="35"/>
      <c r="HZ967" s="35"/>
      <c r="IA967" s="35"/>
      <c r="IB967" s="35"/>
      <c r="IC967" s="35"/>
      <c r="ID967" s="35"/>
      <c r="IE967" s="35"/>
      <c r="IF967" s="35"/>
      <c r="IG967" s="35"/>
      <c r="IH967" s="35"/>
      <c r="II967" s="35"/>
      <c r="IJ967" s="35"/>
      <c r="IK967" s="35"/>
      <c r="IL967" s="35"/>
      <c r="IM967" s="35"/>
      <c r="IN967" s="35"/>
      <c r="IO967" s="35"/>
      <c r="IP967" s="35"/>
      <c r="IQ967" s="35"/>
      <c r="IR967" s="35"/>
      <c r="IS967" s="35"/>
      <c r="IT967" s="35"/>
      <c r="IU967" s="35"/>
      <c r="IV967" s="35"/>
      <c r="IW967" s="35"/>
      <c r="IX967" s="35"/>
      <c r="IY967" s="35"/>
      <c r="IZ967" s="35"/>
      <c r="JA967" s="35"/>
      <c r="JB967" s="35"/>
      <c r="JC967" s="35"/>
      <c r="JD967" s="35"/>
      <c r="JE967" s="35"/>
    </row>
    <row r="968">
      <c r="A968" s="42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  <c r="AZ968" s="35"/>
      <c r="BA968" s="35"/>
      <c r="BB968" s="35"/>
      <c r="BC968" s="35"/>
      <c r="BD968" s="35"/>
      <c r="BE968" s="35"/>
      <c r="BF968" s="35"/>
      <c r="BG968" s="35"/>
      <c r="BH968" s="35"/>
      <c r="BI968" s="35"/>
      <c r="BJ968" s="35"/>
      <c r="BK968" s="35"/>
      <c r="BL968" s="35"/>
      <c r="BM968" s="35"/>
      <c r="BN968" s="35"/>
      <c r="BO968" s="35"/>
      <c r="BP968" s="35"/>
      <c r="BQ968" s="35"/>
      <c r="BR968" s="35"/>
      <c r="BS968" s="35"/>
      <c r="BT968" s="35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35"/>
      <c r="CO968" s="35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35"/>
      <c r="DJ968" s="35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35"/>
      <c r="EE968" s="35"/>
      <c r="EF968" s="35"/>
      <c r="EG968" s="35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  <c r="ER968" s="35"/>
      <c r="ES968" s="35"/>
      <c r="ET968" s="35"/>
      <c r="EU968" s="35"/>
      <c r="EV968" s="35"/>
      <c r="EW968" s="35"/>
      <c r="EX968" s="35"/>
      <c r="EY968" s="35"/>
      <c r="EZ968" s="35"/>
      <c r="FA968" s="35"/>
      <c r="FB968" s="35"/>
      <c r="FC968" s="35"/>
      <c r="FD968" s="35"/>
      <c r="FE968" s="35"/>
      <c r="FF968" s="35"/>
      <c r="FG968" s="35"/>
      <c r="FH968" s="35"/>
      <c r="FI968" s="35"/>
      <c r="FJ968" s="35"/>
      <c r="FK968" s="35"/>
      <c r="FL968" s="35"/>
      <c r="FM968" s="35"/>
      <c r="FN968" s="35"/>
      <c r="FO968" s="35"/>
      <c r="FP968" s="35"/>
      <c r="FQ968" s="35"/>
      <c r="FR968" s="35"/>
      <c r="FS968" s="35"/>
      <c r="FT968" s="35"/>
      <c r="FU968" s="35"/>
      <c r="FV968" s="35"/>
      <c r="FW968" s="35"/>
      <c r="FX968" s="35"/>
      <c r="FY968" s="35"/>
      <c r="FZ968" s="35"/>
      <c r="GA968" s="35"/>
      <c r="GB968" s="35"/>
      <c r="GC968" s="35"/>
      <c r="GD968" s="35"/>
      <c r="GE968" s="35"/>
      <c r="GF968" s="35"/>
      <c r="GG968" s="35"/>
      <c r="GH968" s="35"/>
      <c r="GI968" s="35"/>
      <c r="GJ968" s="35"/>
      <c r="GK968" s="35"/>
      <c r="GL968" s="35"/>
      <c r="GM968" s="35"/>
      <c r="GN968" s="35"/>
      <c r="GO968" s="35"/>
      <c r="GP968" s="35"/>
      <c r="GQ968" s="35"/>
      <c r="GR968" s="35"/>
      <c r="GS968" s="35"/>
      <c r="GT968" s="35"/>
      <c r="GU968" s="35"/>
      <c r="GV968" s="35"/>
      <c r="GW968" s="35"/>
      <c r="GX968" s="35"/>
      <c r="GY968" s="35"/>
      <c r="GZ968" s="35"/>
      <c r="HA968" s="35"/>
      <c r="HB968" s="35"/>
      <c r="HC968" s="35"/>
      <c r="HD968" s="35"/>
      <c r="HE968" s="35"/>
      <c r="HF968" s="35"/>
      <c r="HG968" s="35"/>
      <c r="HH968" s="35"/>
      <c r="HI968" s="35"/>
      <c r="HJ968" s="35"/>
      <c r="HK968" s="35"/>
      <c r="HL968" s="35"/>
      <c r="HM968" s="35"/>
      <c r="HN968" s="35"/>
      <c r="HO968" s="35"/>
      <c r="HP968" s="35"/>
      <c r="HQ968" s="35"/>
      <c r="HR968" s="35"/>
      <c r="HS968" s="35"/>
      <c r="HT968" s="35"/>
      <c r="HU968" s="35"/>
      <c r="HV968" s="35"/>
      <c r="HW968" s="35"/>
      <c r="HX968" s="35"/>
      <c r="HY968" s="35"/>
      <c r="HZ968" s="35"/>
      <c r="IA968" s="35"/>
      <c r="IB968" s="35"/>
      <c r="IC968" s="35"/>
      <c r="ID968" s="35"/>
      <c r="IE968" s="35"/>
      <c r="IF968" s="35"/>
      <c r="IG968" s="35"/>
      <c r="IH968" s="35"/>
      <c r="II968" s="35"/>
      <c r="IJ968" s="35"/>
      <c r="IK968" s="35"/>
      <c r="IL968" s="35"/>
      <c r="IM968" s="35"/>
      <c r="IN968" s="35"/>
      <c r="IO968" s="35"/>
      <c r="IP968" s="35"/>
      <c r="IQ968" s="35"/>
      <c r="IR968" s="35"/>
      <c r="IS968" s="35"/>
      <c r="IT968" s="35"/>
      <c r="IU968" s="35"/>
      <c r="IV968" s="35"/>
      <c r="IW968" s="35"/>
      <c r="IX968" s="35"/>
      <c r="IY968" s="35"/>
      <c r="IZ968" s="35"/>
      <c r="JA968" s="35"/>
      <c r="JB968" s="35"/>
      <c r="JC968" s="35"/>
      <c r="JD968" s="35"/>
      <c r="JE968" s="35"/>
    </row>
    <row r="969">
      <c r="A969" s="42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  <c r="AZ969" s="35"/>
      <c r="BA969" s="35"/>
      <c r="BB969" s="35"/>
      <c r="BC969" s="35"/>
      <c r="BD969" s="35"/>
      <c r="BE969" s="35"/>
      <c r="BF969" s="35"/>
      <c r="BG969" s="35"/>
      <c r="BH969" s="35"/>
      <c r="BI969" s="35"/>
      <c r="BJ969" s="35"/>
      <c r="BK969" s="35"/>
      <c r="BL969" s="35"/>
      <c r="BM969" s="35"/>
      <c r="BN969" s="35"/>
      <c r="BO969" s="35"/>
      <c r="BP969" s="35"/>
      <c r="BQ969" s="35"/>
      <c r="BR969" s="35"/>
      <c r="BS969" s="35"/>
      <c r="BT969" s="35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35"/>
      <c r="CO969" s="35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35"/>
      <c r="DJ969" s="35"/>
      <c r="DK969" s="35"/>
      <c r="DL969" s="35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35"/>
      <c r="EE969" s="35"/>
      <c r="EF969" s="35"/>
      <c r="EG969" s="35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  <c r="ER969" s="35"/>
      <c r="ES969" s="35"/>
      <c r="ET969" s="35"/>
      <c r="EU969" s="35"/>
      <c r="EV969" s="35"/>
      <c r="EW969" s="35"/>
      <c r="EX969" s="35"/>
      <c r="EY969" s="35"/>
      <c r="EZ969" s="35"/>
      <c r="FA969" s="35"/>
      <c r="FB969" s="35"/>
      <c r="FC969" s="35"/>
      <c r="FD969" s="35"/>
      <c r="FE969" s="35"/>
      <c r="FF969" s="35"/>
      <c r="FG969" s="35"/>
      <c r="FH969" s="35"/>
      <c r="FI969" s="35"/>
      <c r="FJ969" s="35"/>
      <c r="FK969" s="35"/>
      <c r="FL969" s="35"/>
      <c r="FM969" s="35"/>
      <c r="FN969" s="35"/>
      <c r="FO969" s="35"/>
      <c r="FP969" s="35"/>
      <c r="FQ969" s="35"/>
      <c r="FR969" s="35"/>
      <c r="FS969" s="35"/>
      <c r="FT969" s="35"/>
      <c r="FU969" s="35"/>
      <c r="FV969" s="35"/>
      <c r="FW969" s="35"/>
      <c r="FX969" s="35"/>
      <c r="FY969" s="35"/>
      <c r="FZ969" s="35"/>
      <c r="GA969" s="35"/>
      <c r="GB969" s="35"/>
      <c r="GC969" s="35"/>
      <c r="GD969" s="35"/>
      <c r="GE969" s="35"/>
      <c r="GF969" s="35"/>
      <c r="GG969" s="35"/>
      <c r="GH969" s="35"/>
      <c r="GI969" s="35"/>
      <c r="GJ969" s="35"/>
      <c r="GK969" s="35"/>
      <c r="GL969" s="35"/>
      <c r="GM969" s="35"/>
      <c r="GN969" s="35"/>
      <c r="GO969" s="35"/>
      <c r="GP969" s="35"/>
      <c r="GQ969" s="35"/>
      <c r="GR969" s="35"/>
      <c r="GS969" s="35"/>
      <c r="GT969" s="35"/>
      <c r="GU969" s="35"/>
      <c r="GV969" s="35"/>
      <c r="GW969" s="35"/>
      <c r="GX969" s="35"/>
      <c r="GY969" s="35"/>
      <c r="GZ969" s="35"/>
      <c r="HA969" s="35"/>
      <c r="HB969" s="35"/>
      <c r="HC969" s="35"/>
      <c r="HD969" s="35"/>
      <c r="HE969" s="35"/>
      <c r="HF969" s="35"/>
      <c r="HG969" s="35"/>
      <c r="HH969" s="35"/>
      <c r="HI969" s="35"/>
      <c r="HJ969" s="35"/>
      <c r="HK969" s="35"/>
      <c r="HL969" s="35"/>
      <c r="HM969" s="35"/>
      <c r="HN969" s="35"/>
      <c r="HO969" s="35"/>
      <c r="HP969" s="35"/>
      <c r="HQ969" s="35"/>
      <c r="HR969" s="35"/>
      <c r="HS969" s="35"/>
      <c r="HT969" s="35"/>
      <c r="HU969" s="35"/>
      <c r="HV969" s="35"/>
      <c r="HW969" s="35"/>
      <c r="HX969" s="35"/>
      <c r="HY969" s="35"/>
      <c r="HZ969" s="35"/>
      <c r="IA969" s="35"/>
      <c r="IB969" s="35"/>
      <c r="IC969" s="35"/>
      <c r="ID969" s="35"/>
      <c r="IE969" s="35"/>
      <c r="IF969" s="35"/>
      <c r="IG969" s="35"/>
      <c r="IH969" s="35"/>
      <c r="II969" s="35"/>
      <c r="IJ969" s="35"/>
      <c r="IK969" s="35"/>
      <c r="IL969" s="35"/>
      <c r="IM969" s="35"/>
      <c r="IN969" s="35"/>
      <c r="IO969" s="35"/>
      <c r="IP969" s="35"/>
      <c r="IQ969" s="35"/>
      <c r="IR969" s="35"/>
      <c r="IS969" s="35"/>
      <c r="IT969" s="35"/>
      <c r="IU969" s="35"/>
      <c r="IV969" s="35"/>
      <c r="IW969" s="35"/>
      <c r="IX969" s="35"/>
      <c r="IY969" s="35"/>
      <c r="IZ969" s="35"/>
      <c r="JA969" s="35"/>
      <c r="JB969" s="35"/>
      <c r="JC969" s="35"/>
      <c r="JD969" s="35"/>
      <c r="JE969" s="35"/>
    </row>
    <row r="970">
      <c r="A970" s="42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  <c r="AZ970" s="35"/>
      <c r="BA970" s="35"/>
      <c r="BB970" s="35"/>
      <c r="BC970" s="35"/>
      <c r="BD970" s="35"/>
      <c r="BE970" s="35"/>
      <c r="BF970" s="35"/>
      <c r="BG970" s="35"/>
      <c r="BH970" s="35"/>
      <c r="BI970" s="35"/>
      <c r="BJ970" s="35"/>
      <c r="BK970" s="35"/>
      <c r="BL970" s="35"/>
      <c r="BM970" s="35"/>
      <c r="BN970" s="35"/>
      <c r="BO970" s="35"/>
      <c r="BP970" s="35"/>
      <c r="BQ970" s="35"/>
      <c r="BR970" s="35"/>
      <c r="BS970" s="35"/>
      <c r="BT970" s="35"/>
      <c r="BU970" s="35"/>
      <c r="BV970" s="35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35"/>
      <c r="CO970" s="35"/>
      <c r="CP970" s="35"/>
      <c r="CQ970" s="35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35"/>
      <c r="DJ970" s="35"/>
      <c r="DK970" s="35"/>
      <c r="DL970" s="35"/>
      <c r="DM970" s="35"/>
      <c r="DN970" s="35"/>
      <c r="DO970" s="35"/>
      <c r="DP970" s="35"/>
      <c r="DQ970" s="35"/>
      <c r="DR970" s="35"/>
      <c r="DS970" s="35"/>
      <c r="DT970" s="35"/>
      <c r="DU970" s="35"/>
      <c r="DV970" s="35"/>
      <c r="DW970" s="35"/>
      <c r="DX970" s="35"/>
      <c r="DY970" s="35"/>
      <c r="DZ970" s="35"/>
      <c r="EA970" s="35"/>
      <c r="EB970" s="35"/>
      <c r="EC970" s="35"/>
      <c r="ED970" s="35"/>
      <c r="EE970" s="35"/>
      <c r="EF970" s="35"/>
      <c r="EG970" s="35"/>
      <c r="EH970" s="35"/>
      <c r="EI970" s="35"/>
      <c r="EJ970" s="35"/>
      <c r="EK970" s="35"/>
      <c r="EL970" s="35"/>
      <c r="EM970" s="35"/>
      <c r="EN970" s="35"/>
      <c r="EO970" s="35"/>
      <c r="EP970" s="35"/>
      <c r="EQ970" s="35"/>
      <c r="ER970" s="35"/>
      <c r="ES970" s="35"/>
      <c r="ET970" s="35"/>
      <c r="EU970" s="35"/>
      <c r="EV970" s="35"/>
      <c r="EW970" s="35"/>
      <c r="EX970" s="35"/>
      <c r="EY970" s="35"/>
      <c r="EZ970" s="35"/>
      <c r="FA970" s="35"/>
      <c r="FB970" s="35"/>
      <c r="FC970" s="35"/>
      <c r="FD970" s="35"/>
      <c r="FE970" s="35"/>
      <c r="FF970" s="35"/>
      <c r="FG970" s="35"/>
      <c r="FH970" s="35"/>
      <c r="FI970" s="35"/>
      <c r="FJ970" s="35"/>
      <c r="FK970" s="35"/>
      <c r="FL970" s="35"/>
      <c r="FM970" s="35"/>
      <c r="FN970" s="35"/>
      <c r="FO970" s="35"/>
      <c r="FP970" s="35"/>
      <c r="FQ970" s="35"/>
      <c r="FR970" s="35"/>
      <c r="FS970" s="35"/>
      <c r="FT970" s="35"/>
      <c r="FU970" s="35"/>
      <c r="FV970" s="35"/>
      <c r="FW970" s="35"/>
      <c r="FX970" s="35"/>
      <c r="FY970" s="35"/>
      <c r="FZ970" s="35"/>
      <c r="GA970" s="35"/>
      <c r="GB970" s="35"/>
      <c r="GC970" s="35"/>
      <c r="GD970" s="35"/>
      <c r="GE970" s="35"/>
      <c r="GF970" s="35"/>
      <c r="GG970" s="35"/>
      <c r="GH970" s="35"/>
      <c r="GI970" s="35"/>
      <c r="GJ970" s="35"/>
      <c r="GK970" s="35"/>
      <c r="GL970" s="35"/>
      <c r="GM970" s="35"/>
      <c r="GN970" s="35"/>
      <c r="GO970" s="35"/>
      <c r="GP970" s="35"/>
      <c r="GQ970" s="35"/>
      <c r="GR970" s="35"/>
      <c r="GS970" s="35"/>
      <c r="GT970" s="35"/>
      <c r="GU970" s="35"/>
      <c r="GV970" s="35"/>
      <c r="GW970" s="35"/>
      <c r="GX970" s="35"/>
      <c r="GY970" s="35"/>
      <c r="GZ970" s="35"/>
      <c r="HA970" s="35"/>
      <c r="HB970" s="35"/>
      <c r="HC970" s="35"/>
      <c r="HD970" s="35"/>
      <c r="HE970" s="35"/>
      <c r="HF970" s="35"/>
      <c r="HG970" s="35"/>
      <c r="HH970" s="35"/>
      <c r="HI970" s="35"/>
      <c r="HJ970" s="35"/>
      <c r="HK970" s="35"/>
      <c r="HL970" s="35"/>
      <c r="HM970" s="35"/>
      <c r="HN970" s="35"/>
      <c r="HO970" s="35"/>
      <c r="HP970" s="35"/>
      <c r="HQ970" s="35"/>
      <c r="HR970" s="35"/>
      <c r="HS970" s="35"/>
      <c r="HT970" s="35"/>
      <c r="HU970" s="35"/>
      <c r="HV970" s="35"/>
      <c r="HW970" s="35"/>
      <c r="HX970" s="35"/>
      <c r="HY970" s="35"/>
      <c r="HZ970" s="35"/>
      <c r="IA970" s="35"/>
      <c r="IB970" s="35"/>
      <c r="IC970" s="35"/>
      <c r="ID970" s="35"/>
      <c r="IE970" s="35"/>
      <c r="IF970" s="35"/>
      <c r="IG970" s="35"/>
      <c r="IH970" s="35"/>
      <c r="II970" s="35"/>
      <c r="IJ970" s="35"/>
      <c r="IK970" s="35"/>
      <c r="IL970" s="35"/>
      <c r="IM970" s="35"/>
      <c r="IN970" s="35"/>
      <c r="IO970" s="35"/>
      <c r="IP970" s="35"/>
      <c r="IQ970" s="35"/>
      <c r="IR970" s="35"/>
      <c r="IS970" s="35"/>
      <c r="IT970" s="35"/>
      <c r="IU970" s="35"/>
      <c r="IV970" s="35"/>
      <c r="IW970" s="35"/>
      <c r="IX970" s="35"/>
      <c r="IY970" s="35"/>
      <c r="IZ970" s="35"/>
      <c r="JA970" s="35"/>
      <c r="JB970" s="35"/>
      <c r="JC970" s="35"/>
      <c r="JD970" s="35"/>
      <c r="JE970" s="35"/>
    </row>
    <row r="971">
      <c r="A971" s="42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  <c r="AZ971" s="35"/>
      <c r="BA971" s="35"/>
      <c r="BB971" s="35"/>
      <c r="BC971" s="35"/>
      <c r="BD971" s="35"/>
      <c r="BE971" s="35"/>
      <c r="BF971" s="35"/>
      <c r="BG971" s="35"/>
      <c r="BH971" s="35"/>
      <c r="BI971" s="35"/>
      <c r="BJ971" s="35"/>
      <c r="BK971" s="35"/>
      <c r="BL971" s="35"/>
      <c r="BM971" s="35"/>
      <c r="BN971" s="35"/>
      <c r="BO971" s="35"/>
      <c r="BP971" s="35"/>
      <c r="BQ971" s="35"/>
      <c r="BR971" s="35"/>
      <c r="BS971" s="35"/>
      <c r="BT971" s="35"/>
      <c r="BU971" s="35"/>
      <c r="BV971" s="35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35"/>
      <c r="CO971" s="35"/>
      <c r="CP971" s="35"/>
      <c r="CQ971" s="35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35"/>
      <c r="DJ971" s="35"/>
      <c r="DK971" s="35"/>
      <c r="DL971" s="35"/>
      <c r="DM971" s="35"/>
      <c r="DN971" s="35"/>
      <c r="DO971" s="35"/>
      <c r="DP971" s="35"/>
      <c r="DQ971" s="35"/>
      <c r="DR971" s="35"/>
      <c r="DS971" s="35"/>
      <c r="DT971" s="35"/>
      <c r="DU971" s="35"/>
      <c r="DV971" s="35"/>
      <c r="DW971" s="35"/>
      <c r="DX971" s="35"/>
      <c r="DY971" s="35"/>
      <c r="DZ971" s="35"/>
      <c r="EA971" s="35"/>
      <c r="EB971" s="35"/>
      <c r="EC971" s="35"/>
      <c r="ED971" s="35"/>
      <c r="EE971" s="35"/>
      <c r="EF971" s="35"/>
      <c r="EG971" s="35"/>
      <c r="EH971" s="35"/>
      <c r="EI971" s="35"/>
      <c r="EJ971" s="35"/>
      <c r="EK971" s="35"/>
      <c r="EL971" s="35"/>
      <c r="EM971" s="35"/>
      <c r="EN971" s="35"/>
      <c r="EO971" s="35"/>
      <c r="EP971" s="35"/>
      <c r="EQ971" s="35"/>
      <c r="ER971" s="35"/>
      <c r="ES971" s="35"/>
      <c r="ET971" s="35"/>
      <c r="EU971" s="35"/>
      <c r="EV971" s="35"/>
      <c r="EW971" s="35"/>
      <c r="EX971" s="35"/>
      <c r="EY971" s="35"/>
      <c r="EZ971" s="35"/>
      <c r="FA971" s="35"/>
      <c r="FB971" s="35"/>
      <c r="FC971" s="35"/>
      <c r="FD971" s="35"/>
      <c r="FE971" s="35"/>
      <c r="FF971" s="35"/>
      <c r="FG971" s="35"/>
      <c r="FH971" s="35"/>
      <c r="FI971" s="35"/>
      <c r="FJ971" s="35"/>
      <c r="FK971" s="35"/>
      <c r="FL971" s="35"/>
      <c r="FM971" s="35"/>
      <c r="FN971" s="35"/>
      <c r="FO971" s="35"/>
      <c r="FP971" s="35"/>
      <c r="FQ971" s="35"/>
      <c r="FR971" s="35"/>
      <c r="FS971" s="35"/>
      <c r="FT971" s="35"/>
      <c r="FU971" s="35"/>
      <c r="FV971" s="35"/>
      <c r="FW971" s="35"/>
      <c r="FX971" s="35"/>
      <c r="FY971" s="35"/>
      <c r="FZ971" s="35"/>
      <c r="GA971" s="35"/>
      <c r="GB971" s="35"/>
      <c r="GC971" s="35"/>
      <c r="GD971" s="35"/>
      <c r="GE971" s="35"/>
      <c r="GF971" s="35"/>
      <c r="GG971" s="35"/>
      <c r="GH971" s="35"/>
      <c r="GI971" s="35"/>
      <c r="GJ971" s="35"/>
      <c r="GK971" s="35"/>
      <c r="GL971" s="35"/>
      <c r="GM971" s="35"/>
      <c r="GN971" s="35"/>
      <c r="GO971" s="35"/>
      <c r="GP971" s="35"/>
      <c r="GQ971" s="35"/>
      <c r="GR971" s="35"/>
      <c r="GS971" s="35"/>
      <c r="GT971" s="35"/>
      <c r="GU971" s="35"/>
      <c r="GV971" s="35"/>
      <c r="GW971" s="35"/>
      <c r="GX971" s="35"/>
      <c r="GY971" s="35"/>
      <c r="GZ971" s="35"/>
      <c r="HA971" s="35"/>
      <c r="HB971" s="35"/>
      <c r="HC971" s="35"/>
      <c r="HD971" s="35"/>
      <c r="HE971" s="35"/>
      <c r="HF971" s="35"/>
      <c r="HG971" s="35"/>
      <c r="HH971" s="35"/>
      <c r="HI971" s="35"/>
      <c r="HJ971" s="35"/>
      <c r="HK971" s="35"/>
      <c r="HL971" s="35"/>
      <c r="HM971" s="35"/>
      <c r="HN971" s="35"/>
      <c r="HO971" s="35"/>
      <c r="HP971" s="35"/>
      <c r="HQ971" s="35"/>
      <c r="HR971" s="35"/>
      <c r="HS971" s="35"/>
      <c r="HT971" s="35"/>
      <c r="HU971" s="35"/>
      <c r="HV971" s="35"/>
      <c r="HW971" s="35"/>
      <c r="HX971" s="35"/>
      <c r="HY971" s="35"/>
      <c r="HZ971" s="35"/>
      <c r="IA971" s="35"/>
      <c r="IB971" s="35"/>
      <c r="IC971" s="35"/>
      <c r="ID971" s="35"/>
      <c r="IE971" s="35"/>
      <c r="IF971" s="35"/>
      <c r="IG971" s="35"/>
      <c r="IH971" s="35"/>
      <c r="II971" s="35"/>
      <c r="IJ971" s="35"/>
      <c r="IK971" s="35"/>
      <c r="IL971" s="35"/>
      <c r="IM971" s="35"/>
      <c r="IN971" s="35"/>
      <c r="IO971" s="35"/>
      <c r="IP971" s="35"/>
      <c r="IQ971" s="35"/>
      <c r="IR971" s="35"/>
      <c r="IS971" s="35"/>
      <c r="IT971" s="35"/>
      <c r="IU971" s="35"/>
      <c r="IV971" s="35"/>
      <c r="IW971" s="35"/>
      <c r="IX971" s="35"/>
      <c r="IY971" s="35"/>
      <c r="IZ971" s="35"/>
      <c r="JA971" s="35"/>
      <c r="JB971" s="35"/>
      <c r="JC971" s="35"/>
      <c r="JD971" s="35"/>
      <c r="JE971" s="35"/>
    </row>
    <row r="972">
      <c r="A972" s="42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  <c r="AZ972" s="35"/>
      <c r="BA972" s="35"/>
      <c r="BB972" s="35"/>
      <c r="BC972" s="35"/>
      <c r="BD972" s="35"/>
      <c r="BE972" s="35"/>
      <c r="BF972" s="35"/>
      <c r="BG972" s="35"/>
      <c r="BH972" s="35"/>
      <c r="BI972" s="35"/>
      <c r="BJ972" s="35"/>
      <c r="BK972" s="35"/>
      <c r="BL972" s="35"/>
      <c r="BM972" s="35"/>
      <c r="BN972" s="35"/>
      <c r="BO972" s="35"/>
      <c r="BP972" s="35"/>
      <c r="BQ972" s="35"/>
      <c r="BR972" s="35"/>
      <c r="BS972" s="35"/>
      <c r="BT972" s="35"/>
      <c r="BU972" s="35"/>
      <c r="BV972" s="35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35"/>
      <c r="CO972" s="35"/>
      <c r="CP972" s="35"/>
      <c r="CQ972" s="35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35"/>
      <c r="DJ972" s="35"/>
      <c r="DK972" s="35"/>
      <c r="DL972" s="35"/>
      <c r="DM972" s="35"/>
      <c r="DN972" s="35"/>
      <c r="DO972" s="35"/>
      <c r="DP972" s="35"/>
      <c r="DQ972" s="35"/>
      <c r="DR972" s="35"/>
      <c r="DS972" s="35"/>
      <c r="DT972" s="35"/>
      <c r="DU972" s="35"/>
      <c r="DV972" s="35"/>
      <c r="DW972" s="35"/>
      <c r="DX972" s="35"/>
      <c r="DY972" s="35"/>
      <c r="DZ972" s="35"/>
      <c r="EA972" s="35"/>
      <c r="EB972" s="35"/>
      <c r="EC972" s="35"/>
      <c r="ED972" s="35"/>
      <c r="EE972" s="35"/>
      <c r="EF972" s="35"/>
      <c r="EG972" s="35"/>
      <c r="EH972" s="35"/>
      <c r="EI972" s="35"/>
      <c r="EJ972" s="35"/>
      <c r="EK972" s="35"/>
      <c r="EL972" s="35"/>
      <c r="EM972" s="35"/>
      <c r="EN972" s="35"/>
      <c r="EO972" s="35"/>
      <c r="EP972" s="35"/>
      <c r="EQ972" s="35"/>
      <c r="ER972" s="35"/>
      <c r="ES972" s="35"/>
      <c r="ET972" s="35"/>
      <c r="EU972" s="35"/>
      <c r="EV972" s="35"/>
      <c r="EW972" s="35"/>
      <c r="EX972" s="35"/>
      <c r="EY972" s="35"/>
      <c r="EZ972" s="35"/>
      <c r="FA972" s="35"/>
      <c r="FB972" s="35"/>
      <c r="FC972" s="35"/>
      <c r="FD972" s="35"/>
      <c r="FE972" s="35"/>
      <c r="FF972" s="35"/>
      <c r="FG972" s="35"/>
      <c r="FH972" s="35"/>
      <c r="FI972" s="35"/>
      <c r="FJ972" s="35"/>
      <c r="FK972" s="35"/>
      <c r="FL972" s="35"/>
      <c r="FM972" s="35"/>
      <c r="FN972" s="35"/>
      <c r="FO972" s="35"/>
      <c r="FP972" s="35"/>
      <c r="FQ972" s="35"/>
      <c r="FR972" s="35"/>
      <c r="FS972" s="35"/>
      <c r="FT972" s="35"/>
      <c r="FU972" s="35"/>
      <c r="FV972" s="35"/>
      <c r="FW972" s="35"/>
      <c r="FX972" s="35"/>
      <c r="FY972" s="35"/>
      <c r="FZ972" s="35"/>
      <c r="GA972" s="35"/>
      <c r="GB972" s="35"/>
      <c r="GC972" s="35"/>
      <c r="GD972" s="35"/>
      <c r="GE972" s="35"/>
      <c r="GF972" s="35"/>
      <c r="GG972" s="35"/>
      <c r="GH972" s="35"/>
      <c r="GI972" s="35"/>
      <c r="GJ972" s="35"/>
      <c r="GK972" s="35"/>
      <c r="GL972" s="35"/>
      <c r="GM972" s="35"/>
      <c r="GN972" s="35"/>
      <c r="GO972" s="35"/>
      <c r="GP972" s="35"/>
      <c r="GQ972" s="35"/>
      <c r="GR972" s="35"/>
      <c r="GS972" s="35"/>
      <c r="GT972" s="35"/>
      <c r="GU972" s="35"/>
      <c r="GV972" s="35"/>
      <c r="GW972" s="35"/>
      <c r="GX972" s="35"/>
      <c r="GY972" s="35"/>
      <c r="GZ972" s="35"/>
      <c r="HA972" s="35"/>
      <c r="HB972" s="35"/>
      <c r="HC972" s="35"/>
      <c r="HD972" s="35"/>
      <c r="HE972" s="35"/>
      <c r="HF972" s="35"/>
      <c r="HG972" s="35"/>
      <c r="HH972" s="35"/>
      <c r="HI972" s="35"/>
      <c r="HJ972" s="35"/>
      <c r="HK972" s="35"/>
      <c r="HL972" s="35"/>
      <c r="HM972" s="35"/>
      <c r="HN972" s="35"/>
      <c r="HO972" s="35"/>
      <c r="HP972" s="35"/>
      <c r="HQ972" s="35"/>
      <c r="HR972" s="35"/>
      <c r="HS972" s="35"/>
      <c r="HT972" s="35"/>
      <c r="HU972" s="35"/>
      <c r="HV972" s="35"/>
      <c r="HW972" s="35"/>
      <c r="HX972" s="35"/>
      <c r="HY972" s="35"/>
      <c r="HZ972" s="35"/>
      <c r="IA972" s="35"/>
      <c r="IB972" s="35"/>
      <c r="IC972" s="35"/>
      <c r="ID972" s="35"/>
      <c r="IE972" s="35"/>
      <c r="IF972" s="35"/>
      <c r="IG972" s="35"/>
      <c r="IH972" s="35"/>
      <c r="II972" s="35"/>
      <c r="IJ972" s="35"/>
      <c r="IK972" s="35"/>
      <c r="IL972" s="35"/>
      <c r="IM972" s="35"/>
      <c r="IN972" s="35"/>
      <c r="IO972" s="35"/>
      <c r="IP972" s="35"/>
      <c r="IQ972" s="35"/>
      <c r="IR972" s="35"/>
      <c r="IS972" s="35"/>
      <c r="IT972" s="35"/>
      <c r="IU972" s="35"/>
      <c r="IV972" s="35"/>
      <c r="IW972" s="35"/>
      <c r="IX972" s="35"/>
      <c r="IY972" s="35"/>
      <c r="IZ972" s="35"/>
      <c r="JA972" s="35"/>
      <c r="JB972" s="35"/>
      <c r="JC972" s="35"/>
      <c r="JD972" s="35"/>
      <c r="JE972" s="35"/>
    </row>
    <row r="973">
      <c r="A973" s="42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  <c r="AZ973" s="35"/>
      <c r="BA973" s="35"/>
      <c r="BB973" s="35"/>
      <c r="BC973" s="35"/>
      <c r="BD973" s="35"/>
      <c r="BE973" s="35"/>
      <c r="BF973" s="35"/>
      <c r="BG973" s="35"/>
      <c r="BH973" s="35"/>
      <c r="BI973" s="35"/>
      <c r="BJ973" s="35"/>
      <c r="BK973" s="35"/>
      <c r="BL973" s="35"/>
      <c r="BM973" s="35"/>
      <c r="BN973" s="35"/>
      <c r="BO973" s="35"/>
      <c r="BP973" s="35"/>
      <c r="BQ973" s="35"/>
      <c r="BR973" s="35"/>
      <c r="BS973" s="35"/>
      <c r="BT973" s="35"/>
      <c r="BU973" s="35"/>
      <c r="BV973" s="35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35"/>
      <c r="CO973" s="35"/>
      <c r="CP973" s="35"/>
      <c r="CQ973" s="35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35"/>
      <c r="DJ973" s="35"/>
      <c r="DK973" s="35"/>
      <c r="DL973" s="35"/>
      <c r="DM973" s="35"/>
      <c r="DN973" s="35"/>
      <c r="DO973" s="35"/>
      <c r="DP973" s="35"/>
      <c r="DQ973" s="35"/>
      <c r="DR973" s="35"/>
      <c r="DS973" s="35"/>
      <c r="DT973" s="35"/>
      <c r="DU973" s="35"/>
      <c r="DV973" s="35"/>
      <c r="DW973" s="35"/>
      <c r="DX973" s="35"/>
      <c r="DY973" s="35"/>
      <c r="DZ973" s="35"/>
      <c r="EA973" s="35"/>
      <c r="EB973" s="35"/>
      <c r="EC973" s="35"/>
      <c r="ED973" s="35"/>
      <c r="EE973" s="35"/>
      <c r="EF973" s="35"/>
      <c r="EG973" s="35"/>
      <c r="EH973" s="35"/>
      <c r="EI973" s="35"/>
      <c r="EJ973" s="35"/>
      <c r="EK973" s="35"/>
      <c r="EL973" s="35"/>
      <c r="EM973" s="35"/>
      <c r="EN973" s="35"/>
      <c r="EO973" s="35"/>
      <c r="EP973" s="35"/>
      <c r="EQ973" s="35"/>
      <c r="ER973" s="35"/>
      <c r="ES973" s="35"/>
      <c r="ET973" s="35"/>
      <c r="EU973" s="35"/>
      <c r="EV973" s="35"/>
      <c r="EW973" s="35"/>
      <c r="EX973" s="35"/>
      <c r="EY973" s="35"/>
      <c r="EZ973" s="35"/>
      <c r="FA973" s="35"/>
      <c r="FB973" s="35"/>
      <c r="FC973" s="35"/>
      <c r="FD973" s="35"/>
      <c r="FE973" s="35"/>
      <c r="FF973" s="35"/>
      <c r="FG973" s="35"/>
      <c r="FH973" s="35"/>
      <c r="FI973" s="35"/>
      <c r="FJ973" s="35"/>
      <c r="FK973" s="35"/>
      <c r="FL973" s="35"/>
      <c r="FM973" s="35"/>
      <c r="FN973" s="35"/>
      <c r="FO973" s="35"/>
      <c r="FP973" s="35"/>
      <c r="FQ973" s="35"/>
      <c r="FR973" s="35"/>
      <c r="FS973" s="35"/>
      <c r="FT973" s="35"/>
      <c r="FU973" s="35"/>
      <c r="FV973" s="35"/>
      <c r="FW973" s="35"/>
      <c r="FX973" s="35"/>
      <c r="FY973" s="35"/>
      <c r="FZ973" s="35"/>
      <c r="GA973" s="35"/>
      <c r="GB973" s="35"/>
      <c r="GC973" s="35"/>
      <c r="GD973" s="35"/>
      <c r="GE973" s="35"/>
      <c r="GF973" s="35"/>
      <c r="GG973" s="35"/>
      <c r="GH973" s="35"/>
      <c r="GI973" s="35"/>
      <c r="GJ973" s="35"/>
      <c r="GK973" s="35"/>
      <c r="GL973" s="35"/>
      <c r="GM973" s="35"/>
      <c r="GN973" s="35"/>
      <c r="GO973" s="35"/>
      <c r="GP973" s="35"/>
      <c r="GQ973" s="35"/>
      <c r="GR973" s="35"/>
      <c r="GS973" s="35"/>
      <c r="GT973" s="35"/>
      <c r="GU973" s="35"/>
      <c r="GV973" s="35"/>
      <c r="GW973" s="35"/>
      <c r="GX973" s="35"/>
      <c r="GY973" s="35"/>
      <c r="GZ973" s="35"/>
      <c r="HA973" s="35"/>
      <c r="HB973" s="35"/>
      <c r="HC973" s="35"/>
      <c r="HD973" s="35"/>
      <c r="HE973" s="35"/>
      <c r="HF973" s="35"/>
      <c r="HG973" s="35"/>
      <c r="HH973" s="35"/>
      <c r="HI973" s="35"/>
      <c r="HJ973" s="35"/>
      <c r="HK973" s="35"/>
      <c r="HL973" s="35"/>
      <c r="HM973" s="35"/>
      <c r="HN973" s="35"/>
      <c r="HO973" s="35"/>
      <c r="HP973" s="35"/>
      <c r="HQ973" s="35"/>
      <c r="HR973" s="35"/>
      <c r="HS973" s="35"/>
      <c r="HT973" s="35"/>
      <c r="HU973" s="35"/>
      <c r="HV973" s="35"/>
      <c r="HW973" s="35"/>
      <c r="HX973" s="35"/>
      <c r="HY973" s="35"/>
      <c r="HZ973" s="35"/>
      <c r="IA973" s="35"/>
      <c r="IB973" s="35"/>
      <c r="IC973" s="35"/>
      <c r="ID973" s="35"/>
      <c r="IE973" s="35"/>
      <c r="IF973" s="35"/>
      <c r="IG973" s="35"/>
      <c r="IH973" s="35"/>
      <c r="II973" s="35"/>
      <c r="IJ973" s="35"/>
      <c r="IK973" s="35"/>
      <c r="IL973" s="35"/>
      <c r="IM973" s="35"/>
      <c r="IN973" s="35"/>
      <c r="IO973" s="35"/>
      <c r="IP973" s="35"/>
      <c r="IQ973" s="35"/>
      <c r="IR973" s="35"/>
      <c r="IS973" s="35"/>
      <c r="IT973" s="35"/>
      <c r="IU973" s="35"/>
      <c r="IV973" s="35"/>
      <c r="IW973" s="35"/>
      <c r="IX973" s="35"/>
      <c r="IY973" s="35"/>
      <c r="IZ973" s="35"/>
      <c r="JA973" s="35"/>
      <c r="JB973" s="35"/>
      <c r="JC973" s="35"/>
      <c r="JD973" s="35"/>
      <c r="JE973" s="35"/>
    </row>
    <row r="974">
      <c r="A974" s="42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  <c r="AZ974" s="35"/>
      <c r="BA974" s="35"/>
      <c r="BB974" s="35"/>
      <c r="BC974" s="35"/>
      <c r="BD974" s="35"/>
      <c r="BE974" s="35"/>
      <c r="BF974" s="35"/>
      <c r="BG974" s="35"/>
      <c r="BH974" s="35"/>
      <c r="BI974" s="35"/>
      <c r="BJ974" s="35"/>
      <c r="BK974" s="35"/>
      <c r="BL974" s="35"/>
      <c r="BM974" s="35"/>
      <c r="BN974" s="35"/>
      <c r="BO974" s="35"/>
      <c r="BP974" s="35"/>
      <c r="BQ974" s="35"/>
      <c r="BR974" s="35"/>
      <c r="BS974" s="35"/>
      <c r="BT974" s="35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35"/>
      <c r="CO974" s="35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35"/>
      <c r="DJ974" s="35"/>
      <c r="DK974" s="35"/>
      <c r="DL974" s="35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35"/>
      <c r="EE974" s="35"/>
      <c r="EF974" s="35"/>
      <c r="EG974" s="35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  <c r="ER974" s="35"/>
      <c r="ES974" s="35"/>
      <c r="ET974" s="35"/>
      <c r="EU974" s="35"/>
      <c r="EV974" s="35"/>
      <c r="EW974" s="35"/>
      <c r="EX974" s="35"/>
      <c r="EY974" s="35"/>
      <c r="EZ974" s="35"/>
      <c r="FA974" s="35"/>
      <c r="FB974" s="35"/>
      <c r="FC974" s="35"/>
      <c r="FD974" s="35"/>
      <c r="FE974" s="35"/>
      <c r="FF974" s="35"/>
      <c r="FG974" s="35"/>
      <c r="FH974" s="35"/>
      <c r="FI974" s="35"/>
      <c r="FJ974" s="35"/>
      <c r="FK974" s="35"/>
      <c r="FL974" s="35"/>
      <c r="FM974" s="35"/>
      <c r="FN974" s="35"/>
      <c r="FO974" s="35"/>
      <c r="FP974" s="35"/>
      <c r="FQ974" s="35"/>
      <c r="FR974" s="35"/>
      <c r="FS974" s="35"/>
      <c r="FT974" s="35"/>
      <c r="FU974" s="35"/>
      <c r="FV974" s="35"/>
      <c r="FW974" s="35"/>
      <c r="FX974" s="35"/>
      <c r="FY974" s="35"/>
      <c r="FZ974" s="35"/>
      <c r="GA974" s="35"/>
      <c r="GB974" s="35"/>
      <c r="GC974" s="35"/>
      <c r="GD974" s="35"/>
      <c r="GE974" s="35"/>
      <c r="GF974" s="35"/>
      <c r="GG974" s="35"/>
      <c r="GH974" s="35"/>
      <c r="GI974" s="35"/>
      <c r="GJ974" s="35"/>
      <c r="GK974" s="35"/>
      <c r="GL974" s="35"/>
      <c r="GM974" s="35"/>
      <c r="GN974" s="35"/>
      <c r="GO974" s="35"/>
      <c r="GP974" s="35"/>
      <c r="GQ974" s="35"/>
      <c r="GR974" s="35"/>
      <c r="GS974" s="35"/>
      <c r="GT974" s="35"/>
      <c r="GU974" s="35"/>
      <c r="GV974" s="35"/>
      <c r="GW974" s="35"/>
      <c r="GX974" s="35"/>
      <c r="GY974" s="35"/>
      <c r="GZ974" s="35"/>
      <c r="HA974" s="35"/>
      <c r="HB974" s="35"/>
      <c r="HC974" s="35"/>
      <c r="HD974" s="35"/>
      <c r="HE974" s="35"/>
      <c r="HF974" s="35"/>
      <c r="HG974" s="35"/>
      <c r="HH974" s="35"/>
      <c r="HI974" s="35"/>
      <c r="HJ974" s="35"/>
      <c r="HK974" s="35"/>
      <c r="HL974" s="35"/>
      <c r="HM974" s="35"/>
      <c r="HN974" s="35"/>
      <c r="HO974" s="35"/>
      <c r="HP974" s="35"/>
      <c r="HQ974" s="35"/>
      <c r="HR974" s="35"/>
      <c r="HS974" s="35"/>
      <c r="HT974" s="35"/>
      <c r="HU974" s="35"/>
      <c r="HV974" s="35"/>
      <c r="HW974" s="35"/>
      <c r="HX974" s="35"/>
      <c r="HY974" s="35"/>
      <c r="HZ974" s="35"/>
      <c r="IA974" s="35"/>
      <c r="IB974" s="35"/>
      <c r="IC974" s="35"/>
      <c r="ID974" s="35"/>
      <c r="IE974" s="35"/>
      <c r="IF974" s="35"/>
      <c r="IG974" s="35"/>
      <c r="IH974" s="35"/>
      <c r="II974" s="35"/>
      <c r="IJ974" s="35"/>
      <c r="IK974" s="35"/>
      <c r="IL974" s="35"/>
      <c r="IM974" s="35"/>
      <c r="IN974" s="35"/>
      <c r="IO974" s="35"/>
      <c r="IP974" s="35"/>
      <c r="IQ974" s="35"/>
      <c r="IR974" s="35"/>
      <c r="IS974" s="35"/>
      <c r="IT974" s="35"/>
      <c r="IU974" s="35"/>
      <c r="IV974" s="35"/>
      <c r="IW974" s="35"/>
      <c r="IX974" s="35"/>
      <c r="IY974" s="35"/>
      <c r="IZ974" s="35"/>
      <c r="JA974" s="35"/>
      <c r="JB974" s="35"/>
      <c r="JC974" s="35"/>
      <c r="JD974" s="35"/>
      <c r="JE974" s="35"/>
    </row>
    <row r="975">
      <c r="A975" s="42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  <c r="AZ975" s="35"/>
      <c r="BA975" s="35"/>
      <c r="BB975" s="35"/>
      <c r="BC975" s="35"/>
      <c r="BD975" s="35"/>
      <c r="BE975" s="35"/>
      <c r="BF975" s="35"/>
      <c r="BG975" s="35"/>
      <c r="BH975" s="35"/>
      <c r="BI975" s="35"/>
      <c r="BJ975" s="35"/>
      <c r="BK975" s="35"/>
      <c r="BL975" s="35"/>
      <c r="BM975" s="35"/>
      <c r="BN975" s="35"/>
      <c r="BO975" s="35"/>
      <c r="BP975" s="35"/>
      <c r="BQ975" s="35"/>
      <c r="BR975" s="35"/>
      <c r="BS975" s="35"/>
      <c r="BT975" s="35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35"/>
      <c r="CO975" s="35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35"/>
      <c r="DJ975" s="35"/>
      <c r="DK975" s="35"/>
      <c r="DL975" s="35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35"/>
      <c r="EE975" s="35"/>
      <c r="EF975" s="35"/>
      <c r="EG975" s="35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  <c r="ER975" s="35"/>
      <c r="ES975" s="35"/>
      <c r="ET975" s="35"/>
      <c r="EU975" s="35"/>
      <c r="EV975" s="35"/>
      <c r="EW975" s="35"/>
      <c r="EX975" s="35"/>
      <c r="EY975" s="35"/>
      <c r="EZ975" s="35"/>
      <c r="FA975" s="35"/>
      <c r="FB975" s="35"/>
      <c r="FC975" s="35"/>
      <c r="FD975" s="35"/>
      <c r="FE975" s="35"/>
      <c r="FF975" s="35"/>
      <c r="FG975" s="35"/>
      <c r="FH975" s="35"/>
      <c r="FI975" s="35"/>
      <c r="FJ975" s="35"/>
      <c r="FK975" s="35"/>
      <c r="FL975" s="35"/>
      <c r="FM975" s="35"/>
      <c r="FN975" s="35"/>
      <c r="FO975" s="35"/>
      <c r="FP975" s="35"/>
      <c r="FQ975" s="35"/>
      <c r="FR975" s="35"/>
      <c r="FS975" s="35"/>
      <c r="FT975" s="35"/>
      <c r="FU975" s="35"/>
      <c r="FV975" s="35"/>
      <c r="FW975" s="35"/>
      <c r="FX975" s="35"/>
      <c r="FY975" s="35"/>
      <c r="FZ975" s="35"/>
      <c r="GA975" s="35"/>
      <c r="GB975" s="35"/>
      <c r="GC975" s="35"/>
      <c r="GD975" s="35"/>
      <c r="GE975" s="35"/>
      <c r="GF975" s="35"/>
      <c r="GG975" s="35"/>
      <c r="GH975" s="35"/>
      <c r="GI975" s="35"/>
      <c r="GJ975" s="35"/>
      <c r="GK975" s="35"/>
      <c r="GL975" s="35"/>
      <c r="GM975" s="35"/>
      <c r="GN975" s="35"/>
      <c r="GO975" s="35"/>
      <c r="GP975" s="35"/>
      <c r="GQ975" s="35"/>
      <c r="GR975" s="35"/>
      <c r="GS975" s="35"/>
      <c r="GT975" s="35"/>
      <c r="GU975" s="35"/>
      <c r="GV975" s="35"/>
      <c r="GW975" s="35"/>
      <c r="GX975" s="35"/>
      <c r="GY975" s="35"/>
      <c r="GZ975" s="35"/>
      <c r="HA975" s="35"/>
      <c r="HB975" s="35"/>
      <c r="HC975" s="35"/>
      <c r="HD975" s="35"/>
      <c r="HE975" s="35"/>
      <c r="HF975" s="35"/>
      <c r="HG975" s="35"/>
      <c r="HH975" s="35"/>
      <c r="HI975" s="35"/>
      <c r="HJ975" s="35"/>
      <c r="HK975" s="35"/>
      <c r="HL975" s="35"/>
      <c r="HM975" s="35"/>
      <c r="HN975" s="35"/>
      <c r="HO975" s="35"/>
      <c r="HP975" s="35"/>
      <c r="HQ975" s="35"/>
      <c r="HR975" s="35"/>
      <c r="HS975" s="35"/>
      <c r="HT975" s="35"/>
      <c r="HU975" s="35"/>
      <c r="HV975" s="35"/>
      <c r="HW975" s="35"/>
      <c r="HX975" s="35"/>
      <c r="HY975" s="35"/>
      <c r="HZ975" s="35"/>
      <c r="IA975" s="35"/>
      <c r="IB975" s="35"/>
      <c r="IC975" s="35"/>
      <c r="ID975" s="35"/>
      <c r="IE975" s="35"/>
      <c r="IF975" s="35"/>
      <c r="IG975" s="35"/>
      <c r="IH975" s="35"/>
      <c r="II975" s="35"/>
      <c r="IJ975" s="35"/>
      <c r="IK975" s="35"/>
      <c r="IL975" s="35"/>
      <c r="IM975" s="35"/>
      <c r="IN975" s="35"/>
      <c r="IO975" s="35"/>
      <c r="IP975" s="35"/>
      <c r="IQ975" s="35"/>
      <c r="IR975" s="35"/>
      <c r="IS975" s="35"/>
      <c r="IT975" s="35"/>
      <c r="IU975" s="35"/>
      <c r="IV975" s="35"/>
      <c r="IW975" s="35"/>
      <c r="IX975" s="35"/>
      <c r="IY975" s="35"/>
      <c r="IZ975" s="35"/>
      <c r="JA975" s="35"/>
      <c r="JB975" s="35"/>
      <c r="JC975" s="35"/>
      <c r="JD975" s="35"/>
      <c r="JE975" s="35"/>
    </row>
    <row r="976">
      <c r="A976" s="42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  <c r="AZ976" s="35"/>
      <c r="BA976" s="35"/>
      <c r="BB976" s="35"/>
      <c r="BC976" s="35"/>
      <c r="BD976" s="35"/>
      <c r="BE976" s="35"/>
      <c r="BF976" s="35"/>
      <c r="BG976" s="35"/>
      <c r="BH976" s="35"/>
      <c r="BI976" s="35"/>
      <c r="BJ976" s="35"/>
      <c r="BK976" s="35"/>
      <c r="BL976" s="35"/>
      <c r="BM976" s="35"/>
      <c r="BN976" s="35"/>
      <c r="BO976" s="35"/>
      <c r="BP976" s="35"/>
      <c r="BQ976" s="35"/>
      <c r="BR976" s="35"/>
      <c r="BS976" s="35"/>
      <c r="BT976" s="35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35"/>
      <c r="CO976" s="35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35"/>
      <c r="DJ976" s="35"/>
      <c r="DK976" s="35"/>
      <c r="DL976" s="35"/>
      <c r="DM976" s="35"/>
      <c r="DN976" s="35"/>
      <c r="DO976" s="35"/>
      <c r="DP976" s="35"/>
      <c r="DQ976" s="35"/>
      <c r="DR976" s="35"/>
      <c r="DS976" s="35"/>
      <c r="DT976" s="35"/>
      <c r="DU976" s="35"/>
      <c r="DV976" s="35"/>
      <c r="DW976" s="35"/>
      <c r="DX976" s="35"/>
      <c r="DY976" s="35"/>
      <c r="DZ976" s="35"/>
      <c r="EA976" s="35"/>
      <c r="EB976" s="35"/>
      <c r="EC976" s="35"/>
      <c r="ED976" s="35"/>
      <c r="EE976" s="35"/>
      <c r="EF976" s="35"/>
      <c r="EG976" s="35"/>
      <c r="EH976" s="35"/>
      <c r="EI976" s="35"/>
      <c r="EJ976" s="35"/>
      <c r="EK976" s="35"/>
      <c r="EL976" s="35"/>
      <c r="EM976" s="35"/>
      <c r="EN976" s="35"/>
      <c r="EO976" s="35"/>
      <c r="EP976" s="35"/>
      <c r="EQ976" s="35"/>
      <c r="ER976" s="35"/>
      <c r="ES976" s="35"/>
      <c r="ET976" s="35"/>
      <c r="EU976" s="35"/>
      <c r="EV976" s="35"/>
      <c r="EW976" s="35"/>
      <c r="EX976" s="35"/>
      <c r="EY976" s="35"/>
      <c r="EZ976" s="35"/>
      <c r="FA976" s="35"/>
      <c r="FB976" s="35"/>
      <c r="FC976" s="35"/>
      <c r="FD976" s="35"/>
      <c r="FE976" s="35"/>
      <c r="FF976" s="35"/>
      <c r="FG976" s="35"/>
      <c r="FH976" s="35"/>
      <c r="FI976" s="35"/>
      <c r="FJ976" s="35"/>
      <c r="FK976" s="35"/>
      <c r="FL976" s="35"/>
      <c r="FM976" s="35"/>
      <c r="FN976" s="35"/>
      <c r="FO976" s="35"/>
      <c r="FP976" s="35"/>
      <c r="FQ976" s="35"/>
      <c r="FR976" s="35"/>
      <c r="FS976" s="35"/>
      <c r="FT976" s="35"/>
      <c r="FU976" s="35"/>
      <c r="FV976" s="35"/>
      <c r="FW976" s="35"/>
      <c r="FX976" s="35"/>
      <c r="FY976" s="35"/>
      <c r="FZ976" s="35"/>
      <c r="GA976" s="35"/>
      <c r="GB976" s="35"/>
      <c r="GC976" s="35"/>
      <c r="GD976" s="35"/>
      <c r="GE976" s="35"/>
      <c r="GF976" s="35"/>
      <c r="GG976" s="35"/>
      <c r="GH976" s="35"/>
      <c r="GI976" s="35"/>
      <c r="GJ976" s="35"/>
      <c r="GK976" s="35"/>
      <c r="GL976" s="35"/>
      <c r="GM976" s="35"/>
      <c r="GN976" s="35"/>
      <c r="GO976" s="35"/>
      <c r="GP976" s="35"/>
      <c r="GQ976" s="35"/>
      <c r="GR976" s="35"/>
      <c r="GS976" s="35"/>
      <c r="GT976" s="35"/>
      <c r="GU976" s="35"/>
      <c r="GV976" s="35"/>
      <c r="GW976" s="35"/>
      <c r="GX976" s="35"/>
      <c r="GY976" s="35"/>
      <c r="GZ976" s="35"/>
      <c r="HA976" s="35"/>
      <c r="HB976" s="35"/>
      <c r="HC976" s="35"/>
      <c r="HD976" s="35"/>
      <c r="HE976" s="35"/>
      <c r="HF976" s="35"/>
      <c r="HG976" s="35"/>
      <c r="HH976" s="35"/>
      <c r="HI976" s="35"/>
      <c r="HJ976" s="35"/>
      <c r="HK976" s="35"/>
      <c r="HL976" s="35"/>
      <c r="HM976" s="35"/>
      <c r="HN976" s="35"/>
      <c r="HO976" s="35"/>
      <c r="HP976" s="35"/>
      <c r="HQ976" s="35"/>
      <c r="HR976" s="35"/>
      <c r="HS976" s="35"/>
      <c r="HT976" s="35"/>
      <c r="HU976" s="35"/>
      <c r="HV976" s="35"/>
      <c r="HW976" s="35"/>
      <c r="HX976" s="35"/>
      <c r="HY976" s="35"/>
      <c r="HZ976" s="35"/>
      <c r="IA976" s="35"/>
      <c r="IB976" s="35"/>
      <c r="IC976" s="35"/>
      <c r="ID976" s="35"/>
      <c r="IE976" s="35"/>
      <c r="IF976" s="35"/>
      <c r="IG976" s="35"/>
      <c r="IH976" s="35"/>
      <c r="II976" s="35"/>
      <c r="IJ976" s="35"/>
      <c r="IK976" s="35"/>
      <c r="IL976" s="35"/>
      <c r="IM976" s="35"/>
      <c r="IN976" s="35"/>
      <c r="IO976" s="35"/>
      <c r="IP976" s="35"/>
      <c r="IQ976" s="35"/>
      <c r="IR976" s="35"/>
      <c r="IS976" s="35"/>
      <c r="IT976" s="35"/>
      <c r="IU976" s="35"/>
      <c r="IV976" s="35"/>
      <c r="IW976" s="35"/>
      <c r="IX976" s="35"/>
      <c r="IY976" s="35"/>
      <c r="IZ976" s="35"/>
      <c r="JA976" s="35"/>
      <c r="JB976" s="35"/>
      <c r="JC976" s="35"/>
      <c r="JD976" s="35"/>
      <c r="JE976" s="35"/>
    </row>
    <row r="977">
      <c r="A977" s="42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  <c r="BA977" s="35"/>
      <c r="BB977" s="35"/>
      <c r="BC977" s="35"/>
      <c r="BD977" s="35"/>
      <c r="BE977" s="35"/>
      <c r="BF977" s="35"/>
      <c r="BG977" s="35"/>
      <c r="BH977" s="35"/>
      <c r="BI977" s="35"/>
      <c r="BJ977" s="35"/>
      <c r="BK977" s="35"/>
      <c r="BL977" s="35"/>
      <c r="BM977" s="35"/>
      <c r="BN977" s="35"/>
      <c r="BO977" s="35"/>
      <c r="BP977" s="35"/>
      <c r="BQ977" s="35"/>
      <c r="BR977" s="35"/>
      <c r="BS977" s="35"/>
      <c r="BT977" s="35"/>
      <c r="BU977" s="35"/>
      <c r="BV977" s="35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35"/>
      <c r="CO977" s="35"/>
      <c r="CP977" s="35"/>
      <c r="CQ977" s="35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35"/>
      <c r="DJ977" s="35"/>
      <c r="DK977" s="35"/>
      <c r="DL977" s="35"/>
      <c r="DM977" s="35"/>
      <c r="DN977" s="35"/>
      <c r="DO977" s="35"/>
      <c r="DP977" s="35"/>
      <c r="DQ977" s="35"/>
      <c r="DR977" s="35"/>
      <c r="DS977" s="35"/>
      <c r="DT977" s="35"/>
      <c r="DU977" s="35"/>
      <c r="DV977" s="35"/>
      <c r="DW977" s="35"/>
      <c r="DX977" s="35"/>
      <c r="DY977" s="35"/>
      <c r="DZ977" s="35"/>
      <c r="EA977" s="35"/>
      <c r="EB977" s="35"/>
      <c r="EC977" s="35"/>
      <c r="ED977" s="35"/>
      <c r="EE977" s="35"/>
      <c r="EF977" s="35"/>
      <c r="EG977" s="35"/>
      <c r="EH977" s="35"/>
      <c r="EI977" s="35"/>
      <c r="EJ977" s="35"/>
      <c r="EK977" s="35"/>
      <c r="EL977" s="35"/>
      <c r="EM977" s="35"/>
      <c r="EN977" s="35"/>
      <c r="EO977" s="35"/>
      <c r="EP977" s="35"/>
      <c r="EQ977" s="35"/>
      <c r="ER977" s="35"/>
      <c r="ES977" s="35"/>
      <c r="ET977" s="35"/>
      <c r="EU977" s="35"/>
      <c r="EV977" s="35"/>
      <c r="EW977" s="35"/>
      <c r="EX977" s="35"/>
      <c r="EY977" s="35"/>
      <c r="EZ977" s="35"/>
      <c r="FA977" s="35"/>
      <c r="FB977" s="35"/>
      <c r="FC977" s="35"/>
      <c r="FD977" s="35"/>
      <c r="FE977" s="35"/>
      <c r="FF977" s="35"/>
      <c r="FG977" s="35"/>
      <c r="FH977" s="35"/>
      <c r="FI977" s="35"/>
      <c r="FJ977" s="35"/>
      <c r="FK977" s="35"/>
      <c r="FL977" s="35"/>
      <c r="FM977" s="35"/>
      <c r="FN977" s="35"/>
      <c r="FO977" s="35"/>
      <c r="FP977" s="35"/>
      <c r="FQ977" s="35"/>
      <c r="FR977" s="35"/>
      <c r="FS977" s="35"/>
      <c r="FT977" s="35"/>
      <c r="FU977" s="35"/>
      <c r="FV977" s="35"/>
      <c r="FW977" s="35"/>
      <c r="FX977" s="35"/>
      <c r="FY977" s="35"/>
      <c r="FZ977" s="35"/>
      <c r="GA977" s="35"/>
      <c r="GB977" s="35"/>
      <c r="GC977" s="35"/>
      <c r="GD977" s="35"/>
      <c r="GE977" s="35"/>
      <c r="GF977" s="35"/>
      <c r="GG977" s="35"/>
      <c r="GH977" s="35"/>
      <c r="GI977" s="35"/>
      <c r="GJ977" s="35"/>
      <c r="GK977" s="35"/>
      <c r="GL977" s="35"/>
      <c r="GM977" s="35"/>
      <c r="GN977" s="35"/>
      <c r="GO977" s="35"/>
      <c r="GP977" s="35"/>
      <c r="GQ977" s="35"/>
      <c r="GR977" s="35"/>
      <c r="GS977" s="35"/>
      <c r="GT977" s="35"/>
      <c r="GU977" s="35"/>
      <c r="GV977" s="35"/>
      <c r="GW977" s="35"/>
      <c r="GX977" s="35"/>
      <c r="GY977" s="35"/>
      <c r="GZ977" s="35"/>
      <c r="HA977" s="35"/>
      <c r="HB977" s="35"/>
      <c r="HC977" s="35"/>
      <c r="HD977" s="35"/>
      <c r="HE977" s="35"/>
      <c r="HF977" s="35"/>
      <c r="HG977" s="35"/>
      <c r="HH977" s="35"/>
      <c r="HI977" s="35"/>
      <c r="HJ977" s="35"/>
      <c r="HK977" s="35"/>
      <c r="HL977" s="35"/>
      <c r="HM977" s="35"/>
      <c r="HN977" s="35"/>
      <c r="HO977" s="35"/>
      <c r="HP977" s="35"/>
      <c r="HQ977" s="35"/>
      <c r="HR977" s="35"/>
      <c r="HS977" s="35"/>
      <c r="HT977" s="35"/>
      <c r="HU977" s="35"/>
      <c r="HV977" s="35"/>
      <c r="HW977" s="35"/>
      <c r="HX977" s="35"/>
      <c r="HY977" s="35"/>
      <c r="HZ977" s="35"/>
      <c r="IA977" s="35"/>
      <c r="IB977" s="35"/>
      <c r="IC977" s="35"/>
      <c r="ID977" s="35"/>
      <c r="IE977" s="35"/>
      <c r="IF977" s="35"/>
      <c r="IG977" s="35"/>
      <c r="IH977" s="35"/>
      <c r="II977" s="35"/>
      <c r="IJ977" s="35"/>
      <c r="IK977" s="35"/>
      <c r="IL977" s="35"/>
      <c r="IM977" s="35"/>
      <c r="IN977" s="35"/>
      <c r="IO977" s="35"/>
      <c r="IP977" s="35"/>
      <c r="IQ977" s="35"/>
      <c r="IR977" s="35"/>
      <c r="IS977" s="35"/>
      <c r="IT977" s="35"/>
      <c r="IU977" s="35"/>
      <c r="IV977" s="35"/>
      <c r="IW977" s="35"/>
      <c r="IX977" s="35"/>
      <c r="IY977" s="35"/>
      <c r="IZ977" s="35"/>
      <c r="JA977" s="35"/>
      <c r="JB977" s="35"/>
      <c r="JC977" s="35"/>
      <c r="JD977" s="35"/>
      <c r="JE977" s="35"/>
    </row>
    <row r="978">
      <c r="A978" s="42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  <c r="BA978" s="35"/>
      <c r="BB978" s="35"/>
      <c r="BC978" s="35"/>
      <c r="BD978" s="35"/>
      <c r="BE978" s="35"/>
      <c r="BF978" s="35"/>
      <c r="BG978" s="35"/>
      <c r="BH978" s="35"/>
      <c r="BI978" s="35"/>
      <c r="BJ978" s="35"/>
      <c r="BK978" s="35"/>
      <c r="BL978" s="35"/>
      <c r="BM978" s="35"/>
      <c r="BN978" s="35"/>
      <c r="BO978" s="35"/>
      <c r="BP978" s="35"/>
      <c r="BQ978" s="35"/>
      <c r="BR978" s="35"/>
      <c r="BS978" s="35"/>
      <c r="BT978" s="35"/>
      <c r="BU978" s="35"/>
      <c r="BV978" s="35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35"/>
      <c r="CO978" s="35"/>
      <c r="CP978" s="35"/>
      <c r="CQ978" s="35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35"/>
      <c r="DJ978" s="35"/>
      <c r="DK978" s="35"/>
      <c r="DL978" s="35"/>
      <c r="DM978" s="35"/>
      <c r="DN978" s="35"/>
      <c r="DO978" s="35"/>
      <c r="DP978" s="35"/>
      <c r="DQ978" s="35"/>
      <c r="DR978" s="35"/>
      <c r="DS978" s="35"/>
      <c r="DT978" s="35"/>
      <c r="DU978" s="35"/>
      <c r="DV978" s="35"/>
      <c r="DW978" s="35"/>
      <c r="DX978" s="35"/>
      <c r="DY978" s="35"/>
      <c r="DZ978" s="35"/>
      <c r="EA978" s="35"/>
      <c r="EB978" s="35"/>
      <c r="EC978" s="35"/>
      <c r="ED978" s="35"/>
      <c r="EE978" s="35"/>
      <c r="EF978" s="35"/>
      <c r="EG978" s="35"/>
      <c r="EH978" s="35"/>
      <c r="EI978" s="35"/>
      <c r="EJ978" s="35"/>
      <c r="EK978" s="35"/>
      <c r="EL978" s="35"/>
      <c r="EM978" s="35"/>
      <c r="EN978" s="35"/>
      <c r="EO978" s="35"/>
      <c r="EP978" s="35"/>
      <c r="EQ978" s="35"/>
      <c r="ER978" s="35"/>
      <c r="ES978" s="35"/>
      <c r="ET978" s="35"/>
      <c r="EU978" s="35"/>
      <c r="EV978" s="35"/>
      <c r="EW978" s="35"/>
      <c r="EX978" s="35"/>
      <c r="EY978" s="35"/>
      <c r="EZ978" s="35"/>
      <c r="FA978" s="35"/>
      <c r="FB978" s="35"/>
      <c r="FC978" s="35"/>
      <c r="FD978" s="35"/>
      <c r="FE978" s="35"/>
      <c r="FF978" s="35"/>
      <c r="FG978" s="35"/>
      <c r="FH978" s="35"/>
      <c r="FI978" s="35"/>
      <c r="FJ978" s="35"/>
      <c r="FK978" s="35"/>
      <c r="FL978" s="35"/>
      <c r="FM978" s="35"/>
      <c r="FN978" s="35"/>
      <c r="FO978" s="35"/>
      <c r="FP978" s="35"/>
      <c r="FQ978" s="35"/>
      <c r="FR978" s="35"/>
      <c r="FS978" s="35"/>
      <c r="FT978" s="35"/>
      <c r="FU978" s="35"/>
      <c r="FV978" s="35"/>
      <c r="FW978" s="35"/>
      <c r="FX978" s="35"/>
      <c r="FY978" s="35"/>
      <c r="FZ978" s="35"/>
      <c r="GA978" s="35"/>
      <c r="GB978" s="35"/>
      <c r="GC978" s="35"/>
      <c r="GD978" s="35"/>
      <c r="GE978" s="35"/>
      <c r="GF978" s="35"/>
      <c r="GG978" s="35"/>
      <c r="GH978" s="35"/>
      <c r="GI978" s="35"/>
      <c r="GJ978" s="35"/>
      <c r="GK978" s="35"/>
      <c r="GL978" s="35"/>
      <c r="GM978" s="35"/>
      <c r="GN978" s="35"/>
      <c r="GO978" s="35"/>
      <c r="GP978" s="35"/>
      <c r="GQ978" s="35"/>
      <c r="GR978" s="35"/>
      <c r="GS978" s="35"/>
      <c r="GT978" s="35"/>
      <c r="GU978" s="35"/>
      <c r="GV978" s="35"/>
      <c r="GW978" s="35"/>
      <c r="GX978" s="35"/>
      <c r="GY978" s="35"/>
      <c r="GZ978" s="35"/>
      <c r="HA978" s="35"/>
      <c r="HB978" s="35"/>
      <c r="HC978" s="35"/>
      <c r="HD978" s="35"/>
      <c r="HE978" s="35"/>
      <c r="HF978" s="35"/>
      <c r="HG978" s="35"/>
      <c r="HH978" s="35"/>
      <c r="HI978" s="35"/>
      <c r="HJ978" s="35"/>
      <c r="HK978" s="35"/>
      <c r="HL978" s="35"/>
      <c r="HM978" s="35"/>
      <c r="HN978" s="35"/>
      <c r="HO978" s="35"/>
      <c r="HP978" s="35"/>
      <c r="HQ978" s="35"/>
      <c r="HR978" s="35"/>
      <c r="HS978" s="35"/>
      <c r="HT978" s="35"/>
      <c r="HU978" s="35"/>
      <c r="HV978" s="35"/>
      <c r="HW978" s="35"/>
      <c r="HX978" s="35"/>
      <c r="HY978" s="35"/>
      <c r="HZ978" s="35"/>
      <c r="IA978" s="35"/>
      <c r="IB978" s="35"/>
      <c r="IC978" s="35"/>
      <c r="ID978" s="35"/>
      <c r="IE978" s="35"/>
      <c r="IF978" s="35"/>
      <c r="IG978" s="35"/>
      <c r="IH978" s="35"/>
      <c r="II978" s="35"/>
      <c r="IJ978" s="35"/>
      <c r="IK978" s="35"/>
      <c r="IL978" s="35"/>
      <c r="IM978" s="35"/>
      <c r="IN978" s="35"/>
      <c r="IO978" s="35"/>
      <c r="IP978" s="35"/>
      <c r="IQ978" s="35"/>
      <c r="IR978" s="35"/>
      <c r="IS978" s="35"/>
      <c r="IT978" s="35"/>
      <c r="IU978" s="35"/>
      <c r="IV978" s="35"/>
      <c r="IW978" s="35"/>
      <c r="IX978" s="35"/>
      <c r="IY978" s="35"/>
      <c r="IZ978" s="35"/>
      <c r="JA978" s="35"/>
      <c r="JB978" s="35"/>
      <c r="JC978" s="35"/>
      <c r="JD978" s="35"/>
      <c r="JE978" s="35"/>
    </row>
    <row r="979">
      <c r="A979" s="42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  <c r="AZ979" s="35"/>
      <c r="BA979" s="35"/>
      <c r="BB979" s="35"/>
      <c r="BC979" s="35"/>
      <c r="BD979" s="35"/>
      <c r="BE979" s="35"/>
      <c r="BF979" s="35"/>
      <c r="BG979" s="35"/>
      <c r="BH979" s="35"/>
      <c r="BI979" s="35"/>
      <c r="BJ979" s="35"/>
      <c r="BK979" s="35"/>
      <c r="BL979" s="35"/>
      <c r="BM979" s="35"/>
      <c r="BN979" s="35"/>
      <c r="BO979" s="35"/>
      <c r="BP979" s="35"/>
      <c r="BQ979" s="35"/>
      <c r="BR979" s="35"/>
      <c r="BS979" s="35"/>
      <c r="BT979" s="35"/>
      <c r="BU979" s="35"/>
      <c r="BV979" s="35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35"/>
      <c r="CO979" s="35"/>
      <c r="CP979" s="35"/>
      <c r="CQ979" s="35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35"/>
      <c r="DJ979" s="35"/>
      <c r="DK979" s="35"/>
      <c r="DL979" s="35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35"/>
      <c r="EE979" s="35"/>
      <c r="EF979" s="35"/>
      <c r="EG979" s="35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  <c r="ER979" s="35"/>
      <c r="ES979" s="35"/>
      <c r="ET979" s="35"/>
      <c r="EU979" s="35"/>
      <c r="EV979" s="35"/>
      <c r="EW979" s="35"/>
      <c r="EX979" s="35"/>
      <c r="EY979" s="35"/>
      <c r="EZ979" s="35"/>
      <c r="FA979" s="35"/>
      <c r="FB979" s="35"/>
      <c r="FC979" s="35"/>
      <c r="FD979" s="35"/>
      <c r="FE979" s="35"/>
      <c r="FF979" s="35"/>
      <c r="FG979" s="35"/>
      <c r="FH979" s="35"/>
      <c r="FI979" s="35"/>
      <c r="FJ979" s="35"/>
      <c r="FK979" s="35"/>
      <c r="FL979" s="35"/>
      <c r="FM979" s="35"/>
      <c r="FN979" s="35"/>
      <c r="FO979" s="35"/>
      <c r="FP979" s="35"/>
      <c r="FQ979" s="35"/>
      <c r="FR979" s="35"/>
      <c r="FS979" s="35"/>
      <c r="FT979" s="35"/>
      <c r="FU979" s="35"/>
      <c r="FV979" s="35"/>
      <c r="FW979" s="35"/>
      <c r="FX979" s="35"/>
      <c r="FY979" s="35"/>
      <c r="FZ979" s="35"/>
      <c r="GA979" s="35"/>
      <c r="GB979" s="35"/>
      <c r="GC979" s="35"/>
      <c r="GD979" s="35"/>
      <c r="GE979" s="35"/>
      <c r="GF979" s="35"/>
      <c r="GG979" s="35"/>
      <c r="GH979" s="35"/>
      <c r="GI979" s="35"/>
      <c r="GJ979" s="35"/>
      <c r="GK979" s="35"/>
      <c r="GL979" s="35"/>
      <c r="GM979" s="35"/>
      <c r="GN979" s="35"/>
      <c r="GO979" s="35"/>
      <c r="GP979" s="35"/>
      <c r="GQ979" s="35"/>
      <c r="GR979" s="35"/>
      <c r="GS979" s="35"/>
      <c r="GT979" s="35"/>
      <c r="GU979" s="35"/>
      <c r="GV979" s="35"/>
      <c r="GW979" s="35"/>
      <c r="GX979" s="35"/>
      <c r="GY979" s="35"/>
      <c r="GZ979" s="35"/>
      <c r="HA979" s="35"/>
      <c r="HB979" s="35"/>
      <c r="HC979" s="35"/>
      <c r="HD979" s="35"/>
      <c r="HE979" s="35"/>
      <c r="HF979" s="35"/>
      <c r="HG979" s="35"/>
      <c r="HH979" s="35"/>
      <c r="HI979" s="35"/>
      <c r="HJ979" s="35"/>
      <c r="HK979" s="35"/>
      <c r="HL979" s="35"/>
      <c r="HM979" s="35"/>
      <c r="HN979" s="35"/>
      <c r="HO979" s="35"/>
      <c r="HP979" s="35"/>
      <c r="HQ979" s="35"/>
      <c r="HR979" s="35"/>
      <c r="HS979" s="35"/>
      <c r="HT979" s="35"/>
      <c r="HU979" s="35"/>
      <c r="HV979" s="35"/>
      <c r="HW979" s="35"/>
      <c r="HX979" s="35"/>
      <c r="HY979" s="35"/>
      <c r="HZ979" s="35"/>
      <c r="IA979" s="35"/>
      <c r="IB979" s="35"/>
      <c r="IC979" s="35"/>
      <c r="ID979" s="35"/>
      <c r="IE979" s="35"/>
      <c r="IF979" s="35"/>
      <c r="IG979" s="35"/>
      <c r="IH979" s="35"/>
      <c r="II979" s="35"/>
      <c r="IJ979" s="35"/>
      <c r="IK979" s="35"/>
      <c r="IL979" s="35"/>
      <c r="IM979" s="35"/>
      <c r="IN979" s="35"/>
      <c r="IO979" s="35"/>
      <c r="IP979" s="35"/>
      <c r="IQ979" s="35"/>
      <c r="IR979" s="35"/>
      <c r="IS979" s="35"/>
      <c r="IT979" s="35"/>
      <c r="IU979" s="35"/>
      <c r="IV979" s="35"/>
      <c r="IW979" s="35"/>
      <c r="IX979" s="35"/>
      <c r="IY979" s="35"/>
      <c r="IZ979" s="35"/>
      <c r="JA979" s="35"/>
      <c r="JB979" s="35"/>
      <c r="JC979" s="35"/>
      <c r="JD979" s="35"/>
      <c r="JE979" s="35"/>
    </row>
    <row r="980">
      <c r="A980" s="42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  <c r="AZ980" s="35"/>
      <c r="BA980" s="35"/>
      <c r="BB980" s="35"/>
      <c r="BC980" s="35"/>
      <c r="BD980" s="35"/>
      <c r="BE980" s="35"/>
      <c r="BF980" s="35"/>
      <c r="BG980" s="35"/>
      <c r="BH980" s="35"/>
      <c r="BI980" s="35"/>
      <c r="BJ980" s="35"/>
      <c r="BK980" s="35"/>
      <c r="BL980" s="35"/>
      <c r="BM980" s="35"/>
      <c r="BN980" s="35"/>
      <c r="BO980" s="35"/>
      <c r="BP980" s="35"/>
      <c r="BQ980" s="35"/>
      <c r="BR980" s="35"/>
      <c r="BS980" s="35"/>
      <c r="BT980" s="35"/>
      <c r="BU980" s="35"/>
      <c r="BV980" s="35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35"/>
      <c r="CO980" s="35"/>
      <c r="CP980" s="35"/>
      <c r="CQ980" s="35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35"/>
      <c r="DJ980" s="35"/>
      <c r="DK980" s="35"/>
      <c r="DL980" s="35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35"/>
      <c r="EE980" s="35"/>
      <c r="EF980" s="35"/>
      <c r="EG980" s="35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  <c r="ER980" s="35"/>
      <c r="ES980" s="35"/>
      <c r="ET980" s="35"/>
      <c r="EU980" s="35"/>
      <c r="EV980" s="35"/>
      <c r="EW980" s="35"/>
      <c r="EX980" s="35"/>
      <c r="EY980" s="35"/>
      <c r="EZ980" s="35"/>
      <c r="FA980" s="35"/>
      <c r="FB980" s="35"/>
      <c r="FC980" s="35"/>
      <c r="FD980" s="35"/>
      <c r="FE980" s="35"/>
      <c r="FF980" s="35"/>
      <c r="FG980" s="35"/>
      <c r="FH980" s="35"/>
      <c r="FI980" s="35"/>
      <c r="FJ980" s="35"/>
      <c r="FK980" s="35"/>
      <c r="FL980" s="35"/>
      <c r="FM980" s="35"/>
      <c r="FN980" s="35"/>
      <c r="FO980" s="35"/>
      <c r="FP980" s="35"/>
      <c r="FQ980" s="35"/>
      <c r="FR980" s="35"/>
      <c r="FS980" s="35"/>
      <c r="FT980" s="35"/>
      <c r="FU980" s="35"/>
      <c r="FV980" s="35"/>
      <c r="FW980" s="35"/>
      <c r="FX980" s="35"/>
      <c r="FY980" s="35"/>
      <c r="FZ980" s="35"/>
      <c r="GA980" s="35"/>
      <c r="GB980" s="35"/>
      <c r="GC980" s="35"/>
      <c r="GD980" s="35"/>
      <c r="GE980" s="35"/>
      <c r="GF980" s="35"/>
      <c r="GG980" s="35"/>
      <c r="GH980" s="35"/>
      <c r="GI980" s="35"/>
      <c r="GJ980" s="35"/>
      <c r="GK980" s="35"/>
      <c r="GL980" s="35"/>
      <c r="GM980" s="35"/>
      <c r="GN980" s="35"/>
      <c r="GO980" s="35"/>
      <c r="GP980" s="35"/>
      <c r="GQ980" s="35"/>
      <c r="GR980" s="35"/>
      <c r="GS980" s="35"/>
      <c r="GT980" s="35"/>
      <c r="GU980" s="35"/>
      <c r="GV980" s="35"/>
      <c r="GW980" s="35"/>
      <c r="GX980" s="35"/>
      <c r="GY980" s="35"/>
      <c r="GZ980" s="35"/>
      <c r="HA980" s="35"/>
      <c r="HB980" s="35"/>
      <c r="HC980" s="35"/>
      <c r="HD980" s="35"/>
      <c r="HE980" s="35"/>
      <c r="HF980" s="35"/>
      <c r="HG980" s="35"/>
      <c r="HH980" s="35"/>
      <c r="HI980" s="35"/>
      <c r="HJ980" s="35"/>
      <c r="HK980" s="35"/>
      <c r="HL980" s="35"/>
      <c r="HM980" s="35"/>
      <c r="HN980" s="35"/>
      <c r="HO980" s="35"/>
      <c r="HP980" s="35"/>
      <c r="HQ980" s="35"/>
      <c r="HR980" s="35"/>
      <c r="HS980" s="35"/>
      <c r="HT980" s="35"/>
      <c r="HU980" s="35"/>
      <c r="HV980" s="35"/>
      <c r="HW980" s="35"/>
      <c r="HX980" s="35"/>
      <c r="HY980" s="35"/>
      <c r="HZ980" s="35"/>
      <c r="IA980" s="35"/>
      <c r="IB980" s="35"/>
      <c r="IC980" s="35"/>
      <c r="ID980" s="35"/>
      <c r="IE980" s="35"/>
      <c r="IF980" s="35"/>
      <c r="IG980" s="35"/>
      <c r="IH980" s="35"/>
      <c r="II980" s="35"/>
      <c r="IJ980" s="35"/>
      <c r="IK980" s="35"/>
      <c r="IL980" s="35"/>
      <c r="IM980" s="35"/>
      <c r="IN980" s="35"/>
      <c r="IO980" s="35"/>
      <c r="IP980" s="35"/>
      <c r="IQ980" s="35"/>
      <c r="IR980" s="35"/>
      <c r="IS980" s="35"/>
      <c r="IT980" s="35"/>
      <c r="IU980" s="35"/>
      <c r="IV980" s="35"/>
      <c r="IW980" s="35"/>
      <c r="IX980" s="35"/>
      <c r="IY980" s="35"/>
      <c r="IZ980" s="35"/>
      <c r="JA980" s="35"/>
      <c r="JB980" s="35"/>
      <c r="JC980" s="35"/>
      <c r="JD980" s="35"/>
      <c r="JE980" s="35"/>
    </row>
    <row r="981">
      <c r="A981" s="42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  <c r="AZ981" s="35"/>
      <c r="BA981" s="35"/>
      <c r="BB981" s="35"/>
      <c r="BC981" s="35"/>
      <c r="BD981" s="35"/>
      <c r="BE981" s="35"/>
      <c r="BF981" s="35"/>
      <c r="BG981" s="35"/>
      <c r="BH981" s="35"/>
      <c r="BI981" s="35"/>
      <c r="BJ981" s="35"/>
      <c r="BK981" s="35"/>
      <c r="BL981" s="35"/>
      <c r="BM981" s="35"/>
      <c r="BN981" s="35"/>
      <c r="BO981" s="35"/>
      <c r="BP981" s="35"/>
      <c r="BQ981" s="35"/>
      <c r="BR981" s="35"/>
      <c r="BS981" s="35"/>
      <c r="BT981" s="35"/>
      <c r="BU981" s="35"/>
      <c r="BV981" s="35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35"/>
      <c r="CO981" s="35"/>
      <c r="CP981" s="35"/>
      <c r="CQ981" s="35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35"/>
      <c r="DJ981" s="35"/>
      <c r="DK981" s="35"/>
      <c r="DL981" s="35"/>
      <c r="DM981" s="35"/>
      <c r="DN981" s="35"/>
      <c r="DO981" s="35"/>
      <c r="DP981" s="35"/>
      <c r="DQ981" s="35"/>
      <c r="DR981" s="35"/>
      <c r="DS981" s="35"/>
      <c r="DT981" s="35"/>
      <c r="DU981" s="35"/>
      <c r="DV981" s="35"/>
      <c r="DW981" s="35"/>
      <c r="DX981" s="35"/>
      <c r="DY981" s="35"/>
      <c r="DZ981" s="35"/>
      <c r="EA981" s="35"/>
      <c r="EB981" s="35"/>
      <c r="EC981" s="35"/>
      <c r="ED981" s="35"/>
      <c r="EE981" s="35"/>
      <c r="EF981" s="35"/>
      <c r="EG981" s="35"/>
      <c r="EH981" s="35"/>
      <c r="EI981" s="35"/>
      <c r="EJ981" s="35"/>
      <c r="EK981" s="35"/>
      <c r="EL981" s="35"/>
      <c r="EM981" s="35"/>
      <c r="EN981" s="35"/>
      <c r="EO981" s="35"/>
      <c r="EP981" s="35"/>
      <c r="EQ981" s="35"/>
      <c r="ER981" s="35"/>
      <c r="ES981" s="35"/>
      <c r="ET981" s="35"/>
      <c r="EU981" s="35"/>
      <c r="EV981" s="35"/>
      <c r="EW981" s="35"/>
      <c r="EX981" s="35"/>
      <c r="EY981" s="35"/>
      <c r="EZ981" s="35"/>
      <c r="FA981" s="35"/>
      <c r="FB981" s="35"/>
      <c r="FC981" s="35"/>
      <c r="FD981" s="35"/>
      <c r="FE981" s="35"/>
      <c r="FF981" s="35"/>
      <c r="FG981" s="35"/>
      <c r="FH981" s="35"/>
      <c r="FI981" s="35"/>
      <c r="FJ981" s="35"/>
      <c r="FK981" s="35"/>
      <c r="FL981" s="35"/>
      <c r="FM981" s="35"/>
      <c r="FN981" s="35"/>
      <c r="FO981" s="35"/>
      <c r="FP981" s="35"/>
      <c r="FQ981" s="35"/>
      <c r="FR981" s="35"/>
      <c r="FS981" s="35"/>
      <c r="FT981" s="35"/>
      <c r="FU981" s="35"/>
      <c r="FV981" s="35"/>
      <c r="FW981" s="35"/>
      <c r="FX981" s="35"/>
      <c r="FY981" s="35"/>
      <c r="FZ981" s="35"/>
      <c r="GA981" s="35"/>
      <c r="GB981" s="35"/>
      <c r="GC981" s="35"/>
      <c r="GD981" s="35"/>
      <c r="GE981" s="35"/>
      <c r="GF981" s="35"/>
      <c r="GG981" s="35"/>
      <c r="GH981" s="35"/>
      <c r="GI981" s="35"/>
      <c r="GJ981" s="35"/>
      <c r="GK981" s="35"/>
      <c r="GL981" s="35"/>
      <c r="GM981" s="35"/>
      <c r="GN981" s="35"/>
      <c r="GO981" s="35"/>
      <c r="GP981" s="35"/>
      <c r="GQ981" s="35"/>
      <c r="GR981" s="35"/>
      <c r="GS981" s="35"/>
      <c r="GT981" s="35"/>
      <c r="GU981" s="35"/>
      <c r="GV981" s="35"/>
      <c r="GW981" s="35"/>
      <c r="GX981" s="35"/>
      <c r="GY981" s="35"/>
      <c r="GZ981" s="35"/>
      <c r="HA981" s="35"/>
      <c r="HB981" s="35"/>
      <c r="HC981" s="35"/>
      <c r="HD981" s="35"/>
      <c r="HE981" s="35"/>
      <c r="HF981" s="35"/>
      <c r="HG981" s="35"/>
      <c r="HH981" s="35"/>
      <c r="HI981" s="35"/>
      <c r="HJ981" s="35"/>
      <c r="HK981" s="35"/>
      <c r="HL981" s="35"/>
      <c r="HM981" s="35"/>
      <c r="HN981" s="35"/>
      <c r="HO981" s="35"/>
      <c r="HP981" s="35"/>
      <c r="HQ981" s="35"/>
      <c r="HR981" s="35"/>
      <c r="HS981" s="35"/>
      <c r="HT981" s="35"/>
      <c r="HU981" s="35"/>
      <c r="HV981" s="35"/>
      <c r="HW981" s="35"/>
      <c r="HX981" s="35"/>
      <c r="HY981" s="35"/>
      <c r="HZ981" s="35"/>
      <c r="IA981" s="35"/>
      <c r="IB981" s="35"/>
      <c r="IC981" s="35"/>
      <c r="ID981" s="35"/>
      <c r="IE981" s="35"/>
      <c r="IF981" s="35"/>
      <c r="IG981" s="35"/>
      <c r="IH981" s="35"/>
      <c r="II981" s="35"/>
      <c r="IJ981" s="35"/>
      <c r="IK981" s="35"/>
      <c r="IL981" s="35"/>
      <c r="IM981" s="35"/>
      <c r="IN981" s="35"/>
      <c r="IO981" s="35"/>
      <c r="IP981" s="35"/>
      <c r="IQ981" s="35"/>
      <c r="IR981" s="35"/>
      <c r="IS981" s="35"/>
      <c r="IT981" s="35"/>
      <c r="IU981" s="35"/>
      <c r="IV981" s="35"/>
      <c r="IW981" s="35"/>
      <c r="IX981" s="35"/>
      <c r="IY981" s="35"/>
      <c r="IZ981" s="35"/>
      <c r="JA981" s="35"/>
      <c r="JB981" s="35"/>
      <c r="JC981" s="35"/>
      <c r="JD981" s="35"/>
      <c r="JE981" s="35"/>
    </row>
    <row r="982">
      <c r="A982" s="42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  <c r="AZ982" s="35"/>
      <c r="BA982" s="35"/>
      <c r="BB982" s="35"/>
      <c r="BC982" s="35"/>
      <c r="BD982" s="35"/>
      <c r="BE982" s="35"/>
      <c r="BF982" s="35"/>
      <c r="BG982" s="35"/>
      <c r="BH982" s="35"/>
      <c r="BI982" s="35"/>
      <c r="BJ982" s="35"/>
      <c r="BK982" s="35"/>
      <c r="BL982" s="35"/>
      <c r="BM982" s="35"/>
      <c r="BN982" s="35"/>
      <c r="BO982" s="35"/>
      <c r="BP982" s="35"/>
      <c r="BQ982" s="35"/>
      <c r="BR982" s="35"/>
      <c r="BS982" s="35"/>
      <c r="BT982" s="35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35"/>
      <c r="CO982" s="35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35"/>
      <c r="DJ982" s="35"/>
      <c r="DK982" s="35"/>
      <c r="DL982" s="35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35"/>
      <c r="EE982" s="35"/>
      <c r="EF982" s="35"/>
      <c r="EG982" s="35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35"/>
      <c r="EZ982" s="35"/>
      <c r="FA982" s="35"/>
      <c r="FB982" s="35"/>
      <c r="FC982" s="35"/>
      <c r="FD982" s="35"/>
      <c r="FE982" s="35"/>
      <c r="FF982" s="35"/>
      <c r="FG982" s="35"/>
      <c r="FH982" s="35"/>
      <c r="FI982" s="35"/>
      <c r="FJ982" s="35"/>
      <c r="FK982" s="35"/>
      <c r="FL982" s="35"/>
      <c r="FM982" s="35"/>
      <c r="FN982" s="35"/>
      <c r="FO982" s="35"/>
      <c r="FP982" s="35"/>
      <c r="FQ982" s="35"/>
      <c r="FR982" s="35"/>
      <c r="FS982" s="35"/>
      <c r="FT982" s="35"/>
      <c r="FU982" s="35"/>
      <c r="FV982" s="35"/>
      <c r="FW982" s="35"/>
      <c r="FX982" s="35"/>
      <c r="FY982" s="35"/>
      <c r="FZ982" s="35"/>
      <c r="GA982" s="35"/>
      <c r="GB982" s="35"/>
      <c r="GC982" s="35"/>
      <c r="GD982" s="35"/>
      <c r="GE982" s="35"/>
      <c r="GF982" s="35"/>
      <c r="GG982" s="35"/>
      <c r="GH982" s="35"/>
      <c r="GI982" s="35"/>
      <c r="GJ982" s="35"/>
      <c r="GK982" s="35"/>
      <c r="GL982" s="35"/>
      <c r="GM982" s="35"/>
      <c r="GN982" s="35"/>
      <c r="GO982" s="35"/>
      <c r="GP982" s="35"/>
      <c r="GQ982" s="35"/>
      <c r="GR982" s="35"/>
      <c r="GS982" s="35"/>
      <c r="GT982" s="35"/>
      <c r="GU982" s="35"/>
      <c r="GV982" s="35"/>
      <c r="GW982" s="35"/>
      <c r="GX982" s="35"/>
      <c r="GY982" s="35"/>
      <c r="GZ982" s="35"/>
      <c r="HA982" s="35"/>
      <c r="HB982" s="35"/>
      <c r="HC982" s="35"/>
      <c r="HD982" s="35"/>
      <c r="HE982" s="35"/>
      <c r="HF982" s="35"/>
      <c r="HG982" s="35"/>
      <c r="HH982" s="35"/>
      <c r="HI982" s="35"/>
      <c r="HJ982" s="35"/>
      <c r="HK982" s="35"/>
      <c r="HL982" s="35"/>
      <c r="HM982" s="35"/>
      <c r="HN982" s="35"/>
      <c r="HO982" s="35"/>
      <c r="HP982" s="35"/>
      <c r="HQ982" s="35"/>
      <c r="HR982" s="35"/>
      <c r="HS982" s="35"/>
      <c r="HT982" s="35"/>
      <c r="HU982" s="35"/>
      <c r="HV982" s="35"/>
      <c r="HW982" s="35"/>
      <c r="HX982" s="35"/>
      <c r="HY982" s="35"/>
      <c r="HZ982" s="35"/>
      <c r="IA982" s="35"/>
      <c r="IB982" s="35"/>
      <c r="IC982" s="35"/>
      <c r="ID982" s="35"/>
      <c r="IE982" s="35"/>
      <c r="IF982" s="35"/>
      <c r="IG982" s="35"/>
      <c r="IH982" s="35"/>
      <c r="II982" s="35"/>
      <c r="IJ982" s="35"/>
      <c r="IK982" s="35"/>
      <c r="IL982" s="35"/>
      <c r="IM982" s="35"/>
      <c r="IN982" s="35"/>
      <c r="IO982" s="35"/>
      <c r="IP982" s="35"/>
      <c r="IQ982" s="35"/>
      <c r="IR982" s="35"/>
      <c r="IS982" s="35"/>
      <c r="IT982" s="35"/>
      <c r="IU982" s="35"/>
      <c r="IV982" s="35"/>
      <c r="IW982" s="35"/>
      <c r="IX982" s="35"/>
      <c r="IY982" s="35"/>
      <c r="IZ982" s="35"/>
      <c r="JA982" s="35"/>
      <c r="JB982" s="35"/>
      <c r="JC982" s="35"/>
      <c r="JD982" s="35"/>
      <c r="JE982" s="35"/>
    </row>
    <row r="983">
      <c r="A983" s="42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  <c r="AZ983" s="35"/>
      <c r="BA983" s="35"/>
      <c r="BB983" s="35"/>
      <c r="BC983" s="35"/>
      <c r="BD983" s="35"/>
      <c r="BE983" s="35"/>
      <c r="BF983" s="35"/>
      <c r="BG983" s="35"/>
      <c r="BH983" s="35"/>
      <c r="BI983" s="35"/>
      <c r="BJ983" s="35"/>
      <c r="BK983" s="35"/>
      <c r="BL983" s="35"/>
      <c r="BM983" s="35"/>
      <c r="BN983" s="35"/>
      <c r="BO983" s="35"/>
      <c r="BP983" s="35"/>
      <c r="BQ983" s="35"/>
      <c r="BR983" s="35"/>
      <c r="BS983" s="35"/>
      <c r="BT983" s="35"/>
      <c r="BU983" s="35"/>
      <c r="BV983" s="35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35"/>
      <c r="CO983" s="35"/>
      <c r="CP983" s="35"/>
      <c r="CQ983" s="35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35"/>
      <c r="DJ983" s="35"/>
      <c r="DK983" s="35"/>
      <c r="DL983" s="35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35"/>
      <c r="EE983" s="35"/>
      <c r="EF983" s="35"/>
      <c r="EG983" s="35"/>
      <c r="EH983" s="35"/>
      <c r="EI983" s="35"/>
      <c r="EJ983" s="35"/>
      <c r="EK983" s="35"/>
      <c r="EL983" s="35"/>
      <c r="EM983" s="35"/>
      <c r="EN983" s="35"/>
      <c r="EO983" s="35"/>
      <c r="EP983" s="35"/>
      <c r="EQ983" s="35"/>
      <c r="ER983" s="35"/>
      <c r="ES983" s="35"/>
      <c r="ET983" s="35"/>
      <c r="EU983" s="35"/>
      <c r="EV983" s="35"/>
      <c r="EW983" s="35"/>
      <c r="EX983" s="35"/>
      <c r="EY983" s="35"/>
      <c r="EZ983" s="35"/>
      <c r="FA983" s="35"/>
      <c r="FB983" s="35"/>
      <c r="FC983" s="35"/>
      <c r="FD983" s="35"/>
      <c r="FE983" s="35"/>
      <c r="FF983" s="35"/>
      <c r="FG983" s="35"/>
      <c r="FH983" s="35"/>
      <c r="FI983" s="35"/>
      <c r="FJ983" s="35"/>
      <c r="FK983" s="35"/>
      <c r="FL983" s="35"/>
      <c r="FM983" s="35"/>
      <c r="FN983" s="35"/>
      <c r="FO983" s="35"/>
      <c r="FP983" s="35"/>
      <c r="FQ983" s="35"/>
      <c r="FR983" s="35"/>
      <c r="FS983" s="35"/>
      <c r="FT983" s="35"/>
      <c r="FU983" s="35"/>
      <c r="FV983" s="35"/>
      <c r="FW983" s="35"/>
      <c r="FX983" s="35"/>
      <c r="FY983" s="35"/>
      <c r="FZ983" s="35"/>
      <c r="GA983" s="35"/>
      <c r="GB983" s="35"/>
      <c r="GC983" s="35"/>
      <c r="GD983" s="35"/>
      <c r="GE983" s="35"/>
      <c r="GF983" s="35"/>
      <c r="GG983" s="35"/>
      <c r="GH983" s="35"/>
      <c r="GI983" s="35"/>
      <c r="GJ983" s="35"/>
      <c r="GK983" s="35"/>
      <c r="GL983" s="35"/>
      <c r="GM983" s="35"/>
      <c r="GN983" s="35"/>
      <c r="GO983" s="35"/>
      <c r="GP983" s="35"/>
      <c r="GQ983" s="35"/>
      <c r="GR983" s="35"/>
      <c r="GS983" s="35"/>
      <c r="GT983" s="35"/>
      <c r="GU983" s="35"/>
      <c r="GV983" s="35"/>
      <c r="GW983" s="35"/>
      <c r="GX983" s="35"/>
      <c r="GY983" s="35"/>
      <c r="GZ983" s="35"/>
      <c r="HA983" s="35"/>
      <c r="HB983" s="35"/>
      <c r="HC983" s="35"/>
      <c r="HD983" s="35"/>
      <c r="HE983" s="35"/>
      <c r="HF983" s="35"/>
      <c r="HG983" s="35"/>
      <c r="HH983" s="35"/>
      <c r="HI983" s="35"/>
      <c r="HJ983" s="35"/>
      <c r="HK983" s="35"/>
      <c r="HL983" s="35"/>
      <c r="HM983" s="35"/>
      <c r="HN983" s="35"/>
      <c r="HO983" s="35"/>
      <c r="HP983" s="35"/>
      <c r="HQ983" s="35"/>
      <c r="HR983" s="35"/>
      <c r="HS983" s="35"/>
      <c r="HT983" s="35"/>
      <c r="HU983" s="35"/>
      <c r="HV983" s="35"/>
      <c r="HW983" s="35"/>
      <c r="HX983" s="35"/>
      <c r="HY983" s="35"/>
      <c r="HZ983" s="35"/>
      <c r="IA983" s="35"/>
      <c r="IB983" s="35"/>
      <c r="IC983" s="35"/>
      <c r="ID983" s="35"/>
      <c r="IE983" s="35"/>
      <c r="IF983" s="35"/>
      <c r="IG983" s="35"/>
      <c r="IH983" s="35"/>
      <c r="II983" s="35"/>
      <c r="IJ983" s="35"/>
      <c r="IK983" s="35"/>
      <c r="IL983" s="35"/>
      <c r="IM983" s="35"/>
      <c r="IN983" s="35"/>
      <c r="IO983" s="35"/>
      <c r="IP983" s="35"/>
      <c r="IQ983" s="35"/>
      <c r="IR983" s="35"/>
      <c r="IS983" s="35"/>
      <c r="IT983" s="35"/>
      <c r="IU983" s="35"/>
      <c r="IV983" s="35"/>
      <c r="IW983" s="35"/>
      <c r="IX983" s="35"/>
      <c r="IY983" s="35"/>
      <c r="IZ983" s="35"/>
      <c r="JA983" s="35"/>
      <c r="JB983" s="35"/>
      <c r="JC983" s="35"/>
      <c r="JD983" s="35"/>
      <c r="JE983" s="35"/>
    </row>
    <row r="984">
      <c r="A984" s="42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  <c r="AZ984" s="35"/>
      <c r="BA984" s="35"/>
      <c r="BB984" s="35"/>
      <c r="BC984" s="35"/>
      <c r="BD984" s="35"/>
      <c r="BE984" s="35"/>
      <c r="BF984" s="35"/>
      <c r="BG984" s="35"/>
      <c r="BH984" s="35"/>
      <c r="BI984" s="35"/>
      <c r="BJ984" s="35"/>
      <c r="BK984" s="35"/>
      <c r="BL984" s="35"/>
      <c r="BM984" s="35"/>
      <c r="BN984" s="35"/>
      <c r="BO984" s="35"/>
      <c r="BP984" s="35"/>
      <c r="BQ984" s="35"/>
      <c r="BR984" s="35"/>
      <c r="BS984" s="35"/>
      <c r="BT984" s="35"/>
      <c r="BU984" s="35"/>
      <c r="BV984" s="35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35"/>
      <c r="CO984" s="35"/>
      <c r="CP984" s="35"/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35"/>
      <c r="DJ984" s="35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35"/>
      <c r="EE984" s="35"/>
      <c r="EF984" s="35"/>
      <c r="EG984" s="35"/>
      <c r="EH984" s="35"/>
      <c r="EI984" s="35"/>
      <c r="EJ984" s="35"/>
      <c r="EK984" s="35"/>
      <c r="EL984" s="35"/>
      <c r="EM984" s="35"/>
      <c r="EN984" s="35"/>
      <c r="EO984" s="35"/>
      <c r="EP984" s="35"/>
      <c r="EQ984" s="35"/>
      <c r="ER984" s="35"/>
      <c r="ES984" s="35"/>
      <c r="ET984" s="35"/>
      <c r="EU984" s="35"/>
      <c r="EV984" s="35"/>
      <c r="EW984" s="35"/>
      <c r="EX984" s="35"/>
      <c r="EY984" s="35"/>
      <c r="EZ984" s="35"/>
      <c r="FA984" s="35"/>
      <c r="FB984" s="35"/>
      <c r="FC984" s="35"/>
      <c r="FD984" s="35"/>
      <c r="FE984" s="35"/>
      <c r="FF984" s="35"/>
      <c r="FG984" s="35"/>
      <c r="FH984" s="35"/>
      <c r="FI984" s="35"/>
      <c r="FJ984" s="35"/>
      <c r="FK984" s="35"/>
      <c r="FL984" s="35"/>
      <c r="FM984" s="35"/>
      <c r="FN984" s="35"/>
      <c r="FO984" s="35"/>
      <c r="FP984" s="35"/>
      <c r="FQ984" s="35"/>
      <c r="FR984" s="35"/>
      <c r="FS984" s="35"/>
      <c r="FT984" s="35"/>
      <c r="FU984" s="35"/>
      <c r="FV984" s="35"/>
      <c r="FW984" s="35"/>
      <c r="FX984" s="35"/>
      <c r="FY984" s="35"/>
      <c r="FZ984" s="35"/>
      <c r="GA984" s="35"/>
      <c r="GB984" s="35"/>
      <c r="GC984" s="35"/>
      <c r="GD984" s="35"/>
      <c r="GE984" s="35"/>
      <c r="GF984" s="35"/>
      <c r="GG984" s="35"/>
      <c r="GH984" s="35"/>
      <c r="GI984" s="35"/>
      <c r="GJ984" s="35"/>
      <c r="GK984" s="35"/>
      <c r="GL984" s="35"/>
      <c r="GM984" s="35"/>
      <c r="GN984" s="35"/>
      <c r="GO984" s="35"/>
      <c r="GP984" s="35"/>
      <c r="GQ984" s="35"/>
      <c r="GR984" s="35"/>
      <c r="GS984" s="35"/>
      <c r="GT984" s="35"/>
      <c r="GU984" s="35"/>
      <c r="GV984" s="35"/>
      <c r="GW984" s="35"/>
      <c r="GX984" s="35"/>
      <c r="GY984" s="35"/>
      <c r="GZ984" s="35"/>
      <c r="HA984" s="35"/>
      <c r="HB984" s="35"/>
      <c r="HC984" s="35"/>
      <c r="HD984" s="35"/>
      <c r="HE984" s="35"/>
      <c r="HF984" s="35"/>
      <c r="HG984" s="35"/>
      <c r="HH984" s="35"/>
      <c r="HI984" s="35"/>
      <c r="HJ984" s="35"/>
      <c r="HK984" s="35"/>
      <c r="HL984" s="35"/>
      <c r="HM984" s="35"/>
      <c r="HN984" s="35"/>
      <c r="HO984" s="35"/>
      <c r="HP984" s="35"/>
      <c r="HQ984" s="35"/>
      <c r="HR984" s="35"/>
      <c r="HS984" s="35"/>
      <c r="HT984" s="35"/>
      <c r="HU984" s="35"/>
      <c r="HV984" s="35"/>
      <c r="HW984" s="35"/>
      <c r="HX984" s="35"/>
      <c r="HY984" s="35"/>
      <c r="HZ984" s="35"/>
      <c r="IA984" s="35"/>
      <c r="IB984" s="35"/>
      <c r="IC984" s="35"/>
      <c r="ID984" s="35"/>
      <c r="IE984" s="35"/>
      <c r="IF984" s="35"/>
      <c r="IG984" s="35"/>
      <c r="IH984" s="35"/>
      <c r="II984" s="35"/>
      <c r="IJ984" s="35"/>
      <c r="IK984" s="35"/>
      <c r="IL984" s="35"/>
      <c r="IM984" s="35"/>
      <c r="IN984" s="35"/>
      <c r="IO984" s="35"/>
      <c r="IP984" s="35"/>
      <c r="IQ984" s="35"/>
      <c r="IR984" s="35"/>
      <c r="IS984" s="35"/>
      <c r="IT984" s="35"/>
      <c r="IU984" s="35"/>
      <c r="IV984" s="35"/>
      <c r="IW984" s="35"/>
      <c r="IX984" s="35"/>
      <c r="IY984" s="35"/>
      <c r="IZ984" s="35"/>
      <c r="JA984" s="35"/>
      <c r="JB984" s="35"/>
      <c r="JC984" s="35"/>
      <c r="JD984" s="35"/>
      <c r="JE984" s="35"/>
    </row>
    <row r="985">
      <c r="A985" s="42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  <c r="AZ985" s="35"/>
      <c r="BA985" s="35"/>
      <c r="BB985" s="35"/>
      <c r="BC985" s="35"/>
      <c r="BD985" s="35"/>
      <c r="BE985" s="35"/>
      <c r="BF985" s="35"/>
      <c r="BG985" s="35"/>
      <c r="BH985" s="35"/>
      <c r="BI985" s="35"/>
      <c r="BJ985" s="35"/>
      <c r="BK985" s="35"/>
      <c r="BL985" s="35"/>
      <c r="BM985" s="35"/>
      <c r="BN985" s="35"/>
      <c r="BO985" s="35"/>
      <c r="BP985" s="35"/>
      <c r="BQ985" s="35"/>
      <c r="BR985" s="35"/>
      <c r="BS985" s="35"/>
      <c r="BT985" s="35"/>
      <c r="BU985" s="35"/>
      <c r="BV985" s="35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35"/>
      <c r="CO985" s="35"/>
      <c r="CP985" s="35"/>
      <c r="CQ985" s="35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35"/>
      <c r="DJ985" s="35"/>
      <c r="DK985" s="35"/>
      <c r="DL985" s="35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35"/>
      <c r="EE985" s="35"/>
      <c r="EF985" s="35"/>
      <c r="EG985" s="35"/>
      <c r="EH985" s="35"/>
      <c r="EI985" s="35"/>
      <c r="EJ985" s="35"/>
      <c r="EK985" s="35"/>
      <c r="EL985" s="35"/>
      <c r="EM985" s="35"/>
      <c r="EN985" s="35"/>
      <c r="EO985" s="35"/>
      <c r="EP985" s="35"/>
      <c r="EQ985" s="35"/>
      <c r="ER985" s="35"/>
      <c r="ES985" s="35"/>
      <c r="ET985" s="35"/>
      <c r="EU985" s="35"/>
      <c r="EV985" s="35"/>
      <c r="EW985" s="35"/>
      <c r="EX985" s="35"/>
      <c r="EY985" s="35"/>
      <c r="EZ985" s="35"/>
      <c r="FA985" s="35"/>
      <c r="FB985" s="35"/>
      <c r="FC985" s="35"/>
      <c r="FD985" s="35"/>
      <c r="FE985" s="35"/>
      <c r="FF985" s="35"/>
      <c r="FG985" s="35"/>
      <c r="FH985" s="35"/>
      <c r="FI985" s="35"/>
      <c r="FJ985" s="35"/>
      <c r="FK985" s="35"/>
      <c r="FL985" s="35"/>
      <c r="FM985" s="35"/>
      <c r="FN985" s="35"/>
      <c r="FO985" s="35"/>
      <c r="FP985" s="35"/>
      <c r="FQ985" s="35"/>
      <c r="FR985" s="35"/>
      <c r="FS985" s="35"/>
      <c r="FT985" s="35"/>
      <c r="FU985" s="35"/>
      <c r="FV985" s="35"/>
      <c r="FW985" s="35"/>
      <c r="FX985" s="35"/>
      <c r="FY985" s="35"/>
      <c r="FZ985" s="35"/>
      <c r="GA985" s="35"/>
      <c r="GB985" s="35"/>
      <c r="GC985" s="35"/>
      <c r="GD985" s="35"/>
      <c r="GE985" s="35"/>
      <c r="GF985" s="35"/>
      <c r="GG985" s="35"/>
      <c r="GH985" s="35"/>
      <c r="GI985" s="35"/>
      <c r="GJ985" s="35"/>
      <c r="GK985" s="35"/>
      <c r="GL985" s="35"/>
      <c r="GM985" s="35"/>
      <c r="GN985" s="35"/>
      <c r="GO985" s="35"/>
      <c r="GP985" s="35"/>
      <c r="GQ985" s="35"/>
      <c r="GR985" s="35"/>
      <c r="GS985" s="35"/>
      <c r="GT985" s="35"/>
      <c r="GU985" s="35"/>
      <c r="GV985" s="35"/>
      <c r="GW985" s="35"/>
      <c r="GX985" s="35"/>
      <c r="GY985" s="35"/>
      <c r="GZ985" s="35"/>
      <c r="HA985" s="35"/>
      <c r="HB985" s="35"/>
      <c r="HC985" s="35"/>
      <c r="HD985" s="35"/>
      <c r="HE985" s="35"/>
      <c r="HF985" s="35"/>
      <c r="HG985" s="35"/>
      <c r="HH985" s="35"/>
      <c r="HI985" s="35"/>
      <c r="HJ985" s="35"/>
      <c r="HK985" s="35"/>
      <c r="HL985" s="35"/>
      <c r="HM985" s="35"/>
      <c r="HN985" s="35"/>
      <c r="HO985" s="35"/>
      <c r="HP985" s="35"/>
      <c r="HQ985" s="35"/>
      <c r="HR985" s="35"/>
      <c r="HS985" s="35"/>
      <c r="HT985" s="35"/>
      <c r="HU985" s="35"/>
      <c r="HV985" s="35"/>
      <c r="HW985" s="35"/>
      <c r="HX985" s="35"/>
      <c r="HY985" s="35"/>
      <c r="HZ985" s="35"/>
      <c r="IA985" s="35"/>
      <c r="IB985" s="35"/>
      <c r="IC985" s="35"/>
      <c r="ID985" s="35"/>
      <c r="IE985" s="35"/>
      <c r="IF985" s="35"/>
      <c r="IG985" s="35"/>
      <c r="IH985" s="35"/>
      <c r="II985" s="35"/>
      <c r="IJ985" s="35"/>
      <c r="IK985" s="35"/>
      <c r="IL985" s="35"/>
      <c r="IM985" s="35"/>
      <c r="IN985" s="35"/>
      <c r="IO985" s="35"/>
      <c r="IP985" s="35"/>
      <c r="IQ985" s="35"/>
      <c r="IR985" s="35"/>
      <c r="IS985" s="35"/>
      <c r="IT985" s="35"/>
      <c r="IU985" s="35"/>
      <c r="IV985" s="35"/>
      <c r="IW985" s="35"/>
      <c r="IX985" s="35"/>
      <c r="IY985" s="35"/>
      <c r="IZ985" s="35"/>
      <c r="JA985" s="35"/>
      <c r="JB985" s="35"/>
      <c r="JC985" s="35"/>
      <c r="JD985" s="35"/>
      <c r="JE985" s="35"/>
    </row>
    <row r="986">
      <c r="A986" s="42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  <c r="AZ986" s="35"/>
      <c r="BA986" s="35"/>
      <c r="BB986" s="35"/>
      <c r="BC986" s="35"/>
      <c r="BD986" s="35"/>
      <c r="BE986" s="35"/>
      <c r="BF986" s="35"/>
      <c r="BG986" s="35"/>
      <c r="BH986" s="35"/>
      <c r="BI986" s="35"/>
      <c r="BJ986" s="35"/>
      <c r="BK986" s="35"/>
      <c r="BL986" s="35"/>
      <c r="BM986" s="35"/>
      <c r="BN986" s="35"/>
      <c r="BO986" s="35"/>
      <c r="BP986" s="35"/>
      <c r="BQ986" s="35"/>
      <c r="BR986" s="35"/>
      <c r="BS986" s="35"/>
      <c r="BT986" s="35"/>
      <c r="BU986" s="35"/>
      <c r="BV986" s="35"/>
      <c r="BW986" s="35"/>
      <c r="BX986" s="35"/>
      <c r="BY986" s="35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35"/>
      <c r="CO986" s="35"/>
      <c r="CP986" s="35"/>
      <c r="CQ986" s="35"/>
      <c r="CR986" s="35"/>
      <c r="CS986" s="35"/>
      <c r="CT986" s="35"/>
      <c r="CU986" s="35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35"/>
      <c r="DJ986" s="35"/>
      <c r="DK986" s="35"/>
      <c r="DL986" s="35"/>
      <c r="DM986" s="35"/>
      <c r="DN986" s="35"/>
      <c r="DO986" s="35"/>
      <c r="DP986" s="35"/>
      <c r="DQ986" s="35"/>
      <c r="DR986" s="35"/>
      <c r="DS986" s="35"/>
      <c r="DT986" s="35"/>
      <c r="DU986" s="35"/>
      <c r="DV986" s="35"/>
      <c r="DW986" s="35"/>
      <c r="DX986" s="35"/>
      <c r="DY986" s="35"/>
      <c r="DZ986" s="35"/>
      <c r="EA986" s="35"/>
      <c r="EB986" s="35"/>
      <c r="EC986" s="35"/>
      <c r="ED986" s="35"/>
      <c r="EE986" s="35"/>
      <c r="EF986" s="35"/>
      <c r="EG986" s="35"/>
      <c r="EH986" s="35"/>
      <c r="EI986" s="35"/>
      <c r="EJ986" s="35"/>
      <c r="EK986" s="35"/>
      <c r="EL986" s="35"/>
      <c r="EM986" s="35"/>
      <c r="EN986" s="35"/>
      <c r="EO986" s="35"/>
      <c r="EP986" s="35"/>
      <c r="EQ986" s="35"/>
      <c r="ER986" s="35"/>
      <c r="ES986" s="35"/>
      <c r="ET986" s="35"/>
      <c r="EU986" s="35"/>
      <c r="EV986" s="35"/>
      <c r="EW986" s="35"/>
      <c r="EX986" s="35"/>
      <c r="EY986" s="35"/>
      <c r="EZ986" s="35"/>
      <c r="FA986" s="35"/>
      <c r="FB986" s="35"/>
      <c r="FC986" s="35"/>
      <c r="FD986" s="35"/>
      <c r="FE986" s="35"/>
      <c r="FF986" s="35"/>
      <c r="FG986" s="35"/>
      <c r="FH986" s="35"/>
      <c r="FI986" s="35"/>
      <c r="FJ986" s="35"/>
      <c r="FK986" s="35"/>
      <c r="FL986" s="35"/>
      <c r="FM986" s="35"/>
      <c r="FN986" s="35"/>
      <c r="FO986" s="35"/>
      <c r="FP986" s="35"/>
      <c r="FQ986" s="35"/>
      <c r="FR986" s="35"/>
      <c r="FS986" s="35"/>
      <c r="FT986" s="35"/>
      <c r="FU986" s="35"/>
      <c r="FV986" s="35"/>
      <c r="FW986" s="35"/>
      <c r="FX986" s="35"/>
      <c r="FY986" s="35"/>
      <c r="FZ986" s="35"/>
      <c r="GA986" s="35"/>
      <c r="GB986" s="35"/>
      <c r="GC986" s="35"/>
      <c r="GD986" s="35"/>
      <c r="GE986" s="35"/>
      <c r="GF986" s="35"/>
      <c r="GG986" s="35"/>
      <c r="GH986" s="35"/>
      <c r="GI986" s="35"/>
      <c r="GJ986" s="35"/>
      <c r="GK986" s="35"/>
      <c r="GL986" s="35"/>
      <c r="GM986" s="35"/>
      <c r="GN986" s="35"/>
      <c r="GO986" s="35"/>
      <c r="GP986" s="35"/>
      <c r="GQ986" s="35"/>
      <c r="GR986" s="35"/>
      <c r="GS986" s="35"/>
      <c r="GT986" s="35"/>
      <c r="GU986" s="35"/>
      <c r="GV986" s="35"/>
      <c r="GW986" s="35"/>
      <c r="GX986" s="35"/>
      <c r="GY986" s="35"/>
      <c r="GZ986" s="35"/>
      <c r="HA986" s="35"/>
      <c r="HB986" s="35"/>
      <c r="HC986" s="35"/>
      <c r="HD986" s="35"/>
      <c r="HE986" s="35"/>
      <c r="HF986" s="35"/>
      <c r="HG986" s="35"/>
      <c r="HH986" s="35"/>
      <c r="HI986" s="35"/>
      <c r="HJ986" s="35"/>
      <c r="HK986" s="35"/>
      <c r="HL986" s="35"/>
      <c r="HM986" s="35"/>
      <c r="HN986" s="35"/>
      <c r="HO986" s="35"/>
      <c r="HP986" s="35"/>
      <c r="HQ986" s="35"/>
      <c r="HR986" s="35"/>
      <c r="HS986" s="35"/>
      <c r="HT986" s="35"/>
      <c r="HU986" s="35"/>
      <c r="HV986" s="35"/>
      <c r="HW986" s="35"/>
      <c r="HX986" s="35"/>
      <c r="HY986" s="35"/>
      <c r="HZ986" s="35"/>
      <c r="IA986" s="35"/>
      <c r="IB986" s="35"/>
      <c r="IC986" s="35"/>
      <c r="ID986" s="35"/>
      <c r="IE986" s="35"/>
      <c r="IF986" s="35"/>
      <c r="IG986" s="35"/>
      <c r="IH986" s="35"/>
      <c r="II986" s="35"/>
      <c r="IJ986" s="35"/>
      <c r="IK986" s="35"/>
      <c r="IL986" s="35"/>
      <c r="IM986" s="35"/>
      <c r="IN986" s="35"/>
      <c r="IO986" s="35"/>
      <c r="IP986" s="35"/>
      <c r="IQ986" s="35"/>
      <c r="IR986" s="35"/>
      <c r="IS986" s="35"/>
      <c r="IT986" s="35"/>
      <c r="IU986" s="35"/>
      <c r="IV986" s="35"/>
      <c r="IW986" s="35"/>
      <c r="IX986" s="35"/>
      <c r="IY986" s="35"/>
      <c r="IZ986" s="35"/>
      <c r="JA986" s="35"/>
      <c r="JB986" s="35"/>
      <c r="JC986" s="35"/>
      <c r="JD986" s="35"/>
      <c r="JE986" s="35"/>
    </row>
    <row r="987">
      <c r="A987" s="42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  <c r="AZ987" s="35"/>
      <c r="BA987" s="35"/>
      <c r="BB987" s="35"/>
      <c r="BC987" s="35"/>
      <c r="BD987" s="35"/>
      <c r="BE987" s="35"/>
      <c r="BF987" s="35"/>
      <c r="BG987" s="35"/>
      <c r="BH987" s="35"/>
      <c r="BI987" s="35"/>
      <c r="BJ987" s="35"/>
      <c r="BK987" s="35"/>
      <c r="BL987" s="35"/>
      <c r="BM987" s="35"/>
      <c r="BN987" s="35"/>
      <c r="BO987" s="35"/>
      <c r="BP987" s="35"/>
      <c r="BQ987" s="35"/>
      <c r="BR987" s="35"/>
      <c r="BS987" s="35"/>
      <c r="BT987" s="35"/>
      <c r="BU987" s="35"/>
      <c r="BV987" s="35"/>
      <c r="BW987" s="35"/>
      <c r="BX987" s="35"/>
      <c r="BY987" s="35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35"/>
      <c r="CO987" s="35"/>
      <c r="CP987" s="35"/>
      <c r="CQ987" s="35"/>
      <c r="CR987" s="35"/>
      <c r="CS987" s="35"/>
      <c r="CT987" s="35"/>
      <c r="CU987" s="35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35"/>
      <c r="DJ987" s="35"/>
      <c r="DK987" s="35"/>
      <c r="DL987" s="35"/>
      <c r="DM987" s="35"/>
      <c r="DN987" s="35"/>
      <c r="DO987" s="35"/>
      <c r="DP987" s="35"/>
      <c r="DQ987" s="35"/>
      <c r="DR987" s="35"/>
      <c r="DS987" s="35"/>
      <c r="DT987" s="35"/>
      <c r="DU987" s="35"/>
      <c r="DV987" s="35"/>
      <c r="DW987" s="35"/>
      <c r="DX987" s="35"/>
      <c r="DY987" s="35"/>
      <c r="DZ987" s="35"/>
      <c r="EA987" s="35"/>
      <c r="EB987" s="35"/>
      <c r="EC987" s="35"/>
      <c r="ED987" s="35"/>
      <c r="EE987" s="35"/>
      <c r="EF987" s="35"/>
      <c r="EG987" s="35"/>
      <c r="EH987" s="35"/>
      <c r="EI987" s="35"/>
      <c r="EJ987" s="35"/>
      <c r="EK987" s="35"/>
      <c r="EL987" s="35"/>
      <c r="EM987" s="35"/>
      <c r="EN987" s="35"/>
      <c r="EO987" s="35"/>
      <c r="EP987" s="35"/>
      <c r="EQ987" s="35"/>
      <c r="ER987" s="35"/>
      <c r="ES987" s="35"/>
      <c r="ET987" s="35"/>
      <c r="EU987" s="35"/>
      <c r="EV987" s="35"/>
      <c r="EW987" s="35"/>
      <c r="EX987" s="35"/>
      <c r="EY987" s="35"/>
      <c r="EZ987" s="35"/>
      <c r="FA987" s="35"/>
      <c r="FB987" s="35"/>
      <c r="FC987" s="35"/>
      <c r="FD987" s="35"/>
      <c r="FE987" s="35"/>
      <c r="FF987" s="35"/>
      <c r="FG987" s="35"/>
      <c r="FH987" s="35"/>
      <c r="FI987" s="35"/>
      <c r="FJ987" s="35"/>
      <c r="FK987" s="35"/>
      <c r="FL987" s="35"/>
      <c r="FM987" s="35"/>
      <c r="FN987" s="35"/>
      <c r="FO987" s="35"/>
      <c r="FP987" s="35"/>
      <c r="FQ987" s="35"/>
      <c r="FR987" s="35"/>
      <c r="FS987" s="35"/>
      <c r="FT987" s="35"/>
      <c r="FU987" s="35"/>
      <c r="FV987" s="35"/>
      <c r="FW987" s="35"/>
      <c r="FX987" s="35"/>
      <c r="FY987" s="35"/>
      <c r="FZ987" s="35"/>
      <c r="GA987" s="35"/>
      <c r="GB987" s="35"/>
      <c r="GC987" s="35"/>
      <c r="GD987" s="35"/>
      <c r="GE987" s="35"/>
      <c r="GF987" s="35"/>
      <c r="GG987" s="35"/>
      <c r="GH987" s="35"/>
      <c r="GI987" s="35"/>
      <c r="GJ987" s="35"/>
      <c r="GK987" s="35"/>
      <c r="GL987" s="35"/>
      <c r="GM987" s="35"/>
      <c r="GN987" s="35"/>
      <c r="GO987" s="35"/>
      <c r="GP987" s="35"/>
      <c r="GQ987" s="35"/>
      <c r="GR987" s="35"/>
      <c r="GS987" s="35"/>
      <c r="GT987" s="35"/>
      <c r="GU987" s="35"/>
      <c r="GV987" s="35"/>
      <c r="GW987" s="35"/>
      <c r="GX987" s="35"/>
      <c r="GY987" s="35"/>
      <c r="GZ987" s="35"/>
      <c r="HA987" s="35"/>
      <c r="HB987" s="35"/>
      <c r="HC987" s="35"/>
      <c r="HD987" s="35"/>
      <c r="HE987" s="35"/>
      <c r="HF987" s="35"/>
      <c r="HG987" s="35"/>
      <c r="HH987" s="35"/>
      <c r="HI987" s="35"/>
      <c r="HJ987" s="35"/>
      <c r="HK987" s="35"/>
      <c r="HL987" s="35"/>
      <c r="HM987" s="35"/>
      <c r="HN987" s="35"/>
      <c r="HO987" s="35"/>
      <c r="HP987" s="35"/>
      <c r="HQ987" s="35"/>
      <c r="HR987" s="35"/>
      <c r="HS987" s="35"/>
      <c r="HT987" s="35"/>
      <c r="HU987" s="35"/>
      <c r="HV987" s="35"/>
      <c r="HW987" s="35"/>
      <c r="HX987" s="35"/>
      <c r="HY987" s="35"/>
      <c r="HZ987" s="35"/>
      <c r="IA987" s="35"/>
      <c r="IB987" s="35"/>
      <c r="IC987" s="35"/>
      <c r="ID987" s="35"/>
      <c r="IE987" s="35"/>
      <c r="IF987" s="35"/>
      <c r="IG987" s="35"/>
      <c r="IH987" s="35"/>
      <c r="II987" s="35"/>
      <c r="IJ987" s="35"/>
      <c r="IK987" s="35"/>
      <c r="IL987" s="35"/>
      <c r="IM987" s="35"/>
      <c r="IN987" s="35"/>
      <c r="IO987" s="35"/>
      <c r="IP987" s="35"/>
      <c r="IQ987" s="35"/>
      <c r="IR987" s="35"/>
      <c r="IS987" s="35"/>
      <c r="IT987" s="35"/>
      <c r="IU987" s="35"/>
      <c r="IV987" s="35"/>
      <c r="IW987" s="35"/>
      <c r="IX987" s="35"/>
      <c r="IY987" s="35"/>
      <c r="IZ987" s="35"/>
      <c r="JA987" s="35"/>
      <c r="JB987" s="35"/>
      <c r="JC987" s="35"/>
      <c r="JD987" s="35"/>
      <c r="JE987" s="35"/>
    </row>
    <row r="988">
      <c r="A988" s="42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  <c r="AZ988" s="35"/>
      <c r="BA988" s="35"/>
      <c r="BB988" s="35"/>
      <c r="BC988" s="35"/>
      <c r="BD988" s="35"/>
      <c r="BE988" s="35"/>
      <c r="BF988" s="35"/>
      <c r="BG988" s="35"/>
      <c r="BH988" s="35"/>
      <c r="BI988" s="35"/>
      <c r="BJ988" s="35"/>
      <c r="BK988" s="35"/>
      <c r="BL988" s="35"/>
      <c r="BM988" s="35"/>
      <c r="BN988" s="35"/>
      <c r="BO988" s="35"/>
      <c r="BP988" s="35"/>
      <c r="BQ988" s="35"/>
      <c r="BR988" s="35"/>
      <c r="BS988" s="35"/>
      <c r="BT988" s="35"/>
      <c r="BU988" s="35"/>
      <c r="BV988" s="35"/>
      <c r="BW988" s="35"/>
      <c r="BX988" s="35"/>
      <c r="BY988" s="35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35"/>
      <c r="CO988" s="35"/>
      <c r="CP988" s="35"/>
      <c r="CQ988" s="35"/>
      <c r="CR988" s="35"/>
      <c r="CS988" s="35"/>
      <c r="CT988" s="35"/>
      <c r="CU988" s="35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35"/>
      <c r="DJ988" s="35"/>
      <c r="DK988" s="35"/>
      <c r="DL988" s="35"/>
      <c r="DM988" s="35"/>
      <c r="DN988" s="35"/>
      <c r="DO988" s="35"/>
      <c r="DP988" s="35"/>
      <c r="DQ988" s="35"/>
      <c r="DR988" s="35"/>
      <c r="DS988" s="35"/>
      <c r="DT988" s="35"/>
      <c r="DU988" s="35"/>
      <c r="DV988" s="35"/>
      <c r="DW988" s="35"/>
      <c r="DX988" s="35"/>
      <c r="DY988" s="35"/>
      <c r="DZ988" s="35"/>
      <c r="EA988" s="35"/>
      <c r="EB988" s="35"/>
      <c r="EC988" s="35"/>
      <c r="ED988" s="35"/>
      <c r="EE988" s="35"/>
      <c r="EF988" s="35"/>
      <c r="EG988" s="35"/>
      <c r="EH988" s="35"/>
      <c r="EI988" s="35"/>
      <c r="EJ988" s="35"/>
      <c r="EK988" s="35"/>
      <c r="EL988" s="35"/>
      <c r="EM988" s="35"/>
      <c r="EN988" s="35"/>
      <c r="EO988" s="35"/>
      <c r="EP988" s="35"/>
      <c r="EQ988" s="35"/>
      <c r="ER988" s="35"/>
      <c r="ES988" s="35"/>
      <c r="ET988" s="35"/>
      <c r="EU988" s="35"/>
      <c r="EV988" s="35"/>
      <c r="EW988" s="35"/>
      <c r="EX988" s="35"/>
      <c r="EY988" s="35"/>
      <c r="EZ988" s="35"/>
      <c r="FA988" s="35"/>
      <c r="FB988" s="35"/>
      <c r="FC988" s="35"/>
      <c r="FD988" s="35"/>
      <c r="FE988" s="35"/>
      <c r="FF988" s="35"/>
      <c r="FG988" s="35"/>
      <c r="FH988" s="35"/>
      <c r="FI988" s="35"/>
      <c r="FJ988" s="35"/>
      <c r="FK988" s="35"/>
      <c r="FL988" s="35"/>
      <c r="FM988" s="35"/>
      <c r="FN988" s="35"/>
      <c r="FO988" s="35"/>
      <c r="FP988" s="35"/>
      <c r="FQ988" s="35"/>
      <c r="FR988" s="35"/>
      <c r="FS988" s="35"/>
      <c r="FT988" s="35"/>
      <c r="FU988" s="35"/>
      <c r="FV988" s="35"/>
      <c r="FW988" s="35"/>
      <c r="FX988" s="35"/>
      <c r="FY988" s="35"/>
      <c r="FZ988" s="35"/>
      <c r="GA988" s="35"/>
      <c r="GB988" s="35"/>
      <c r="GC988" s="35"/>
      <c r="GD988" s="35"/>
      <c r="GE988" s="35"/>
      <c r="GF988" s="35"/>
      <c r="GG988" s="35"/>
      <c r="GH988" s="35"/>
      <c r="GI988" s="35"/>
      <c r="GJ988" s="35"/>
      <c r="GK988" s="35"/>
      <c r="GL988" s="35"/>
      <c r="GM988" s="35"/>
      <c r="GN988" s="35"/>
      <c r="GO988" s="35"/>
      <c r="GP988" s="35"/>
      <c r="GQ988" s="35"/>
      <c r="GR988" s="35"/>
      <c r="GS988" s="35"/>
      <c r="GT988" s="35"/>
      <c r="GU988" s="35"/>
      <c r="GV988" s="35"/>
      <c r="GW988" s="35"/>
      <c r="GX988" s="35"/>
      <c r="GY988" s="35"/>
      <c r="GZ988" s="35"/>
      <c r="HA988" s="35"/>
      <c r="HB988" s="35"/>
      <c r="HC988" s="35"/>
      <c r="HD988" s="35"/>
      <c r="HE988" s="35"/>
      <c r="HF988" s="35"/>
      <c r="HG988" s="35"/>
      <c r="HH988" s="35"/>
      <c r="HI988" s="35"/>
      <c r="HJ988" s="35"/>
      <c r="HK988" s="35"/>
      <c r="HL988" s="35"/>
      <c r="HM988" s="35"/>
      <c r="HN988" s="35"/>
      <c r="HO988" s="35"/>
      <c r="HP988" s="35"/>
      <c r="HQ988" s="35"/>
      <c r="HR988" s="35"/>
      <c r="HS988" s="35"/>
      <c r="HT988" s="35"/>
      <c r="HU988" s="35"/>
      <c r="HV988" s="35"/>
      <c r="HW988" s="35"/>
      <c r="HX988" s="35"/>
      <c r="HY988" s="35"/>
      <c r="HZ988" s="35"/>
      <c r="IA988" s="35"/>
      <c r="IB988" s="35"/>
      <c r="IC988" s="35"/>
      <c r="ID988" s="35"/>
      <c r="IE988" s="35"/>
      <c r="IF988" s="35"/>
      <c r="IG988" s="35"/>
      <c r="IH988" s="35"/>
      <c r="II988" s="35"/>
      <c r="IJ988" s="35"/>
      <c r="IK988" s="35"/>
      <c r="IL988" s="35"/>
      <c r="IM988" s="35"/>
      <c r="IN988" s="35"/>
      <c r="IO988" s="35"/>
      <c r="IP988" s="35"/>
      <c r="IQ988" s="35"/>
      <c r="IR988" s="35"/>
      <c r="IS988" s="35"/>
      <c r="IT988" s="35"/>
      <c r="IU988" s="35"/>
      <c r="IV988" s="35"/>
      <c r="IW988" s="35"/>
      <c r="IX988" s="35"/>
      <c r="IY988" s="35"/>
      <c r="IZ988" s="35"/>
      <c r="JA988" s="35"/>
      <c r="JB988" s="35"/>
      <c r="JC988" s="35"/>
      <c r="JD988" s="35"/>
      <c r="JE988" s="35"/>
    </row>
    <row r="989">
      <c r="A989" s="42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  <c r="AZ989" s="35"/>
      <c r="BA989" s="35"/>
      <c r="BB989" s="35"/>
      <c r="BC989" s="35"/>
      <c r="BD989" s="35"/>
      <c r="BE989" s="35"/>
      <c r="BF989" s="35"/>
      <c r="BG989" s="35"/>
      <c r="BH989" s="35"/>
      <c r="BI989" s="35"/>
      <c r="BJ989" s="35"/>
      <c r="BK989" s="35"/>
      <c r="BL989" s="35"/>
      <c r="BM989" s="35"/>
      <c r="BN989" s="35"/>
      <c r="BO989" s="35"/>
      <c r="BP989" s="35"/>
      <c r="BQ989" s="35"/>
      <c r="BR989" s="35"/>
      <c r="BS989" s="35"/>
      <c r="BT989" s="35"/>
      <c r="BU989" s="35"/>
      <c r="BV989" s="35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35"/>
      <c r="CO989" s="35"/>
      <c r="CP989" s="35"/>
      <c r="CQ989" s="35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35"/>
      <c r="DJ989" s="35"/>
      <c r="DK989" s="35"/>
      <c r="DL989" s="35"/>
      <c r="DM989" s="35"/>
      <c r="DN989" s="35"/>
      <c r="DO989" s="35"/>
      <c r="DP989" s="35"/>
      <c r="DQ989" s="35"/>
      <c r="DR989" s="35"/>
      <c r="DS989" s="35"/>
      <c r="DT989" s="35"/>
      <c r="DU989" s="35"/>
      <c r="DV989" s="35"/>
      <c r="DW989" s="35"/>
      <c r="DX989" s="35"/>
      <c r="DY989" s="35"/>
      <c r="DZ989" s="35"/>
      <c r="EA989" s="35"/>
      <c r="EB989" s="35"/>
      <c r="EC989" s="35"/>
      <c r="ED989" s="35"/>
      <c r="EE989" s="35"/>
      <c r="EF989" s="35"/>
      <c r="EG989" s="35"/>
      <c r="EH989" s="35"/>
      <c r="EI989" s="35"/>
      <c r="EJ989" s="35"/>
      <c r="EK989" s="35"/>
      <c r="EL989" s="35"/>
      <c r="EM989" s="35"/>
      <c r="EN989" s="35"/>
      <c r="EO989" s="35"/>
      <c r="EP989" s="35"/>
      <c r="EQ989" s="35"/>
      <c r="ER989" s="35"/>
      <c r="ES989" s="35"/>
      <c r="ET989" s="35"/>
      <c r="EU989" s="35"/>
      <c r="EV989" s="35"/>
      <c r="EW989" s="35"/>
      <c r="EX989" s="35"/>
      <c r="EY989" s="35"/>
      <c r="EZ989" s="35"/>
      <c r="FA989" s="35"/>
      <c r="FB989" s="35"/>
      <c r="FC989" s="35"/>
      <c r="FD989" s="35"/>
      <c r="FE989" s="35"/>
      <c r="FF989" s="35"/>
      <c r="FG989" s="35"/>
      <c r="FH989" s="35"/>
      <c r="FI989" s="35"/>
      <c r="FJ989" s="35"/>
      <c r="FK989" s="35"/>
      <c r="FL989" s="35"/>
      <c r="FM989" s="35"/>
      <c r="FN989" s="35"/>
      <c r="FO989" s="35"/>
      <c r="FP989" s="35"/>
      <c r="FQ989" s="35"/>
      <c r="FR989" s="35"/>
      <c r="FS989" s="35"/>
      <c r="FT989" s="35"/>
      <c r="FU989" s="35"/>
      <c r="FV989" s="35"/>
      <c r="FW989" s="35"/>
      <c r="FX989" s="35"/>
      <c r="FY989" s="35"/>
      <c r="FZ989" s="35"/>
      <c r="GA989" s="35"/>
      <c r="GB989" s="35"/>
      <c r="GC989" s="35"/>
      <c r="GD989" s="35"/>
      <c r="GE989" s="35"/>
      <c r="GF989" s="35"/>
      <c r="GG989" s="35"/>
      <c r="GH989" s="35"/>
      <c r="GI989" s="35"/>
      <c r="GJ989" s="35"/>
      <c r="GK989" s="35"/>
      <c r="GL989" s="35"/>
      <c r="GM989" s="35"/>
      <c r="GN989" s="35"/>
      <c r="GO989" s="35"/>
      <c r="GP989" s="35"/>
      <c r="GQ989" s="35"/>
      <c r="GR989" s="35"/>
      <c r="GS989" s="35"/>
      <c r="GT989" s="35"/>
      <c r="GU989" s="35"/>
      <c r="GV989" s="35"/>
      <c r="GW989" s="35"/>
      <c r="GX989" s="35"/>
      <c r="GY989" s="35"/>
      <c r="GZ989" s="35"/>
      <c r="HA989" s="35"/>
      <c r="HB989" s="35"/>
      <c r="HC989" s="35"/>
      <c r="HD989" s="35"/>
      <c r="HE989" s="35"/>
      <c r="HF989" s="35"/>
      <c r="HG989" s="35"/>
      <c r="HH989" s="35"/>
      <c r="HI989" s="35"/>
      <c r="HJ989" s="35"/>
      <c r="HK989" s="35"/>
      <c r="HL989" s="35"/>
      <c r="HM989" s="35"/>
      <c r="HN989" s="35"/>
      <c r="HO989" s="35"/>
      <c r="HP989" s="35"/>
      <c r="HQ989" s="35"/>
      <c r="HR989" s="35"/>
      <c r="HS989" s="35"/>
      <c r="HT989" s="35"/>
      <c r="HU989" s="35"/>
      <c r="HV989" s="35"/>
      <c r="HW989" s="35"/>
      <c r="HX989" s="35"/>
      <c r="HY989" s="35"/>
      <c r="HZ989" s="35"/>
      <c r="IA989" s="35"/>
      <c r="IB989" s="35"/>
      <c r="IC989" s="35"/>
      <c r="ID989" s="35"/>
      <c r="IE989" s="35"/>
      <c r="IF989" s="35"/>
      <c r="IG989" s="35"/>
      <c r="IH989" s="35"/>
      <c r="II989" s="35"/>
      <c r="IJ989" s="35"/>
      <c r="IK989" s="35"/>
      <c r="IL989" s="35"/>
      <c r="IM989" s="35"/>
      <c r="IN989" s="35"/>
      <c r="IO989" s="35"/>
      <c r="IP989" s="35"/>
      <c r="IQ989" s="35"/>
      <c r="IR989" s="35"/>
      <c r="IS989" s="35"/>
      <c r="IT989" s="35"/>
      <c r="IU989" s="35"/>
      <c r="IV989" s="35"/>
      <c r="IW989" s="35"/>
      <c r="IX989" s="35"/>
      <c r="IY989" s="35"/>
      <c r="IZ989" s="35"/>
      <c r="JA989" s="35"/>
      <c r="JB989" s="35"/>
      <c r="JC989" s="35"/>
      <c r="JD989" s="35"/>
      <c r="JE989" s="35"/>
    </row>
    <row r="990">
      <c r="A990" s="42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  <c r="AZ990" s="35"/>
      <c r="BA990" s="35"/>
      <c r="BB990" s="35"/>
      <c r="BC990" s="35"/>
      <c r="BD990" s="35"/>
      <c r="BE990" s="35"/>
      <c r="BF990" s="35"/>
      <c r="BG990" s="35"/>
      <c r="BH990" s="35"/>
      <c r="BI990" s="35"/>
      <c r="BJ990" s="35"/>
      <c r="BK990" s="35"/>
      <c r="BL990" s="35"/>
      <c r="BM990" s="35"/>
      <c r="BN990" s="35"/>
      <c r="BO990" s="35"/>
      <c r="BP990" s="35"/>
      <c r="BQ990" s="35"/>
      <c r="BR990" s="35"/>
      <c r="BS990" s="35"/>
      <c r="BT990" s="35"/>
      <c r="BU990" s="35"/>
      <c r="BV990" s="35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35"/>
      <c r="CO990" s="35"/>
      <c r="CP990" s="35"/>
      <c r="CQ990" s="35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35"/>
      <c r="DJ990" s="35"/>
      <c r="DK990" s="35"/>
      <c r="DL990" s="35"/>
      <c r="DM990" s="35"/>
      <c r="DN990" s="35"/>
      <c r="DO990" s="35"/>
      <c r="DP990" s="35"/>
      <c r="DQ990" s="35"/>
      <c r="DR990" s="35"/>
      <c r="DS990" s="35"/>
      <c r="DT990" s="35"/>
      <c r="DU990" s="35"/>
      <c r="DV990" s="35"/>
      <c r="DW990" s="35"/>
      <c r="DX990" s="35"/>
      <c r="DY990" s="35"/>
      <c r="DZ990" s="35"/>
      <c r="EA990" s="35"/>
      <c r="EB990" s="35"/>
      <c r="EC990" s="35"/>
      <c r="ED990" s="35"/>
      <c r="EE990" s="35"/>
      <c r="EF990" s="35"/>
      <c r="EG990" s="35"/>
      <c r="EH990" s="35"/>
      <c r="EI990" s="35"/>
      <c r="EJ990" s="35"/>
      <c r="EK990" s="35"/>
      <c r="EL990" s="35"/>
      <c r="EM990" s="35"/>
      <c r="EN990" s="35"/>
      <c r="EO990" s="35"/>
      <c r="EP990" s="35"/>
      <c r="EQ990" s="35"/>
      <c r="ER990" s="35"/>
      <c r="ES990" s="35"/>
      <c r="ET990" s="35"/>
      <c r="EU990" s="35"/>
      <c r="EV990" s="35"/>
      <c r="EW990" s="35"/>
      <c r="EX990" s="35"/>
      <c r="EY990" s="35"/>
      <c r="EZ990" s="35"/>
      <c r="FA990" s="35"/>
      <c r="FB990" s="35"/>
      <c r="FC990" s="35"/>
      <c r="FD990" s="35"/>
      <c r="FE990" s="35"/>
      <c r="FF990" s="35"/>
      <c r="FG990" s="35"/>
      <c r="FH990" s="35"/>
      <c r="FI990" s="35"/>
      <c r="FJ990" s="35"/>
      <c r="FK990" s="35"/>
      <c r="FL990" s="35"/>
      <c r="FM990" s="35"/>
      <c r="FN990" s="35"/>
      <c r="FO990" s="35"/>
      <c r="FP990" s="35"/>
      <c r="FQ990" s="35"/>
      <c r="FR990" s="35"/>
      <c r="FS990" s="35"/>
      <c r="FT990" s="35"/>
      <c r="FU990" s="35"/>
      <c r="FV990" s="35"/>
      <c r="FW990" s="35"/>
      <c r="FX990" s="35"/>
      <c r="FY990" s="35"/>
      <c r="FZ990" s="35"/>
      <c r="GA990" s="35"/>
      <c r="GB990" s="35"/>
      <c r="GC990" s="35"/>
      <c r="GD990" s="35"/>
      <c r="GE990" s="35"/>
      <c r="GF990" s="35"/>
      <c r="GG990" s="35"/>
      <c r="GH990" s="35"/>
      <c r="GI990" s="35"/>
      <c r="GJ990" s="35"/>
      <c r="GK990" s="35"/>
      <c r="GL990" s="35"/>
      <c r="GM990" s="35"/>
      <c r="GN990" s="35"/>
      <c r="GO990" s="35"/>
      <c r="GP990" s="35"/>
      <c r="GQ990" s="35"/>
      <c r="GR990" s="35"/>
      <c r="GS990" s="35"/>
      <c r="GT990" s="35"/>
      <c r="GU990" s="35"/>
      <c r="GV990" s="35"/>
      <c r="GW990" s="35"/>
      <c r="GX990" s="35"/>
      <c r="GY990" s="35"/>
      <c r="GZ990" s="35"/>
      <c r="HA990" s="35"/>
      <c r="HB990" s="35"/>
      <c r="HC990" s="35"/>
      <c r="HD990" s="35"/>
      <c r="HE990" s="35"/>
      <c r="HF990" s="35"/>
      <c r="HG990" s="35"/>
      <c r="HH990" s="35"/>
      <c r="HI990" s="35"/>
      <c r="HJ990" s="35"/>
      <c r="HK990" s="35"/>
      <c r="HL990" s="35"/>
      <c r="HM990" s="35"/>
      <c r="HN990" s="35"/>
      <c r="HO990" s="35"/>
      <c r="HP990" s="35"/>
      <c r="HQ990" s="35"/>
      <c r="HR990" s="35"/>
      <c r="HS990" s="35"/>
      <c r="HT990" s="35"/>
      <c r="HU990" s="35"/>
      <c r="HV990" s="35"/>
      <c r="HW990" s="35"/>
      <c r="HX990" s="35"/>
      <c r="HY990" s="35"/>
      <c r="HZ990" s="35"/>
      <c r="IA990" s="35"/>
      <c r="IB990" s="35"/>
      <c r="IC990" s="35"/>
      <c r="ID990" s="35"/>
      <c r="IE990" s="35"/>
      <c r="IF990" s="35"/>
      <c r="IG990" s="35"/>
      <c r="IH990" s="35"/>
      <c r="II990" s="35"/>
      <c r="IJ990" s="35"/>
      <c r="IK990" s="35"/>
      <c r="IL990" s="35"/>
      <c r="IM990" s="35"/>
      <c r="IN990" s="35"/>
      <c r="IO990" s="35"/>
      <c r="IP990" s="35"/>
      <c r="IQ990" s="35"/>
      <c r="IR990" s="35"/>
      <c r="IS990" s="35"/>
      <c r="IT990" s="35"/>
      <c r="IU990" s="35"/>
      <c r="IV990" s="35"/>
      <c r="IW990" s="35"/>
      <c r="IX990" s="35"/>
      <c r="IY990" s="35"/>
      <c r="IZ990" s="35"/>
      <c r="JA990" s="35"/>
      <c r="JB990" s="35"/>
      <c r="JC990" s="35"/>
      <c r="JD990" s="35"/>
      <c r="JE990" s="35"/>
    </row>
    <row r="991">
      <c r="A991" s="42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  <c r="AZ991" s="35"/>
      <c r="BA991" s="35"/>
      <c r="BB991" s="35"/>
      <c r="BC991" s="35"/>
      <c r="BD991" s="35"/>
      <c r="BE991" s="35"/>
      <c r="BF991" s="35"/>
      <c r="BG991" s="35"/>
      <c r="BH991" s="35"/>
      <c r="BI991" s="35"/>
      <c r="BJ991" s="35"/>
      <c r="BK991" s="35"/>
      <c r="BL991" s="35"/>
      <c r="BM991" s="35"/>
      <c r="BN991" s="35"/>
      <c r="BO991" s="35"/>
      <c r="BP991" s="35"/>
      <c r="BQ991" s="35"/>
      <c r="BR991" s="35"/>
      <c r="BS991" s="35"/>
      <c r="BT991" s="35"/>
      <c r="BU991" s="35"/>
      <c r="BV991" s="35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35"/>
      <c r="CO991" s="35"/>
      <c r="CP991" s="35"/>
      <c r="CQ991" s="35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35"/>
      <c r="DJ991" s="35"/>
      <c r="DK991" s="35"/>
      <c r="DL991" s="35"/>
      <c r="DM991" s="35"/>
      <c r="DN991" s="35"/>
      <c r="DO991" s="35"/>
      <c r="DP991" s="35"/>
      <c r="DQ991" s="35"/>
      <c r="DR991" s="35"/>
      <c r="DS991" s="35"/>
      <c r="DT991" s="35"/>
      <c r="DU991" s="35"/>
      <c r="DV991" s="35"/>
      <c r="DW991" s="35"/>
      <c r="DX991" s="35"/>
      <c r="DY991" s="35"/>
      <c r="DZ991" s="35"/>
      <c r="EA991" s="35"/>
      <c r="EB991" s="35"/>
      <c r="EC991" s="35"/>
      <c r="ED991" s="35"/>
      <c r="EE991" s="35"/>
      <c r="EF991" s="35"/>
      <c r="EG991" s="35"/>
      <c r="EH991" s="35"/>
      <c r="EI991" s="35"/>
      <c r="EJ991" s="35"/>
      <c r="EK991" s="35"/>
      <c r="EL991" s="35"/>
      <c r="EM991" s="35"/>
      <c r="EN991" s="35"/>
      <c r="EO991" s="35"/>
      <c r="EP991" s="35"/>
      <c r="EQ991" s="35"/>
      <c r="ER991" s="35"/>
      <c r="ES991" s="35"/>
      <c r="ET991" s="35"/>
      <c r="EU991" s="35"/>
      <c r="EV991" s="35"/>
      <c r="EW991" s="35"/>
      <c r="EX991" s="35"/>
      <c r="EY991" s="35"/>
      <c r="EZ991" s="35"/>
      <c r="FA991" s="35"/>
      <c r="FB991" s="35"/>
      <c r="FC991" s="35"/>
      <c r="FD991" s="35"/>
      <c r="FE991" s="35"/>
      <c r="FF991" s="35"/>
      <c r="FG991" s="35"/>
      <c r="FH991" s="35"/>
      <c r="FI991" s="35"/>
      <c r="FJ991" s="35"/>
      <c r="FK991" s="35"/>
      <c r="FL991" s="35"/>
      <c r="FM991" s="35"/>
      <c r="FN991" s="35"/>
      <c r="FO991" s="35"/>
      <c r="FP991" s="35"/>
      <c r="FQ991" s="35"/>
      <c r="FR991" s="35"/>
      <c r="FS991" s="35"/>
      <c r="FT991" s="35"/>
      <c r="FU991" s="35"/>
      <c r="FV991" s="35"/>
      <c r="FW991" s="35"/>
      <c r="FX991" s="35"/>
      <c r="FY991" s="35"/>
      <c r="FZ991" s="35"/>
      <c r="GA991" s="35"/>
      <c r="GB991" s="35"/>
      <c r="GC991" s="35"/>
      <c r="GD991" s="35"/>
      <c r="GE991" s="35"/>
      <c r="GF991" s="35"/>
      <c r="GG991" s="35"/>
      <c r="GH991" s="35"/>
      <c r="GI991" s="35"/>
      <c r="GJ991" s="35"/>
      <c r="GK991" s="35"/>
      <c r="GL991" s="35"/>
      <c r="GM991" s="35"/>
      <c r="GN991" s="35"/>
      <c r="GO991" s="35"/>
      <c r="GP991" s="35"/>
      <c r="GQ991" s="35"/>
      <c r="GR991" s="35"/>
      <c r="GS991" s="35"/>
      <c r="GT991" s="35"/>
      <c r="GU991" s="35"/>
      <c r="GV991" s="35"/>
      <c r="GW991" s="35"/>
      <c r="GX991" s="35"/>
      <c r="GY991" s="35"/>
      <c r="GZ991" s="35"/>
      <c r="HA991" s="35"/>
      <c r="HB991" s="35"/>
      <c r="HC991" s="35"/>
      <c r="HD991" s="35"/>
      <c r="HE991" s="35"/>
      <c r="HF991" s="35"/>
      <c r="HG991" s="35"/>
      <c r="HH991" s="35"/>
      <c r="HI991" s="35"/>
      <c r="HJ991" s="35"/>
      <c r="HK991" s="35"/>
      <c r="HL991" s="35"/>
      <c r="HM991" s="35"/>
      <c r="HN991" s="35"/>
      <c r="HO991" s="35"/>
      <c r="HP991" s="35"/>
      <c r="HQ991" s="35"/>
      <c r="HR991" s="35"/>
      <c r="HS991" s="35"/>
      <c r="HT991" s="35"/>
      <c r="HU991" s="35"/>
      <c r="HV991" s="35"/>
      <c r="HW991" s="35"/>
      <c r="HX991" s="35"/>
      <c r="HY991" s="35"/>
      <c r="HZ991" s="35"/>
      <c r="IA991" s="35"/>
      <c r="IB991" s="35"/>
      <c r="IC991" s="35"/>
      <c r="ID991" s="35"/>
      <c r="IE991" s="35"/>
      <c r="IF991" s="35"/>
      <c r="IG991" s="35"/>
      <c r="IH991" s="35"/>
      <c r="II991" s="35"/>
      <c r="IJ991" s="35"/>
      <c r="IK991" s="35"/>
      <c r="IL991" s="35"/>
      <c r="IM991" s="35"/>
      <c r="IN991" s="35"/>
      <c r="IO991" s="35"/>
      <c r="IP991" s="35"/>
      <c r="IQ991" s="35"/>
      <c r="IR991" s="35"/>
      <c r="IS991" s="35"/>
      <c r="IT991" s="35"/>
      <c r="IU991" s="35"/>
      <c r="IV991" s="35"/>
      <c r="IW991" s="35"/>
      <c r="IX991" s="35"/>
      <c r="IY991" s="35"/>
      <c r="IZ991" s="35"/>
      <c r="JA991" s="35"/>
      <c r="JB991" s="35"/>
      <c r="JC991" s="35"/>
      <c r="JD991" s="35"/>
      <c r="JE991" s="35"/>
    </row>
    <row r="992">
      <c r="A992" s="42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  <c r="AZ992" s="35"/>
      <c r="BA992" s="35"/>
      <c r="BB992" s="35"/>
      <c r="BC992" s="35"/>
      <c r="BD992" s="35"/>
      <c r="BE992" s="35"/>
      <c r="BF992" s="35"/>
      <c r="BG992" s="35"/>
      <c r="BH992" s="35"/>
      <c r="BI992" s="35"/>
      <c r="BJ992" s="35"/>
      <c r="BK992" s="35"/>
      <c r="BL992" s="35"/>
      <c r="BM992" s="35"/>
      <c r="BN992" s="35"/>
      <c r="BO992" s="35"/>
      <c r="BP992" s="35"/>
      <c r="BQ992" s="35"/>
      <c r="BR992" s="35"/>
      <c r="BS992" s="35"/>
      <c r="BT992" s="35"/>
      <c r="BU992" s="35"/>
      <c r="BV992" s="35"/>
      <c r="BW992" s="35"/>
      <c r="BX992" s="35"/>
      <c r="BY992" s="35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35"/>
      <c r="CO992" s="35"/>
      <c r="CP992" s="35"/>
      <c r="CQ992" s="35"/>
      <c r="CR992" s="35"/>
      <c r="CS992" s="35"/>
      <c r="CT992" s="35"/>
      <c r="CU992" s="35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35"/>
      <c r="DJ992" s="35"/>
      <c r="DK992" s="35"/>
      <c r="DL992" s="35"/>
      <c r="DM992" s="35"/>
      <c r="DN992" s="35"/>
      <c r="DO992" s="35"/>
      <c r="DP992" s="35"/>
      <c r="DQ992" s="35"/>
      <c r="DR992" s="35"/>
      <c r="DS992" s="35"/>
      <c r="DT992" s="35"/>
      <c r="DU992" s="35"/>
      <c r="DV992" s="35"/>
      <c r="DW992" s="35"/>
      <c r="DX992" s="35"/>
      <c r="DY992" s="35"/>
      <c r="DZ992" s="35"/>
      <c r="EA992" s="35"/>
      <c r="EB992" s="35"/>
      <c r="EC992" s="35"/>
      <c r="ED992" s="35"/>
      <c r="EE992" s="35"/>
      <c r="EF992" s="35"/>
      <c r="EG992" s="35"/>
      <c r="EH992" s="35"/>
      <c r="EI992" s="35"/>
      <c r="EJ992" s="35"/>
      <c r="EK992" s="35"/>
      <c r="EL992" s="35"/>
      <c r="EM992" s="35"/>
      <c r="EN992" s="35"/>
      <c r="EO992" s="35"/>
      <c r="EP992" s="35"/>
      <c r="EQ992" s="35"/>
      <c r="ER992" s="35"/>
      <c r="ES992" s="35"/>
      <c r="ET992" s="35"/>
      <c r="EU992" s="35"/>
      <c r="EV992" s="35"/>
      <c r="EW992" s="35"/>
      <c r="EX992" s="35"/>
      <c r="EY992" s="35"/>
      <c r="EZ992" s="35"/>
      <c r="FA992" s="35"/>
      <c r="FB992" s="35"/>
      <c r="FC992" s="35"/>
      <c r="FD992" s="35"/>
      <c r="FE992" s="35"/>
      <c r="FF992" s="35"/>
      <c r="FG992" s="35"/>
      <c r="FH992" s="35"/>
      <c r="FI992" s="35"/>
      <c r="FJ992" s="35"/>
      <c r="FK992" s="35"/>
      <c r="FL992" s="35"/>
      <c r="FM992" s="35"/>
      <c r="FN992" s="35"/>
      <c r="FO992" s="35"/>
      <c r="FP992" s="35"/>
      <c r="FQ992" s="35"/>
      <c r="FR992" s="35"/>
      <c r="FS992" s="35"/>
      <c r="FT992" s="35"/>
      <c r="FU992" s="35"/>
      <c r="FV992" s="35"/>
      <c r="FW992" s="35"/>
      <c r="FX992" s="35"/>
      <c r="FY992" s="35"/>
      <c r="FZ992" s="35"/>
      <c r="GA992" s="35"/>
      <c r="GB992" s="35"/>
      <c r="GC992" s="35"/>
      <c r="GD992" s="35"/>
      <c r="GE992" s="35"/>
      <c r="GF992" s="35"/>
      <c r="GG992" s="35"/>
      <c r="GH992" s="35"/>
      <c r="GI992" s="35"/>
      <c r="GJ992" s="35"/>
      <c r="GK992" s="35"/>
      <c r="GL992" s="35"/>
      <c r="GM992" s="35"/>
      <c r="GN992" s="35"/>
      <c r="GO992" s="35"/>
      <c r="GP992" s="35"/>
      <c r="GQ992" s="35"/>
      <c r="GR992" s="35"/>
      <c r="GS992" s="35"/>
      <c r="GT992" s="35"/>
      <c r="GU992" s="35"/>
      <c r="GV992" s="35"/>
      <c r="GW992" s="35"/>
      <c r="GX992" s="35"/>
      <c r="GY992" s="35"/>
      <c r="GZ992" s="35"/>
      <c r="HA992" s="35"/>
      <c r="HB992" s="35"/>
      <c r="HC992" s="35"/>
      <c r="HD992" s="35"/>
      <c r="HE992" s="35"/>
      <c r="HF992" s="35"/>
      <c r="HG992" s="35"/>
      <c r="HH992" s="35"/>
      <c r="HI992" s="35"/>
      <c r="HJ992" s="35"/>
      <c r="HK992" s="35"/>
      <c r="HL992" s="35"/>
      <c r="HM992" s="35"/>
      <c r="HN992" s="35"/>
      <c r="HO992" s="35"/>
      <c r="HP992" s="35"/>
      <c r="HQ992" s="35"/>
      <c r="HR992" s="35"/>
      <c r="HS992" s="35"/>
      <c r="HT992" s="35"/>
      <c r="HU992" s="35"/>
      <c r="HV992" s="35"/>
      <c r="HW992" s="35"/>
      <c r="HX992" s="35"/>
      <c r="HY992" s="35"/>
      <c r="HZ992" s="35"/>
      <c r="IA992" s="35"/>
      <c r="IB992" s="35"/>
      <c r="IC992" s="35"/>
      <c r="ID992" s="35"/>
      <c r="IE992" s="35"/>
      <c r="IF992" s="35"/>
      <c r="IG992" s="35"/>
      <c r="IH992" s="35"/>
      <c r="II992" s="35"/>
      <c r="IJ992" s="35"/>
      <c r="IK992" s="35"/>
      <c r="IL992" s="35"/>
      <c r="IM992" s="35"/>
      <c r="IN992" s="35"/>
      <c r="IO992" s="35"/>
      <c r="IP992" s="35"/>
      <c r="IQ992" s="35"/>
      <c r="IR992" s="35"/>
      <c r="IS992" s="35"/>
      <c r="IT992" s="35"/>
      <c r="IU992" s="35"/>
      <c r="IV992" s="35"/>
      <c r="IW992" s="35"/>
      <c r="IX992" s="35"/>
      <c r="IY992" s="35"/>
      <c r="IZ992" s="35"/>
      <c r="JA992" s="35"/>
      <c r="JB992" s="35"/>
      <c r="JC992" s="35"/>
      <c r="JD992" s="35"/>
      <c r="JE992" s="35"/>
    </row>
    <row r="993">
      <c r="A993" s="42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  <c r="AZ993" s="35"/>
      <c r="BA993" s="35"/>
      <c r="BB993" s="35"/>
      <c r="BC993" s="35"/>
      <c r="BD993" s="35"/>
      <c r="BE993" s="35"/>
      <c r="BF993" s="35"/>
      <c r="BG993" s="35"/>
      <c r="BH993" s="35"/>
      <c r="BI993" s="35"/>
      <c r="BJ993" s="35"/>
      <c r="BK993" s="35"/>
      <c r="BL993" s="35"/>
      <c r="BM993" s="35"/>
      <c r="BN993" s="35"/>
      <c r="BO993" s="35"/>
      <c r="BP993" s="35"/>
      <c r="BQ993" s="35"/>
      <c r="BR993" s="35"/>
      <c r="BS993" s="35"/>
      <c r="BT993" s="35"/>
      <c r="BU993" s="35"/>
      <c r="BV993" s="35"/>
      <c r="BW993" s="35"/>
      <c r="BX993" s="35"/>
      <c r="BY993" s="35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35"/>
      <c r="CO993" s="35"/>
      <c r="CP993" s="35"/>
      <c r="CQ993" s="35"/>
      <c r="CR993" s="35"/>
      <c r="CS993" s="35"/>
      <c r="CT993" s="35"/>
      <c r="CU993" s="35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35"/>
      <c r="DJ993" s="35"/>
      <c r="DK993" s="35"/>
      <c r="DL993" s="35"/>
      <c r="DM993" s="35"/>
      <c r="DN993" s="35"/>
      <c r="DO993" s="35"/>
      <c r="DP993" s="35"/>
      <c r="DQ993" s="35"/>
      <c r="DR993" s="35"/>
      <c r="DS993" s="35"/>
      <c r="DT993" s="35"/>
      <c r="DU993" s="35"/>
      <c r="DV993" s="35"/>
      <c r="DW993" s="35"/>
      <c r="DX993" s="35"/>
      <c r="DY993" s="35"/>
      <c r="DZ993" s="35"/>
      <c r="EA993" s="35"/>
      <c r="EB993" s="35"/>
      <c r="EC993" s="35"/>
      <c r="ED993" s="35"/>
      <c r="EE993" s="35"/>
      <c r="EF993" s="35"/>
      <c r="EG993" s="35"/>
      <c r="EH993" s="35"/>
      <c r="EI993" s="35"/>
      <c r="EJ993" s="35"/>
      <c r="EK993" s="35"/>
      <c r="EL993" s="35"/>
      <c r="EM993" s="35"/>
      <c r="EN993" s="35"/>
      <c r="EO993" s="35"/>
      <c r="EP993" s="35"/>
      <c r="EQ993" s="35"/>
      <c r="ER993" s="35"/>
      <c r="ES993" s="35"/>
      <c r="ET993" s="35"/>
      <c r="EU993" s="35"/>
      <c r="EV993" s="35"/>
      <c r="EW993" s="35"/>
      <c r="EX993" s="35"/>
      <c r="EY993" s="35"/>
      <c r="EZ993" s="35"/>
      <c r="FA993" s="35"/>
      <c r="FB993" s="35"/>
      <c r="FC993" s="35"/>
      <c r="FD993" s="35"/>
      <c r="FE993" s="35"/>
      <c r="FF993" s="35"/>
      <c r="FG993" s="35"/>
      <c r="FH993" s="35"/>
      <c r="FI993" s="35"/>
      <c r="FJ993" s="35"/>
      <c r="FK993" s="35"/>
      <c r="FL993" s="35"/>
      <c r="FM993" s="35"/>
      <c r="FN993" s="35"/>
      <c r="FO993" s="35"/>
      <c r="FP993" s="35"/>
      <c r="FQ993" s="35"/>
      <c r="FR993" s="35"/>
      <c r="FS993" s="35"/>
      <c r="FT993" s="35"/>
      <c r="FU993" s="35"/>
      <c r="FV993" s="35"/>
      <c r="FW993" s="35"/>
      <c r="FX993" s="35"/>
      <c r="FY993" s="35"/>
      <c r="FZ993" s="35"/>
      <c r="GA993" s="35"/>
      <c r="GB993" s="35"/>
      <c r="GC993" s="35"/>
      <c r="GD993" s="35"/>
      <c r="GE993" s="35"/>
      <c r="GF993" s="35"/>
      <c r="GG993" s="35"/>
      <c r="GH993" s="35"/>
      <c r="GI993" s="35"/>
      <c r="GJ993" s="35"/>
      <c r="GK993" s="35"/>
      <c r="GL993" s="35"/>
      <c r="GM993" s="35"/>
      <c r="GN993" s="35"/>
      <c r="GO993" s="35"/>
      <c r="GP993" s="35"/>
      <c r="GQ993" s="35"/>
      <c r="GR993" s="35"/>
      <c r="GS993" s="35"/>
      <c r="GT993" s="35"/>
      <c r="GU993" s="35"/>
      <c r="GV993" s="35"/>
      <c r="GW993" s="35"/>
      <c r="GX993" s="35"/>
      <c r="GY993" s="35"/>
      <c r="GZ993" s="35"/>
      <c r="HA993" s="35"/>
      <c r="HB993" s="35"/>
      <c r="HC993" s="35"/>
      <c r="HD993" s="35"/>
      <c r="HE993" s="35"/>
      <c r="HF993" s="35"/>
      <c r="HG993" s="35"/>
      <c r="HH993" s="35"/>
      <c r="HI993" s="35"/>
      <c r="HJ993" s="35"/>
      <c r="HK993" s="35"/>
      <c r="HL993" s="35"/>
      <c r="HM993" s="35"/>
      <c r="HN993" s="35"/>
      <c r="HO993" s="35"/>
      <c r="HP993" s="35"/>
      <c r="HQ993" s="35"/>
      <c r="HR993" s="35"/>
      <c r="HS993" s="35"/>
      <c r="HT993" s="35"/>
      <c r="HU993" s="35"/>
      <c r="HV993" s="35"/>
      <c r="HW993" s="35"/>
      <c r="HX993" s="35"/>
      <c r="HY993" s="35"/>
      <c r="HZ993" s="35"/>
      <c r="IA993" s="35"/>
      <c r="IB993" s="35"/>
      <c r="IC993" s="35"/>
      <c r="ID993" s="35"/>
      <c r="IE993" s="35"/>
      <c r="IF993" s="35"/>
      <c r="IG993" s="35"/>
      <c r="IH993" s="35"/>
      <c r="II993" s="35"/>
      <c r="IJ993" s="35"/>
      <c r="IK993" s="35"/>
      <c r="IL993" s="35"/>
      <c r="IM993" s="35"/>
      <c r="IN993" s="35"/>
      <c r="IO993" s="35"/>
      <c r="IP993" s="35"/>
      <c r="IQ993" s="35"/>
      <c r="IR993" s="35"/>
      <c r="IS993" s="35"/>
      <c r="IT993" s="35"/>
      <c r="IU993" s="35"/>
      <c r="IV993" s="35"/>
      <c r="IW993" s="35"/>
      <c r="IX993" s="35"/>
      <c r="IY993" s="35"/>
      <c r="IZ993" s="35"/>
      <c r="JA993" s="35"/>
      <c r="JB993" s="35"/>
      <c r="JC993" s="35"/>
      <c r="JD993" s="35"/>
      <c r="JE993" s="35"/>
    </row>
    <row r="994">
      <c r="A994" s="42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  <c r="AZ994" s="35"/>
      <c r="BA994" s="35"/>
      <c r="BB994" s="35"/>
      <c r="BC994" s="35"/>
      <c r="BD994" s="35"/>
      <c r="BE994" s="35"/>
      <c r="BF994" s="35"/>
      <c r="BG994" s="35"/>
      <c r="BH994" s="35"/>
      <c r="BI994" s="35"/>
      <c r="BJ994" s="35"/>
      <c r="BK994" s="35"/>
      <c r="BL994" s="35"/>
      <c r="BM994" s="35"/>
      <c r="BN994" s="35"/>
      <c r="BO994" s="35"/>
      <c r="BP994" s="35"/>
      <c r="BQ994" s="35"/>
      <c r="BR994" s="35"/>
      <c r="BS994" s="35"/>
      <c r="BT994" s="35"/>
      <c r="BU994" s="35"/>
      <c r="BV994" s="35"/>
      <c r="BW994" s="35"/>
      <c r="BX994" s="35"/>
      <c r="BY994" s="35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35"/>
      <c r="CO994" s="35"/>
      <c r="CP994" s="35"/>
      <c r="CQ994" s="35"/>
      <c r="CR994" s="35"/>
      <c r="CS994" s="35"/>
      <c r="CT994" s="35"/>
      <c r="CU994" s="35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35"/>
      <c r="DJ994" s="35"/>
      <c r="DK994" s="35"/>
      <c r="DL994" s="35"/>
      <c r="DM994" s="35"/>
      <c r="DN994" s="35"/>
      <c r="DO994" s="35"/>
      <c r="DP994" s="35"/>
      <c r="DQ994" s="35"/>
      <c r="DR994" s="35"/>
      <c r="DS994" s="35"/>
      <c r="DT994" s="35"/>
      <c r="DU994" s="35"/>
      <c r="DV994" s="35"/>
      <c r="DW994" s="35"/>
      <c r="DX994" s="35"/>
      <c r="DY994" s="35"/>
      <c r="DZ994" s="35"/>
      <c r="EA994" s="35"/>
      <c r="EB994" s="35"/>
      <c r="EC994" s="35"/>
      <c r="ED994" s="35"/>
      <c r="EE994" s="35"/>
      <c r="EF994" s="35"/>
      <c r="EG994" s="35"/>
      <c r="EH994" s="35"/>
      <c r="EI994" s="35"/>
      <c r="EJ994" s="35"/>
      <c r="EK994" s="35"/>
      <c r="EL994" s="35"/>
      <c r="EM994" s="35"/>
      <c r="EN994" s="35"/>
      <c r="EO994" s="35"/>
      <c r="EP994" s="35"/>
      <c r="EQ994" s="35"/>
      <c r="ER994" s="35"/>
      <c r="ES994" s="35"/>
      <c r="ET994" s="35"/>
      <c r="EU994" s="35"/>
      <c r="EV994" s="35"/>
      <c r="EW994" s="35"/>
      <c r="EX994" s="35"/>
      <c r="EY994" s="35"/>
      <c r="EZ994" s="35"/>
      <c r="FA994" s="35"/>
      <c r="FB994" s="35"/>
      <c r="FC994" s="35"/>
      <c r="FD994" s="35"/>
      <c r="FE994" s="35"/>
      <c r="FF994" s="35"/>
      <c r="FG994" s="35"/>
      <c r="FH994" s="35"/>
      <c r="FI994" s="35"/>
      <c r="FJ994" s="35"/>
      <c r="FK994" s="35"/>
      <c r="FL994" s="35"/>
      <c r="FM994" s="35"/>
      <c r="FN994" s="35"/>
      <c r="FO994" s="35"/>
      <c r="FP994" s="35"/>
      <c r="FQ994" s="35"/>
      <c r="FR994" s="35"/>
      <c r="FS994" s="35"/>
      <c r="FT994" s="35"/>
      <c r="FU994" s="35"/>
      <c r="FV994" s="35"/>
      <c r="FW994" s="35"/>
      <c r="FX994" s="35"/>
      <c r="FY994" s="35"/>
      <c r="FZ994" s="35"/>
      <c r="GA994" s="35"/>
      <c r="GB994" s="35"/>
      <c r="GC994" s="35"/>
      <c r="GD994" s="35"/>
      <c r="GE994" s="35"/>
      <c r="GF994" s="35"/>
      <c r="GG994" s="35"/>
      <c r="GH994" s="35"/>
      <c r="GI994" s="35"/>
      <c r="GJ994" s="35"/>
      <c r="GK994" s="35"/>
      <c r="GL994" s="35"/>
      <c r="GM994" s="35"/>
      <c r="GN994" s="35"/>
      <c r="GO994" s="35"/>
      <c r="GP994" s="35"/>
      <c r="GQ994" s="35"/>
      <c r="GR994" s="35"/>
      <c r="GS994" s="35"/>
      <c r="GT994" s="35"/>
      <c r="GU994" s="35"/>
      <c r="GV994" s="35"/>
      <c r="GW994" s="35"/>
      <c r="GX994" s="35"/>
      <c r="GY994" s="35"/>
      <c r="GZ994" s="35"/>
      <c r="HA994" s="35"/>
      <c r="HB994" s="35"/>
      <c r="HC994" s="35"/>
      <c r="HD994" s="35"/>
      <c r="HE994" s="35"/>
      <c r="HF994" s="35"/>
      <c r="HG994" s="35"/>
      <c r="HH994" s="35"/>
      <c r="HI994" s="35"/>
      <c r="HJ994" s="35"/>
      <c r="HK994" s="35"/>
      <c r="HL994" s="35"/>
      <c r="HM994" s="35"/>
      <c r="HN994" s="35"/>
      <c r="HO994" s="35"/>
      <c r="HP994" s="35"/>
      <c r="HQ994" s="35"/>
      <c r="HR994" s="35"/>
      <c r="HS994" s="35"/>
      <c r="HT994" s="35"/>
      <c r="HU994" s="35"/>
      <c r="HV994" s="35"/>
      <c r="HW994" s="35"/>
      <c r="HX994" s="35"/>
      <c r="HY994" s="35"/>
      <c r="HZ994" s="35"/>
      <c r="IA994" s="35"/>
      <c r="IB994" s="35"/>
      <c r="IC994" s="35"/>
      <c r="ID994" s="35"/>
      <c r="IE994" s="35"/>
      <c r="IF994" s="35"/>
      <c r="IG994" s="35"/>
      <c r="IH994" s="35"/>
      <c r="II994" s="35"/>
      <c r="IJ994" s="35"/>
      <c r="IK994" s="35"/>
      <c r="IL994" s="35"/>
      <c r="IM994" s="35"/>
      <c r="IN994" s="35"/>
      <c r="IO994" s="35"/>
      <c r="IP994" s="35"/>
      <c r="IQ994" s="35"/>
      <c r="IR994" s="35"/>
      <c r="IS994" s="35"/>
      <c r="IT994" s="35"/>
      <c r="IU994" s="35"/>
      <c r="IV994" s="35"/>
      <c r="IW994" s="35"/>
      <c r="IX994" s="35"/>
      <c r="IY994" s="35"/>
      <c r="IZ994" s="35"/>
      <c r="JA994" s="35"/>
      <c r="JB994" s="35"/>
      <c r="JC994" s="35"/>
      <c r="JD994" s="35"/>
      <c r="JE994" s="35"/>
    </row>
    <row r="995">
      <c r="A995" s="42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  <c r="AZ995" s="35"/>
      <c r="BA995" s="35"/>
      <c r="BB995" s="35"/>
      <c r="BC995" s="35"/>
      <c r="BD995" s="35"/>
      <c r="BE995" s="35"/>
      <c r="BF995" s="35"/>
      <c r="BG995" s="35"/>
      <c r="BH995" s="35"/>
      <c r="BI995" s="35"/>
      <c r="BJ995" s="35"/>
      <c r="BK995" s="35"/>
      <c r="BL995" s="35"/>
      <c r="BM995" s="35"/>
      <c r="BN995" s="35"/>
      <c r="BO995" s="35"/>
      <c r="BP995" s="35"/>
      <c r="BQ995" s="35"/>
      <c r="BR995" s="35"/>
      <c r="BS995" s="35"/>
      <c r="BT995" s="35"/>
      <c r="BU995" s="35"/>
      <c r="BV995" s="35"/>
      <c r="BW995" s="35"/>
      <c r="BX995" s="35"/>
      <c r="BY995" s="35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35"/>
      <c r="CO995" s="35"/>
      <c r="CP995" s="35"/>
      <c r="CQ995" s="35"/>
      <c r="CR995" s="35"/>
      <c r="CS995" s="35"/>
      <c r="CT995" s="35"/>
      <c r="CU995" s="35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35"/>
      <c r="DJ995" s="35"/>
      <c r="DK995" s="35"/>
      <c r="DL995" s="35"/>
      <c r="DM995" s="35"/>
      <c r="DN995" s="35"/>
      <c r="DO995" s="35"/>
      <c r="DP995" s="35"/>
      <c r="DQ995" s="35"/>
      <c r="DR995" s="35"/>
      <c r="DS995" s="35"/>
      <c r="DT995" s="35"/>
      <c r="DU995" s="35"/>
      <c r="DV995" s="35"/>
      <c r="DW995" s="35"/>
      <c r="DX995" s="35"/>
      <c r="DY995" s="35"/>
      <c r="DZ995" s="35"/>
      <c r="EA995" s="35"/>
      <c r="EB995" s="35"/>
      <c r="EC995" s="35"/>
      <c r="ED995" s="35"/>
      <c r="EE995" s="35"/>
      <c r="EF995" s="35"/>
      <c r="EG995" s="35"/>
      <c r="EH995" s="35"/>
      <c r="EI995" s="35"/>
      <c r="EJ995" s="35"/>
      <c r="EK995" s="35"/>
      <c r="EL995" s="35"/>
      <c r="EM995" s="35"/>
      <c r="EN995" s="35"/>
      <c r="EO995" s="35"/>
      <c r="EP995" s="35"/>
      <c r="EQ995" s="35"/>
      <c r="ER995" s="35"/>
      <c r="ES995" s="35"/>
      <c r="ET995" s="35"/>
      <c r="EU995" s="35"/>
      <c r="EV995" s="35"/>
      <c r="EW995" s="35"/>
      <c r="EX995" s="35"/>
      <c r="EY995" s="35"/>
      <c r="EZ995" s="35"/>
      <c r="FA995" s="35"/>
      <c r="FB995" s="35"/>
      <c r="FC995" s="35"/>
      <c r="FD995" s="35"/>
      <c r="FE995" s="35"/>
      <c r="FF995" s="35"/>
      <c r="FG995" s="35"/>
      <c r="FH995" s="35"/>
      <c r="FI995" s="35"/>
      <c r="FJ995" s="35"/>
      <c r="FK995" s="35"/>
      <c r="FL995" s="35"/>
      <c r="FM995" s="35"/>
      <c r="FN995" s="35"/>
      <c r="FO995" s="35"/>
      <c r="FP995" s="35"/>
      <c r="FQ995" s="35"/>
      <c r="FR995" s="35"/>
      <c r="FS995" s="35"/>
      <c r="FT995" s="35"/>
      <c r="FU995" s="35"/>
      <c r="FV995" s="35"/>
      <c r="FW995" s="35"/>
      <c r="FX995" s="35"/>
      <c r="FY995" s="35"/>
      <c r="FZ995" s="35"/>
      <c r="GA995" s="35"/>
      <c r="GB995" s="35"/>
      <c r="GC995" s="35"/>
      <c r="GD995" s="35"/>
      <c r="GE995" s="35"/>
      <c r="GF995" s="35"/>
      <c r="GG995" s="35"/>
      <c r="GH995" s="35"/>
      <c r="GI995" s="35"/>
      <c r="GJ995" s="35"/>
      <c r="GK995" s="35"/>
      <c r="GL995" s="35"/>
      <c r="GM995" s="35"/>
      <c r="GN995" s="35"/>
      <c r="GO995" s="35"/>
      <c r="GP995" s="35"/>
      <c r="GQ995" s="35"/>
      <c r="GR995" s="35"/>
      <c r="GS995" s="35"/>
      <c r="GT995" s="35"/>
      <c r="GU995" s="35"/>
      <c r="GV995" s="35"/>
      <c r="GW995" s="35"/>
      <c r="GX995" s="35"/>
      <c r="GY995" s="35"/>
      <c r="GZ995" s="35"/>
      <c r="HA995" s="35"/>
      <c r="HB995" s="35"/>
      <c r="HC995" s="35"/>
      <c r="HD995" s="35"/>
      <c r="HE995" s="35"/>
      <c r="HF995" s="35"/>
      <c r="HG995" s="35"/>
      <c r="HH995" s="35"/>
      <c r="HI995" s="35"/>
      <c r="HJ995" s="35"/>
      <c r="HK995" s="35"/>
      <c r="HL995" s="35"/>
      <c r="HM995" s="35"/>
      <c r="HN995" s="35"/>
      <c r="HO995" s="35"/>
      <c r="HP995" s="35"/>
      <c r="HQ995" s="35"/>
      <c r="HR995" s="35"/>
      <c r="HS995" s="35"/>
      <c r="HT995" s="35"/>
      <c r="HU995" s="35"/>
      <c r="HV995" s="35"/>
      <c r="HW995" s="35"/>
      <c r="HX995" s="35"/>
      <c r="HY995" s="35"/>
      <c r="HZ995" s="35"/>
      <c r="IA995" s="35"/>
      <c r="IB995" s="35"/>
      <c r="IC995" s="35"/>
      <c r="ID995" s="35"/>
      <c r="IE995" s="35"/>
      <c r="IF995" s="35"/>
      <c r="IG995" s="35"/>
      <c r="IH995" s="35"/>
      <c r="II995" s="35"/>
      <c r="IJ995" s="35"/>
      <c r="IK995" s="35"/>
      <c r="IL995" s="35"/>
      <c r="IM995" s="35"/>
      <c r="IN995" s="35"/>
      <c r="IO995" s="35"/>
      <c r="IP995" s="35"/>
      <c r="IQ995" s="35"/>
      <c r="IR995" s="35"/>
      <c r="IS995" s="35"/>
      <c r="IT995" s="35"/>
      <c r="IU995" s="35"/>
      <c r="IV995" s="35"/>
      <c r="IW995" s="35"/>
      <c r="IX995" s="35"/>
      <c r="IY995" s="35"/>
      <c r="IZ995" s="35"/>
      <c r="JA995" s="35"/>
      <c r="JB995" s="35"/>
      <c r="JC995" s="35"/>
      <c r="JD995" s="35"/>
      <c r="JE995" s="35"/>
    </row>
    <row r="996">
      <c r="A996" s="42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  <c r="AZ996" s="35"/>
      <c r="BA996" s="35"/>
      <c r="BB996" s="35"/>
      <c r="BC996" s="35"/>
      <c r="BD996" s="35"/>
      <c r="BE996" s="35"/>
      <c r="BF996" s="35"/>
      <c r="BG996" s="35"/>
      <c r="BH996" s="35"/>
      <c r="BI996" s="35"/>
      <c r="BJ996" s="35"/>
      <c r="BK996" s="35"/>
      <c r="BL996" s="35"/>
      <c r="BM996" s="35"/>
      <c r="BN996" s="35"/>
      <c r="BO996" s="35"/>
      <c r="BP996" s="35"/>
      <c r="BQ996" s="35"/>
      <c r="BR996" s="35"/>
      <c r="BS996" s="35"/>
      <c r="BT996" s="35"/>
      <c r="BU996" s="35"/>
      <c r="BV996" s="35"/>
      <c r="BW996" s="35"/>
      <c r="BX996" s="35"/>
      <c r="BY996" s="35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35"/>
      <c r="CO996" s="35"/>
      <c r="CP996" s="35"/>
      <c r="CQ996" s="35"/>
      <c r="CR996" s="35"/>
      <c r="CS996" s="35"/>
      <c r="CT996" s="35"/>
      <c r="CU996" s="35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35"/>
      <c r="DJ996" s="35"/>
      <c r="DK996" s="35"/>
      <c r="DL996" s="35"/>
      <c r="DM996" s="35"/>
      <c r="DN996" s="35"/>
      <c r="DO996" s="35"/>
      <c r="DP996" s="35"/>
      <c r="DQ996" s="35"/>
      <c r="DR996" s="35"/>
      <c r="DS996" s="35"/>
      <c r="DT996" s="35"/>
      <c r="DU996" s="35"/>
      <c r="DV996" s="35"/>
      <c r="DW996" s="35"/>
      <c r="DX996" s="35"/>
      <c r="DY996" s="35"/>
      <c r="DZ996" s="35"/>
      <c r="EA996" s="35"/>
      <c r="EB996" s="35"/>
      <c r="EC996" s="35"/>
      <c r="ED996" s="35"/>
      <c r="EE996" s="35"/>
      <c r="EF996" s="35"/>
      <c r="EG996" s="35"/>
      <c r="EH996" s="35"/>
      <c r="EI996" s="35"/>
      <c r="EJ996" s="35"/>
      <c r="EK996" s="35"/>
      <c r="EL996" s="35"/>
      <c r="EM996" s="35"/>
      <c r="EN996" s="35"/>
      <c r="EO996" s="35"/>
      <c r="EP996" s="35"/>
      <c r="EQ996" s="35"/>
      <c r="ER996" s="35"/>
      <c r="ES996" s="35"/>
      <c r="ET996" s="35"/>
      <c r="EU996" s="35"/>
      <c r="EV996" s="35"/>
      <c r="EW996" s="35"/>
      <c r="EX996" s="35"/>
      <c r="EY996" s="35"/>
      <c r="EZ996" s="35"/>
      <c r="FA996" s="35"/>
      <c r="FB996" s="35"/>
      <c r="FC996" s="35"/>
      <c r="FD996" s="35"/>
      <c r="FE996" s="35"/>
      <c r="FF996" s="35"/>
      <c r="FG996" s="35"/>
      <c r="FH996" s="35"/>
      <c r="FI996" s="35"/>
      <c r="FJ996" s="35"/>
      <c r="FK996" s="35"/>
      <c r="FL996" s="35"/>
      <c r="FM996" s="35"/>
      <c r="FN996" s="35"/>
      <c r="FO996" s="35"/>
      <c r="FP996" s="35"/>
      <c r="FQ996" s="35"/>
      <c r="FR996" s="35"/>
      <c r="FS996" s="35"/>
      <c r="FT996" s="35"/>
      <c r="FU996" s="35"/>
      <c r="FV996" s="35"/>
      <c r="FW996" s="35"/>
      <c r="FX996" s="35"/>
      <c r="FY996" s="35"/>
      <c r="FZ996" s="35"/>
      <c r="GA996" s="35"/>
      <c r="GB996" s="35"/>
      <c r="GC996" s="35"/>
      <c r="GD996" s="35"/>
      <c r="GE996" s="35"/>
      <c r="GF996" s="35"/>
      <c r="GG996" s="35"/>
      <c r="GH996" s="35"/>
      <c r="GI996" s="35"/>
      <c r="GJ996" s="35"/>
      <c r="GK996" s="35"/>
      <c r="GL996" s="35"/>
      <c r="GM996" s="35"/>
      <c r="GN996" s="35"/>
      <c r="GO996" s="35"/>
      <c r="GP996" s="35"/>
      <c r="GQ996" s="35"/>
      <c r="GR996" s="35"/>
      <c r="GS996" s="35"/>
      <c r="GT996" s="35"/>
      <c r="GU996" s="35"/>
      <c r="GV996" s="35"/>
      <c r="GW996" s="35"/>
      <c r="GX996" s="35"/>
      <c r="GY996" s="35"/>
      <c r="GZ996" s="35"/>
      <c r="HA996" s="35"/>
      <c r="HB996" s="35"/>
      <c r="HC996" s="35"/>
      <c r="HD996" s="35"/>
      <c r="HE996" s="35"/>
      <c r="HF996" s="35"/>
      <c r="HG996" s="35"/>
      <c r="HH996" s="35"/>
      <c r="HI996" s="35"/>
      <c r="HJ996" s="35"/>
      <c r="HK996" s="35"/>
      <c r="HL996" s="35"/>
      <c r="HM996" s="35"/>
      <c r="HN996" s="35"/>
      <c r="HO996" s="35"/>
      <c r="HP996" s="35"/>
      <c r="HQ996" s="35"/>
      <c r="HR996" s="35"/>
      <c r="HS996" s="35"/>
      <c r="HT996" s="35"/>
      <c r="HU996" s="35"/>
      <c r="HV996" s="35"/>
      <c r="HW996" s="35"/>
      <c r="HX996" s="35"/>
      <c r="HY996" s="35"/>
      <c r="HZ996" s="35"/>
      <c r="IA996" s="35"/>
      <c r="IB996" s="35"/>
      <c r="IC996" s="35"/>
      <c r="ID996" s="35"/>
      <c r="IE996" s="35"/>
      <c r="IF996" s="35"/>
      <c r="IG996" s="35"/>
      <c r="IH996" s="35"/>
      <c r="II996" s="35"/>
      <c r="IJ996" s="35"/>
      <c r="IK996" s="35"/>
      <c r="IL996" s="35"/>
      <c r="IM996" s="35"/>
      <c r="IN996" s="35"/>
      <c r="IO996" s="35"/>
      <c r="IP996" s="35"/>
      <c r="IQ996" s="35"/>
      <c r="IR996" s="35"/>
      <c r="IS996" s="35"/>
      <c r="IT996" s="35"/>
      <c r="IU996" s="35"/>
      <c r="IV996" s="35"/>
      <c r="IW996" s="35"/>
      <c r="IX996" s="35"/>
      <c r="IY996" s="35"/>
      <c r="IZ996" s="35"/>
      <c r="JA996" s="35"/>
      <c r="JB996" s="35"/>
      <c r="JC996" s="35"/>
      <c r="JD996" s="35"/>
      <c r="JE996" s="35"/>
    </row>
    <row r="997">
      <c r="A997" s="42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  <c r="AZ997" s="35"/>
      <c r="BA997" s="35"/>
      <c r="BB997" s="35"/>
      <c r="BC997" s="35"/>
      <c r="BD997" s="35"/>
      <c r="BE997" s="35"/>
      <c r="BF997" s="35"/>
      <c r="BG997" s="35"/>
      <c r="BH997" s="35"/>
      <c r="BI997" s="35"/>
      <c r="BJ997" s="35"/>
      <c r="BK997" s="35"/>
      <c r="BL997" s="35"/>
      <c r="BM997" s="35"/>
      <c r="BN997" s="35"/>
      <c r="BO997" s="35"/>
      <c r="BP997" s="35"/>
      <c r="BQ997" s="35"/>
      <c r="BR997" s="35"/>
      <c r="BS997" s="35"/>
      <c r="BT997" s="35"/>
      <c r="BU997" s="35"/>
      <c r="BV997" s="35"/>
      <c r="BW997" s="35"/>
      <c r="BX997" s="35"/>
      <c r="BY997" s="35"/>
      <c r="BZ997" s="35"/>
      <c r="CA997" s="35"/>
      <c r="CB997" s="35"/>
      <c r="CC997" s="35"/>
      <c r="CD997" s="35"/>
      <c r="CE997" s="35"/>
      <c r="CF997" s="35"/>
      <c r="CG997" s="35"/>
      <c r="CH997" s="35"/>
      <c r="CI997" s="35"/>
      <c r="CJ997" s="35"/>
      <c r="CK997" s="35"/>
      <c r="CL997" s="35"/>
      <c r="CM997" s="35"/>
      <c r="CN997" s="35"/>
      <c r="CO997" s="35"/>
      <c r="CP997" s="35"/>
      <c r="CQ997" s="35"/>
      <c r="CR997" s="35"/>
      <c r="CS997" s="35"/>
      <c r="CT997" s="35"/>
      <c r="CU997" s="35"/>
      <c r="CV997" s="35"/>
      <c r="CW997" s="35"/>
      <c r="CX997" s="35"/>
      <c r="CY997" s="35"/>
      <c r="CZ997" s="35"/>
      <c r="DA997" s="35"/>
      <c r="DB997" s="35"/>
      <c r="DC997" s="35"/>
      <c r="DD997" s="35"/>
      <c r="DE997" s="35"/>
      <c r="DF997" s="35"/>
      <c r="DG997" s="35"/>
      <c r="DH997" s="35"/>
      <c r="DI997" s="35"/>
      <c r="DJ997" s="35"/>
      <c r="DK997" s="35"/>
      <c r="DL997" s="35"/>
      <c r="DM997" s="35"/>
      <c r="DN997" s="35"/>
      <c r="DO997" s="35"/>
      <c r="DP997" s="35"/>
      <c r="DQ997" s="35"/>
      <c r="DR997" s="35"/>
      <c r="DS997" s="35"/>
      <c r="DT997" s="35"/>
      <c r="DU997" s="35"/>
      <c r="DV997" s="35"/>
      <c r="DW997" s="35"/>
      <c r="DX997" s="35"/>
      <c r="DY997" s="35"/>
      <c r="DZ997" s="35"/>
      <c r="EA997" s="35"/>
      <c r="EB997" s="35"/>
      <c r="EC997" s="35"/>
      <c r="ED997" s="35"/>
      <c r="EE997" s="35"/>
      <c r="EF997" s="35"/>
      <c r="EG997" s="35"/>
      <c r="EH997" s="35"/>
      <c r="EI997" s="35"/>
      <c r="EJ997" s="35"/>
      <c r="EK997" s="35"/>
      <c r="EL997" s="35"/>
      <c r="EM997" s="35"/>
      <c r="EN997" s="35"/>
      <c r="EO997" s="35"/>
      <c r="EP997" s="35"/>
      <c r="EQ997" s="35"/>
      <c r="ER997" s="35"/>
      <c r="ES997" s="35"/>
      <c r="ET997" s="35"/>
      <c r="EU997" s="35"/>
      <c r="EV997" s="35"/>
      <c r="EW997" s="35"/>
      <c r="EX997" s="35"/>
      <c r="EY997" s="35"/>
      <c r="EZ997" s="35"/>
      <c r="FA997" s="35"/>
      <c r="FB997" s="35"/>
      <c r="FC997" s="35"/>
      <c r="FD997" s="35"/>
      <c r="FE997" s="35"/>
      <c r="FF997" s="35"/>
      <c r="FG997" s="35"/>
      <c r="FH997" s="35"/>
      <c r="FI997" s="35"/>
      <c r="FJ997" s="35"/>
      <c r="FK997" s="35"/>
      <c r="FL997" s="35"/>
      <c r="FM997" s="35"/>
      <c r="FN997" s="35"/>
      <c r="FO997" s="35"/>
      <c r="FP997" s="35"/>
      <c r="FQ997" s="35"/>
      <c r="FR997" s="35"/>
      <c r="FS997" s="35"/>
      <c r="FT997" s="35"/>
      <c r="FU997" s="35"/>
      <c r="FV997" s="35"/>
      <c r="FW997" s="35"/>
      <c r="FX997" s="35"/>
      <c r="FY997" s="35"/>
      <c r="FZ997" s="35"/>
      <c r="GA997" s="35"/>
      <c r="GB997" s="35"/>
      <c r="GC997" s="35"/>
      <c r="GD997" s="35"/>
      <c r="GE997" s="35"/>
      <c r="GF997" s="35"/>
      <c r="GG997" s="35"/>
      <c r="GH997" s="35"/>
      <c r="GI997" s="35"/>
      <c r="GJ997" s="35"/>
      <c r="GK997" s="35"/>
      <c r="GL997" s="35"/>
      <c r="GM997" s="35"/>
      <c r="GN997" s="35"/>
      <c r="GO997" s="35"/>
      <c r="GP997" s="35"/>
      <c r="GQ997" s="35"/>
      <c r="GR997" s="35"/>
      <c r="GS997" s="35"/>
      <c r="GT997" s="35"/>
      <c r="GU997" s="35"/>
      <c r="GV997" s="35"/>
      <c r="GW997" s="35"/>
      <c r="GX997" s="35"/>
      <c r="GY997" s="35"/>
      <c r="GZ997" s="35"/>
      <c r="HA997" s="35"/>
      <c r="HB997" s="35"/>
      <c r="HC997" s="35"/>
      <c r="HD997" s="35"/>
      <c r="HE997" s="35"/>
      <c r="HF997" s="35"/>
      <c r="HG997" s="35"/>
      <c r="HH997" s="35"/>
      <c r="HI997" s="35"/>
      <c r="HJ997" s="35"/>
      <c r="HK997" s="35"/>
      <c r="HL997" s="35"/>
      <c r="HM997" s="35"/>
      <c r="HN997" s="35"/>
      <c r="HO997" s="35"/>
      <c r="HP997" s="35"/>
      <c r="HQ997" s="35"/>
      <c r="HR997" s="35"/>
      <c r="HS997" s="35"/>
      <c r="HT997" s="35"/>
      <c r="HU997" s="35"/>
      <c r="HV997" s="35"/>
      <c r="HW997" s="35"/>
      <c r="HX997" s="35"/>
      <c r="HY997" s="35"/>
      <c r="HZ997" s="35"/>
      <c r="IA997" s="35"/>
      <c r="IB997" s="35"/>
      <c r="IC997" s="35"/>
      <c r="ID997" s="35"/>
      <c r="IE997" s="35"/>
      <c r="IF997" s="35"/>
      <c r="IG997" s="35"/>
      <c r="IH997" s="35"/>
      <c r="II997" s="35"/>
      <c r="IJ997" s="35"/>
      <c r="IK997" s="35"/>
      <c r="IL997" s="35"/>
      <c r="IM997" s="35"/>
      <c r="IN997" s="35"/>
      <c r="IO997" s="35"/>
      <c r="IP997" s="35"/>
      <c r="IQ997" s="35"/>
      <c r="IR997" s="35"/>
      <c r="IS997" s="35"/>
      <c r="IT997" s="35"/>
      <c r="IU997" s="35"/>
      <c r="IV997" s="35"/>
      <c r="IW997" s="35"/>
      <c r="IX997" s="35"/>
      <c r="IY997" s="35"/>
      <c r="IZ997" s="35"/>
      <c r="JA997" s="35"/>
      <c r="JB997" s="35"/>
      <c r="JC997" s="35"/>
      <c r="JD997" s="35"/>
      <c r="JE997" s="35"/>
    </row>
    <row r="998">
      <c r="A998" s="42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  <c r="AZ998" s="35"/>
      <c r="BA998" s="35"/>
      <c r="BB998" s="35"/>
      <c r="BC998" s="35"/>
      <c r="BD998" s="35"/>
      <c r="BE998" s="35"/>
      <c r="BF998" s="35"/>
      <c r="BG998" s="35"/>
      <c r="BH998" s="35"/>
      <c r="BI998" s="35"/>
      <c r="BJ998" s="35"/>
      <c r="BK998" s="35"/>
      <c r="BL998" s="35"/>
      <c r="BM998" s="35"/>
      <c r="BN998" s="35"/>
      <c r="BO998" s="35"/>
      <c r="BP998" s="35"/>
      <c r="BQ998" s="35"/>
      <c r="BR998" s="35"/>
      <c r="BS998" s="35"/>
      <c r="BT998" s="35"/>
      <c r="BU998" s="35"/>
      <c r="BV998" s="35"/>
      <c r="BW998" s="35"/>
      <c r="BX998" s="35"/>
      <c r="BY998" s="35"/>
      <c r="BZ998" s="35"/>
      <c r="CA998" s="35"/>
      <c r="CB998" s="35"/>
      <c r="CC998" s="35"/>
      <c r="CD998" s="35"/>
      <c r="CE998" s="35"/>
      <c r="CF998" s="35"/>
      <c r="CG998" s="35"/>
      <c r="CH998" s="35"/>
      <c r="CI998" s="35"/>
      <c r="CJ998" s="35"/>
      <c r="CK998" s="35"/>
      <c r="CL998" s="35"/>
      <c r="CM998" s="35"/>
      <c r="CN998" s="35"/>
      <c r="CO998" s="35"/>
      <c r="CP998" s="35"/>
      <c r="CQ998" s="35"/>
      <c r="CR998" s="35"/>
      <c r="CS998" s="35"/>
      <c r="CT998" s="35"/>
      <c r="CU998" s="35"/>
      <c r="CV998" s="35"/>
      <c r="CW998" s="35"/>
      <c r="CX998" s="35"/>
      <c r="CY998" s="35"/>
      <c r="CZ998" s="35"/>
      <c r="DA998" s="35"/>
      <c r="DB998" s="35"/>
      <c r="DC998" s="35"/>
      <c r="DD998" s="35"/>
      <c r="DE998" s="35"/>
      <c r="DF998" s="35"/>
      <c r="DG998" s="35"/>
      <c r="DH998" s="35"/>
      <c r="DI998" s="35"/>
      <c r="DJ998" s="35"/>
      <c r="DK998" s="35"/>
      <c r="DL998" s="35"/>
      <c r="DM998" s="35"/>
      <c r="DN998" s="35"/>
      <c r="DO998" s="35"/>
      <c r="DP998" s="35"/>
      <c r="DQ998" s="35"/>
      <c r="DR998" s="35"/>
      <c r="DS998" s="35"/>
      <c r="DT998" s="35"/>
      <c r="DU998" s="35"/>
      <c r="DV998" s="35"/>
      <c r="DW998" s="35"/>
      <c r="DX998" s="35"/>
      <c r="DY998" s="35"/>
      <c r="DZ998" s="35"/>
      <c r="EA998" s="35"/>
      <c r="EB998" s="35"/>
      <c r="EC998" s="35"/>
      <c r="ED998" s="35"/>
      <c r="EE998" s="35"/>
      <c r="EF998" s="35"/>
      <c r="EG998" s="35"/>
      <c r="EH998" s="35"/>
      <c r="EI998" s="35"/>
      <c r="EJ998" s="35"/>
      <c r="EK998" s="35"/>
      <c r="EL998" s="35"/>
      <c r="EM998" s="35"/>
      <c r="EN998" s="35"/>
      <c r="EO998" s="35"/>
      <c r="EP998" s="35"/>
      <c r="EQ998" s="35"/>
      <c r="ER998" s="35"/>
      <c r="ES998" s="35"/>
      <c r="ET998" s="35"/>
      <c r="EU998" s="35"/>
      <c r="EV998" s="35"/>
      <c r="EW998" s="35"/>
      <c r="EX998" s="35"/>
      <c r="EY998" s="35"/>
      <c r="EZ998" s="35"/>
      <c r="FA998" s="35"/>
      <c r="FB998" s="35"/>
      <c r="FC998" s="35"/>
      <c r="FD998" s="35"/>
      <c r="FE998" s="35"/>
      <c r="FF998" s="35"/>
      <c r="FG998" s="35"/>
      <c r="FH998" s="35"/>
      <c r="FI998" s="35"/>
      <c r="FJ998" s="35"/>
      <c r="FK998" s="35"/>
      <c r="FL998" s="35"/>
      <c r="FM998" s="35"/>
      <c r="FN998" s="35"/>
      <c r="FO998" s="35"/>
      <c r="FP998" s="35"/>
      <c r="FQ998" s="35"/>
      <c r="FR998" s="35"/>
      <c r="FS998" s="35"/>
      <c r="FT998" s="35"/>
      <c r="FU998" s="35"/>
      <c r="FV998" s="35"/>
      <c r="FW998" s="35"/>
      <c r="FX998" s="35"/>
      <c r="FY998" s="35"/>
      <c r="FZ998" s="35"/>
      <c r="GA998" s="35"/>
      <c r="GB998" s="35"/>
      <c r="GC998" s="35"/>
      <c r="GD998" s="35"/>
      <c r="GE998" s="35"/>
      <c r="GF998" s="35"/>
      <c r="GG998" s="35"/>
      <c r="GH998" s="35"/>
      <c r="GI998" s="35"/>
      <c r="GJ998" s="35"/>
      <c r="GK998" s="35"/>
      <c r="GL998" s="35"/>
      <c r="GM998" s="35"/>
      <c r="GN998" s="35"/>
      <c r="GO998" s="35"/>
      <c r="GP998" s="35"/>
      <c r="GQ998" s="35"/>
      <c r="GR998" s="35"/>
      <c r="GS998" s="35"/>
      <c r="GT998" s="35"/>
      <c r="GU998" s="35"/>
      <c r="GV998" s="35"/>
      <c r="GW998" s="35"/>
      <c r="GX998" s="35"/>
      <c r="GY998" s="35"/>
      <c r="GZ998" s="35"/>
      <c r="HA998" s="35"/>
      <c r="HB998" s="35"/>
      <c r="HC998" s="35"/>
      <c r="HD998" s="35"/>
      <c r="HE998" s="35"/>
      <c r="HF998" s="35"/>
      <c r="HG998" s="35"/>
      <c r="HH998" s="35"/>
      <c r="HI998" s="35"/>
      <c r="HJ998" s="35"/>
      <c r="HK998" s="35"/>
      <c r="HL998" s="35"/>
      <c r="HM998" s="35"/>
      <c r="HN998" s="35"/>
      <c r="HO998" s="35"/>
      <c r="HP998" s="35"/>
      <c r="HQ998" s="35"/>
      <c r="HR998" s="35"/>
      <c r="HS998" s="35"/>
      <c r="HT998" s="35"/>
      <c r="HU998" s="35"/>
      <c r="HV998" s="35"/>
      <c r="HW998" s="35"/>
      <c r="HX998" s="35"/>
      <c r="HY998" s="35"/>
      <c r="HZ998" s="35"/>
      <c r="IA998" s="35"/>
      <c r="IB998" s="35"/>
      <c r="IC998" s="35"/>
      <c r="ID998" s="35"/>
      <c r="IE998" s="35"/>
      <c r="IF998" s="35"/>
      <c r="IG998" s="35"/>
      <c r="IH998" s="35"/>
      <c r="II998" s="35"/>
      <c r="IJ998" s="35"/>
      <c r="IK998" s="35"/>
      <c r="IL998" s="35"/>
      <c r="IM998" s="35"/>
      <c r="IN998" s="35"/>
      <c r="IO998" s="35"/>
      <c r="IP998" s="35"/>
      <c r="IQ998" s="35"/>
      <c r="IR998" s="35"/>
      <c r="IS998" s="35"/>
      <c r="IT998" s="35"/>
      <c r="IU998" s="35"/>
      <c r="IV998" s="35"/>
      <c r="IW998" s="35"/>
      <c r="IX998" s="35"/>
      <c r="IY998" s="35"/>
      <c r="IZ998" s="35"/>
      <c r="JA998" s="35"/>
      <c r="JB998" s="35"/>
      <c r="JC998" s="35"/>
      <c r="JD998" s="35"/>
      <c r="JE998" s="35"/>
    </row>
    <row r="999">
      <c r="A999" s="42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  <c r="AZ999" s="35"/>
      <c r="BA999" s="35"/>
      <c r="BB999" s="35"/>
      <c r="BC999" s="35"/>
      <c r="BD999" s="35"/>
      <c r="BE999" s="35"/>
      <c r="BF999" s="35"/>
      <c r="BG999" s="35"/>
      <c r="BH999" s="35"/>
      <c r="BI999" s="35"/>
      <c r="BJ999" s="35"/>
      <c r="BK999" s="35"/>
      <c r="BL999" s="35"/>
      <c r="BM999" s="35"/>
      <c r="BN999" s="35"/>
      <c r="BO999" s="35"/>
      <c r="BP999" s="35"/>
      <c r="BQ999" s="35"/>
      <c r="BR999" s="35"/>
      <c r="BS999" s="35"/>
      <c r="BT999" s="35"/>
      <c r="BU999" s="35"/>
      <c r="BV999" s="35"/>
      <c r="BW999" s="35"/>
      <c r="BX999" s="35"/>
      <c r="BY999" s="35"/>
      <c r="BZ999" s="35"/>
      <c r="CA999" s="35"/>
      <c r="CB999" s="35"/>
      <c r="CC999" s="35"/>
      <c r="CD999" s="35"/>
      <c r="CE999" s="35"/>
      <c r="CF999" s="35"/>
      <c r="CG999" s="35"/>
      <c r="CH999" s="35"/>
      <c r="CI999" s="35"/>
      <c r="CJ999" s="35"/>
      <c r="CK999" s="35"/>
      <c r="CL999" s="35"/>
      <c r="CM999" s="35"/>
      <c r="CN999" s="35"/>
      <c r="CO999" s="35"/>
      <c r="CP999" s="35"/>
      <c r="CQ999" s="35"/>
      <c r="CR999" s="35"/>
      <c r="CS999" s="35"/>
      <c r="CT999" s="35"/>
      <c r="CU999" s="35"/>
      <c r="CV999" s="35"/>
      <c r="CW999" s="35"/>
      <c r="CX999" s="35"/>
      <c r="CY999" s="35"/>
      <c r="CZ999" s="35"/>
      <c r="DA999" s="35"/>
      <c r="DB999" s="35"/>
      <c r="DC999" s="35"/>
      <c r="DD999" s="35"/>
      <c r="DE999" s="35"/>
      <c r="DF999" s="35"/>
      <c r="DG999" s="35"/>
      <c r="DH999" s="35"/>
      <c r="DI999" s="35"/>
      <c r="DJ999" s="35"/>
      <c r="DK999" s="35"/>
      <c r="DL999" s="35"/>
      <c r="DM999" s="35"/>
      <c r="DN999" s="35"/>
      <c r="DO999" s="35"/>
      <c r="DP999" s="35"/>
      <c r="DQ999" s="35"/>
      <c r="DR999" s="35"/>
      <c r="DS999" s="35"/>
      <c r="DT999" s="35"/>
      <c r="DU999" s="35"/>
      <c r="DV999" s="35"/>
      <c r="DW999" s="35"/>
      <c r="DX999" s="35"/>
      <c r="DY999" s="35"/>
      <c r="DZ999" s="35"/>
      <c r="EA999" s="35"/>
      <c r="EB999" s="35"/>
      <c r="EC999" s="35"/>
      <c r="ED999" s="35"/>
      <c r="EE999" s="35"/>
      <c r="EF999" s="35"/>
      <c r="EG999" s="35"/>
      <c r="EH999" s="35"/>
      <c r="EI999" s="35"/>
      <c r="EJ999" s="35"/>
      <c r="EK999" s="35"/>
      <c r="EL999" s="35"/>
      <c r="EM999" s="35"/>
      <c r="EN999" s="35"/>
      <c r="EO999" s="35"/>
      <c r="EP999" s="35"/>
      <c r="EQ999" s="35"/>
      <c r="ER999" s="35"/>
      <c r="ES999" s="35"/>
      <c r="ET999" s="35"/>
      <c r="EU999" s="35"/>
      <c r="EV999" s="35"/>
      <c r="EW999" s="35"/>
      <c r="EX999" s="35"/>
      <c r="EY999" s="35"/>
      <c r="EZ999" s="35"/>
      <c r="FA999" s="35"/>
      <c r="FB999" s="35"/>
      <c r="FC999" s="35"/>
      <c r="FD999" s="35"/>
      <c r="FE999" s="35"/>
      <c r="FF999" s="35"/>
      <c r="FG999" s="35"/>
      <c r="FH999" s="35"/>
      <c r="FI999" s="35"/>
      <c r="FJ999" s="35"/>
      <c r="FK999" s="35"/>
      <c r="FL999" s="35"/>
      <c r="FM999" s="35"/>
      <c r="FN999" s="35"/>
      <c r="FO999" s="35"/>
      <c r="FP999" s="35"/>
      <c r="FQ999" s="35"/>
      <c r="FR999" s="35"/>
      <c r="FS999" s="35"/>
      <c r="FT999" s="35"/>
      <c r="FU999" s="35"/>
      <c r="FV999" s="35"/>
      <c r="FW999" s="35"/>
      <c r="FX999" s="35"/>
      <c r="FY999" s="35"/>
      <c r="FZ999" s="35"/>
      <c r="GA999" s="35"/>
      <c r="GB999" s="35"/>
      <c r="GC999" s="35"/>
      <c r="GD999" s="35"/>
      <c r="GE999" s="35"/>
      <c r="GF999" s="35"/>
      <c r="GG999" s="35"/>
      <c r="GH999" s="35"/>
      <c r="GI999" s="35"/>
      <c r="GJ999" s="35"/>
      <c r="GK999" s="35"/>
      <c r="GL999" s="35"/>
      <c r="GM999" s="35"/>
      <c r="GN999" s="35"/>
      <c r="GO999" s="35"/>
      <c r="GP999" s="35"/>
      <c r="GQ999" s="35"/>
      <c r="GR999" s="35"/>
      <c r="GS999" s="35"/>
      <c r="GT999" s="35"/>
      <c r="GU999" s="35"/>
      <c r="GV999" s="35"/>
      <c r="GW999" s="35"/>
      <c r="GX999" s="35"/>
      <c r="GY999" s="35"/>
      <c r="GZ999" s="35"/>
      <c r="HA999" s="35"/>
      <c r="HB999" s="35"/>
      <c r="HC999" s="35"/>
      <c r="HD999" s="35"/>
      <c r="HE999" s="35"/>
      <c r="HF999" s="35"/>
      <c r="HG999" s="35"/>
      <c r="HH999" s="35"/>
      <c r="HI999" s="35"/>
      <c r="HJ999" s="35"/>
      <c r="HK999" s="35"/>
      <c r="HL999" s="35"/>
      <c r="HM999" s="35"/>
      <c r="HN999" s="35"/>
      <c r="HO999" s="35"/>
      <c r="HP999" s="35"/>
      <c r="HQ999" s="35"/>
      <c r="HR999" s="35"/>
      <c r="HS999" s="35"/>
      <c r="HT999" s="35"/>
      <c r="HU999" s="35"/>
      <c r="HV999" s="35"/>
      <c r="HW999" s="35"/>
      <c r="HX999" s="35"/>
      <c r="HY999" s="35"/>
      <c r="HZ999" s="35"/>
      <c r="IA999" s="35"/>
      <c r="IB999" s="35"/>
      <c r="IC999" s="35"/>
      <c r="ID999" s="35"/>
      <c r="IE999" s="35"/>
      <c r="IF999" s="35"/>
      <c r="IG999" s="35"/>
      <c r="IH999" s="35"/>
      <c r="II999" s="35"/>
      <c r="IJ999" s="35"/>
      <c r="IK999" s="35"/>
      <c r="IL999" s="35"/>
      <c r="IM999" s="35"/>
      <c r="IN999" s="35"/>
      <c r="IO999" s="35"/>
      <c r="IP999" s="35"/>
      <c r="IQ999" s="35"/>
      <c r="IR999" s="35"/>
      <c r="IS999" s="35"/>
      <c r="IT999" s="35"/>
      <c r="IU999" s="35"/>
      <c r="IV999" s="35"/>
      <c r="IW999" s="35"/>
      <c r="IX999" s="35"/>
      <c r="IY999" s="35"/>
      <c r="IZ999" s="35"/>
      <c r="JA999" s="35"/>
      <c r="JB999" s="35"/>
      <c r="JC999" s="35"/>
      <c r="JD999" s="35"/>
      <c r="JE999" s="35"/>
    </row>
    <row r="1000">
      <c r="A1000" s="42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  <c r="AZ1000" s="35"/>
      <c r="BA1000" s="35"/>
      <c r="BB1000" s="35"/>
      <c r="BC1000" s="35"/>
      <c r="BD1000" s="35"/>
      <c r="BE1000" s="35"/>
      <c r="BF1000" s="35"/>
      <c r="BG1000" s="35"/>
      <c r="BH1000" s="35"/>
      <c r="BI1000" s="35"/>
      <c r="BJ1000" s="35"/>
      <c r="BK1000" s="35"/>
      <c r="BL1000" s="35"/>
      <c r="BM1000" s="35"/>
      <c r="BN1000" s="35"/>
      <c r="BO1000" s="35"/>
      <c r="BP1000" s="35"/>
      <c r="BQ1000" s="35"/>
      <c r="BR1000" s="35"/>
      <c r="BS1000" s="35"/>
      <c r="BT1000" s="35"/>
      <c r="BU1000" s="35"/>
      <c r="BV1000" s="35"/>
      <c r="BW1000" s="35"/>
      <c r="BX1000" s="35"/>
      <c r="BY1000" s="35"/>
      <c r="BZ1000" s="35"/>
      <c r="CA1000" s="35"/>
      <c r="CB1000" s="35"/>
      <c r="CC1000" s="35"/>
      <c r="CD1000" s="35"/>
      <c r="CE1000" s="35"/>
      <c r="CF1000" s="35"/>
      <c r="CG1000" s="35"/>
      <c r="CH1000" s="35"/>
      <c r="CI1000" s="35"/>
      <c r="CJ1000" s="35"/>
      <c r="CK1000" s="35"/>
      <c r="CL1000" s="35"/>
      <c r="CM1000" s="35"/>
      <c r="CN1000" s="35"/>
      <c r="CO1000" s="35"/>
      <c r="CP1000" s="35"/>
      <c r="CQ1000" s="35"/>
      <c r="CR1000" s="35"/>
      <c r="CS1000" s="35"/>
      <c r="CT1000" s="35"/>
      <c r="CU1000" s="35"/>
      <c r="CV1000" s="35"/>
      <c r="CW1000" s="35"/>
      <c r="CX1000" s="35"/>
      <c r="CY1000" s="35"/>
      <c r="CZ1000" s="35"/>
      <c r="DA1000" s="35"/>
      <c r="DB1000" s="35"/>
      <c r="DC1000" s="35"/>
      <c r="DD1000" s="35"/>
      <c r="DE1000" s="35"/>
      <c r="DF1000" s="35"/>
      <c r="DG1000" s="35"/>
      <c r="DH1000" s="35"/>
      <c r="DI1000" s="35"/>
      <c r="DJ1000" s="35"/>
      <c r="DK1000" s="35"/>
      <c r="DL1000" s="35"/>
      <c r="DM1000" s="35"/>
      <c r="DN1000" s="35"/>
      <c r="DO1000" s="35"/>
      <c r="DP1000" s="35"/>
      <c r="DQ1000" s="35"/>
      <c r="DR1000" s="35"/>
      <c r="DS1000" s="35"/>
      <c r="DT1000" s="35"/>
      <c r="DU1000" s="35"/>
      <c r="DV1000" s="35"/>
      <c r="DW1000" s="35"/>
      <c r="DX1000" s="35"/>
      <c r="DY1000" s="35"/>
      <c r="DZ1000" s="35"/>
      <c r="EA1000" s="35"/>
      <c r="EB1000" s="35"/>
      <c r="EC1000" s="35"/>
      <c r="ED1000" s="35"/>
      <c r="EE1000" s="35"/>
      <c r="EF1000" s="35"/>
      <c r="EG1000" s="35"/>
      <c r="EH1000" s="35"/>
      <c r="EI1000" s="35"/>
      <c r="EJ1000" s="35"/>
      <c r="EK1000" s="35"/>
      <c r="EL1000" s="35"/>
      <c r="EM1000" s="35"/>
      <c r="EN1000" s="35"/>
      <c r="EO1000" s="35"/>
      <c r="EP1000" s="35"/>
      <c r="EQ1000" s="35"/>
      <c r="ER1000" s="35"/>
      <c r="ES1000" s="35"/>
      <c r="ET1000" s="35"/>
      <c r="EU1000" s="35"/>
      <c r="EV1000" s="35"/>
      <c r="EW1000" s="35"/>
      <c r="EX1000" s="35"/>
      <c r="EY1000" s="35"/>
      <c r="EZ1000" s="35"/>
      <c r="FA1000" s="35"/>
      <c r="FB1000" s="35"/>
      <c r="FC1000" s="35"/>
      <c r="FD1000" s="35"/>
      <c r="FE1000" s="35"/>
      <c r="FF1000" s="35"/>
      <c r="FG1000" s="35"/>
      <c r="FH1000" s="35"/>
      <c r="FI1000" s="35"/>
      <c r="FJ1000" s="35"/>
      <c r="FK1000" s="35"/>
      <c r="FL1000" s="35"/>
      <c r="FM1000" s="35"/>
      <c r="FN1000" s="35"/>
      <c r="FO1000" s="35"/>
      <c r="FP1000" s="35"/>
      <c r="FQ1000" s="35"/>
      <c r="FR1000" s="35"/>
      <c r="FS1000" s="35"/>
      <c r="FT1000" s="35"/>
      <c r="FU1000" s="35"/>
      <c r="FV1000" s="35"/>
      <c r="FW1000" s="35"/>
      <c r="FX1000" s="35"/>
      <c r="FY1000" s="35"/>
      <c r="FZ1000" s="35"/>
      <c r="GA1000" s="35"/>
      <c r="GB1000" s="35"/>
      <c r="GC1000" s="35"/>
      <c r="GD1000" s="35"/>
      <c r="GE1000" s="35"/>
      <c r="GF1000" s="35"/>
      <c r="GG1000" s="35"/>
      <c r="GH1000" s="35"/>
      <c r="GI1000" s="35"/>
      <c r="GJ1000" s="35"/>
      <c r="GK1000" s="35"/>
      <c r="GL1000" s="35"/>
      <c r="GM1000" s="35"/>
      <c r="GN1000" s="35"/>
      <c r="GO1000" s="35"/>
      <c r="GP1000" s="35"/>
      <c r="GQ1000" s="35"/>
      <c r="GR1000" s="35"/>
      <c r="GS1000" s="35"/>
      <c r="GT1000" s="35"/>
      <c r="GU1000" s="35"/>
      <c r="GV1000" s="35"/>
      <c r="GW1000" s="35"/>
      <c r="GX1000" s="35"/>
      <c r="GY1000" s="35"/>
      <c r="GZ1000" s="35"/>
      <c r="HA1000" s="35"/>
      <c r="HB1000" s="35"/>
      <c r="HC1000" s="35"/>
      <c r="HD1000" s="35"/>
      <c r="HE1000" s="35"/>
      <c r="HF1000" s="35"/>
      <c r="HG1000" s="35"/>
      <c r="HH1000" s="35"/>
      <c r="HI1000" s="35"/>
      <c r="HJ1000" s="35"/>
      <c r="HK1000" s="35"/>
      <c r="HL1000" s="35"/>
      <c r="HM1000" s="35"/>
      <c r="HN1000" s="35"/>
      <c r="HO1000" s="35"/>
      <c r="HP1000" s="35"/>
      <c r="HQ1000" s="35"/>
      <c r="HR1000" s="35"/>
      <c r="HS1000" s="35"/>
      <c r="HT1000" s="35"/>
      <c r="HU1000" s="35"/>
      <c r="HV1000" s="35"/>
      <c r="HW1000" s="35"/>
      <c r="HX1000" s="35"/>
      <c r="HY1000" s="35"/>
      <c r="HZ1000" s="35"/>
      <c r="IA1000" s="35"/>
      <c r="IB1000" s="35"/>
      <c r="IC1000" s="35"/>
      <c r="ID1000" s="35"/>
      <c r="IE1000" s="35"/>
      <c r="IF1000" s="35"/>
      <c r="IG1000" s="35"/>
      <c r="IH1000" s="35"/>
      <c r="II1000" s="35"/>
      <c r="IJ1000" s="35"/>
      <c r="IK1000" s="35"/>
      <c r="IL1000" s="35"/>
      <c r="IM1000" s="35"/>
      <c r="IN1000" s="35"/>
      <c r="IO1000" s="35"/>
      <c r="IP1000" s="35"/>
      <c r="IQ1000" s="35"/>
      <c r="IR1000" s="35"/>
      <c r="IS1000" s="35"/>
      <c r="IT1000" s="35"/>
      <c r="IU1000" s="35"/>
      <c r="IV1000" s="35"/>
      <c r="IW1000" s="35"/>
      <c r="IX1000" s="35"/>
      <c r="IY1000" s="35"/>
      <c r="IZ1000" s="35"/>
      <c r="JA1000" s="35"/>
      <c r="JB1000" s="35"/>
      <c r="JC1000" s="35"/>
      <c r="JD1000" s="35"/>
      <c r="JE1000" s="35"/>
    </row>
    <row r="1001">
      <c r="A1001" s="42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5"/>
      <c r="AR1001" s="35"/>
      <c r="AS1001" s="35"/>
      <c r="AT1001" s="35"/>
      <c r="AU1001" s="35"/>
      <c r="AV1001" s="35"/>
      <c r="AW1001" s="35"/>
      <c r="AX1001" s="35"/>
      <c r="AY1001" s="35"/>
      <c r="AZ1001" s="35"/>
      <c r="BA1001" s="35"/>
      <c r="BB1001" s="35"/>
      <c r="BC1001" s="35"/>
      <c r="BD1001" s="35"/>
      <c r="BE1001" s="35"/>
      <c r="BF1001" s="35"/>
      <c r="BG1001" s="35"/>
      <c r="BH1001" s="35"/>
      <c r="BI1001" s="35"/>
      <c r="BJ1001" s="35"/>
      <c r="BK1001" s="35"/>
      <c r="BL1001" s="35"/>
      <c r="BM1001" s="35"/>
      <c r="BN1001" s="35"/>
      <c r="BO1001" s="35"/>
      <c r="BP1001" s="35"/>
      <c r="BQ1001" s="35"/>
      <c r="BR1001" s="35"/>
      <c r="BS1001" s="35"/>
      <c r="BT1001" s="35"/>
      <c r="BU1001" s="35"/>
      <c r="BV1001" s="35"/>
      <c r="BW1001" s="35"/>
      <c r="BX1001" s="35"/>
      <c r="BY1001" s="35"/>
      <c r="BZ1001" s="35"/>
      <c r="CA1001" s="35"/>
      <c r="CB1001" s="35"/>
      <c r="CC1001" s="35"/>
      <c r="CD1001" s="35"/>
      <c r="CE1001" s="35"/>
      <c r="CF1001" s="35"/>
      <c r="CG1001" s="35"/>
      <c r="CH1001" s="35"/>
      <c r="CI1001" s="35"/>
      <c r="CJ1001" s="35"/>
      <c r="CK1001" s="35"/>
      <c r="CL1001" s="35"/>
      <c r="CM1001" s="35"/>
      <c r="CN1001" s="35"/>
      <c r="CO1001" s="35"/>
      <c r="CP1001" s="35"/>
      <c r="CQ1001" s="35"/>
      <c r="CR1001" s="35"/>
      <c r="CS1001" s="35"/>
      <c r="CT1001" s="35"/>
      <c r="CU1001" s="35"/>
      <c r="CV1001" s="35"/>
      <c r="CW1001" s="35"/>
      <c r="CX1001" s="35"/>
      <c r="CY1001" s="35"/>
      <c r="CZ1001" s="35"/>
      <c r="DA1001" s="35"/>
      <c r="DB1001" s="35"/>
      <c r="DC1001" s="35"/>
      <c r="DD1001" s="35"/>
      <c r="DE1001" s="35"/>
      <c r="DF1001" s="35"/>
      <c r="DG1001" s="35"/>
      <c r="DH1001" s="35"/>
      <c r="DI1001" s="35"/>
      <c r="DJ1001" s="35"/>
      <c r="DK1001" s="35"/>
      <c r="DL1001" s="35"/>
      <c r="DM1001" s="35"/>
      <c r="DN1001" s="35"/>
      <c r="DO1001" s="35"/>
      <c r="DP1001" s="35"/>
      <c r="DQ1001" s="35"/>
      <c r="DR1001" s="35"/>
      <c r="DS1001" s="35"/>
      <c r="DT1001" s="35"/>
      <c r="DU1001" s="35"/>
      <c r="DV1001" s="35"/>
      <c r="DW1001" s="35"/>
      <c r="DX1001" s="35"/>
      <c r="DY1001" s="35"/>
      <c r="DZ1001" s="35"/>
      <c r="EA1001" s="35"/>
      <c r="EB1001" s="35"/>
      <c r="EC1001" s="35"/>
      <c r="ED1001" s="35"/>
      <c r="EE1001" s="35"/>
      <c r="EF1001" s="35"/>
      <c r="EG1001" s="35"/>
      <c r="EH1001" s="35"/>
      <c r="EI1001" s="35"/>
      <c r="EJ1001" s="35"/>
      <c r="EK1001" s="35"/>
      <c r="EL1001" s="35"/>
      <c r="EM1001" s="35"/>
      <c r="EN1001" s="35"/>
      <c r="EO1001" s="35"/>
      <c r="EP1001" s="35"/>
      <c r="EQ1001" s="35"/>
      <c r="ER1001" s="35"/>
      <c r="ES1001" s="35"/>
      <c r="ET1001" s="35"/>
      <c r="EU1001" s="35"/>
      <c r="EV1001" s="35"/>
      <c r="EW1001" s="35"/>
      <c r="EX1001" s="35"/>
      <c r="EY1001" s="35"/>
      <c r="EZ1001" s="35"/>
      <c r="FA1001" s="35"/>
      <c r="FB1001" s="35"/>
      <c r="FC1001" s="35"/>
      <c r="FD1001" s="35"/>
      <c r="FE1001" s="35"/>
      <c r="FF1001" s="35"/>
      <c r="FG1001" s="35"/>
      <c r="FH1001" s="35"/>
      <c r="FI1001" s="35"/>
      <c r="FJ1001" s="35"/>
      <c r="FK1001" s="35"/>
      <c r="FL1001" s="35"/>
      <c r="FM1001" s="35"/>
      <c r="FN1001" s="35"/>
      <c r="FO1001" s="35"/>
      <c r="FP1001" s="35"/>
      <c r="FQ1001" s="35"/>
      <c r="FR1001" s="35"/>
      <c r="FS1001" s="35"/>
      <c r="FT1001" s="35"/>
      <c r="FU1001" s="35"/>
      <c r="FV1001" s="35"/>
      <c r="FW1001" s="35"/>
      <c r="FX1001" s="35"/>
      <c r="FY1001" s="35"/>
      <c r="FZ1001" s="35"/>
      <c r="GA1001" s="35"/>
      <c r="GB1001" s="35"/>
      <c r="GC1001" s="35"/>
      <c r="GD1001" s="35"/>
      <c r="GE1001" s="35"/>
      <c r="GF1001" s="35"/>
      <c r="GG1001" s="35"/>
      <c r="GH1001" s="35"/>
      <c r="GI1001" s="35"/>
      <c r="GJ1001" s="35"/>
      <c r="GK1001" s="35"/>
      <c r="GL1001" s="35"/>
      <c r="GM1001" s="35"/>
      <c r="GN1001" s="35"/>
      <c r="GO1001" s="35"/>
      <c r="GP1001" s="35"/>
      <c r="GQ1001" s="35"/>
      <c r="GR1001" s="35"/>
      <c r="GS1001" s="35"/>
      <c r="GT1001" s="35"/>
      <c r="GU1001" s="35"/>
      <c r="GV1001" s="35"/>
      <c r="GW1001" s="35"/>
      <c r="GX1001" s="35"/>
      <c r="GY1001" s="35"/>
      <c r="GZ1001" s="35"/>
      <c r="HA1001" s="35"/>
      <c r="HB1001" s="35"/>
      <c r="HC1001" s="35"/>
      <c r="HD1001" s="35"/>
      <c r="HE1001" s="35"/>
      <c r="HF1001" s="35"/>
      <c r="HG1001" s="35"/>
      <c r="HH1001" s="35"/>
      <c r="HI1001" s="35"/>
      <c r="HJ1001" s="35"/>
      <c r="HK1001" s="35"/>
      <c r="HL1001" s="35"/>
      <c r="HM1001" s="35"/>
      <c r="HN1001" s="35"/>
      <c r="HO1001" s="35"/>
      <c r="HP1001" s="35"/>
      <c r="HQ1001" s="35"/>
      <c r="HR1001" s="35"/>
      <c r="HS1001" s="35"/>
      <c r="HT1001" s="35"/>
      <c r="HU1001" s="35"/>
      <c r="HV1001" s="35"/>
      <c r="HW1001" s="35"/>
      <c r="HX1001" s="35"/>
      <c r="HY1001" s="35"/>
      <c r="HZ1001" s="35"/>
      <c r="IA1001" s="35"/>
      <c r="IB1001" s="35"/>
      <c r="IC1001" s="35"/>
      <c r="ID1001" s="35"/>
      <c r="IE1001" s="35"/>
      <c r="IF1001" s="35"/>
      <c r="IG1001" s="35"/>
      <c r="IH1001" s="35"/>
      <c r="II1001" s="35"/>
      <c r="IJ1001" s="35"/>
      <c r="IK1001" s="35"/>
      <c r="IL1001" s="35"/>
      <c r="IM1001" s="35"/>
      <c r="IN1001" s="35"/>
      <c r="IO1001" s="35"/>
      <c r="IP1001" s="35"/>
      <c r="IQ1001" s="35"/>
      <c r="IR1001" s="35"/>
      <c r="IS1001" s="35"/>
      <c r="IT1001" s="35"/>
      <c r="IU1001" s="35"/>
      <c r="IV1001" s="35"/>
      <c r="IW1001" s="35"/>
      <c r="IX1001" s="35"/>
      <c r="IY1001" s="35"/>
      <c r="IZ1001" s="35"/>
      <c r="JA1001" s="35"/>
      <c r="JB1001" s="35"/>
      <c r="JC1001" s="35"/>
      <c r="JD1001" s="35"/>
      <c r="JE1001" s="35"/>
    </row>
    <row r="1002">
      <c r="A1002" s="42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5"/>
      <c r="AR1002" s="35"/>
      <c r="AS1002" s="35"/>
      <c r="AT1002" s="35"/>
      <c r="AU1002" s="35"/>
      <c r="AV1002" s="35"/>
      <c r="AW1002" s="35"/>
      <c r="AX1002" s="35"/>
      <c r="AY1002" s="35"/>
      <c r="AZ1002" s="35"/>
      <c r="BA1002" s="35"/>
      <c r="BB1002" s="35"/>
      <c r="BC1002" s="35"/>
      <c r="BD1002" s="35"/>
      <c r="BE1002" s="35"/>
      <c r="BF1002" s="35"/>
      <c r="BG1002" s="35"/>
      <c r="BH1002" s="35"/>
      <c r="BI1002" s="35"/>
      <c r="BJ1002" s="35"/>
      <c r="BK1002" s="35"/>
      <c r="BL1002" s="35"/>
      <c r="BM1002" s="35"/>
      <c r="BN1002" s="35"/>
      <c r="BO1002" s="35"/>
      <c r="BP1002" s="35"/>
      <c r="BQ1002" s="35"/>
      <c r="BR1002" s="35"/>
      <c r="BS1002" s="35"/>
      <c r="BT1002" s="35"/>
      <c r="BU1002" s="35"/>
      <c r="BV1002" s="35"/>
      <c r="BW1002" s="35"/>
      <c r="BX1002" s="35"/>
      <c r="BY1002" s="35"/>
      <c r="BZ1002" s="35"/>
      <c r="CA1002" s="35"/>
      <c r="CB1002" s="35"/>
      <c r="CC1002" s="35"/>
      <c r="CD1002" s="35"/>
      <c r="CE1002" s="35"/>
      <c r="CF1002" s="35"/>
      <c r="CG1002" s="35"/>
      <c r="CH1002" s="35"/>
      <c r="CI1002" s="35"/>
      <c r="CJ1002" s="35"/>
      <c r="CK1002" s="35"/>
      <c r="CL1002" s="35"/>
      <c r="CM1002" s="35"/>
      <c r="CN1002" s="35"/>
      <c r="CO1002" s="35"/>
      <c r="CP1002" s="35"/>
      <c r="CQ1002" s="35"/>
      <c r="CR1002" s="35"/>
      <c r="CS1002" s="35"/>
      <c r="CT1002" s="35"/>
      <c r="CU1002" s="35"/>
      <c r="CV1002" s="35"/>
      <c r="CW1002" s="35"/>
      <c r="CX1002" s="35"/>
      <c r="CY1002" s="35"/>
      <c r="CZ1002" s="35"/>
      <c r="DA1002" s="35"/>
      <c r="DB1002" s="35"/>
      <c r="DC1002" s="35"/>
      <c r="DD1002" s="35"/>
      <c r="DE1002" s="35"/>
      <c r="DF1002" s="35"/>
      <c r="DG1002" s="35"/>
      <c r="DH1002" s="35"/>
      <c r="DI1002" s="35"/>
      <c r="DJ1002" s="35"/>
      <c r="DK1002" s="35"/>
      <c r="DL1002" s="35"/>
      <c r="DM1002" s="35"/>
      <c r="DN1002" s="35"/>
      <c r="DO1002" s="35"/>
      <c r="DP1002" s="35"/>
      <c r="DQ1002" s="35"/>
      <c r="DR1002" s="35"/>
      <c r="DS1002" s="35"/>
      <c r="DT1002" s="35"/>
      <c r="DU1002" s="35"/>
      <c r="DV1002" s="35"/>
      <c r="DW1002" s="35"/>
      <c r="DX1002" s="35"/>
      <c r="DY1002" s="35"/>
      <c r="DZ1002" s="35"/>
      <c r="EA1002" s="35"/>
      <c r="EB1002" s="35"/>
      <c r="EC1002" s="35"/>
      <c r="ED1002" s="35"/>
      <c r="EE1002" s="35"/>
      <c r="EF1002" s="35"/>
      <c r="EG1002" s="35"/>
      <c r="EH1002" s="35"/>
      <c r="EI1002" s="35"/>
      <c r="EJ1002" s="35"/>
      <c r="EK1002" s="35"/>
      <c r="EL1002" s="35"/>
      <c r="EM1002" s="35"/>
      <c r="EN1002" s="35"/>
      <c r="EO1002" s="35"/>
      <c r="EP1002" s="35"/>
      <c r="EQ1002" s="35"/>
      <c r="ER1002" s="35"/>
      <c r="ES1002" s="35"/>
      <c r="ET1002" s="35"/>
      <c r="EU1002" s="35"/>
      <c r="EV1002" s="35"/>
      <c r="EW1002" s="35"/>
      <c r="EX1002" s="35"/>
      <c r="EY1002" s="35"/>
      <c r="EZ1002" s="35"/>
      <c r="FA1002" s="35"/>
      <c r="FB1002" s="35"/>
      <c r="FC1002" s="35"/>
      <c r="FD1002" s="35"/>
      <c r="FE1002" s="35"/>
      <c r="FF1002" s="35"/>
      <c r="FG1002" s="35"/>
      <c r="FH1002" s="35"/>
      <c r="FI1002" s="35"/>
      <c r="FJ1002" s="35"/>
      <c r="FK1002" s="35"/>
      <c r="FL1002" s="35"/>
      <c r="FM1002" s="35"/>
      <c r="FN1002" s="35"/>
      <c r="FO1002" s="35"/>
      <c r="FP1002" s="35"/>
      <c r="FQ1002" s="35"/>
      <c r="FR1002" s="35"/>
      <c r="FS1002" s="35"/>
      <c r="FT1002" s="35"/>
      <c r="FU1002" s="35"/>
      <c r="FV1002" s="35"/>
      <c r="FW1002" s="35"/>
      <c r="FX1002" s="35"/>
      <c r="FY1002" s="35"/>
      <c r="FZ1002" s="35"/>
      <c r="GA1002" s="35"/>
      <c r="GB1002" s="35"/>
      <c r="GC1002" s="35"/>
      <c r="GD1002" s="35"/>
      <c r="GE1002" s="35"/>
      <c r="GF1002" s="35"/>
      <c r="GG1002" s="35"/>
      <c r="GH1002" s="35"/>
      <c r="GI1002" s="35"/>
      <c r="GJ1002" s="35"/>
      <c r="GK1002" s="35"/>
      <c r="GL1002" s="35"/>
      <c r="GM1002" s="35"/>
      <c r="GN1002" s="35"/>
      <c r="GO1002" s="35"/>
      <c r="GP1002" s="35"/>
      <c r="GQ1002" s="35"/>
      <c r="GR1002" s="35"/>
      <c r="GS1002" s="35"/>
      <c r="GT1002" s="35"/>
      <c r="GU1002" s="35"/>
      <c r="GV1002" s="35"/>
      <c r="GW1002" s="35"/>
      <c r="GX1002" s="35"/>
      <c r="GY1002" s="35"/>
      <c r="GZ1002" s="35"/>
      <c r="HA1002" s="35"/>
      <c r="HB1002" s="35"/>
      <c r="HC1002" s="35"/>
      <c r="HD1002" s="35"/>
      <c r="HE1002" s="35"/>
      <c r="HF1002" s="35"/>
      <c r="HG1002" s="35"/>
      <c r="HH1002" s="35"/>
      <c r="HI1002" s="35"/>
      <c r="HJ1002" s="35"/>
      <c r="HK1002" s="35"/>
      <c r="HL1002" s="35"/>
      <c r="HM1002" s="35"/>
      <c r="HN1002" s="35"/>
      <c r="HO1002" s="35"/>
      <c r="HP1002" s="35"/>
      <c r="HQ1002" s="35"/>
      <c r="HR1002" s="35"/>
      <c r="HS1002" s="35"/>
      <c r="HT1002" s="35"/>
      <c r="HU1002" s="35"/>
      <c r="HV1002" s="35"/>
      <c r="HW1002" s="35"/>
      <c r="HX1002" s="35"/>
      <c r="HY1002" s="35"/>
      <c r="HZ1002" s="35"/>
      <c r="IA1002" s="35"/>
      <c r="IB1002" s="35"/>
      <c r="IC1002" s="35"/>
      <c r="ID1002" s="35"/>
      <c r="IE1002" s="35"/>
      <c r="IF1002" s="35"/>
      <c r="IG1002" s="35"/>
      <c r="IH1002" s="35"/>
      <c r="II1002" s="35"/>
      <c r="IJ1002" s="35"/>
      <c r="IK1002" s="35"/>
      <c r="IL1002" s="35"/>
      <c r="IM1002" s="35"/>
      <c r="IN1002" s="35"/>
      <c r="IO1002" s="35"/>
      <c r="IP1002" s="35"/>
      <c r="IQ1002" s="35"/>
      <c r="IR1002" s="35"/>
      <c r="IS1002" s="35"/>
      <c r="IT1002" s="35"/>
      <c r="IU1002" s="35"/>
      <c r="IV1002" s="35"/>
      <c r="IW1002" s="35"/>
      <c r="IX1002" s="35"/>
      <c r="IY1002" s="35"/>
      <c r="IZ1002" s="35"/>
      <c r="JA1002" s="35"/>
      <c r="JB1002" s="35"/>
      <c r="JC1002" s="35"/>
      <c r="JD1002" s="35"/>
      <c r="JE1002" s="35"/>
    </row>
    <row r="1003">
      <c r="A1003" s="42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5"/>
      <c r="AR1003" s="35"/>
      <c r="AS1003" s="35"/>
      <c r="AT1003" s="35"/>
      <c r="AU1003" s="35"/>
      <c r="AV1003" s="35"/>
      <c r="AW1003" s="35"/>
      <c r="AX1003" s="35"/>
      <c r="AY1003" s="35"/>
      <c r="AZ1003" s="35"/>
      <c r="BA1003" s="35"/>
      <c r="BB1003" s="35"/>
      <c r="BC1003" s="35"/>
      <c r="BD1003" s="35"/>
      <c r="BE1003" s="35"/>
      <c r="BF1003" s="35"/>
      <c r="BG1003" s="35"/>
      <c r="BH1003" s="35"/>
      <c r="BI1003" s="35"/>
      <c r="BJ1003" s="35"/>
      <c r="BK1003" s="35"/>
      <c r="BL1003" s="35"/>
      <c r="BM1003" s="35"/>
      <c r="BN1003" s="35"/>
      <c r="BO1003" s="35"/>
      <c r="BP1003" s="35"/>
      <c r="BQ1003" s="35"/>
      <c r="BR1003" s="35"/>
      <c r="BS1003" s="35"/>
      <c r="BT1003" s="35"/>
      <c r="BU1003" s="35"/>
      <c r="BV1003" s="35"/>
      <c r="BW1003" s="35"/>
      <c r="BX1003" s="35"/>
      <c r="BY1003" s="35"/>
      <c r="BZ1003" s="35"/>
      <c r="CA1003" s="35"/>
      <c r="CB1003" s="35"/>
      <c r="CC1003" s="35"/>
      <c r="CD1003" s="35"/>
      <c r="CE1003" s="35"/>
      <c r="CF1003" s="35"/>
      <c r="CG1003" s="35"/>
      <c r="CH1003" s="35"/>
      <c r="CI1003" s="35"/>
      <c r="CJ1003" s="35"/>
      <c r="CK1003" s="35"/>
      <c r="CL1003" s="35"/>
      <c r="CM1003" s="35"/>
      <c r="CN1003" s="35"/>
      <c r="CO1003" s="35"/>
      <c r="CP1003" s="35"/>
      <c r="CQ1003" s="35"/>
      <c r="CR1003" s="35"/>
      <c r="CS1003" s="35"/>
      <c r="CT1003" s="35"/>
      <c r="CU1003" s="35"/>
      <c r="CV1003" s="35"/>
      <c r="CW1003" s="35"/>
      <c r="CX1003" s="35"/>
      <c r="CY1003" s="35"/>
      <c r="CZ1003" s="35"/>
      <c r="DA1003" s="35"/>
      <c r="DB1003" s="35"/>
      <c r="DC1003" s="35"/>
      <c r="DD1003" s="35"/>
      <c r="DE1003" s="35"/>
      <c r="DF1003" s="35"/>
      <c r="DG1003" s="35"/>
      <c r="DH1003" s="35"/>
      <c r="DI1003" s="35"/>
      <c r="DJ1003" s="35"/>
      <c r="DK1003" s="35"/>
      <c r="DL1003" s="35"/>
      <c r="DM1003" s="35"/>
      <c r="DN1003" s="35"/>
      <c r="DO1003" s="35"/>
      <c r="DP1003" s="35"/>
      <c r="DQ1003" s="35"/>
      <c r="DR1003" s="35"/>
      <c r="DS1003" s="35"/>
      <c r="DT1003" s="35"/>
      <c r="DU1003" s="35"/>
      <c r="DV1003" s="35"/>
      <c r="DW1003" s="35"/>
      <c r="DX1003" s="35"/>
      <c r="DY1003" s="35"/>
      <c r="DZ1003" s="35"/>
      <c r="EA1003" s="35"/>
      <c r="EB1003" s="35"/>
      <c r="EC1003" s="35"/>
      <c r="ED1003" s="35"/>
      <c r="EE1003" s="35"/>
      <c r="EF1003" s="35"/>
      <c r="EG1003" s="35"/>
      <c r="EH1003" s="35"/>
      <c r="EI1003" s="35"/>
      <c r="EJ1003" s="35"/>
      <c r="EK1003" s="35"/>
      <c r="EL1003" s="35"/>
      <c r="EM1003" s="35"/>
      <c r="EN1003" s="35"/>
      <c r="EO1003" s="35"/>
      <c r="EP1003" s="35"/>
      <c r="EQ1003" s="35"/>
      <c r="ER1003" s="35"/>
      <c r="ES1003" s="35"/>
      <c r="ET1003" s="35"/>
      <c r="EU1003" s="35"/>
      <c r="EV1003" s="35"/>
      <c r="EW1003" s="35"/>
      <c r="EX1003" s="35"/>
      <c r="EY1003" s="35"/>
      <c r="EZ1003" s="35"/>
      <c r="FA1003" s="35"/>
      <c r="FB1003" s="35"/>
      <c r="FC1003" s="35"/>
      <c r="FD1003" s="35"/>
      <c r="FE1003" s="35"/>
      <c r="FF1003" s="35"/>
      <c r="FG1003" s="35"/>
      <c r="FH1003" s="35"/>
      <c r="FI1003" s="35"/>
      <c r="FJ1003" s="35"/>
      <c r="FK1003" s="35"/>
      <c r="FL1003" s="35"/>
      <c r="FM1003" s="35"/>
      <c r="FN1003" s="35"/>
      <c r="FO1003" s="35"/>
      <c r="FP1003" s="35"/>
      <c r="FQ1003" s="35"/>
      <c r="FR1003" s="35"/>
      <c r="FS1003" s="35"/>
      <c r="FT1003" s="35"/>
      <c r="FU1003" s="35"/>
      <c r="FV1003" s="35"/>
      <c r="FW1003" s="35"/>
      <c r="FX1003" s="35"/>
      <c r="FY1003" s="35"/>
      <c r="FZ1003" s="35"/>
      <c r="GA1003" s="35"/>
      <c r="GB1003" s="35"/>
      <c r="GC1003" s="35"/>
      <c r="GD1003" s="35"/>
      <c r="GE1003" s="35"/>
      <c r="GF1003" s="35"/>
      <c r="GG1003" s="35"/>
      <c r="GH1003" s="35"/>
      <c r="GI1003" s="35"/>
      <c r="GJ1003" s="35"/>
      <c r="GK1003" s="35"/>
      <c r="GL1003" s="35"/>
      <c r="GM1003" s="35"/>
      <c r="GN1003" s="35"/>
      <c r="GO1003" s="35"/>
      <c r="GP1003" s="35"/>
      <c r="GQ1003" s="35"/>
      <c r="GR1003" s="35"/>
      <c r="GS1003" s="35"/>
      <c r="GT1003" s="35"/>
      <c r="GU1003" s="35"/>
      <c r="GV1003" s="35"/>
      <c r="GW1003" s="35"/>
      <c r="GX1003" s="35"/>
      <c r="GY1003" s="35"/>
      <c r="GZ1003" s="35"/>
      <c r="HA1003" s="35"/>
      <c r="HB1003" s="35"/>
      <c r="HC1003" s="35"/>
      <c r="HD1003" s="35"/>
      <c r="HE1003" s="35"/>
      <c r="HF1003" s="35"/>
      <c r="HG1003" s="35"/>
      <c r="HH1003" s="35"/>
      <c r="HI1003" s="35"/>
      <c r="HJ1003" s="35"/>
      <c r="HK1003" s="35"/>
      <c r="HL1003" s="35"/>
      <c r="HM1003" s="35"/>
      <c r="HN1003" s="35"/>
      <c r="HO1003" s="35"/>
      <c r="HP1003" s="35"/>
      <c r="HQ1003" s="35"/>
      <c r="HR1003" s="35"/>
      <c r="HS1003" s="35"/>
      <c r="HT1003" s="35"/>
      <c r="HU1003" s="35"/>
      <c r="HV1003" s="35"/>
      <c r="HW1003" s="35"/>
      <c r="HX1003" s="35"/>
      <c r="HY1003" s="35"/>
      <c r="HZ1003" s="35"/>
      <c r="IA1003" s="35"/>
      <c r="IB1003" s="35"/>
      <c r="IC1003" s="35"/>
      <c r="ID1003" s="35"/>
      <c r="IE1003" s="35"/>
      <c r="IF1003" s="35"/>
      <c r="IG1003" s="35"/>
      <c r="IH1003" s="35"/>
      <c r="II1003" s="35"/>
      <c r="IJ1003" s="35"/>
      <c r="IK1003" s="35"/>
      <c r="IL1003" s="35"/>
      <c r="IM1003" s="35"/>
      <c r="IN1003" s="35"/>
      <c r="IO1003" s="35"/>
      <c r="IP1003" s="35"/>
      <c r="IQ1003" s="35"/>
      <c r="IR1003" s="35"/>
      <c r="IS1003" s="35"/>
      <c r="IT1003" s="35"/>
      <c r="IU1003" s="35"/>
      <c r="IV1003" s="35"/>
      <c r="IW1003" s="35"/>
      <c r="IX1003" s="35"/>
      <c r="IY1003" s="35"/>
      <c r="IZ1003" s="35"/>
      <c r="JA1003" s="35"/>
      <c r="JB1003" s="35"/>
      <c r="JC1003" s="35"/>
      <c r="JD1003" s="35"/>
      <c r="JE1003" s="35"/>
    </row>
    <row r="1004">
      <c r="A1004" s="42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5"/>
      <c r="AR1004" s="35"/>
      <c r="AS1004" s="35"/>
      <c r="AT1004" s="35"/>
      <c r="AU1004" s="35"/>
      <c r="AV1004" s="35"/>
      <c r="AW1004" s="35"/>
      <c r="AX1004" s="35"/>
      <c r="AY1004" s="35"/>
      <c r="AZ1004" s="35"/>
      <c r="BA1004" s="35"/>
      <c r="BB1004" s="35"/>
      <c r="BC1004" s="35"/>
      <c r="BD1004" s="35"/>
      <c r="BE1004" s="35"/>
      <c r="BF1004" s="35"/>
      <c r="BG1004" s="35"/>
      <c r="BH1004" s="35"/>
      <c r="BI1004" s="35"/>
      <c r="BJ1004" s="35"/>
      <c r="BK1004" s="35"/>
      <c r="BL1004" s="35"/>
      <c r="BM1004" s="35"/>
      <c r="BN1004" s="35"/>
      <c r="BO1004" s="35"/>
      <c r="BP1004" s="35"/>
      <c r="BQ1004" s="35"/>
      <c r="BR1004" s="35"/>
      <c r="BS1004" s="35"/>
      <c r="BT1004" s="35"/>
      <c r="BU1004" s="35"/>
      <c r="BV1004" s="35"/>
      <c r="BW1004" s="35"/>
      <c r="BX1004" s="35"/>
      <c r="BY1004" s="35"/>
      <c r="BZ1004" s="35"/>
      <c r="CA1004" s="35"/>
      <c r="CB1004" s="35"/>
      <c r="CC1004" s="35"/>
      <c r="CD1004" s="35"/>
      <c r="CE1004" s="35"/>
      <c r="CF1004" s="35"/>
      <c r="CG1004" s="35"/>
      <c r="CH1004" s="35"/>
      <c r="CI1004" s="35"/>
      <c r="CJ1004" s="35"/>
      <c r="CK1004" s="35"/>
      <c r="CL1004" s="35"/>
      <c r="CM1004" s="35"/>
      <c r="CN1004" s="35"/>
      <c r="CO1004" s="35"/>
      <c r="CP1004" s="35"/>
      <c r="CQ1004" s="35"/>
      <c r="CR1004" s="35"/>
      <c r="CS1004" s="35"/>
      <c r="CT1004" s="35"/>
      <c r="CU1004" s="35"/>
      <c r="CV1004" s="35"/>
      <c r="CW1004" s="35"/>
      <c r="CX1004" s="35"/>
      <c r="CY1004" s="35"/>
      <c r="CZ1004" s="35"/>
      <c r="DA1004" s="35"/>
      <c r="DB1004" s="35"/>
      <c r="DC1004" s="35"/>
      <c r="DD1004" s="35"/>
      <c r="DE1004" s="35"/>
      <c r="DF1004" s="35"/>
      <c r="DG1004" s="35"/>
      <c r="DH1004" s="35"/>
      <c r="DI1004" s="35"/>
      <c r="DJ1004" s="35"/>
      <c r="DK1004" s="35"/>
      <c r="DL1004" s="35"/>
      <c r="DM1004" s="35"/>
      <c r="DN1004" s="35"/>
      <c r="DO1004" s="35"/>
      <c r="DP1004" s="35"/>
      <c r="DQ1004" s="35"/>
      <c r="DR1004" s="35"/>
      <c r="DS1004" s="35"/>
      <c r="DT1004" s="35"/>
      <c r="DU1004" s="35"/>
      <c r="DV1004" s="35"/>
      <c r="DW1004" s="35"/>
      <c r="DX1004" s="35"/>
      <c r="DY1004" s="35"/>
      <c r="DZ1004" s="35"/>
      <c r="EA1004" s="35"/>
      <c r="EB1004" s="35"/>
      <c r="EC1004" s="35"/>
      <c r="ED1004" s="35"/>
      <c r="EE1004" s="35"/>
      <c r="EF1004" s="35"/>
      <c r="EG1004" s="35"/>
      <c r="EH1004" s="35"/>
      <c r="EI1004" s="35"/>
      <c r="EJ1004" s="35"/>
      <c r="EK1004" s="35"/>
      <c r="EL1004" s="35"/>
      <c r="EM1004" s="35"/>
      <c r="EN1004" s="35"/>
      <c r="EO1004" s="35"/>
      <c r="EP1004" s="35"/>
      <c r="EQ1004" s="35"/>
      <c r="ER1004" s="35"/>
      <c r="ES1004" s="35"/>
      <c r="ET1004" s="35"/>
      <c r="EU1004" s="35"/>
      <c r="EV1004" s="35"/>
      <c r="EW1004" s="35"/>
      <c r="EX1004" s="35"/>
      <c r="EY1004" s="35"/>
      <c r="EZ1004" s="35"/>
      <c r="FA1004" s="35"/>
      <c r="FB1004" s="35"/>
      <c r="FC1004" s="35"/>
      <c r="FD1004" s="35"/>
      <c r="FE1004" s="35"/>
      <c r="FF1004" s="35"/>
      <c r="FG1004" s="35"/>
      <c r="FH1004" s="35"/>
      <c r="FI1004" s="35"/>
      <c r="FJ1004" s="35"/>
      <c r="FK1004" s="35"/>
      <c r="FL1004" s="35"/>
      <c r="FM1004" s="35"/>
      <c r="FN1004" s="35"/>
      <c r="FO1004" s="35"/>
      <c r="FP1004" s="35"/>
      <c r="FQ1004" s="35"/>
      <c r="FR1004" s="35"/>
      <c r="FS1004" s="35"/>
      <c r="FT1004" s="35"/>
      <c r="FU1004" s="35"/>
      <c r="FV1004" s="35"/>
      <c r="FW1004" s="35"/>
      <c r="FX1004" s="35"/>
      <c r="FY1004" s="35"/>
      <c r="FZ1004" s="35"/>
      <c r="GA1004" s="35"/>
      <c r="GB1004" s="35"/>
      <c r="GC1004" s="35"/>
      <c r="GD1004" s="35"/>
      <c r="GE1004" s="35"/>
      <c r="GF1004" s="35"/>
      <c r="GG1004" s="35"/>
      <c r="GH1004" s="35"/>
      <c r="GI1004" s="35"/>
      <c r="GJ1004" s="35"/>
      <c r="GK1004" s="35"/>
      <c r="GL1004" s="35"/>
      <c r="GM1004" s="35"/>
      <c r="GN1004" s="35"/>
      <c r="GO1004" s="35"/>
      <c r="GP1004" s="35"/>
      <c r="GQ1004" s="35"/>
      <c r="GR1004" s="35"/>
      <c r="GS1004" s="35"/>
      <c r="GT1004" s="35"/>
      <c r="GU1004" s="35"/>
      <c r="GV1004" s="35"/>
      <c r="GW1004" s="35"/>
      <c r="GX1004" s="35"/>
      <c r="GY1004" s="35"/>
      <c r="GZ1004" s="35"/>
      <c r="HA1004" s="35"/>
      <c r="HB1004" s="35"/>
      <c r="HC1004" s="35"/>
      <c r="HD1004" s="35"/>
      <c r="HE1004" s="35"/>
      <c r="HF1004" s="35"/>
      <c r="HG1004" s="35"/>
      <c r="HH1004" s="35"/>
      <c r="HI1004" s="35"/>
      <c r="HJ1004" s="35"/>
      <c r="HK1004" s="35"/>
      <c r="HL1004" s="35"/>
      <c r="HM1004" s="35"/>
      <c r="HN1004" s="35"/>
      <c r="HO1004" s="35"/>
      <c r="HP1004" s="35"/>
      <c r="HQ1004" s="35"/>
      <c r="HR1004" s="35"/>
      <c r="HS1004" s="35"/>
      <c r="HT1004" s="35"/>
      <c r="HU1004" s="35"/>
      <c r="HV1004" s="35"/>
      <c r="HW1004" s="35"/>
      <c r="HX1004" s="35"/>
      <c r="HY1004" s="35"/>
      <c r="HZ1004" s="35"/>
      <c r="IA1004" s="35"/>
      <c r="IB1004" s="35"/>
      <c r="IC1004" s="35"/>
      <c r="ID1004" s="35"/>
      <c r="IE1004" s="35"/>
      <c r="IF1004" s="35"/>
      <c r="IG1004" s="35"/>
      <c r="IH1004" s="35"/>
      <c r="II1004" s="35"/>
      <c r="IJ1004" s="35"/>
      <c r="IK1004" s="35"/>
      <c r="IL1004" s="35"/>
      <c r="IM1004" s="35"/>
      <c r="IN1004" s="35"/>
      <c r="IO1004" s="35"/>
      <c r="IP1004" s="35"/>
      <c r="IQ1004" s="35"/>
      <c r="IR1004" s="35"/>
      <c r="IS1004" s="35"/>
      <c r="IT1004" s="35"/>
      <c r="IU1004" s="35"/>
      <c r="IV1004" s="35"/>
      <c r="IW1004" s="35"/>
      <c r="IX1004" s="35"/>
      <c r="IY1004" s="35"/>
      <c r="IZ1004" s="35"/>
      <c r="JA1004" s="35"/>
      <c r="JB1004" s="35"/>
      <c r="JC1004" s="35"/>
      <c r="JD1004" s="35"/>
      <c r="JE1004" s="35"/>
    </row>
    <row r="1005">
      <c r="A1005" s="42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5"/>
      <c r="AR1005" s="35"/>
      <c r="AS1005" s="35"/>
      <c r="AT1005" s="35"/>
      <c r="AU1005" s="35"/>
      <c r="AV1005" s="35"/>
      <c r="AW1005" s="35"/>
      <c r="AX1005" s="35"/>
      <c r="AY1005" s="35"/>
      <c r="AZ1005" s="35"/>
      <c r="BA1005" s="35"/>
      <c r="BB1005" s="35"/>
      <c r="BC1005" s="35"/>
      <c r="BD1005" s="35"/>
      <c r="BE1005" s="35"/>
      <c r="BF1005" s="35"/>
      <c r="BG1005" s="35"/>
      <c r="BH1005" s="35"/>
      <c r="BI1005" s="35"/>
      <c r="BJ1005" s="35"/>
      <c r="BK1005" s="35"/>
      <c r="BL1005" s="35"/>
      <c r="BM1005" s="35"/>
      <c r="BN1005" s="35"/>
      <c r="BO1005" s="35"/>
      <c r="BP1005" s="35"/>
      <c r="BQ1005" s="35"/>
      <c r="BR1005" s="35"/>
      <c r="BS1005" s="35"/>
      <c r="BT1005" s="35"/>
      <c r="BU1005" s="35"/>
      <c r="BV1005" s="35"/>
      <c r="BW1005" s="35"/>
      <c r="BX1005" s="35"/>
      <c r="BY1005" s="35"/>
      <c r="BZ1005" s="35"/>
      <c r="CA1005" s="35"/>
      <c r="CB1005" s="35"/>
      <c r="CC1005" s="35"/>
      <c r="CD1005" s="35"/>
      <c r="CE1005" s="35"/>
      <c r="CF1005" s="35"/>
      <c r="CG1005" s="35"/>
      <c r="CH1005" s="35"/>
      <c r="CI1005" s="35"/>
      <c r="CJ1005" s="35"/>
      <c r="CK1005" s="35"/>
      <c r="CL1005" s="35"/>
      <c r="CM1005" s="35"/>
      <c r="CN1005" s="35"/>
      <c r="CO1005" s="35"/>
      <c r="CP1005" s="35"/>
      <c r="CQ1005" s="35"/>
      <c r="CR1005" s="35"/>
      <c r="CS1005" s="35"/>
      <c r="CT1005" s="35"/>
      <c r="CU1005" s="35"/>
      <c r="CV1005" s="35"/>
      <c r="CW1005" s="35"/>
      <c r="CX1005" s="35"/>
      <c r="CY1005" s="35"/>
      <c r="CZ1005" s="35"/>
      <c r="DA1005" s="35"/>
      <c r="DB1005" s="35"/>
      <c r="DC1005" s="35"/>
      <c r="DD1005" s="35"/>
      <c r="DE1005" s="35"/>
      <c r="DF1005" s="35"/>
      <c r="DG1005" s="35"/>
      <c r="DH1005" s="35"/>
      <c r="DI1005" s="35"/>
      <c r="DJ1005" s="35"/>
      <c r="DK1005" s="35"/>
      <c r="DL1005" s="35"/>
      <c r="DM1005" s="35"/>
      <c r="DN1005" s="35"/>
      <c r="DO1005" s="35"/>
      <c r="DP1005" s="35"/>
      <c r="DQ1005" s="35"/>
      <c r="DR1005" s="35"/>
      <c r="DS1005" s="35"/>
      <c r="DT1005" s="35"/>
      <c r="DU1005" s="35"/>
      <c r="DV1005" s="35"/>
      <c r="DW1005" s="35"/>
      <c r="DX1005" s="35"/>
      <c r="DY1005" s="35"/>
      <c r="DZ1005" s="35"/>
      <c r="EA1005" s="35"/>
      <c r="EB1005" s="35"/>
      <c r="EC1005" s="35"/>
      <c r="ED1005" s="35"/>
      <c r="EE1005" s="35"/>
      <c r="EF1005" s="35"/>
      <c r="EG1005" s="35"/>
      <c r="EH1005" s="35"/>
      <c r="EI1005" s="35"/>
      <c r="EJ1005" s="35"/>
      <c r="EK1005" s="35"/>
      <c r="EL1005" s="35"/>
      <c r="EM1005" s="35"/>
      <c r="EN1005" s="35"/>
      <c r="EO1005" s="35"/>
      <c r="EP1005" s="35"/>
      <c r="EQ1005" s="35"/>
      <c r="ER1005" s="35"/>
      <c r="ES1005" s="35"/>
      <c r="ET1005" s="35"/>
      <c r="EU1005" s="35"/>
      <c r="EV1005" s="35"/>
      <c r="EW1005" s="35"/>
      <c r="EX1005" s="35"/>
      <c r="EY1005" s="35"/>
      <c r="EZ1005" s="35"/>
      <c r="FA1005" s="35"/>
      <c r="FB1005" s="35"/>
      <c r="FC1005" s="35"/>
      <c r="FD1005" s="35"/>
      <c r="FE1005" s="35"/>
      <c r="FF1005" s="35"/>
      <c r="FG1005" s="35"/>
      <c r="FH1005" s="35"/>
      <c r="FI1005" s="35"/>
      <c r="FJ1005" s="35"/>
      <c r="FK1005" s="35"/>
      <c r="FL1005" s="35"/>
      <c r="FM1005" s="35"/>
      <c r="FN1005" s="35"/>
      <c r="FO1005" s="35"/>
      <c r="FP1005" s="35"/>
      <c r="FQ1005" s="35"/>
      <c r="FR1005" s="35"/>
      <c r="FS1005" s="35"/>
      <c r="FT1005" s="35"/>
      <c r="FU1005" s="35"/>
      <c r="FV1005" s="35"/>
      <c r="FW1005" s="35"/>
      <c r="FX1005" s="35"/>
      <c r="FY1005" s="35"/>
      <c r="FZ1005" s="35"/>
      <c r="GA1005" s="35"/>
      <c r="GB1005" s="35"/>
      <c r="GC1005" s="35"/>
      <c r="GD1005" s="35"/>
      <c r="GE1005" s="35"/>
      <c r="GF1005" s="35"/>
      <c r="GG1005" s="35"/>
      <c r="GH1005" s="35"/>
      <c r="GI1005" s="35"/>
      <c r="GJ1005" s="35"/>
      <c r="GK1005" s="35"/>
      <c r="GL1005" s="35"/>
      <c r="GM1005" s="35"/>
      <c r="GN1005" s="35"/>
      <c r="GO1005" s="35"/>
      <c r="GP1005" s="35"/>
      <c r="GQ1005" s="35"/>
      <c r="GR1005" s="35"/>
      <c r="GS1005" s="35"/>
      <c r="GT1005" s="35"/>
      <c r="GU1005" s="35"/>
      <c r="GV1005" s="35"/>
      <c r="GW1005" s="35"/>
      <c r="GX1005" s="35"/>
      <c r="GY1005" s="35"/>
      <c r="GZ1005" s="35"/>
      <c r="HA1005" s="35"/>
      <c r="HB1005" s="35"/>
      <c r="HC1005" s="35"/>
      <c r="HD1005" s="35"/>
      <c r="HE1005" s="35"/>
      <c r="HF1005" s="35"/>
      <c r="HG1005" s="35"/>
      <c r="HH1005" s="35"/>
      <c r="HI1005" s="35"/>
      <c r="HJ1005" s="35"/>
      <c r="HK1005" s="35"/>
      <c r="HL1005" s="35"/>
      <c r="HM1005" s="35"/>
      <c r="HN1005" s="35"/>
      <c r="HO1005" s="35"/>
      <c r="HP1005" s="35"/>
      <c r="HQ1005" s="35"/>
      <c r="HR1005" s="35"/>
      <c r="HS1005" s="35"/>
      <c r="HT1005" s="35"/>
      <c r="HU1005" s="35"/>
      <c r="HV1005" s="35"/>
      <c r="HW1005" s="35"/>
      <c r="HX1005" s="35"/>
      <c r="HY1005" s="35"/>
      <c r="HZ1005" s="35"/>
      <c r="IA1005" s="35"/>
      <c r="IB1005" s="35"/>
      <c r="IC1005" s="35"/>
      <c r="ID1005" s="35"/>
      <c r="IE1005" s="35"/>
      <c r="IF1005" s="35"/>
      <c r="IG1005" s="35"/>
      <c r="IH1005" s="35"/>
      <c r="II1005" s="35"/>
      <c r="IJ1005" s="35"/>
      <c r="IK1005" s="35"/>
      <c r="IL1005" s="35"/>
      <c r="IM1005" s="35"/>
      <c r="IN1005" s="35"/>
      <c r="IO1005" s="35"/>
      <c r="IP1005" s="35"/>
      <c r="IQ1005" s="35"/>
      <c r="IR1005" s="35"/>
      <c r="IS1005" s="35"/>
      <c r="IT1005" s="35"/>
      <c r="IU1005" s="35"/>
      <c r="IV1005" s="35"/>
      <c r="IW1005" s="35"/>
      <c r="IX1005" s="35"/>
      <c r="IY1005" s="35"/>
      <c r="IZ1005" s="35"/>
      <c r="JA1005" s="35"/>
      <c r="JB1005" s="35"/>
      <c r="JC1005" s="35"/>
      <c r="JD1005" s="35"/>
      <c r="JE1005" s="35"/>
    </row>
    <row r="1006">
      <c r="A1006" s="42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5"/>
      <c r="AR1006" s="35"/>
      <c r="AS1006" s="35"/>
      <c r="AT1006" s="35"/>
      <c r="AU1006" s="35"/>
      <c r="AV1006" s="35"/>
      <c r="AW1006" s="35"/>
      <c r="AX1006" s="35"/>
      <c r="AY1006" s="35"/>
      <c r="AZ1006" s="35"/>
      <c r="BA1006" s="35"/>
      <c r="BB1006" s="35"/>
      <c r="BC1006" s="35"/>
      <c r="BD1006" s="35"/>
      <c r="BE1006" s="35"/>
      <c r="BF1006" s="35"/>
      <c r="BG1006" s="35"/>
      <c r="BH1006" s="35"/>
      <c r="BI1006" s="35"/>
      <c r="BJ1006" s="35"/>
      <c r="BK1006" s="35"/>
      <c r="BL1006" s="35"/>
      <c r="BM1006" s="35"/>
      <c r="BN1006" s="35"/>
      <c r="BO1006" s="35"/>
      <c r="BP1006" s="35"/>
      <c r="BQ1006" s="35"/>
      <c r="BR1006" s="35"/>
      <c r="BS1006" s="35"/>
      <c r="BT1006" s="35"/>
      <c r="BU1006" s="35"/>
      <c r="BV1006" s="35"/>
      <c r="BW1006" s="35"/>
      <c r="BX1006" s="35"/>
      <c r="BY1006" s="35"/>
      <c r="BZ1006" s="35"/>
      <c r="CA1006" s="35"/>
      <c r="CB1006" s="35"/>
      <c r="CC1006" s="35"/>
      <c r="CD1006" s="35"/>
      <c r="CE1006" s="35"/>
      <c r="CF1006" s="35"/>
      <c r="CG1006" s="35"/>
      <c r="CH1006" s="35"/>
      <c r="CI1006" s="35"/>
      <c r="CJ1006" s="35"/>
      <c r="CK1006" s="35"/>
      <c r="CL1006" s="35"/>
      <c r="CM1006" s="35"/>
      <c r="CN1006" s="35"/>
      <c r="CO1006" s="35"/>
      <c r="CP1006" s="35"/>
      <c r="CQ1006" s="35"/>
      <c r="CR1006" s="35"/>
      <c r="CS1006" s="35"/>
      <c r="CT1006" s="35"/>
      <c r="CU1006" s="35"/>
      <c r="CV1006" s="35"/>
      <c r="CW1006" s="35"/>
      <c r="CX1006" s="35"/>
      <c r="CY1006" s="35"/>
      <c r="CZ1006" s="35"/>
      <c r="DA1006" s="35"/>
      <c r="DB1006" s="35"/>
      <c r="DC1006" s="35"/>
      <c r="DD1006" s="35"/>
      <c r="DE1006" s="35"/>
      <c r="DF1006" s="35"/>
      <c r="DG1006" s="35"/>
      <c r="DH1006" s="35"/>
      <c r="DI1006" s="35"/>
      <c r="DJ1006" s="35"/>
      <c r="DK1006" s="35"/>
      <c r="DL1006" s="35"/>
      <c r="DM1006" s="35"/>
      <c r="DN1006" s="35"/>
      <c r="DO1006" s="35"/>
      <c r="DP1006" s="35"/>
      <c r="DQ1006" s="35"/>
      <c r="DR1006" s="35"/>
      <c r="DS1006" s="35"/>
      <c r="DT1006" s="35"/>
      <c r="DU1006" s="35"/>
      <c r="DV1006" s="35"/>
      <c r="DW1006" s="35"/>
      <c r="DX1006" s="35"/>
      <c r="DY1006" s="35"/>
      <c r="DZ1006" s="35"/>
      <c r="EA1006" s="35"/>
      <c r="EB1006" s="35"/>
      <c r="EC1006" s="35"/>
      <c r="ED1006" s="35"/>
      <c r="EE1006" s="35"/>
      <c r="EF1006" s="35"/>
      <c r="EG1006" s="35"/>
      <c r="EH1006" s="35"/>
      <c r="EI1006" s="35"/>
      <c r="EJ1006" s="35"/>
      <c r="EK1006" s="35"/>
      <c r="EL1006" s="35"/>
      <c r="EM1006" s="35"/>
      <c r="EN1006" s="35"/>
      <c r="EO1006" s="35"/>
      <c r="EP1006" s="35"/>
      <c r="EQ1006" s="35"/>
      <c r="ER1006" s="35"/>
      <c r="ES1006" s="35"/>
      <c r="ET1006" s="35"/>
      <c r="EU1006" s="35"/>
      <c r="EV1006" s="35"/>
      <c r="EW1006" s="35"/>
      <c r="EX1006" s="35"/>
      <c r="EY1006" s="35"/>
      <c r="EZ1006" s="35"/>
      <c r="FA1006" s="35"/>
      <c r="FB1006" s="35"/>
      <c r="FC1006" s="35"/>
      <c r="FD1006" s="35"/>
      <c r="FE1006" s="35"/>
      <c r="FF1006" s="35"/>
      <c r="FG1006" s="35"/>
      <c r="FH1006" s="35"/>
      <c r="FI1006" s="35"/>
      <c r="FJ1006" s="35"/>
      <c r="FK1006" s="35"/>
      <c r="FL1006" s="35"/>
      <c r="FM1006" s="35"/>
      <c r="FN1006" s="35"/>
      <c r="FO1006" s="35"/>
      <c r="FP1006" s="35"/>
      <c r="FQ1006" s="35"/>
      <c r="FR1006" s="35"/>
      <c r="FS1006" s="35"/>
      <c r="FT1006" s="35"/>
      <c r="FU1006" s="35"/>
      <c r="FV1006" s="35"/>
      <c r="FW1006" s="35"/>
      <c r="FX1006" s="35"/>
      <c r="FY1006" s="35"/>
      <c r="FZ1006" s="35"/>
      <c r="GA1006" s="35"/>
      <c r="GB1006" s="35"/>
      <c r="GC1006" s="35"/>
      <c r="GD1006" s="35"/>
      <c r="GE1006" s="35"/>
      <c r="GF1006" s="35"/>
      <c r="GG1006" s="35"/>
      <c r="GH1006" s="35"/>
      <c r="GI1006" s="35"/>
      <c r="GJ1006" s="35"/>
      <c r="GK1006" s="35"/>
      <c r="GL1006" s="35"/>
      <c r="GM1006" s="35"/>
      <c r="GN1006" s="35"/>
      <c r="GO1006" s="35"/>
      <c r="GP1006" s="35"/>
      <c r="GQ1006" s="35"/>
      <c r="GR1006" s="35"/>
      <c r="GS1006" s="35"/>
      <c r="GT1006" s="35"/>
      <c r="GU1006" s="35"/>
      <c r="GV1006" s="35"/>
      <c r="GW1006" s="35"/>
      <c r="GX1006" s="35"/>
      <c r="GY1006" s="35"/>
      <c r="GZ1006" s="35"/>
      <c r="HA1006" s="35"/>
      <c r="HB1006" s="35"/>
      <c r="HC1006" s="35"/>
      <c r="HD1006" s="35"/>
      <c r="HE1006" s="35"/>
      <c r="HF1006" s="35"/>
      <c r="HG1006" s="35"/>
      <c r="HH1006" s="35"/>
      <c r="HI1006" s="35"/>
      <c r="HJ1006" s="35"/>
      <c r="HK1006" s="35"/>
      <c r="HL1006" s="35"/>
      <c r="HM1006" s="35"/>
      <c r="HN1006" s="35"/>
      <c r="HO1006" s="35"/>
      <c r="HP1006" s="35"/>
      <c r="HQ1006" s="35"/>
      <c r="HR1006" s="35"/>
      <c r="HS1006" s="35"/>
      <c r="HT1006" s="35"/>
      <c r="HU1006" s="35"/>
      <c r="HV1006" s="35"/>
      <c r="HW1006" s="35"/>
      <c r="HX1006" s="35"/>
      <c r="HY1006" s="35"/>
      <c r="HZ1006" s="35"/>
      <c r="IA1006" s="35"/>
      <c r="IB1006" s="35"/>
      <c r="IC1006" s="35"/>
      <c r="ID1006" s="35"/>
      <c r="IE1006" s="35"/>
      <c r="IF1006" s="35"/>
      <c r="IG1006" s="35"/>
      <c r="IH1006" s="35"/>
      <c r="II1006" s="35"/>
      <c r="IJ1006" s="35"/>
      <c r="IK1006" s="35"/>
      <c r="IL1006" s="35"/>
      <c r="IM1006" s="35"/>
      <c r="IN1006" s="35"/>
      <c r="IO1006" s="35"/>
      <c r="IP1006" s="35"/>
      <c r="IQ1006" s="35"/>
      <c r="IR1006" s="35"/>
      <c r="IS1006" s="35"/>
      <c r="IT1006" s="35"/>
      <c r="IU1006" s="35"/>
      <c r="IV1006" s="35"/>
      <c r="IW1006" s="35"/>
      <c r="IX1006" s="35"/>
      <c r="IY1006" s="35"/>
      <c r="IZ1006" s="35"/>
      <c r="JA1006" s="35"/>
      <c r="JB1006" s="35"/>
      <c r="JC1006" s="35"/>
      <c r="JD1006" s="35"/>
      <c r="JE1006" s="35"/>
    </row>
    <row r="1007">
      <c r="A1007" s="42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5"/>
      <c r="AR1007" s="35"/>
      <c r="AS1007" s="35"/>
      <c r="AT1007" s="35"/>
      <c r="AU1007" s="35"/>
      <c r="AV1007" s="35"/>
      <c r="AW1007" s="35"/>
      <c r="AX1007" s="35"/>
      <c r="AY1007" s="35"/>
      <c r="AZ1007" s="35"/>
      <c r="BA1007" s="35"/>
      <c r="BB1007" s="35"/>
      <c r="BC1007" s="35"/>
      <c r="BD1007" s="35"/>
      <c r="BE1007" s="35"/>
      <c r="BF1007" s="35"/>
      <c r="BG1007" s="35"/>
      <c r="BH1007" s="35"/>
      <c r="BI1007" s="35"/>
      <c r="BJ1007" s="35"/>
      <c r="BK1007" s="35"/>
      <c r="BL1007" s="35"/>
      <c r="BM1007" s="35"/>
      <c r="BN1007" s="35"/>
      <c r="BO1007" s="35"/>
      <c r="BP1007" s="35"/>
      <c r="BQ1007" s="35"/>
      <c r="BR1007" s="35"/>
      <c r="BS1007" s="35"/>
      <c r="BT1007" s="35"/>
      <c r="BU1007" s="35"/>
      <c r="BV1007" s="35"/>
      <c r="BW1007" s="35"/>
      <c r="BX1007" s="35"/>
      <c r="BY1007" s="35"/>
      <c r="BZ1007" s="35"/>
      <c r="CA1007" s="35"/>
      <c r="CB1007" s="35"/>
      <c r="CC1007" s="35"/>
      <c r="CD1007" s="35"/>
      <c r="CE1007" s="35"/>
      <c r="CF1007" s="35"/>
      <c r="CG1007" s="35"/>
      <c r="CH1007" s="35"/>
      <c r="CI1007" s="35"/>
      <c r="CJ1007" s="35"/>
      <c r="CK1007" s="35"/>
      <c r="CL1007" s="35"/>
      <c r="CM1007" s="35"/>
      <c r="CN1007" s="35"/>
      <c r="CO1007" s="35"/>
      <c r="CP1007" s="35"/>
      <c r="CQ1007" s="35"/>
      <c r="CR1007" s="35"/>
      <c r="CS1007" s="35"/>
      <c r="CT1007" s="35"/>
      <c r="CU1007" s="35"/>
      <c r="CV1007" s="35"/>
      <c r="CW1007" s="35"/>
      <c r="CX1007" s="35"/>
      <c r="CY1007" s="35"/>
      <c r="CZ1007" s="35"/>
      <c r="DA1007" s="35"/>
      <c r="DB1007" s="35"/>
      <c r="DC1007" s="35"/>
      <c r="DD1007" s="35"/>
      <c r="DE1007" s="35"/>
      <c r="DF1007" s="35"/>
      <c r="DG1007" s="35"/>
      <c r="DH1007" s="35"/>
      <c r="DI1007" s="35"/>
      <c r="DJ1007" s="35"/>
      <c r="DK1007" s="35"/>
      <c r="DL1007" s="35"/>
      <c r="DM1007" s="35"/>
      <c r="DN1007" s="35"/>
      <c r="DO1007" s="35"/>
      <c r="DP1007" s="35"/>
      <c r="DQ1007" s="35"/>
      <c r="DR1007" s="35"/>
      <c r="DS1007" s="35"/>
      <c r="DT1007" s="35"/>
      <c r="DU1007" s="35"/>
      <c r="DV1007" s="35"/>
      <c r="DW1007" s="35"/>
      <c r="DX1007" s="35"/>
      <c r="DY1007" s="35"/>
      <c r="DZ1007" s="35"/>
      <c r="EA1007" s="35"/>
      <c r="EB1007" s="35"/>
      <c r="EC1007" s="35"/>
      <c r="ED1007" s="35"/>
      <c r="EE1007" s="35"/>
      <c r="EF1007" s="35"/>
      <c r="EG1007" s="35"/>
      <c r="EH1007" s="35"/>
      <c r="EI1007" s="35"/>
      <c r="EJ1007" s="35"/>
      <c r="EK1007" s="35"/>
      <c r="EL1007" s="35"/>
      <c r="EM1007" s="35"/>
      <c r="EN1007" s="35"/>
      <c r="EO1007" s="35"/>
      <c r="EP1007" s="35"/>
      <c r="EQ1007" s="35"/>
      <c r="ER1007" s="35"/>
      <c r="ES1007" s="35"/>
      <c r="ET1007" s="35"/>
      <c r="EU1007" s="35"/>
      <c r="EV1007" s="35"/>
      <c r="EW1007" s="35"/>
      <c r="EX1007" s="35"/>
      <c r="EY1007" s="35"/>
      <c r="EZ1007" s="35"/>
      <c r="FA1007" s="35"/>
      <c r="FB1007" s="35"/>
      <c r="FC1007" s="35"/>
      <c r="FD1007" s="35"/>
      <c r="FE1007" s="35"/>
      <c r="FF1007" s="35"/>
      <c r="FG1007" s="35"/>
      <c r="FH1007" s="35"/>
      <c r="FI1007" s="35"/>
      <c r="FJ1007" s="35"/>
      <c r="FK1007" s="35"/>
      <c r="FL1007" s="35"/>
      <c r="FM1007" s="35"/>
      <c r="FN1007" s="35"/>
      <c r="FO1007" s="35"/>
      <c r="FP1007" s="35"/>
      <c r="FQ1007" s="35"/>
      <c r="FR1007" s="35"/>
      <c r="FS1007" s="35"/>
      <c r="FT1007" s="35"/>
      <c r="FU1007" s="35"/>
      <c r="FV1007" s="35"/>
      <c r="FW1007" s="35"/>
      <c r="FX1007" s="35"/>
      <c r="FY1007" s="35"/>
      <c r="FZ1007" s="35"/>
      <c r="GA1007" s="35"/>
      <c r="GB1007" s="35"/>
      <c r="GC1007" s="35"/>
      <c r="GD1007" s="35"/>
      <c r="GE1007" s="35"/>
      <c r="GF1007" s="35"/>
      <c r="GG1007" s="35"/>
      <c r="GH1007" s="35"/>
      <c r="GI1007" s="35"/>
      <c r="GJ1007" s="35"/>
      <c r="GK1007" s="35"/>
      <c r="GL1007" s="35"/>
      <c r="GM1007" s="35"/>
      <c r="GN1007" s="35"/>
      <c r="GO1007" s="35"/>
      <c r="GP1007" s="35"/>
      <c r="GQ1007" s="35"/>
      <c r="GR1007" s="35"/>
      <c r="GS1007" s="35"/>
      <c r="GT1007" s="35"/>
      <c r="GU1007" s="35"/>
      <c r="GV1007" s="35"/>
      <c r="GW1007" s="35"/>
      <c r="GX1007" s="35"/>
      <c r="GY1007" s="35"/>
      <c r="GZ1007" s="35"/>
      <c r="HA1007" s="35"/>
      <c r="HB1007" s="35"/>
      <c r="HC1007" s="35"/>
      <c r="HD1007" s="35"/>
      <c r="HE1007" s="35"/>
      <c r="HF1007" s="35"/>
      <c r="HG1007" s="35"/>
      <c r="HH1007" s="35"/>
      <c r="HI1007" s="35"/>
      <c r="HJ1007" s="35"/>
      <c r="HK1007" s="35"/>
      <c r="HL1007" s="35"/>
      <c r="HM1007" s="35"/>
      <c r="HN1007" s="35"/>
      <c r="HO1007" s="35"/>
      <c r="HP1007" s="35"/>
      <c r="HQ1007" s="35"/>
      <c r="HR1007" s="35"/>
      <c r="HS1007" s="35"/>
      <c r="HT1007" s="35"/>
      <c r="HU1007" s="35"/>
      <c r="HV1007" s="35"/>
      <c r="HW1007" s="35"/>
      <c r="HX1007" s="35"/>
      <c r="HY1007" s="35"/>
      <c r="HZ1007" s="35"/>
      <c r="IA1007" s="35"/>
      <c r="IB1007" s="35"/>
      <c r="IC1007" s="35"/>
      <c r="ID1007" s="35"/>
      <c r="IE1007" s="35"/>
      <c r="IF1007" s="35"/>
      <c r="IG1007" s="35"/>
      <c r="IH1007" s="35"/>
      <c r="II1007" s="35"/>
      <c r="IJ1007" s="35"/>
      <c r="IK1007" s="35"/>
      <c r="IL1007" s="35"/>
      <c r="IM1007" s="35"/>
      <c r="IN1007" s="35"/>
      <c r="IO1007" s="35"/>
      <c r="IP1007" s="35"/>
      <c r="IQ1007" s="35"/>
      <c r="IR1007" s="35"/>
      <c r="IS1007" s="35"/>
      <c r="IT1007" s="35"/>
      <c r="IU1007" s="35"/>
      <c r="IV1007" s="35"/>
      <c r="IW1007" s="35"/>
      <c r="IX1007" s="35"/>
      <c r="IY1007" s="35"/>
      <c r="IZ1007" s="35"/>
      <c r="JA1007" s="35"/>
      <c r="JB1007" s="35"/>
      <c r="JC1007" s="35"/>
      <c r="JD1007" s="35"/>
      <c r="JE1007" s="35"/>
    </row>
    <row r="1008">
      <c r="A1008" s="42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5"/>
      <c r="AR1008" s="35"/>
      <c r="AS1008" s="35"/>
      <c r="AT1008" s="35"/>
      <c r="AU1008" s="35"/>
      <c r="AV1008" s="35"/>
      <c r="AW1008" s="35"/>
      <c r="AX1008" s="35"/>
      <c r="AY1008" s="35"/>
      <c r="AZ1008" s="35"/>
      <c r="BA1008" s="35"/>
      <c r="BB1008" s="35"/>
      <c r="BC1008" s="35"/>
      <c r="BD1008" s="35"/>
      <c r="BE1008" s="35"/>
      <c r="BF1008" s="35"/>
      <c r="BG1008" s="35"/>
      <c r="BH1008" s="35"/>
      <c r="BI1008" s="35"/>
      <c r="BJ1008" s="35"/>
      <c r="BK1008" s="35"/>
      <c r="BL1008" s="35"/>
      <c r="BM1008" s="35"/>
      <c r="BN1008" s="35"/>
      <c r="BO1008" s="35"/>
      <c r="BP1008" s="35"/>
      <c r="BQ1008" s="35"/>
      <c r="BR1008" s="35"/>
      <c r="BS1008" s="35"/>
      <c r="BT1008" s="35"/>
      <c r="BU1008" s="35"/>
      <c r="BV1008" s="35"/>
      <c r="BW1008" s="35"/>
      <c r="BX1008" s="35"/>
      <c r="BY1008" s="35"/>
      <c r="BZ1008" s="35"/>
      <c r="CA1008" s="35"/>
      <c r="CB1008" s="35"/>
      <c r="CC1008" s="35"/>
      <c r="CD1008" s="35"/>
      <c r="CE1008" s="35"/>
      <c r="CF1008" s="35"/>
      <c r="CG1008" s="35"/>
      <c r="CH1008" s="35"/>
      <c r="CI1008" s="35"/>
      <c r="CJ1008" s="35"/>
      <c r="CK1008" s="35"/>
      <c r="CL1008" s="35"/>
      <c r="CM1008" s="35"/>
      <c r="CN1008" s="35"/>
      <c r="CO1008" s="35"/>
      <c r="CP1008" s="35"/>
      <c r="CQ1008" s="35"/>
      <c r="CR1008" s="35"/>
      <c r="CS1008" s="35"/>
      <c r="CT1008" s="35"/>
      <c r="CU1008" s="35"/>
      <c r="CV1008" s="35"/>
      <c r="CW1008" s="35"/>
      <c r="CX1008" s="35"/>
      <c r="CY1008" s="35"/>
      <c r="CZ1008" s="35"/>
      <c r="DA1008" s="35"/>
      <c r="DB1008" s="35"/>
      <c r="DC1008" s="35"/>
      <c r="DD1008" s="35"/>
      <c r="DE1008" s="35"/>
      <c r="DF1008" s="35"/>
      <c r="DG1008" s="35"/>
      <c r="DH1008" s="35"/>
      <c r="DI1008" s="35"/>
      <c r="DJ1008" s="35"/>
      <c r="DK1008" s="35"/>
      <c r="DL1008" s="35"/>
      <c r="DM1008" s="35"/>
      <c r="DN1008" s="35"/>
      <c r="DO1008" s="35"/>
      <c r="DP1008" s="35"/>
      <c r="DQ1008" s="35"/>
      <c r="DR1008" s="35"/>
      <c r="DS1008" s="35"/>
      <c r="DT1008" s="35"/>
      <c r="DU1008" s="35"/>
      <c r="DV1008" s="35"/>
      <c r="DW1008" s="35"/>
      <c r="DX1008" s="35"/>
      <c r="DY1008" s="35"/>
      <c r="DZ1008" s="35"/>
      <c r="EA1008" s="35"/>
      <c r="EB1008" s="35"/>
      <c r="EC1008" s="35"/>
      <c r="ED1008" s="35"/>
      <c r="EE1008" s="35"/>
      <c r="EF1008" s="35"/>
      <c r="EG1008" s="35"/>
      <c r="EH1008" s="35"/>
      <c r="EI1008" s="35"/>
      <c r="EJ1008" s="35"/>
      <c r="EK1008" s="35"/>
      <c r="EL1008" s="35"/>
      <c r="EM1008" s="35"/>
      <c r="EN1008" s="35"/>
      <c r="EO1008" s="35"/>
      <c r="EP1008" s="35"/>
      <c r="EQ1008" s="35"/>
      <c r="ER1008" s="35"/>
      <c r="ES1008" s="35"/>
      <c r="ET1008" s="35"/>
      <c r="EU1008" s="35"/>
      <c r="EV1008" s="35"/>
      <c r="EW1008" s="35"/>
      <c r="EX1008" s="35"/>
      <c r="EY1008" s="35"/>
      <c r="EZ1008" s="35"/>
      <c r="FA1008" s="35"/>
      <c r="FB1008" s="35"/>
      <c r="FC1008" s="35"/>
      <c r="FD1008" s="35"/>
      <c r="FE1008" s="35"/>
      <c r="FF1008" s="35"/>
      <c r="FG1008" s="35"/>
      <c r="FH1008" s="35"/>
      <c r="FI1008" s="35"/>
      <c r="FJ1008" s="35"/>
      <c r="FK1008" s="35"/>
      <c r="FL1008" s="35"/>
      <c r="FM1008" s="35"/>
      <c r="FN1008" s="35"/>
      <c r="FO1008" s="35"/>
      <c r="FP1008" s="35"/>
      <c r="FQ1008" s="35"/>
      <c r="FR1008" s="35"/>
      <c r="FS1008" s="35"/>
      <c r="FT1008" s="35"/>
      <c r="FU1008" s="35"/>
      <c r="FV1008" s="35"/>
      <c r="FW1008" s="35"/>
      <c r="FX1008" s="35"/>
      <c r="FY1008" s="35"/>
      <c r="FZ1008" s="35"/>
      <c r="GA1008" s="35"/>
      <c r="GB1008" s="35"/>
      <c r="GC1008" s="35"/>
      <c r="GD1008" s="35"/>
      <c r="GE1008" s="35"/>
      <c r="GF1008" s="35"/>
      <c r="GG1008" s="35"/>
      <c r="GH1008" s="35"/>
      <c r="GI1008" s="35"/>
      <c r="GJ1008" s="35"/>
      <c r="GK1008" s="35"/>
      <c r="GL1008" s="35"/>
      <c r="GM1008" s="35"/>
      <c r="GN1008" s="35"/>
      <c r="GO1008" s="35"/>
      <c r="GP1008" s="35"/>
      <c r="GQ1008" s="35"/>
      <c r="GR1008" s="35"/>
      <c r="GS1008" s="35"/>
      <c r="GT1008" s="35"/>
      <c r="GU1008" s="35"/>
      <c r="GV1008" s="35"/>
      <c r="GW1008" s="35"/>
      <c r="GX1008" s="35"/>
      <c r="GY1008" s="35"/>
      <c r="GZ1008" s="35"/>
      <c r="HA1008" s="35"/>
      <c r="HB1008" s="35"/>
      <c r="HC1008" s="35"/>
      <c r="HD1008" s="35"/>
      <c r="HE1008" s="35"/>
      <c r="HF1008" s="35"/>
      <c r="HG1008" s="35"/>
      <c r="HH1008" s="35"/>
      <c r="HI1008" s="35"/>
      <c r="HJ1008" s="35"/>
      <c r="HK1008" s="35"/>
      <c r="HL1008" s="35"/>
      <c r="HM1008" s="35"/>
      <c r="HN1008" s="35"/>
      <c r="HO1008" s="35"/>
      <c r="HP1008" s="35"/>
      <c r="HQ1008" s="35"/>
      <c r="HR1008" s="35"/>
      <c r="HS1008" s="35"/>
      <c r="HT1008" s="35"/>
      <c r="HU1008" s="35"/>
      <c r="HV1008" s="35"/>
      <c r="HW1008" s="35"/>
      <c r="HX1008" s="35"/>
      <c r="HY1008" s="35"/>
      <c r="HZ1008" s="35"/>
      <c r="IA1008" s="35"/>
      <c r="IB1008" s="35"/>
      <c r="IC1008" s="35"/>
      <c r="ID1008" s="35"/>
      <c r="IE1008" s="35"/>
      <c r="IF1008" s="35"/>
      <c r="IG1008" s="35"/>
      <c r="IH1008" s="35"/>
      <c r="II1008" s="35"/>
      <c r="IJ1008" s="35"/>
      <c r="IK1008" s="35"/>
      <c r="IL1008" s="35"/>
      <c r="IM1008" s="35"/>
      <c r="IN1008" s="35"/>
      <c r="IO1008" s="35"/>
      <c r="IP1008" s="35"/>
      <c r="IQ1008" s="35"/>
      <c r="IR1008" s="35"/>
      <c r="IS1008" s="35"/>
      <c r="IT1008" s="35"/>
      <c r="IU1008" s="35"/>
      <c r="IV1008" s="35"/>
      <c r="IW1008" s="35"/>
      <c r="IX1008" s="35"/>
      <c r="IY1008" s="35"/>
      <c r="IZ1008" s="35"/>
      <c r="JA1008" s="35"/>
      <c r="JB1008" s="35"/>
      <c r="JC1008" s="35"/>
      <c r="JD1008" s="35"/>
      <c r="JE1008" s="35"/>
    </row>
    <row r="1009">
      <c r="A1009" s="42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5"/>
      <c r="AR1009" s="35"/>
      <c r="AS1009" s="35"/>
      <c r="AT1009" s="35"/>
      <c r="AU1009" s="35"/>
      <c r="AV1009" s="35"/>
      <c r="AW1009" s="35"/>
      <c r="AX1009" s="35"/>
      <c r="AY1009" s="35"/>
      <c r="AZ1009" s="35"/>
      <c r="BA1009" s="35"/>
      <c r="BB1009" s="35"/>
      <c r="BC1009" s="35"/>
      <c r="BD1009" s="35"/>
      <c r="BE1009" s="35"/>
      <c r="BF1009" s="35"/>
      <c r="BG1009" s="35"/>
      <c r="BH1009" s="35"/>
      <c r="BI1009" s="35"/>
      <c r="BJ1009" s="35"/>
      <c r="BK1009" s="35"/>
      <c r="BL1009" s="35"/>
      <c r="BM1009" s="35"/>
      <c r="BN1009" s="35"/>
      <c r="BO1009" s="35"/>
      <c r="BP1009" s="35"/>
      <c r="BQ1009" s="35"/>
      <c r="BR1009" s="35"/>
      <c r="BS1009" s="35"/>
      <c r="BT1009" s="35"/>
      <c r="BU1009" s="35"/>
      <c r="BV1009" s="35"/>
      <c r="BW1009" s="35"/>
      <c r="BX1009" s="35"/>
      <c r="BY1009" s="35"/>
      <c r="BZ1009" s="35"/>
      <c r="CA1009" s="35"/>
      <c r="CB1009" s="35"/>
      <c r="CC1009" s="35"/>
      <c r="CD1009" s="35"/>
      <c r="CE1009" s="35"/>
      <c r="CF1009" s="35"/>
      <c r="CG1009" s="35"/>
      <c r="CH1009" s="35"/>
      <c r="CI1009" s="35"/>
      <c r="CJ1009" s="35"/>
      <c r="CK1009" s="35"/>
      <c r="CL1009" s="35"/>
      <c r="CM1009" s="35"/>
      <c r="CN1009" s="35"/>
      <c r="CO1009" s="35"/>
      <c r="CP1009" s="35"/>
      <c r="CQ1009" s="35"/>
      <c r="CR1009" s="35"/>
      <c r="CS1009" s="35"/>
      <c r="CT1009" s="35"/>
      <c r="CU1009" s="35"/>
      <c r="CV1009" s="35"/>
      <c r="CW1009" s="35"/>
      <c r="CX1009" s="35"/>
      <c r="CY1009" s="35"/>
      <c r="CZ1009" s="35"/>
      <c r="DA1009" s="35"/>
      <c r="DB1009" s="35"/>
      <c r="DC1009" s="35"/>
      <c r="DD1009" s="35"/>
      <c r="DE1009" s="35"/>
      <c r="DF1009" s="35"/>
      <c r="DG1009" s="35"/>
      <c r="DH1009" s="35"/>
      <c r="DI1009" s="35"/>
      <c r="DJ1009" s="35"/>
      <c r="DK1009" s="35"/>
      <c r="DL1009" s="35"/>
      <c r="DM1009" s="35"/>
      <c r="DN1009" s="35"/>
      <c r="DO1009" s="35"/>
      <c r="DP1009" s="35"/>
      <c r="DQ1009" s="35"/>
      <c r="DR1009" s="35"/>
      <c r="DS1009" s="35"/>
      <c r="DT1009" s="35"/>
      <c r="DU1009" s="35"/>
      <c r="DV1009" s="35"/>
      <c r="DW1009" s="35"/>
      <c r="DX1009" s="35"/>
      <c r="DY1009" s="35"/>
      <c r="DZ1009" s="35"/>
      <c r="EA1009" s="35"/>
      <c r="EB1009" s="35"/>
      <c r="EC1009" s="35"/>
      <c r="ED1009" s="35"/>
      <c r="EE1009" s="35"/>
      <c r="EF1009" s="35"/>
      <c r="EG1009" s="35"/>
      <c r="EH1009" s="35"/>
      <c r="EI1009" s="35"/>
      <c r="EJ1009" s="35"/>
      <c r="EK1009" s="35"/>
      <c r="EL1009" s="35"/>
      <c r="EM1009" s="35"/>
      <c r="EN1009" s="35"/>
      <c r="EO1009" s="35"/>
      <c r="EP1009" s="35"/>
      <c r="EQ1009" s="35"/>
      <c r="ER1009" s="35"/>
      <c r="ES1009" s="35"/>
      <c r="ET1009" s="35"/>
      <c r="EU1009" s="35"/>
      <c r="EV1009" s="35"/>
      <c r="EW1009" s="35"/>
      <c r="EX1009" s="35"/>
      <c r="EY1009" s="35"/>
      <c r="EZ1009" s="35"/>
      <c r="FA1009" s="35"/>
      <c r="FB1009" s="35"/>
      <c r="FC1009" s="35"/>
      <c r="FD1009" s="35"/>
      <c r="FE1009" s="35"/>
      <c r="FF1009" s="35"/>
      <c r="FG1009" s="35"/>
      <c r="FH1009" s="35"/>
      <c r="FI1009" s="35"/>
      <c r="FJ1009" s="35"/>
      <c r="FK1009" s="35"/>
      <c r="FL1009" s="35"/>
      <c r="FM1009" s="35"/>
      <c r="FN1009" s="35"/>
      <c r="FO1009" s="35"/>
      <c r="FP1009" s="35"/>
      <c r="FQ1009" s="35"/>
      <c r="FR1009" s="35"/>
      <c r="FS1009" s="35"/>
      <c r="FT1009" s="35"/>
      <c r="FU1009" s="35"/>
      <c r="FV1009" s="35"/>
      <c r="FW1009" s="35"/>
      <c r="FX1009" s="35"/>
      <c r="FY1009" s="35"/>
      <c r="FZ1009" s="35"/>
      <c r="GA1009" s="35"/>
      <c r="GB1009" s="35"/>
      <c r="GC1009" s="35"/>
      <c r="GD1009" s="35"/>
      <c r="GE1009" s="35"/>
      <c r="GF1009" s="35"/>
      <c r="GG1009" s="35"/>
      <c r="GH1009" s="35"/>
      <c r="GI1009" s="35"/>
      <c r="GJ1009" s="35"/>
      <c r="GK1009" s="35"/>
      <c r="GL1009" s="35"/>
      <c r="GM1009" s="35"/>
      <c r="GN1009" s="35"/>
      <c r="GO1009" s="35"/>
      <c r="GP1009" s="35"/>
      <c r="GQ1009" s="35"/>
      <c r="GR1009" s="35"/>
      <c r="GS1009" s="35"/>
      <c r="GT1009" s="35"/>
      <c r="GU1009" s="35"/>
      <c r="GV1009" s="35"/>
      <c r="GW1009" s="35"/>
      <c r="GX1009" s="35"/>
      <c r="GY1009" s="35"/>
      <c r="GZ1009" s="35"/>
      <c r="HA1009" s="35"/>
      <c r="HB1009" s="35"/>
      <c r="HC1009" s="35"/>
      <c r="HD1009" s="35"/>
      <c r="HE1009" s="35"/>
      <c r="HF1009" s="35"/>
      <c r="HG1009" s="35"/>
      <c r="HH1009" s="35"/>
      <c r="HI1009" s="35"/>
      <c r="HJ1009" s="35"/>
      <c r="HK1009" s="35"/>
      <c r="HL1009" s="35"/>
      <c r="HM1009" s="35"/>
      <c r="HN1009" s="35"/>
      <c r="HO1009" s="35"/>
      <c r="HP1009" s="35"/>
      <c r="HQ1009" s="35"/>
      <c r="HR1009" s="35"/>
      <c r="HS1009" s="35"/>
      <c r="HT1009" s="35"/>
      <c r="HU1009" s="35"/>
      <c r="HV1009" s="35"/>
      <c r="HW1009" s="35"/>
      <c r="HX1009" s="35"/>
      <c r="HY1009" s="35"/>
      <c r="HZ1009" s="35"/>
      <c r="IA1009" s="35"/>
      <c r="IB1009" s="35"/>
      <c r="IC1009" s="35"/>
      <c r="ID1009" s="35"/>
      <c r="IE1009" s="35"/>
      <c r="IF1009" s="35"/>
      <c r="IG1009" s="35"/>
      <c r="IH1009" s="35"/>
      <c r="II1009" s="35"/>
      <c r="IJ1009" s="35"/>
      <c r="IK1009" s="35"/>
      <c r="IL1009" s="35"/>
      <c r="IM1009" s="35"/>
      <c r="IN1009" s="35"/>
      <c r="IO1009" s="35"/>
      <c r="IP1009" s="35"/>
      <c r="IQ1009" s="35"/>
      <c r="IR1009" s="35"/>
      <c r="IS1009" s="35"/>
      <c r="IT1009" s="35"/>
      <c r="IU1009" s="35"/>
      <c r="IV1009" s="35"/>
      <c r="IW1009" s="35"/>
      <c r="IX1009" s="35"/>
      <c r="IY1009" s="35"/>
      <c r="IZ1009" s="35"/>
      <c r="JA1009" s="35"/>
      <c r="JB1009" s="35"/>
      <c r="JC1009" s="35"/>
      <c r="JD1009" s="35"/>
      <c r="JE1009" s="35"/>
    </row>
    <row r="1010">
      <c r="A1010" s="42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5"/>
      <c r="AR1010" s="35"/>
      <c r="AS1010" s="35"/>
      <c r="AT1010" s="35"/>
      <c r="AU1010" s="35"/>
      <c r="AV1010" s="35"/>
      <c r="AW1010" s="35"/>
      <c r="AX1010" s="35"/>
      <c r="AY1010" s="35"/>
      <c r="AZ1010" s="35"/>
      <c r="BA1010" s="35"/>
      <c r="BB1010" s="35"/>
      <c r="BC1010" s="35"/>
      <c r="BD1010" s="35"/>
      <c r="BE1010" s="35"/>
      <c r="BF1010" s="35"/>
      <c r="BG1010" s="35"/>
      <c r="BH1010" s="35"/>
      <c r="BI1010" s="35"/>
      <c r="BJ1010" s="35"/>
      <c r="BK1010" s="35"/>
      <c r="BL1010" s="35"/>
      <c r="BM1010" s="35"/>
      <c r="BN1010" s="35"/>
      <c r="BO1010" s="35"/>
      <c r="BP1010" s="35"/>
      <c r="BQ1010" s="35"/>
      <c r="BR1010" s="35"/>
      <c r="BS1010" s="35"/>
      <c r="BT1010" s="35"/>
      <c r="BU1010" s="35"/>
      <c r="BV1010" s="35"/>
      <c r="BW1010" s="35"/>
      <c r="BX1010" s="35"/>
      <c r="BY1010" s="35"/>
      <c r="BZ1010" s="35"/>
      <c r="CA1010" s="35"/>
      <c r="CB1010" s="35"/>
      <c r="CC1010" s="35"/>
      <c r="CD1010" s="35"/>
      <c r="CE1010" s="35"/>
      <c r="CF1010" s="35"/>
      <c r="CG1010" s="35"/>
      <c r="CH1010" s="35"/>
      <c r="CI1010" s="35"/>
      <c r="CJ1010" s="35"/>
      <c r="CK1010" s="35"/>
      <c r="CL1010" s="35"/>
      <c r="CM1010" s="35"/>
      <c r="CN1010" s="35"/>
      <c r="CO1010" s="35"/>
      <c r="CP1010" s="35"/>
      <c r="CQ1010" s="35"/>
      <c r="CR1010" s="35"/>
      <c r="CS1010" s="35"/>
      <c r="CT1010" s="35"/>
      <c r="CU1010" s="35"/>
      <c r="CV1010" s="35"/>
      <c r="CW1010" s="35"/>
      <c r="CX1010" s="35"/>
      <c r="CY1010" s="35"/>
      <c r="CZ1010" s="35"/>
      <c r="DA1010" s="35"/>
      <c r="DB1010" s="35"/>
      <c r="DC1010" s="35"/>
      <c r="DD1010" s="35"/>
      <c r="DE1010" s="35"/>
      <c r="DF1010" s="35"/>
      <c r="DG1010" s="35"/>
      <c r="DH1010" s="35"/>
      <c r="DI1010" s="35"/>
      <c r="DJ1010" s="35"/>
      <c r="DK1010" s="35"/>
      <c r="DL1010" s="35"/>
      <c r="DM1010" s="35"/>
      <c r="DN1010" s="35"/>
      <c r="DO1010" s="35"/>
      <c r="DP1010" s="35"/>
      <c r="DQ1010" s="35"/>
      <c r="DR1010" s="35"/>
      <c r="DS1010" s="35"/>
      <c r="DT1010" s="35"/>
      <c r="DU1010" s="35"/>
      <c r="DV1010" s="35"/>
      <c r="DW1010" s="35"/>
      <c r="DX1010" s="35"/>
      <c r="DY1010" s="35"/>
      <c r="DZ1010" s="35"/>
      <c r="EA1010" s="35"/>
      <c r="EB1010" s="35"/>
      <c r="EC1010" s="35"/>
      <c r="ED1010" s="35"/>
      <c r="EE1010" s="35"/>
      <c r="EF1010" s="35"/>
      <c r="EG1010" s="35"/>
      <c r="EH1010" s="35"/>
      <c r="EI1010" s="35"/>
      <c r="EJ1010" s="35"/>
      <c r="EK1010" s="35"/>
      <c r="EL1010" s="35"/>
      <c r="EM1010" s="35"/>
      <c r="EN1010" s="35"/>
      <c r="EO1010" s="35"/>
      <c r="EP1010" s="35"/>
      <c r="EQ1010" s="35"/>
      <c r="ER1010" s="35"/>
      <c r="ES1010" s="35"/>
      <c r="ET1010" s="35"/>
      <c r="EU1010" s="35"/>
      <c r="EV1010" s="35"/>
      <c r="EW1010" s="35"/>
      <c r="EX1010" s="35"/>
      <c r="EY1010" s="35"/>
      <c r="EZ1010" s="35"/>
      <c r="FA1010" s="35"/>
      <c r="FB1010" s="35"/>
      <c r="FC1010" s="35"/>
      <c r="FD1010" s="35"/>
      <c r="FE1010" s="35"/>
      <c r="FF1010" s="35"/>
      <c r="FG1010" s="35"/>
      <c r="FH1010" s="35"/>
      <c r="FI1010" s="35"/>
      <c r="FJ1010" s="35"/>
      <c r="FK1010" s="35"/>
      <c r="FL1010" s="35"/>
      <c r="FM1010" s="35"/>
      <c r="FN1010" s="35"/>
      <c r="FO1010" s="35"/>
      <c r="FP1010" s="35"/>
      <c r="FQ1010" s="35"/>
      <c r="FR1010" s="35"/>
      <c r="FS1010" s="35"/>
      <c r="FT1010" s="35"/>
      <c r="FU1010" s="35"/>
      <c r="FV1010" s="35"/>
      <c r="FW1010" s="35"/>
      <c r="FX1010" s="35"/>
      <c r="FY1010" s="35"/>
      <c r="FZ1010" s="35"/>
      <c r="GA1010" s="35"/>
      <c r="GB1010" s="35"/>
      <c r="GC1010" s="35"/>
      <c r="GD1010" s="35"/>
      <c r="GE1010" s="35"/>
      <c r="GF1010" s="35"/>
      <c r="GG1010" s="35"/>
      <c r="GH1010" s="35"/>
      <c r="GI1010" s="35"/>
      <c r="GJ1010" s="35"/>
      <c r="GK1010" s="35"/>
      <c r="GL1010" s="35"/>
      <c r="GM1010" s="35"/>
      <c r="GN1010" s="35"/>
      <c r="GO1010" s="35"/>
      <c r="GP1010" s="35"/>
      <c r="GQ1010" s="35"/>
      <c r="GR1010" s="35"/>
      <c r="GS1010" s="35"/>
      <c r="GT1010" s="35"/>
      <c r="GU1010" s="35"/>
      <c r="GV1010" s="35"/>
      <c r="GW1010" s="35"/>
      <c r="GX1010" s="35"/>
      <c r="GY1010" s="35"/>
      <c r="GZ1010" s="35"/>
      <c r="HA1010" s="35"/>
      <c r="HB1010" s="35"/>
      <c r="HC1010" s="35"/>
      <c r="HD1010" s="35"/>
      <c r="HE1010" s="35"/>
      <c r="HF1010" s="35"/>
      <c r="HG1010" s="35"/>
      <c r="HH1010" s="35"/>
      <c r="HI1010" s="35"/>
      <c r="HJ1010" s="35"/>
      <c r="HK1010" s="35"/>
      <c r="HL1010" s="35"/>
      <c r="HM1010" s="35"/>
      <c r="HN1010" s="35"/>
      <c r="HO1010" s="35"/>
      <c r="HP1010" s="35"/>
      <c r="HQ1010" s="35"/>
      <c r="HR1010" s="35"/>
      <c r="HS1010" s="35"/>
      <c r="HT1010" s="35"/>
      <c r="HU1010" s="35"/>
      <c r="HV1010" s="35"/>
      <c r="HW1010" s="35"/>
      <c r="HX1010" s="35"/>
      <c r="HY1010" s="35"/>
      <c r="HZ1010" s="35"/>
      <c r="IA1010" s="35"/>
      <c r="IB1010" s="35"/>
      <c r="IC1010" s="35"/>
      <c r="ID1010" s="35"/>
      <c r="IE1010" s="35"/>
      <c r="IF1010" s="35"/>
      <c r="IG1010" s="35"/>
      <c r="IH1010" s="35"/>
      <c r="II1010" s="35"/>
      <c r="IJ1010" s="35"/>
      <c r="IK1010" s="35"/>
      <c r="IL1010" s="35"/>
      <c r="IM1010" s="35"/>
      <c r="IN1010" s="35"/>
      <c r="IO1010" s="35"/>
      <c r="IP1010" s="35"/>
      <c r="IQ1010" s="35"/>
      <c r="IR1010" s="35"/>
      <c r="IS1010" s="35"/>
      <c r="IT1010" s="35"/>
      <c r="IU1010" s="35"/>
      <c r="IV1010" s="35"/>
      <c r="IW1010" s="35"/>
      <c r="IX1010" s="35"/>
      <c r="IY1010" s="35"/>
      <c r="IZ1010" s="35"/>
      <c r="JA1010" s="35"/>
      <c r="JB1010" s="35"/>
      <c r="JC1010" s="35"/>
      <c r="JD1010" s="35"/>
      <c r="JE1010" s="35"/>
    </row>
    <row r="1011">
      <c r="A1011" s="42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5"/>
      <c r="AR1011" s="35"/>
      <c r="AS1011" s="35"/>
      <c r="AT1011" s="35"/>
      <c r="AU1011" s="35"/>
      <c r="AV1011" s="35"/>
      <c r="AW1011" s="35"/>
      <c r="AX1011" s="35"/>
      <c r="AY1011" s="35"/>
      <c r="AZ1011" s="35"/>
      <c r="BA1011" s="35"/>
      <c r="BB1011" s="35"/>
      <c r="BC1011" s="35"/>
      <c r="BD1011" s="35"/>
      <c r="BE1011" s="35"/>
      <c r="BF1011" s="35"/>
      <c r="BG1011" s="35"/>
      <c r="BH1011" s="35"/>
      <c r="BI1011" s="35"/>
      <c r="BJ1011" s="35"/>
      <c r="BK1011" s="35"/>
      <c r="BL1011" s="35"/>
      <c r="BM1011" s="35"/>
      <c r="BN1011" s="35"/>
      <c r="BO1011" s="35"/>
      <c r="BP1011" s="35"/>
      <c r="BQ1011" s="35"/>
      <c r="BR1011" s="35"/>
      <c r="BS1011" s="35"/>
      <c r="BT1011" s="35"/>
      <c r="BU1011" s="35"/>
      <c r="BV1011" s="35"/>
      <c r="BW1011" s="35"/>
      <c r="BX1011" s="35"/>
      <c r="BY1011" s="35"/>
      <c r="BZ1011" s="35"/>
      <c r="CA1011" s="35"/>
      <c r="CB1011" s="35"/>
      <c r="CC1011" s="35"/>
      <c r="CD1011" s="35"/>
      <c r="CE1011" s="35"/>
      <c r="CF1011" s="35"/>
      <c r="CG1011" s="35"/>
      <c r="CH1011" s="35"/>
      <c r="CI1011" s="35"/>
      <c r="CJ1011" s="35"/>
      <c r="CK1011" s="35"/>
      <c r="CL1011" s="35"/>
      <c r="CM1011" s="35"/>
      <c r="CN1011" s="35"/>
      <c r="CO1011" s="35"/>
      <c r="CP1011" s="35"/>
      <c r="CQ1011" s="35"/>
      <c r="CR1011" s="35"/>
      <c r="CS1011" s="35"/>
      <c r="CT1011" s="35"/>
      <c r="CU1011" s="35"/>
      <c r="CV1011" s="35"/>
      <c r="CW1011" s="35"/>
      <c r="CX1011" s="35"/>
      <c r="CY1011" s="35"/>
      <c r="CZ1011" s="35"/>
      <c r="DA1011" s="35"/>
      <c r="DB1011" s="35"/>
      <c r="DC1011" s="35"/>
      <c r="DD1011" s="35"/>
      <c r="DE1011" s="35"/>
      <c r="DF1011" s="35"/>
      <c r="DG1011" s="35"/>
      <c r="DH1011" s="35"/>
      <c r="DI1011" s="35"/>
      <c r="DJ1011" s="35"/>
      <c r="DK1011" s="35"/>
      <c r="DL1011" s="35"/>
      <c r="DM1011" s="35"/>
      <c r="DN1011" s="35"/>
      <c r="DO1011" s="35"/>
      <c r="DP1011" s="35"/>
      <c r="DQ1011" s="35"/>
      <c r="DR1011" s="35"/>
      <c r="DS1011" s="35"/>
      <c r="DT1011" s="35"/>
      <c r="DU1011" s="35"/>
      <c r="DV1011" s="35"/>
      <c r="DW1011" s="35"/>
      <c r="DX1011" s="35"/>
      <c r="DY1011" s="35"/>
      <c r="DZ1011" s="35"/>
      <c r="EA1011" s="35"/>
      <c r="EB1011" s="35"/>
      <c r="EC1011" s="35"/>
      <c r="ED1011" s="35"/>
      <c r="EE1011" s="35"/>
      <c r="EF1011" s="35"/>
      <c r="EG1011" s="35"/>
      <c r="EH1011" s="35"/>
      <c r="EI1011" s="35"/>
      <c r="EJ1011" s="35"/>
      <c r="EK1011" s="35"/>
      <c r="EL1011" s="35"/>
      <c r="EM1011" s="35"/>
      <c r="EN1011" s="35"/>
      <c r="EO1011" s="35"/>
      <c r="EP1011" s="35"/>
      <c r="EQ1011" s="35"/>
      <c r="ER1011" s="35"/>
      <c r="ES1011" s="35"/>
      <c r="ET1011" s="35"/>
      <c r="EU1011" s="35"/>
      <c r="EV1011" s="35"/>
      <c r="EW1011" s="35"/>
      <c r="EX1011" s="35"/>
      <c r="EY1011" s="35"/>
      <c r="EZ1011" s="35"/>
      <c r="FA1011" s="35"/>
      <c r="FB1011" s="35"/>
      <c r="FC1011" s="35"/>
      <c r="FD1011" s="35"/>
      <c r="FE1011" s="35"/>
      <c r="FF1011" s="35"/>
      <c r="FG1011" s="35"/>
      <c r="FH1011" s="35"/>
      <c r="FI1011" s="35"/>
      <c r="FJ1011" s="35"/>
      <c r="FK1011" s="35"/>
      <c r="FL1011" s="35"/>
      <c r="FM1011" s="35"/>
      <c r="FN1011" s="35"/>
      <c r="FO1011" s="35"/>
      <c r="FP1011" s="35"/>
      <c r="FQ1011" s="35"/>
      <c r="FR1011" s="35"/>
      <c r="FS1011" s="35"/>
      <c r="FT1011" s="35"/>
      <c r="FU1011" s="35"/>
      <c r="FV1011" s="35"/>
      <c r="FW1011" s="35"/>
      <c r="FX1011" s="35"/>
      <c r="FY1011" s="35"/>
      <c r="FZ1011" s="35"/>
      <c r="GA1011" s="35"/>
      <c r="GB1011" s="35"/>
      <c r="GC1011" s="35"/>
      <c r="GD1011" s="35"/>
      <c r="GE1011" s="35"/>
      <c r="GF1011" s="35"/>
      <c r="GG1011" s="35"/>
      <c r="GH1011" s="35"/>
      <c r="GI1011" s="35"/>
      <c r="GJ1011" s="35"/>
      <c r="GK1011" s="35"/>
      <c r="GL1011" s="35"/>
      <c r="GM1011" s="35"/>
      <c r="GN1011" s="35"/>
      <c r="GO1011" s="35"/>
      <c r="GP1011" s="35"/>
      <c r="GQ1011" s="35"/>
      <c r="GR1011" s="35"/>
      <c r="GS1011" s="35"/>
      <c r="GT1011" s="35"/>
      <c r="GU1011" s="35"/>
      <c r="GV1011" s="35"/>
      <c r="GW1011" s="35"/>
      <c r="GX1011" s="35"/>
      <c r="GY1011" s="35"/>
      <c r="GZ1011" s="35"/>
      <c r="HA1011" s="35"/>
      <c r="HB1011" s="35"/>
      <c r="HC1011" s="35"/>
      <c r="HD1011" s="35"/>
      <c r="HE1011" s="35"/>
      <c r="HF1011" s="35"/>
      <c r="HG1011" s="35"/>
      <c r="HH1011" s="35"/>
      <c r="HI1011" s="35"/>
      <c r="HJ1011" s="35"/>
      <c r="HK1011" s="35"/>
      <c r="HL1011" s="35"/>
      <c r="HM1011" s="35"/>
      <c r="HN1011" s="35"/>
      <c r="HO1011" s="35"/>
      <c r="HP1011" s="35"/>
      <c r="HQ1011" s="35"/>
      <c r="HR1011" s="35"/>
      <c r="HS1011" s="35"/>
      <c r="HT1011" s="35"/>
      <c r="HU1011" s="35"/>
      <c r="HV1011" s="35"/>
      <c r="HW1011" s="35"/>
      <c r="HX1011" s="35"/>
      <c r="HY1011" s="35"/>
      <c r="HZ1011" s="35"/>
      <c r="IA1011" s="35"/>
      <c r="IB1011" s="35"/>
      <c r="IC1011" s="35"/>
      <c r="ID1011" s="35"/>
      <c r="IE1011" s="35"/>
      <c r="IF1011" s="35"/>
      <c r="IG1011" s="35"/>
      <c r="IH1011" s="35"/>
      <c r="II1011" s="35"/>
      <c r="IJ1011" s="35"/>
      <c r="IK1011" s="35"/>
      <c r="IL1011" s="35"/>
      <c r="IM1011" s="35"/>
      <c r="IN1011" s="35"/>
      <c r="IO1011" s="35"/>
      <c r="IP1011" s="35"/>
      <c r="IQ1011" s="35"/>
      <c r="IR1011" s="35"/>
      <c r="IS1011" s="35"/>
      <c r="IT1011" s="35"/>
      <c r="IU1011" s="35"/>
      <c r="IV1011" s="35"/>
      <c r="IW1011" s="35"/>
      <c r="IX1011" s="35"/>
      <c r="IY1011" s="35"/>
      <c r="IZ1011" s="35"/>
      <c r="JA1011" s="35"/>
      <c r="JB1011" s="35"/>
      <c r="JC1011" s="35"/>
      <c r="JD1011" s="35"/>
      <c r="JE1011" s="35"/>
    </row>
    <row r="1012">
      <c r="A1012" s="42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5"/>
      <c r="AR1012" s="35"/>
      <c r="AS1012" s="35"/>
      <c r="AT1012" s="35"/>
      <c r="AU1012" s="35"/>
      <c r="AV1012" s="35"/>
      <c r="AW1012" s="35"/>
      <c r="AX1012" s="35"/>
      <c r="AY1012" s="35"/>
      <c r="AZ1012" s="35"/>
      <c r="BA1012" s="35"/>
      <c r="BB1012" s="35"/>
      <c r="BC1012" s="35"/>
      <c r="BD1012" s="35"/>
      <c r="BE1012" s="35"/>
      <c r="BF1012" s="35"/>
      <c r="BG1012" s="35"/>
      <c r="BH1012" s="35"/>
      <c r="BI1012" s="35"/>
      <c r="BJ1012" s="35"/>
      <c r="BK1012" s="35"/>
      <c r="BL1012" s="35"/>
      <c r="BM1012" s="35"/>
      <c r="BN1012" s="35"/>
      <c r="BO1012" s="35"/>
      <c r="BP1012" s="35"/>
      <c r="BQ1012" s="35"/>
      <c r="BR1012" s="35"/>
      <c r="BS1012" s="35"/>
      <c r="BT1012" s="35"/>
      <c r="BU1012" s="35"/>
      <c r="BV1012" s="35"/>
      <c r="BW1012" s="35"/>
      <c r="BX1012" s="35"/>
      <c r="BY1012" s="35"/>
      <c r="BZ1012" s="35"/>
      <c r="CA1012" s="35"/>
      <c r="CB1012" s="35"/>
      <c r="CC1012" s="35"/>
      <c r="CD1012" s="35"/>
      <c r="CE1012" s="35"/>
      <c r="CF1012" s="35"/>
      <c r="CG1012" s="35"/>
      <c r="CH1012" s="35"/>
      <c r="CI1012" s="35"/>
      <c r="CJ1012" s="35"/>
      <c r="CK1012" s="35"/>
      <c r="CL1012" s="35"/>
      <c r="CM1012" s="35"/>
      <c r="CN1012" s="35"/>
      <c r="CO1012" s="35"/>
      <c r="CP1012" s="35"/>
      <c r="CQ1012" s="35"/>
      <c r="CR1012" s="35"/>
      <c r="CS1012" s="35"/>
      <c r="CT1012" s="35"/>
      <c r="CU1012" s="35"/>
      <c r="CV1012" s="35"/>
      <c r="CW1012" s="35"/>
      <c r="CX1012" s="35"/>
      <c r="CY1012" s="35"/>
      <c r="CZ1012" s="35"/>
      <c r="DA1012" s="35"/>
      <c r="DB1012" s="35"/>
      <c r="DC1012" s="35"/>
      <c r="DD1012" s="35"/>
      <c r="DE1012" s="35"/>
      <c r="DF1012" s="35"/>
      <c r="DG1012" s="35"/>
      <c r="DH1012" s="35"/>
      <c r="DI1012" s="35"/>
      <c r="DJ1012" s="35"/>
      <c r="DK1012" s="35"/>
      <c r="DL1012" s="35"/>
      <c r="DM1012" s="35"/>
      <c r="DN1012" s="35"/>
      <c r="DO1012" s="35"/>
      <c r="DP1012" s="35"/>
      <c r="DQ1012" s="35"/>
      <c r="DR1012" s="35"/>
      <c r="DS1012" s="35"/>
      <c r="DT1012" s="35"/>
      <c r="DU1012" s="35"/>
      <c r="DV1012" s="35"/>
      <c r="DW1012" s="35"/>
      <c r="DX1012" s="35"/>
      <c r="DY1012" s="35"/>
      <c r="DZ1012" s="35"/>
      <c r="EA1012" s="35"/>
      <c r="EB1012" s="35"/>
      <c r="EC1012" s="35"/>
      <c r="ED1012" s="35"/>
      <c r="EE1012" s="35"/>
      <c r="EF1012" s="35"/>
      <c r="EG1012" s="35"/>
      <c r="EH1012" s="35"/>
      <c r="EI1012" s="35"/>
      <c r="EJ1012" s="35"/>
      <c r="EK1012" s="35"/>
      <c r="EL1012" s="35"/>
      <c r="EM1012" s="35"/>
      <c r="EN1012" s="35"/>
      <c r="EO1012" s="35"/>
      <c r="EP1012" s="35"/>
      <c r="EQ1012" s="35"/>
      <c r="ER1012" s="35"/>
      <c r="ES1012" s="35"/>
      <c r="ET1012" s="35"/>
      <c r="EU1012" s="35"/>
      <c r="EV1012" s="35"/>
      <c r="EW1012" s="35"/>
      <c r="EX1012" s="35"/>
      <c r="EY1012" s="35"/>
      <c r="EZ1012" s="35"/>
      <c r="FA1012" s="35"/>
      <c r="FB1012" s="35"/>
      <c r="FC1012" s="35"/>
      <c r="FD1012" s="35"/>
      <c r="FE1012" s="35"/>
      <c r="FF1012" s="35"/>
      <c r="FG1012" s="35"/>
      <c r="FH1012" s="35"/>
      <c r="FI1012" s="35"/>
      <c r="FJ1012" s="35"/>
      <c r="FK1012" s="35"/>
      <c r="FL1012" s="35"/>
      <c r="FM1012" s="35"/>
      <c r="FN1012" s="35"/>
      <c r="FO1012" s="35"/>
      <c r="FP1012" s="35"/>
      <c r="FQ1012" s="35"/>
      <c r="FR1012" s="35"/>
      <c r="FS1012" s="35"/>
      <c r="FT1012" s="35"/>
      <c r="FU1012" s="35"/>
      <c r="FV1012" s="35"/>
      <c r="FW1012" s="35"/>
      <c r="FX1012" s="35"/>
      <c r="FY1012" s="35"/>
      <c r="FZ1012" s="35"/>
      <c r="GA1012" s="35"/>
      <c r="GB1012" s="35"/>
      <c r="GC1012" s="35"/>
      <c r="GD1012" s="35"/>
      <c r="GE1012" s="35"/>
      <c r="GF1012" s="35"/>
      <c r="GG1012" s="35"/>
      <c r="GH1012" s="35"/>
      <c r="GI1012" s="35"/>
      <c r="GJ1012" s="35"/>
      <c r="GK1012" s="35"/>
      <c r="GL1012" s="35"/>
      <c r="GM1012" s="35"/>
      <c r="GN1012" s="35"/>
      <c r="GO1012" s="35"/>
      <c r="GP1012" s="35"/>
      <c r="GQ1012" s="35"/>
      <c r="GR1012" s="35"/>
      <c r="GS1012" s="35"/>
      <c r="GT1012" s="35"/>
      <c r="GU1012" s="35"/>
      <c r="GV1012" s="35"/>
      <c r="GW1012" s="35"/>
      <c r="GX1012" s="35"/>
      <c r="GY1012" s="35"/>
      <c r="GZ1012" s="35"/>
      <c r="HA1012" s="35"/>
      <c r="HB1012" s="35"/>
      <c r="HC1012" s="35"/>
      <c r="HD1012" s="35"/>
      <c r="HE1012" s="35"/>
      <c r="HF1012" s="35"/>
      <c r="HG1012" s="35"/>
      <c r="HH1012" s="35"/>
      <c r="HI1012" s="35"/>
      <c r="HJ1012" s="35"/>
      <c r="HK1012" s="35"/>
      <c r="HL1012" s="35"/>
      <c r="HM1012" s="35"/>
      <c r="HN1012" s="35"/>
      <c r="HO1012" s="35"/>
      <c r="HP1012" s="35"/>
      <c r="HQ1012" s="35"/>
      <c r="HR1012" s="35"/>
      <c r="HS1012" s="35"/>
      <c r="HT1012" s="35"/>
      <c r="HU1012" s="35"/>
      <c r="HV1012" s="35"/>
      <c r="HW1012" s="35"/>
      <c r="HX1012" s="35"/>
      <c r="HY1012" s="35"/>
      <c r="HZ1012" s="35"/>
      <c r="IA1012" s="35"/>
      <c r="IB1012" s="35"/>
      <c r="IC1012" s="35"/>
      <c r="ID1012" s="35"/>
      <c r="IE1012" s="35"/>
      <c r="IF1012" s="35"/>
      <c r="IG1012" s="35"/>
      <c r="IH1012" s="35"/>
      <c r="II1012" s="35"/>
      <c r="IJ1012" s="35"/>
      <c r="IK1012" s="35"/>
      <c r="IL1012" s="35"/>
      <c r="IM1012" s="35"/>
      <c r="IN1012" s="35"/>
      <c r="IO1012" s="35"/>
      <c r="IP1012" s="35"/>
      <c r="IQ1012" s="35"/>
      <c r="IR1012" s="35"/>
      <c r="IS1012" s="35"/>
      <c r="IT1012" s="35"/>
      <c r="IU1012" s="35"/>
      <c r="IV1012" s="35"/>
      <c r="IW1012" s="35"/>
      <c r="IX1012" s="35"/>
      <c r="IY1012" s="35"/>
      <c r="IZ1012" s="35"/>
      <c r="JA1012" s="35"/>
      <c r="JB1012" s="35"/>
      <c r="JC1012" s="35"/>
      <c r="JD1012" s="35"/>
      <c r="JE1012" s="35"/>
    </row>
    <row r="1013">
      <c r="A1013" s="42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5"/>
      <c r="AR1013" s="35"/>
      <c r="AS1013" s="35"/>
      <c r="AT1013" s="35"/>
      <c r="AU1013" s="35"/>
      <c r="AV1013" s="35"/>
      <c r="AW1013" s="35"/>
      <c r="AX1013" s="35"/>
      <c r="AY1013" s="35"/>
      <c r="AZ1013" s="35"/>
      <c r="BA1013" s="35"/>
      <c r="BB1013" s="35"/>
      <c r="BC1013" s="35"/>
      <c r="BD1013" s="35"/>
      <c r="BE1013" s="35"/>
      <c r="BF1013" s="35"/>
      <c r="BG1013" s="35"/>
      <c r="BH1013" s="35"/>
      <c r="BI1013" s="35"/>
      <c r="BJ1013" s="35"/>
      <c r="BK1013" s="35"/>
      <c r="BL1013" s="35"/>
      <c r="BM1013" s="35"/>
      <c r="BN1013" s="35"/>
      <c r="BO1013" s="35"/>
      <c r="BP1013" s="35"/>
      <c r="BQ1013" s="35"/>
      <c r="BR1013" s="35"/>
      <c r="BS1013" s="35"/>
      <c r="BT1013" s="35"/>
      <c r="BU1013" s="35"/>
      <c r="BV1013" s="35"/>
      <c r="BW1013" s="35"/>
      <c r="BX1013" s="35"/>
      <c r="BY1013" s="35"/>
      <c r="BZ1013" s="35"/>
      <c r="CA1013" s="35"/>
      <c r="CB1013" s="35"/>
      <c r="CC1013" s="35"/>
      <c r="CD1013" s="35"/>
      <c r="CE1013" s="35"/>
      <c r="CF1013" s="35"/>
      <c r="CG1013" s="35"/>
      <c r="CH1013" s="35"/>
      <c r="CI1013" s="35"/>
      <c r="CJ1013" s="35"/>
      <c r="CK1013" s="35"/>
      <c r="CL1013" s="35"/>
      <c r="CM1013" s="35"/>
      <c r="CN1013" s="35"/>
      <c r="CO1013" s="35"/>
      <c r="CP1013" s="35"/>
      <c r="CQ1013" s="35"/>
      <c r="CR1013" s="35"/>
      <c r="CS1013" s="35"/>
      <c r="CT1013" s="35"/>
      <c r="CU1013" s="35"/>
      <c r="CV1013" s="35"/>
      <c r="CW1013" s="35"/>
      <c r="CX1013" s="35"/>
      <c r="CY1013" s="35"/>
      <c r="CZ1013" s="35"/>
      <c r="DA1013" s="35"/>
      <c r="DB1013" s="35"/>
      <c r="DC1013" s="35"/>
      <c r="DD1013" s="35"/>
      <c r="DE1013" s="35"/>
      <c r="DF1013" s="35"/>
      <c r="DG1013" s="35"/>
      <c r="DH1013" s="35"/>
      <c r="DI1013" s="35"/>
      <c r="DJ1013" s="35"/>
      <c r="DK1013" s="35"/>
      <c r="DL1013" s="35"/>
      <c r="DM1013" s="35"/>
      <c r="DN1013" s="35"/>
      <c r="DO1013" s="35"/>
      <c r="DP1013" s="35"/>
      <c r="DQ1013" s="35"/>
      <c r="DR1013" s="35"/>
      <c r="DS1013" s="35"/>
      <c r="DT1013" s="35"/>
      <c r="DU1013" s="35"/>
      <c r="DV1013" s="35"/>
      <c r="DW1013" s="35"/>
      <c r="DX1013" s="35"/>
      <c r="DY1013" s="35"/>
      <c r="DZ1013" s="35"/>
      <c r="EA1013" s="35"/>
      <c r="EB1013" s="35"/>
      <c r="EC1013" s="35"/>
      <c r="ED1013" s="35"/>
      <c r="EE1013" s="35"/>
      <c r="EF1013" s="35"/>
      <c r="EG1013" s="35"/>
      <c r="EH1013" s="35"/>
      <c r="EI1013" s="35"/>
      <c r="EJ1013" s="35"/>
      <c r="EK1013" s="35"/>
      <c r="EL1013" s="35"/>
      <c r="EM1013" s="35"/>
      <c r="EN1013" s="35"/>
      <c r="EO1013" s="35"/>
      <c r="EP1013" s="35"/>
      <c r="EQ1013" s="35"/>
      <c r="ER1013" s="35"/>
      <c r="ES1013" s="35"/>
      <c r="ET1013" s="35"/>
      <c r="EU1013" s="35"/>
      <c r="EV1013" s="35"/>
      <c r="EW1013" s="35"/>
      <c r="EX1013" s="35"/>
      <c r="EY1013" s="35"/>
      <c r="EZ1013" s="35"/>
      <c r="FA1013" s="35"/>
      <c r="FB1013" s="35"/>
      <c r="FC1013" s="35"/>
      <c r="FD1013" s="35"/>
      <c r="FE1013" s="35"/>
      <c r="FF1013" s="35"/>
      <c r="FG1013" s="35"/>
      <c r="FH1013" s="35"/>
      <c r="FI1013" s="35"/>
      <c r="FJ1013" s="35"/>
      <c r="FK1013" s="35"/>
      <c r="FL1013" s="35"/>
      <c r="FM1013" s="35"/>
      <c r="FN1013" s="35"/>
      <c r="FO1013" s="35"/>
      <c r="FP1013" s="35"/>
      <c r="FQ1013" s="35"/>
      <c r="FR1013" s="35"/>
      <c r="FS1013" s="35"/>
      <c r="FT1013" s="35"/>
      <c r="FU1013" s="35"/>
      <c r="FV1013" s="35"/>
      <c r="FW1013" s="35"/>
      <c r="FX1013" s="35"/>
      <c r="FY1013" s="35"/>
      <c r="FZ1013" s="35"/>
      <c r="GA1013" s="35"/>
      <c r="GB1013" s="35"/>
      <c r="GC1013" s="35"/>
      <c r="GD1013" s="35"/>
      <c r="GE1013" s="35"/>
      <c r="GF1013" s="35"/>
      <c r="GG1013" s="35"/>
      <c r="GH1013" s="35"/>
      <c r="GI1013" s="35"/>
      <c r="GJ1013" s="35"/>
      <c r="GK1013" s="35"/>
      <c r="GL1013" s="35"/>
      <c r="GM1013" s="35"/>
      <c r="GN1013" s="35"/>
      <c r="GO1013" s="35"/>
      <c r="GP1013" s="35"/>
      <c r="GQ1013" s="35"/>
      <c r="GR1013" s="35"/>
      <c r="GS1013" s="35"/>
      <c r="GT1013" s="35"/>
      <c r="GU1013" s="35"/>
      <c r="GV1013" s="35"/>
      <c r="GW1013" s="35"/>
      <c r="GX1013" s="35"/>
      <c r="GY1013" s="35"/>
      <c r="GZ1013" s="35"/>
      <c r="HA1013" s="35"/>
      <c r="HB1013" s="35"/>
      <c r="HC1013" s="35"/>
      <c r="HD1013" s="35"/>
      <c r="HE1013" s="35"/>
      <c r="HF1013" s="35"/>
      <c r="HG1013" s="35"/>
      <c r="HH1013" s="35"/>
      <c r="HI1013" s="35"/>
      <c r="HJ1013" s="35"/>
      <c r="HK1013" s="35"/>
      <c r="HL1013" s="35"/>
      <c r="HM1013" s="35"/>
      <c r="HN1013" s="35"/>
      <c r="HO1013" s="35"/>
      <c r="HP1013" s="35"/>
      <c r="HQ1013" s="35"/>
      <c r="HR1013" s="35"/>
      <c r="HS1013" s="35"/>
      <c r="HT1013" s="35"/>
      <c r="HU1013" s="35"/>
      <c r="HV1013" s="35"/>
      <c r="HW1013" s="35"/>
      <c r="HX1013" s="35"/>
      <c r="HY1013" s="35"/>
      <c r="HZ1013" s="35"/>
      <c r="IA1013" s="35"/>
      <c r="IB1013" s="35"/>
      <c r="IC1013" s="35"/>
      <c r="ID1013" s="35"/>
      <c r="IE1013" s="35"/>
      <c r="IF1013" s="35"/>
      <c r="IG1013" s="35"/>
      <c r="IH1013" s="35"/>
      <c r="II1013" s="35"/>
      <c r="IJ1013" s="35"/>
      <c r="IK1013" s="35"/>
      <c r="IL1013" s="35"/>
      <c r="IM1013" s="35"/>
      <c r="IN1013" s="35"/>
      <c r="IO1013" s="35"/>
      <c r="IP1013" s="35"/>
      <c r="IQ1013" s="35"/>
      <c r="IR1013" s="35"/>
      <c r="IS1013" s="35"/>
      <c r="IT1013" s="35"/>
      <c r="IU1013" s="35"/>
      <c r="IV1013" s="35"/>
      <c r="IW1013" s="35"/>
      <c r="IX1013" s="35"/>
      <c r="IY1013" s="35"/>
      <c r="IZ1013" s="35"/>
      <c r="JA1013" s="35"/>
      <c r="JB1013" s="35"/>
      <c r="JC1013" s="35"/>
      <c r="JD1013" s="35"/>
      <c r="JE1013" s="35"/>
    </row>
    <row r="1014">
      <c r="A1014" s="42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5"/>
      <c r="AR1014" s="35"/>
      <c r="AS1014" s="35"/>
      <c r="AT1014" s="35"/>
      <c r="AU1014" s="35"/>
      <c r="AV1014" s="35"/>
      <c r="AW1014" s="35"/>
      <c r="AX1014" s="35"/>
      <c r="AY1014" s="35"/>
      <c r="AZ1014" s="35"/>
      <c r="BA1014" s="35"/>
      <c r="BB1014" s="35"/>
      <c r="BC1014" s="35"/>
      <c r="BD1014" s="35"/>
      <c r="BE1014" s="35"/>
      <c r="BF1014" s="35"/>
      <c r="BG1014" s="35"/>
      <c r="BH1014" s="35"/>
      <c r="BI1014" s="35"/>
      <c r="BJ1014" s="35"/>
      <c r="BK1014" s="35"/>
      <c r="BL1014" s="35"/>
      <c r="BM1014" s="35"/>
      <c r="BN1014" s="35"/>
      <c r="BO1014" s="35"/>
      <c r="BP1014" s="35"/>
      <c r="BQ1014" s="35"/>
      <c r="BR1014" s="35"/>
      <c r="BS1014" s="35"/>
      <c r="BT1014" s="35"/>
      <c r="BU1014" s="35"/>
      <c r="BV1014" s="35"/>
      <c r="BW1014" s="35"/>
      <c r="BX1014" s="35"/>
      <c r="BY1014" s="35"/>
      <c r="BZ1014" s="35"/>
      <c r="CA1014" s="35"/>
      <c r="CB1014" s="35"/>
      <c r="CC1014" s="35"/>
      <c r="CD1014" s="35"/>
      <c r="CE1014" s="35"/>
      <c r="CF1014" s="35"/>
      <c r="CG1014" s="35"/>
      <c r="CH1014" s="35"/>
      <c r="CI1014" s="35"/>
      <c r="CJ1014" s="35"/>
      <c r="CK1014" s="35"/>
      <c r="CL1014" s="35"/>
      <c r="CM1014" s="35"/>
      <c r="CN1014" s="35"/>
      <c r="CO1014" s="35"/>
      <c r="CP1014" s="35"/>
      <c r="CQ1014" s="35"/>
      <c r="CR1014" s="35"/>
      <c r="CS1014" s="35"/>
      <c r="CT1014" s="35"/>
      <c r="CU1014" s="35"/>
      <c r="CV1014" s="35"/>
      <c r="CW1014" s="35"/>
      <c r="CX1014" s="35"/>
      <c r="CY1014" s="35"/>
      <c r="CZ1014" s="35"/>
      <c r="DA1014" s="35"/>
      <c r="DB1014" s="35"/>
      <c r="DC1014" s="35"/>
      <c r="DD1014" s="35"/>
      <c r="DE1014" s="35"/>
      <c r="DF1014" s="35"/>
      <c r="DG1014" s="35"/>
      <c r="DH1014" s="35"/>
      <c r="DI1014" s="35"/>
      <c r="DJ1014" s="35"/>
      <c r="DK1014" s="35"/>
      <c r="DL1014" s="35"/>
      <c r="DM1014" s="35"/>
      <c r="DN1014" s="35"/>
      <c r="DO1014" s="35"/>
      <c r="DP1014" s="35"/>
      <c r="DQ1014" s="35"/>
      <c r="DR1014" s="35"/>
      <c r="DS1014" s="35"/>
      <c r="DT1014" s="35"/>
      <c r="DU1014" s="35"/>
      <c r="DV1014" s="35"/>
      <c r="DW1014" s="35"/>
      <c r="DX1014" s="35"/>
      <c r="DY1014" s="35"/>
      <c r="DZ1014" s="35"/>
      <c r="EA1014" s="35"/>
      <c r="EB1014" s="35"/>
      <c r="EC1014" s="35"/>
      <c r="ED1014" s="35"/>
      <c r="EE1014" s="35"/>
      <c r="EF1014" s="35"/>
      <c r="EG1014" s="35"/>
      <c r="EH1014" s="35"/>
      <c r="EI1014" s="35"/>
      <c r="EJ1014" s="35"/>
      <c r="EK1014" s="35"/>
      <c r="EL1014" s="35"/>
      <c r="EM1014" s="35"/>
      <c r="EN1014" s="35"/>
      <c r="EO1014" s="35"/>
      <c r="EP1014" s="35"/>
      <c r="EQ1014" s="35"/>
      <c r="ER1014" s="35"/>
      <c r="ES1014" s="35"/>
      <c r="ET1014" s="35"/>
      <c r="EU1014" s="35"/>
      <c r="EV1014" s="35"/>
      <c r="EW1014" s="35"/>
      <c r="EX1014" s="35"/>
      <c r="EY1014" s="35"/>
      <c r="EZ1014" s="35"/>
      <c r="FA1014" s="35"/>
      <c r="FB1014" s="35"/>
      <c r="FC1014" s="35"/>
      <c r="FD1014" s="35"/>
      <c r="FE1014" s="35"/>
      <c r="FF1014" s="35"/>
      <c r="FG1014" s="35"/>
      <c r="FH1014" s="35"/>
      <c r="FI1014" s="35"/>
      <c r="FJ1014" s="35"/>
      <c r="FK1014" s="35"/>
      <c r="FL1014" s="35"/>
      <c r="FM1014" s="35"/>
      <c r="FN1014" s="35"/>
      <c r="FO1014" s="35"/>
      <c r="FP1014" s="35"/>
      <c r="FQ1014" s="35"/>
      <c r="FR1014" s="35"/>
      <c r="FS1014" s="35"/>
      <c r="FT1014" s="35"/>
      <c r="FU1014" s="35"/>
      <c r="FV1014" s="35"/>
      <c r="FW1014" s="35"/>
      <c r="FX1014" s="35"/>
      <c r="FY1014" s="35"/>
      <c r="FZ1014" s="35"/>
      <c r="GA1014" s="35"/>
      <c r="GB1014" s="35"/>
      <c r="GC1014" s="35"/>
      <c r="GD1014" s="35"/>
      <c r="GE1014" s="35"/>
      <c r="GF1014" s="35"/>
      <c r="GG1014" s="35"/>
      <c r="GH1014" s="35"/>
      <c r="GI1014" s="35"/>
      <c r="GJ1014" s="35"/>
      <c r="GK1014" s="35"/>
      <c r="GL1014" s="35"/>
      <c r="GM1014" s="35"/>
      <c r="GN1014" s="35"/>
      <c r="GO1014" s="35"/>
      <c r="GP1014" s="35"/>
      <c r="GQ1014" s="35"/>
      <c r="GR1014" s="35"/>
      <c r="GS1014" s="35"/>
      <c r="GT1014" s="35"/>
      <c r="GU1014" s="35"/>
      <c r="GV1014" s="35"/>
      <c r="GW1014" s="35"/>
      <c r="GX1014" s="35"/>
      <c r="GY1014" s="35"/>
      <c r="GZ1014" s="35"/>
      <c r="HA1014" s="35"/>
      <c r="HB1014" s="35"/>
      <c r="HC1014" s="35"/>
      <c r="HD1014" s="35"/>
      <c r="HE1014" s="35"/>
      <c r="HF1014" s="35"/>
      <c r="HG1014" s="35"/>
      <c r="HH1014" s="35"/>
      <c r="HI1014" s="35"/>
      <c r="HJ1014" s="35"/>
      <c r="HK1014" s="35"/>
      <c r="HL1014" s="35"/>
      <c r="HM1014" s="35"/>
      <c r="HN1014" s="35"/>
      <c r="HO1014" s="35"/>
      <c r="HP1014" s="35"/>
      <c r="HQ1014" s="35"/>
      <c r="HR1014" s="35"/>
      <c r="HS1014" s="35"/>
      <c r="HT1014" s="35"/>
      <c r="HU1014" s="35"/>
      <c r="HV1014" s="35"/>
      <c r="HW1014" s="35"/>
      <c r="HX1014" s="35"/>
      <c r="HY1014" s="35"/>
      <c r="HZ1014" s="35"/>
      <c r="IA1014" s="35"/>
      <c r="IB1014" s="35"/>
      <c r="IC1014" s="35"/>
      <c r="ID1014" s="35"/>
      <c r="IE1014" s="35"/>
      <c r="IF1014" s="35"/>
      <c r="IG1014" s="35"/>
      <c r="IH1014" s="35"/>
      <c r="II1014" s="35"/>
      <c r="IJ1014" s="35"/>
      <c r="IK1014" s="35"/>
      <c r="IL1014" s="35"/>
      <c r="IM1014" s="35"/>
      <c r="IN1014" s="35"/>
      <c r="IO1014" s="35"/>
      <c r="IP1014" s="35"/>
      <c r="IQ1014" s="35"/>
      <c r="IR1014" s="35"/>
      <c r="IS1014" s="35"/>
      <c r="IT1014" s="35"/>
      <c r="IU1014" s="35"/>
      <c r="IV1014" s="35"/>
      <c r="IW1014" s="35"/>
      <c r="IX1014" s="35"/>
      <c r="IY1014" s="35"/>
      <c r="IZ1014" s="35"/>
      <c r="JA1014" s="35"/>
      <c r="JB1014" s="35"/>
      <c r="JC1014" s="35"/>
      <c r="JD1014" s="35"/>
      <c r="JE1014" s="35"/>
    </row>
    <row r="1015">
      <c r="A1015" s="42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5"/>
      <c r="AR1015" s="35"/>
      <c r="AS1015" s="35"/>
      <c r="AT1015" s="35"/>
      <c r="AU1015" s="35"/>
      <c r="AV1015" s="35"/>
      <c r="AW1015" s="35"/>
      <c r="AX1015" s="35"/>
      <c r="AY1015" s="35"/>
      <c r="AZ1015" s="35"/>
      <c r="BA1015" s="35"/>
      <c r="BB1015" s="35"/>
      <c r="BC1015" s="35"/>
      <c r="BD1015" s="35"/>
      <c r="BE1015" s="35"/>
      <c r="BF1015" s="35"/>
      <c r="BG1015" s="35"/>
      <c r="BH1015" s="35"/>
      <c r="BI1015" s="35"/>
      <c r="BJ1015" s="35"/>
      <c r="BK1015" s="35"/>
      <c r="BL1015" s="35"/>
      <c r="BM1015" s="35"/>
      <c r="BN1015" s="35"/>
      <c r="BO1015" s="35"/>
      <c r="BP1015" s="35"/>
      <c r="BQ1015" s="35"/>
      <c r="BR1015" s="35"/>
      <c r="BS1015" s="35"/>
      <c r="BT1015" s="35"/>
      <c r="BU1015" s="35"/>
      <c r="BV1015" s="35"/>
      <c r="BW1015" s="35"/>
      <c r="BX1015" s="35"/>
      <c r="BY1015" s="35"/>
      <c r="BZ1015" s="35"/>
      <c r="CA1015" s="35"/>
      <c r="CB1015" s="35"/>
      <c r="CC1015" s="35"/>
      <c r="CD1015" s="35"/>
      <c r="CE1015" s="35"/>
      <c r="CF1015" s="35"/>
      <c r="CG1015" s="35"/>
      <c r="CH1015" s="35"/>
      <c r="CI1015" s="35"/>
      <c r="CJ1015" s="35"/>
      <c r="CK1015" s="35"/>
      <c r="CL1015" s="35"/>
      <c r="CM1015" s="35"/>
      <c r="CN1015" s="35"/>
      <c r="CO1015" s="35"/>
      <c r="CP1015" s="35"/>
      <c r="CQ1015" s="35"/>
      <c r="CR1015" s="35"/>
      <c r="CS1015" s="35"/>
      <c r="CT1015" s="35"/>
      <c r="CU1015" s="35"/>
      <c r="CV1015" s="35"/>
      <c r="CW1015" s="35"/>
      <c r="CX1015" s="35"/>
      <c r="CY1015" s="35"/>
      <c r="CZ1015" s="35"/>
      <c r="DA1015" s="35"/>
      <c r="DB1015" s="35"/>
      <c r="DC1015" s="35"/>
      <c r="DD1015" s="35"/>
      <c r="DE1015" s="35"/>
      <c r="DF1015" s="35"/>
      <c r="DG1015" s="35"/>
      <c r="DH1015" s="35"/>
      <c r="DI1015" s="35"/>
      <c r="DJ1015" s="35"/>
      <c r="DK1015" s="35"/>
      <c r="DL1015" s="35"/>
      <c r="DM1015" s="35"/>
      <c r="DN1015" s="35"/>
      <c r="DO1015" s="35"/>
      <c r="DP1015" s="35"/>
      <c r="DQ1015" s="35"/>
      <c r="DR1015" s="35"/>
      <c r="DS1015" s="35"/>
      <c r="DT1015" s="35"/>
      <c r="DU1015" s="35"/>
      <c r="DV1015" s="35"/>
      <c r="DW1015" s="35"/>
      <c r="DX1015" s="35"/>
      <c r="DY1015" s="35"/>
      <c r="DZ1015" s="35"/>
      <c r="EA1015" s="35"/>
      <c r="EB1015" s="35"/>
      <c r="EC1015" s="35"/>
      <c r="ED1015" s="35"/>
      <c r="EE1015" s="35"/>
      <c r="EF1015" s="35"/>
      <c r="EG1015" s="35"/>
      <c r="EH1015" s="35"/>
      <c r="EI1015" s="35"/>
      <c r="EJ1015" s="35"/>
      <c r="EK1015" s="35"/>
      <c r="EL1015" s="35"/>
      <c r="EM1015" s="35"/>
      <c r="EN1015" s="35"/>
      <c r="EO1015" s="35"/>
      <c r="EP1015" s="35"/>
      <c r="EQ1015" s="35"/>
      <c r="ER1015" s="35"/>
      <c r="ES1015" s="35"/>
      <c r="ET1015" s="35"/>
      <c r="EU1015" s="35"/>
      <c r="EV1015" s="35"/>
      <c r="EW1015" s="35"/>
      <c r="EX1015" s="35"/>
      <c r="EY1015" s="35"/>
      <c r="EZ1015" s="35"/>
      <c r="FA1015" s="35"/>
      <c r="FB1015" s="35"/>
      <c r="FC1015" s="35"/>
      <c r="FD1015" s="35"/>
      <c r="FE1015" s="35"/>
      <c r="FF1015" s="35"/>
      <c r="FG1015" s="35"/>
      <c r="FH1015" s="35"/>
      <c r="FI1015" s="35"/>
      <c r="FJ1015" s="35"/>
      <c r="FK1015" s="35"/>
      <c r="FL1015" s="35"/>
      <c r="FM1015" s="35"/>
      <c r="FN1015" s="35"/>
      <c r="FO1015" s="35"/>
      <c r="FP1015" s="35"/>
      <c r="FQ1015" s="35"/>
      <c r="FR1015" s="35"/>
      <c r="FS1015" s="35"/>
      <c r="FT1015" s="35"/>
      <c r="FU1015" s="35"/>
      <c r="FV1015" s="35"/>
      <c r="FW1015" s="35"/>
      <c r="FX1015" s="35"/>
      <c r="FY1015" s="35"/>
      <c r="FZ1015" s="35"/>
      <c r="GA1015" s="35"/>
      <c r="GB1015" s="35"/>
      <c r="GC1015" s="35"/>
      <c r="GD1015" s="35"/>
      <c r="GE1015" s="35"/>
      <c r="GF1015" s="35"/>
      <c r="GG1015" s="35"/>
      <c r="GH1015" s="35"/>
      <c r="GI1015" s="35"/>
      <c r="GJ1015" s="35"/>
      <c r="GK1015" s="35"/>
      <c r="GL1015" s="35"/>
      <c r="GM1015" s="35"/>
      <c r="GN1015" s="35"/>
      <c r="GO1015" s="35"/>
      <c r="GP1015" s="35"/>
      <c r="GQ1015" s="35"/>
      <c r="GR1015" s="35"/>
      <c r="GS1015" s="35"/>
      <c r="GT1015" s="35"/>
      <c r="GU1015" s="35"/>
      <c r="GV1015" s="35"/>
      <c r="GW1015" s="35"/>
      <c r="GX1015" s="35"/>
      <c r="GY1015" s="35"/>
      <c r="GZ1015" s="35"/>
      <c r="HA1015" s="35"/>
      <c r="HB1015" s="35"/>
      <c r="HC1015" s="35"/>
      <c r="HD1015" s="35"/>
      <c r="HE1015" s="35"/>
      <c r="HF1015" s="35"/>
      <c r="HG1015" s="35"/>
      <c r="HH1015" s="35"/>
      <c r="HI1015" s="35"/>
      <c r="HJ1015" s="35"/>
      <c r="HK1015" s="35"/>
      <c r="HL1015" s="35"/>
      <c r="HM1015" s="35"/>
      <c r="HN1015" s="35"/>
      <c r="HO1015" s="35"/>
      <c r="HP1015" s="35"/>
      <c r="HQ1015" s="35"/>
      <c r="HR1015" s="35"/>
      <c r="HS1015" s="35"/>
      <c r="HT1015" s="35"/>
      <c r="HU1015" s="35"/>
      <c r="HV1015" s="35"/>
      <c r="HW1015" s="35"/>
      <c r="HX1015" s="35"/>
      <c r="HY1015" s="35"/>
      <c r="HZ1015" s="35"/>
      <c r="IA1015" s="35"/>
      <c r="IB1015" s="35"/>
      <c r="IC1015" s="35"/>
      <c r="ID1015" s="35"/>
      <c r="IE1015" s="35"/>
      <c r="IF1015" s="35"/>
      <c r="IG1015" s="35"/>
      <c r="IH1015" s="35"/>
      <c r="II1015" s="35"/>
      <c r="IJ1015" s="35"/>
      <c r="IK1015" s="35"/>
      <c r="IL1015" s="35"/>
      <c r="IM1015" s="35"/>
      <c r="IN1015" s="35"/>
      <c r="IO1015" s="35"/>
      <c r="IP1015" s="35"/>
      <c r="IQ1015" s="35"/>
      <c r="IR1015" s="35"/>
      <c r="IS1015" s="35"/>
      <c r="IT1015" s="35"/>
      <c r="IU1015" s="35"/>
      <c r="IV1015" s="35"/>
      <c r="IW1015" s="35"/>
      <c r="IX1015" s="35"/>
      <c r="IY1015" s="35"/>
      <c r="IZ1015" s="35"/>
      <c r="JA1015" s="35"/>
      <c r="JB1015" s="35"/>
      <c r="JC1015" s="35"/>
      <c r="JD1015" s="35"/>
      <c r="JE1015" s="35"/>
    </row>
    <row r="1016">
      <c r="A1016" s="42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  <c r="AF1016" s="35"/>
      <c r="AG1016" s="35"/>
      <c r="AH1016" s="35"/>
      <c r="AI1016" s="35"/>
      <c r="AJ1016" s="35"/>
      <c r="AK1016" s="35"/>
      <c r="AL1016" s="35"/>
      <c r="AM1016" s="35"/>
      <c r="AN1016" s="35"/>
      <c r="AO1016" s="35"/>
      <c r="AP1016" s="35"/>
      <c r="AQ1016" s="35"/>
      <c r="AR1016" s="35"/>
      <c r="AS1016" s="35"/>
      <c r="AT1016" s="35"/>
      <c r="AU1016" s="35"/>
      <c r="AV1016" s="35"/>
      <c r="AW1016" s="35"/>
      <c r="AX1016" s="35"/>
      <c r="AY1016" s="35"/>
      <c r="AZ1016" s="35"/>
      <c r="BA1016" s="35"/>
      <c r="BB1016" s="35"/>
      <c r="BC1016" s="35"/>
      <c r="BD1016" s="35"/>
      <c r="BE1016" s="35"/>
      <c r="BF1016" s="35"/>
      <c r="BG1016" s="35"/>
      <c r="BH1016" s="35"/>
      <c r="BI1016" s="35"/>
      <c r="BJ1016" s="35"/>
      <c r="BK1016" s="35"/>
      <c r="BL1016" s="35"/>
      <c r="BM1016" s="35"/>
      <c r="BN1016" s="35"/>
      <c r="BO1016" s="35"/>
      <c r="BP1016" s="35"/>
      <c r="BQ1016" s="35"/>
      <c r="BR1016" s="35"/>
      <c r="BS1016" s="35"/>
      <c r="BT1016" s="35"/>
      <c r="BU1016" s="35"/>
      <c r="BV1016" s="35"/>
      <c r="BW1016" s="35"/>
      <c r="BX1016" s="35"/>
      <c r="BY1016" s="35"/>
      <c r="BZ1016" s="35"/>
      <c r="CA1016" s="35"/>
      <c r="CB1016" s="35"/>
      <c r="CC1016" s="35"/>
      <c r="CD1016" s="35"/>
      <c r="CE1016" s="35"/>
      <c r="CF1016" s="35"/>
      <c r="CG1016" s="35"/>
      <c r="CH1016" s="35"/>
      <c r="CI1016" s="35"/>
      <c r="CJ1016" s="35"/>
      <c r="CK1016" s="35"/>
      <c r="CL1016" s="35"/>
      <c r="CM1016" s="35"/>
      <c r="CN1016" s="35"/>
      <c r="CO1016" s="35"/>
      <c r="CP1016" s="35"/>
      <c r="CQ1016" s="35"/>
      <c r="CR1016" s="35"/>
      <c r="CS1016" s="35"/>
      <c r="CT1016" s="35"/>
      <c r="CU1016" s="35"/>
      <c r="CV1016" s="35"/>
      <c r="CW1016" s="35"/>
      <c r="CX1016" s="35"/>
      <c r="CY1016" s="35"/>
      <c r="CZ1016" s="35"/>
      <c r="DA1016" s="35"/>
      <c r="DB1016" s="35"/>
      <c r="DC1016" s="35"/>
      <c r="DD1016" s="35"/>
      <c r="DE1016" s="35"/>
      <c r="DF1016" s="35"/>
      <c r="DG1016" s="35"/>
      <c r="DH1016" s="35"/>
      <c r="DI1016" s="35"/>
      <c r="DJ1016" s="35"/>
      <c r="DK1016" s="35"/>
      <c r="DL1016" s="35"/>
      <c r="DM1016" s="35"/>
      <c r="DN1016" s="35"/>
      <c r="DO1016" s="35"/>
      <c r="DP1016" s="35"/>
      <c r="DQ1016" s="35"/>
      <c r="DR1016" s="35"/>
      <c r="DS1016" s="35"/>
      <c r="DT1016" s="35"/>
      <c r="DU1016" s="35"/>
      <c r="DV1016" s="35"/>
      <c r="DW1016" s="35"/>
      <c r="DX1016" s="35"/>
      <c r="DY1016" s="35"/>
      <c r="DZ1016" s="35"/>
      <c r="EA1016" s="35"/>
      <c r="EB1016" s="35"/>
      <c r="EC1016" s="35"/>
      <c r="ED1016" s="35"/>
      <c r="EE1016" s="35"/>
      <c r="EF1016" s="35"/>
      <c r="EG1016" s="35"/>
      <c r="EH1016" s="35"/>
      <c r="EI1016" s="35"/>
      <c r="EJ1016" s="35"/>
      <c r="EK1016" s="35"/>
      <c r="EL1016" s="35"/>
      <c r="EM1016" s="35"/>
      <c r="EN1016" s="35"/>
      <c r="EO1016" s="35"/>
      <c r="EP1016" s="35"/>
      <c r="EQ1016" s="35"/>
      <c r="ER1016" s="35"/>
      <c r="ES1016" s="35"/>
      <c r="ET1016" s="35"/>
      <c r="EU1016" s="35"/>
      <c r="EV1016" s="35"/>
      <c r="EW1016" s="35"/>
      <c r="EX1016" s="35"/>
      <c r="EY1016" s="35"/>
      <c r="EZ1016" s="35"/>
      <c r="FA1016" s="35"/>
      <c r="FB1016" s="35"/>
      <c r="FC1016" s="35"/>
      <c r="FD1016" s="35"/>
      <c r="FE1016" s="35"/>
      <c r="FF1016" s="35"/>
      <c r="FG1016" s="35"/>
      <c r="FH1016" s="35"/>
      <c r="FI1016" s="35"/>
      <c r="FJ1016" s="35"/>
      <c r="FK1016" s="35"/>
      <c r="FL1016" s="35"/>
      <c r="FM1016" s="35"/>
      <c r="FN1016" s="35"/>
      <c r="FO1016" s="35"/>
      <c r="FP1016" s="35"/>
      <c r="FQ1016" s="35"/>
      <c r="FR1016" s="35"/>
      <c r="FS1016" s="35"/>
      <c r="FT1016" s="35"/>
      <c r="FU1016" s="35"/>
      <c r="FV1016" s="35"/>
      <c r="FW1016" s="35"/>
      <c r="FX1016" s="35"/>
      <c r="FY1016" s="35"/>
      <c r="FZ1016" s="35"/>
      <c r="GA1016" s="35"/>
      <c r="GB1016" s="35"/>
      <c r="GC1016" s="35"/>
      <c r="GD1016" s="35"/>
      <c r="GE1016" s="35"/>
      <c r="GF1016" s="35"/>
      <c r="GG1016" s="35"/>
      <c r="GH1016" s="35"/>
      <c r="GI1016" s="35"/>
      <c r="GJ1016" s="35"/>
      <c r="GK1016" s="35"/>
      <c r="GL1016" s="35"/>
      <c r="GM1016" s="35"/>
      <c r="GN1016" s="35"/>
      <c r="GO1016" s="35"/>
      <c r="GP1016" s="35"/>
      <c r="GQ1016" s="35"/>
      <c r="GR1016" s="35"/>
      <c r="GS1016" s="35"/>
      <c r="GT1016" s="35"/>
      <c r="GU1016" s="35"/>
      <c r="GV1016" s="35"/>
      <c r="GW1016" s="35"/>
      <c r="GX1016" s="35"/>
      <c r="GY1016" s="35"/>
      <c r="GZ1016" s="35"/>
      <c r="HA1016" s="35"/>
      <c r="HB1016" s="35"/>
      <c r="HC1016" s="35"/>
      <c r="HD1016" s="35"/>
      <c r="HE1016" s="35"/>
      <c r="HF1016" s="35"/>
      <c r="HG1016" s="35"/>
      <c r="HH1016" s="35"/>
      <c r="HI1016" s="35"/>
      <c r="HJ1016" s="35"/>
      <c r="HK1016" s="35"/>
      <c r="HL1016" s="35"/>
      <c r="HM1016" s="35"/>
      <c r="HN1016" s="35"/>
      <c r="HO1016" s="35"/>
      <c r="HP1016" s="35"/>
      <c r="HQ1016" s="35"/>
      <c r="HR1016" s="35"/>
      <c r="HS1016" s="35"/>
      <c r="HT1016" s="35"/>
      <c r="HU1016" s="35"/>
      <c r="HV1016" s="35"/>
      <c r="HW1016" s="35"/>
      <c r="HX1016" s="35"/>
      <c r="HY1016" s="35"/>
      <c r="HZ1016" s="35"/>
      <c r="IA1016" s="35"/>
      <c r="IB1016" s="35"/>
      <c r="IC1016" s="35"/>
      <c r="ID1016" s="35"/>
      <c r="IE1016" s="35"/>
      <c r="IF1016" s="35"/>
      <c r="IG1016" s="35"/>
      <c r="IH1016" s="35"/>
      <c r="II1016" s="35"/>
      <c r="IJ1016" s="35"/>
      <c r="IK1016" s="35"/>
      <c r="IL1016" s="35"/>
      <c r="IM1016" s="35"/>
      <c r="IN1016" s="35"/>
      <c r="IO1016" s="35"/>
      <c r="IP1016" s="35"/>
      <c r="IQ1016" s="35"/>
      <c r="IR1016" s="35"/>
      <c r="IS1016" s="35"/>
      <c r="IT1016" s="35"/>
      <c r="IU1016" s="35"/>
      <c r="IV1016" s="35"/>
      <c r="IW1016" s="35"/>
      <c r="IX1016" s="35"/>
      <c r="IY1016" s="35"/>
      <c r="IZ1016" s="35"/>
      <c r="JA1016" s="35"/>
      <c r="JB1016" s="35"/>
      <c r="JC1016" s="35"/>
      <c r="JD1016" s="35"/>
      <c r="JE1016" s="35"/>
    </row>
    <row r="1017">
      <c r="A1017" s="42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  <c r="AF1017" s="35"/>
      <c r="AG1017" s="35"/>
      <c r="AH1017" s="35"/>
      <c r="AI1017" s="35"/>
      <c r="AJ1017" s="35"/>
      <c r="AK1017" s="35"/>
      <c r="AL1017" s="35"/>
      <c r="AM1017" s="35"/>
      <c r="AN1017" s="35"/>
      <c r="AO1017" s="35"/>
      <c r="AP1017" s="35"/>
      <c r="AQ1017" s="35"/>
      <c r="AR1017" s="35"/>
      <c r="AS1017" s="35"/>
      <c r="AT1017" s="35"/>
      <c r="AU1017" s="35"/>
      <c r="AV1017" s="35"/>
      <c r="AW1017" s="35"/>
      <c r="AX1017" s="35"/>
      <c r="AY1017" s="35"/>
      <c r="AZ1017" s="35"/>
      <c r="BA1017" s="35"/>
      <c r="BB1017" s="35"/>
      <c r="BC1017" s="35"/>
      <c r="BD1017" s="35"/>
      <c r="BE1017" s="35"/>
      <c r="BF1017" s="35"/>
      <c r="BG1017" s="35"/>
      <c r="BH1017" s="35"/>
      <c r="BI1017" s="35"/>
      <c r="BJ1017" s="35"/>
      <c r="BK1017" s="35"/>
      <c r="BL1017" s="35"/>
      <c r="BM1017" s="35"/>
      <c r="BN1017" s="35"/>
      <c r="BO1017" s="35"/>
      <c r="BP1017" s="35"/>
      <c r="BQ1017" s="35"/>
      <c r="BR1017" s="35"/>
      <c r="BS1017" s="35"/>
      <c r="BT1017" s="35"/>
      <c r="BU1017" s="35"/>
      <c r="BV1017" s="35"/>
      <c r="BW1017" s="35"/>
      <c r="BX1017" s="35"/>
      <c r="BY1017" s="35"/>
      <c r="BZ1017" s="35"/>
      <c r="CA1017" s="35"/>
      <c r="CB1017" s="35"/>
      <c r="CC1017" s="35"/>
      <c r="CD1017" s="35"/>
      <c r="CE1017" s="35"/>
      <c r="CF1017" s="35"/>
      <c r="CG1017" s="35"/>
      <c r="CH1017" s="35"/>
      <c r="CI1017" s="35"/>
      <c r="CJ1017" s="35"/>
      <c r="CK1017" s="35"/>
      <c r="CL1017" s="35"/>
      <c r="CM1017" s="35"/>
      <c r="CN1017" s="35"/>
      <c r="CO1017" s="35"/>
      <c r="CP1017" s="35"/>
      <c r="CQ1017" s="35"/>
      <c r="CR1017" s="35"/>
      <c r="CS1017" s="35"/>
      <c r="CT1017" s="35"/>
      <c r="CU1017" s="35"/>
      <c r="CV1017" s="35"/>
      <c r="CW1017" s="35"/>
      <c r="CX1017" s="35"/>
      <c r="CY1017" s="35"/>
      <c r="CZ1017" s="35"/>
      <c r="DA1017" s="35"/>
      <c r="DB1017" s="35"/>
      <c r="DC1017" s="35"/>
      <c r="DD1017" s="35"/>
      <c r="DE1017" s="35"/>
      <c r="DF1017" s="35"/>
      <c r="DG1017" s="35"/>
      <c r="DH1017" s="35"/>
      <c r="DI1017" s="35"/>
      <c r="DJ1017" s="35"/>
      <c r="DK1017" s="35"/>
      <c r="DL1017" s="35"/>
      <c r="DM1017" s="35"/>
      <c r="DN1017" s="35"/>
      <c r="DO1017" s="35"/>
      <c r="DP1017" s="35"/>
      <c r="DQ1017" s="35"/>
      <c r="DR1017" s="35"/>
      <c r="DS1017" s="35"/>
      <c r="DT1017" s="35"/>
      <c r="DU1017" s="35"/>
      <c r="DV1017" s="35"/>
      <c r="DW1017" s="35"/>
      <c r="DX1017" s="35"/>
      <c r="DY1017" s="35"/>
      <c r="DZ1017" s="35"/>
      <c r="EA1017" s="35"/>
      <c r="EB1017" s="35"/>
      <c r="EC1017" s="35"/>
      <c r="ED1017" s="35"/>
      <c r="EE1017" s="35"/>
      <c r="EF1017" s="35"/>
      <c r="EG1017" s="35"/>
      <c r="EH1017" s="35"/>
      <c r="EI1017" s="35"/>
      <c r="EJ1017" s="35"/>
      <c r="EK1017" s="35"/>
      <c r="EL1017" s="35"/>
      <c r="EM1017" s="35"/>
      <c r="EN1017" s="35"/>
      <c r="EO1017" s="35"/>
      <c r="EP1017" s="35"/>
      <c r="EQ1017" s="35"/>
      <c r="ER1017" s="35"/>
      <c r="ES1017" s="35"/>
      <c r="ET1017" s="35"/>
      <c r="EU1017" s="35"/>
      <c r="EV1017" s="35"/>
      <c r="EW1017" s="35"/>
      <c r="EX1017" s="35"/>
      <c r="EY1017" s="35"/>
      <c r="EZ1017" s="35"/>
      <c r="FA1017" s="35"/>
      <c r="FB1017" s="35"/>
      <c r="FC1017" s="35"/>
      <c r="FD1017" s="35"/>
      <c r="FE1017" s="35"/>
      <c r="FF1017" s="35"/>
      <c r="FG1017" s="35"/>
      <c r="FH1017" s="35"/>
      <c r="FI1017" s="35"/>
      <c r="FJ1017" s="35"/>
      <c r="FK1017" s="35"/>
      <c r="FL1017" s="35"/>
      <c r="FM1017" s="35"/>
      <c r="FN1017" s="35"/>
      <c r="FO1017" s="35"/>
      <c r="FP1017" s="35"/>
      <c r="FQ1017" s="35"/>
      <c r="FR1017" s="35"/>
      <c r="FS1017" s="35"/>
      <c r="FT1017" s="35"/>
      <c r="FU1017" s="35"/>
      <c r="FV1017" s="35"/>
      <c r="FW1017" s="35"/>
      <c r="FX1017" s="35"/>
      <c r="FY1017" s="35"/>
      <c r="FZ1017" s="35"/>
      <c r="GA1017" s="35"/>
      <c r="GB1017" s="35"/>
      <c r="GC1017" s="35"/>
      <c r="GD1017" s="35"/>
      <c r="GE1017" s="35"/>
      <c r="GF1017" s="35"/>
      <c r="GG1017" s="35"/>
      <c r="GH1017" s="35"/>
      <c r="GI1017" s="35"/>
      <c r="GJ1017" s="35"/>
      <c r="GK1017" s="35"/>
      <c r="GL1017" s="35"/>
      <c r="GM1017" s="35"/>
      <c r="GN1017" s="35"/>
      <c r="GO1017" s="35"/>
      <c r="GP1017" s="35"/>
      <c r="GQ1017" s="35"/>
      <c r="GR1017" s="35"/>
      <c r="GS1017" s="35"/>
      <c r="GT1017" s="35"/>
      <c r="GU1017" s="35"/>
      <c r="GV1017" s="35"/>
      <c r="GW1017" s="35"/>
      <c r="GX1017" s="35"/>
      <c r="GY1017" s="35"/>
      <c r="GZ1017" s="35"/>
      <c r="HA1017" s="35"/>
      <c r="HB1017" s="35"/>
      <c r="HC1017" s="35"/>
      <c r="HD1017" s="35"/>
      <c r="HE1017" s="35"/>
      <c r="HF1017" s="35"/>
      <c r="HG1017" s="35"/>
      <c r="HH1017" s="35"/>
      <c r="HI1017" s="35"/>
      <c r="HJ1017" s="35"/>
      <c r="HK1017" s="35"/>
      <c r="HL1017" s="35"/>
      <c r="HM1017" s="35"/>
      <c r="HN1017" s="35"/>
      <c r="HO1017" s="35"/>
      <c r="HP1017" s="35"/>
      <c r="HQ1017" s="35"/>
      <c r="HR1017" s="35"/>
      <c r="HS1017" s="35"/>
      <c r="HT1017" s="35"/>
      <c r="HU1017" s="35"/>
      <c r="HV1017" s="35"/>
      <c r="HW1017" s="35"/>
      <c r="HX1017" s="35"/>
      <c r="HY1017" s="35"/>
      <c r="HZ1017" s="35"/>
      <c r="IA1017" s="35"/>
      <c r="IB1017" s="35"/>
      <c r="IC1017" s="35"/>
      <c r="ID1017" s="35"/>
      <c r="IE1017" s="35"/>
      <c r="IF1017" s="35"/>
      <c r="IG1017" s="35"/>
      <c r="IH1017" s="35"/>
      <c r="II1017" s="35"/>
      <c r="IJ1017" s="35"/>
      <c r="IK1017" s="35"/>
      <c r="IL1017" s="35"/>
      <c r="IM1017" s="35"/>
      <c r="IN1017" s="35"/>
      <c r="IO1017" s="35"/>
      <c r="IP1017" s="35"/>
      <c r="IQ1017" s="35"/>
      <c r="IR1017" s="35"/>
      <c r="IS1017" s="35"/>
      <c r="IT1017" s="35"/>
      <c r="IU1017" s="35"/>
      <c r="IV1017" s="35"/>
      <c r="IW1017" s="35"/>
      <c r="IX1017" s="35"/>
      <c r="IY1017" s="35"/>
      <c r="IZ1017" s="35"/>
      <c r="JA1017" s="35"/>
      <c r="JB1017" s="35"/>
      <c r="JC1017" s="35"/>
      <c r="JD1017" s="35"/>
      <c r="JE1017" s="35"/>
    </row>
    <row r="1018">
      <c r="A1018" s="42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  <c r="AF1018" s="35"/>
      <c r="AG1018" s="35"/>
      <c r="AH1018" s="35"/>
      <c r="AI1018" s="35"/>
      <c r="AJ1018" s="35"/>
      <c r="AK1018" s="35"/>
      <c r="AL1018" s="35"/>
      <c r="AM1018" s="35"/>
      <c r="AN1018" s="35"/>
      <c r="AO1018" s="35"/>
      <c r="AP1018" s="35"/>
      <c r="AQ1018" s="35"/>
      <c r="AR1018" s="35"/>
      <c r="AS1018" s="35"/>
      <c r="AT1018" s="35"/>
      <c r="AU1018" s="35"/>
      <c r="AV1018" s="35"/>
      <c r="AW1018" s="35"/>
      <c r="AX1018" s="35"/>
      <c r="AY1018" s="35"/>
      <c r="AZ1018" s="35"/>
      <c r="BA1018" s="35"/>
      <c r="BB1018" s="35"/>
      <c r="BC1018" s="35"/>
      <c r="BD1018" s="35"/>
      <c r="BE1018" s="35"/>
      <c r="BF1018" s="35"/>
      <c r="BG1018" s="35"/>
      <c r="BH1018" s="35"/>
      <c r="BI1018" s="35"/>
      <c r="BJ1018" s="35"/>
      <c r="BK1018" s="35"/>
      <c r="BL1018" s="35"/>
      <c r="BM1018" s="35"/>
      <c r="BN1018" s="35"/>
      <c r="BO1018" s="35"/>
      <c r="BP1018" s="35"/>
      <c r="BQ1018" s="35"/>
      <c r="BR1018" s="35"/>
      <c r="BS1018" s="35"/>
      <c r="BT1018" s="35"/>
      <c r="BU1018" s="35"/>
      <c r="BV1018" s="35"/>
      <c r="BW1018" s="35"/>
      <c r="BX1018" s="35"/>
      <c r="BY1018" s="35"/>
      <c r="BZ1018" s="35"/>
      <c r="CA1018" s="35"/>
      <c r="CB1018" s="35"/>
      <c r="CC1018" s="35"/>
      <c r="CD1018" s="35"/>
      <c r="CE1018" s="35"/>
      <c r="CF1018" s="35"/>
      <c r="CG1018" s="35"/>
      <c r="CH1018" s="35"/>
      <c r="CI1018" s="35"/>
      <c r="CJ1018" s="35"/>
      <c r="CK1018" s="35"/>
      <c r="CL1018" s="35"/>
      <c r="CM1018" s="35"/>
      <c r="CN1018" s="35"/>
      <c r="CO1018" s="35"/>
      <c r="CP1018" s="35"/>
      <c r="CQ1018" s="35"/>
      <c r="CR1018" s="35"/>
      <c r="CS1018" s="35"/>
      <c r="CT1018" s="35"/>
      <c r="CU1018" s="35"/>
      <c r="CV1018" s="35"/>
      <c r="CW1018" s="35"/>
      <c r="CX1018" s="35"/>
      <c r="CY1018" s="35"/>
      <c r="CZ1018" s="35"/>
      <c r="DA1018" s="35"/>
      <c r="DB1018" s="35"/>
      <c r="DC1018" s="35"/>
      <c r="DD1018" s="35"/>
      <c r="DE1018" s="35"/>
      <c r="DF1018" s="35"/>
      <c r="DG1018" s="35"/>
      <c r="DH1018" s="35"/>
      <c r="DI1018" s="35"/>
      <c r="DJ1018" s="35"/>
      <c r="DK1018" s="35"/>
      <c r="DL1018" s="35"/>
      <c r="DM1018" s="35"/>
      <c r="DN1018" s="35"/>
      <c r="DO1018" s="35"/>
      <c r="DP1018" s="35"/>
      <c r="DQ1018" s="35"/>
      <c r="DR1018" s="35"/>
      <c r="DS1018" s="35"/>
      <c r="DT1018" s="35"/>
      <c r="DU1018" s="35"/>
      <c r="DV1018" s="35"/>
      <c r="DW1018" s="35"/>
      <c r="DX1018" s="35"/>
      <c r="DY1018" s="35"/>
      <c r="DZ1018" s="35"/>
      <c r="EA1018" s="35"/>
      <c r="EB1018" s="35"/>
      <c r="EC1018" s="35"/>
      <c r="ED1018" s="35"/>
      <c r="EE1018" s="35"/>
      <c r="EF1018" s="35"/>
      <c r="EG1018" s="35"/>
      <c r="EH1018" s="35"/>
      <c r="EI1018" s="35"/>
      <c r="EJ1018" s="35"/>
      <c r="EK1018" s="35"/>
      <c r="EL1018" s="35"/>
      <c r="EM1018" s="35"/>
      <c r="EN1018" s="35"/>
      <c r="EO1018" s="35"/>
      <c r="EP1018" s="35"/>
      <c r="EQ1018" s="35"/>
      <c r="ER1018" s="35"/>
      <c r="ES1018" s="35"/>
      <c r="ET1018" s="35"/>
      <c r="EU1018" s="35"/>
      <c r="EV1018" s="35"/>
      <c r="EW1018" s="35"/>
      <c r="EX1018" s="35"/>
      <c r="EY1018" s="35"/>
      <c r="EZ1018" s="35"/>
      <c r="FA1018" s="35"/>
      <c r="FB1018" s="35"/>
      <c r="FC1018" s="35"/>
      <c r="FD1018" s="35"/>
      <c r="FE1018" s="35"/>
      <c r="FF1018" s="35"/>
      <c r="FG1018" s="35"/>
      <c r="FH1018" s="35"/>
      <c r="FI1018" s="35"/>
      <c r="FJ1018" s="35"/>
      <c r="FK1018" s="35"/>
      <c r="FL1018" s="35"/>
      <c r="FM1018" s="35"/>
      <c r="FN1018" s="35"/>
      <c r="FO1018" s="35"/>
      <c r="FP1018" s="35"/>
      <c r="FQ1018" s="35"/>
      <c r="FR1018" s="35"/>
      <c r="FS1018" s="35"/>
      <c r="FT1018" s="35"/>
      <c r="FU1018" s="35"/>
      <c r="FV1018" s="35"/>
      <c r="FW1018" s="35"/>
      <c r="FX1018" s="35"/>
      <c r="FY1018" s="35"/>
      <c r="FZ1018" s="35"/>
      <c r="GA1018" s="35"/>
      <c r="GB1018" s="35"/>
      <c r="GC1018" s="35"/>
      <c r="GD1018" s="35"/>
      <c r="GE1018" s="35"/>
      <c r="GF1018" s="35"/>
      <c r="GG1018" s="35"/>
      <c r="GH1018" s="35"/>
      <c r="GI1018" s="35"/>
      <c r="GJ1018" s="35"/>
      <c r="GK1018" s="35"/>
      <c r="GL1018" s="35"/>
      <c r="GM1018" s="35"/>
      <c r="GN1018" s="35"/>
      <c r="GO1018" s="35"/>
      <c r="GP1018" s="35"/>
      <c r="GQ1018" s="35"/>
      <c r="GR1018" s="35"/>
      <c r="GS1018" s="35"/>
      <c r="GT1018" s="35"/>
      <c r="GU1018" s="35"/>
      <c r="GV1018" s="35"/>
      <c r="GW1018" s="35"/>
      <c r="GX1018" s="35"/>
      <c r="GY1018" s="35"/>
      <c r="GZ1018" s="35"/>
      <c r="HA1018" s="35"/>
      <c r="HB1018" s="35"/>
      <c r="HC1018" s="35"/>
      <c r="HD1018" s="35"/>
      <c r="HE1018" s="35"/>
      <c r="HF1018" s="35"/>
      <c r="HG1018" s="35"/>
      <c r="HH1018" s="35"/>
      <c r="HI1018" s="35"/>
      <c r="HJ1018" s="35"/>
      <c r="HK1018" s="35"/>
      <c r="HL1018" s="35"/>
      <c r="HM1018" s="35"/>
      <c r="HN1018" s="35"/>
      <c r="HO1018" s="35"/>
      <c r="HP1018" s="35"/>
      <c r="HQ1018" s="35"/>
      <c r="HR1018" s="35"/>
      <c r="HS1018" s="35"/>
      <c r="HT1018" s="35"/>
      <c r="HU1018" s="35"/>
      <c r="HV1018" s="35"/>
      <c r="HW1018" s="35"/>
      <c r="HX1018" s="35"/>
      <c r="HY1018" s="35"/>
      <c r="HZ1018" s="35"/>
      <c r="IA1018" s="35"/>
      <c r="IB1018" s="35"/>
      <c r="IC1018" s="35"/>
      <c r="ID1018" s="35"/>
      <c r="IE1018" s="35"/>
      <c r="IF1018" s="35"/>
      <c r="IG1018" s="35"/>
      <c r="IH1018" s="35"/>
      <c r="II1018" s="35"/>
      <c r="IJ1018" s="35"/>
      <c r="IK1018" s="35"/>
      <c r="IL1018" s="35"/>
      <c r="IM1018" s="35"/>
      <c r="IN1018" s="35"/>
      <c r="IO1018" s="35"/>
      <c r="IP1018" s="35"/>
      <c r="IQ1018" s="35"/>
      <c r="IR1018" s="35"/>
      <c r="IS1018" s="35"/>
      <c r="IT1018" s="35"/>
      <c r="IU1018" s="35"/>
      <c r="IV1018" s="35"/>
      <c r="IW1018" s="35"/>
      <c r="IX1018" s="35"/>
      <c r="IY1018" s="35"/>
      <c r="IZ1018" s="35"/>
      <c r="JA1018" s="35"/>
      <c r="JB1018" s="35"/>
      <c r="JC1018" s="35"/>
      <c r="JD1018" s="35"/>
      <c r="JE1018" s="35"/>
    </row>
    <row r="1019">
      <c r="A1019" s="42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  <c r="AF1019" s="35"/>
      <c r="AG1019" s="35"/>
      <c r="AH1019" s="35"/>
      <c r="AI1019" s="35"/>
      <c r="AJ1019" s="35"/>
      <c r="AK1019" s="35"/>
      <c r="AL1019" s="35"/>
      <c r="AM1019" s="35"/>
      <c r="AN1019" s="35"/>
      <c r="AO1019" s="35"/>
      <c r="AP1019" s="35"/>
      <c r="AQ1019" s="35"/>
      <c r="AR1019" s="35"/>
      <c r="AS1019" s="35"/>
      <c r="AT1019" s="35"/>
      <c r="AU1019" s="35"/>
      <c r="AV1019" s="35"/>
      <c r="AW1019" s="35"/>
      <c r="AX1019" s="35"/>
      <c r="AY1019" s="35"/>
      <c r="AZ1019" s="35"/>
      <c r="BA1019" s="35"/>
      <c r="BB1019" s="35"/>
      <c r="BC1019" s="35"/>
      <c r="BD1019" s="35"/>
      <c r="BE1019" s="35"/>
      <c r="BF1019" s="35"/>
      <c r="BG1019" s="35"/>
      <c r="BH1019" s="35"/>
      <c r="BI1019" s="35"/>
      <c r="BJ1019" s="35"/>
      <c r="BK1019" s="35"/>
      <c r="BL1019" s="35"/>
      <c r="BM1019" s="35"/>
      <c r="BN1019" s="35"/>
      <c r="BO1019" s="35"/>
      <c r="BP1019" s="35"/>
      <c r="BQ1019" s="35"/>
      <c r="BR1019" s="35"/>
      <c r="BS1019" s="35"/>
      <c r="BT1019" s="35"/>
      <c r="BU1019" s="35"/>
      <c r="BV1019" s="35"/>
      <c r="BW1019" s="35"/>
      <c r="BX1019" s="35"/>
      <c r="BY1019" s="35"/>
      <c r="BZ1019" s="35"/>
      <c r="CA1019" s="35"/>
      <c r="CB1019" s="35"/>
      <c r="CC1019" s="35"/>
      <c r="CD1019" s="35"/>
      <c r="CE1019" s="35"/>
      <c r="CF1019" s="35"/>
      <c r="CG1019" s="35"/>
      <c r="CH1019" s="35"/>
      <c r="CI1019" s="35"/>
      <c r="CJ1019" s="35"/>
      <c r="CK1019" s="35"/>
      <c r="CL1019" s="35"/>
      <c r="CM1019" s="35"/>
      <c r="CN1019" s="35"/>
      <c r="CO1019" s="35"/>
      <c r="CP1019" s="35"/>
      <c r="CQ1019" s="35"/>
      <c r="CR1019" s="35"/>
      <c r="CS1019" s="35"/>
      <c r="CT1019" s="35"/>
      <c r="CU1019" s="35"/>
      <c r="CV1019" s="35"/>
      <c r="CW1019" s="35"/>
      <c r="CX1019" s="35"/>
      <c r="CY1019" s="35"/>
      <c r="CZ1019" s="35"/>
      <c r="DA1019" s="35"/>
      <c r="DB1019" s="35"/>
      <c r="DC1019" s="35"/>
      <c r="DD1019" s="35"/>
      <c r="DE1019" s="35"/>
      <c r="DF1019" s="35"/>
      <c r="DG1019" s="35"/>
      <c r="DH1019" s="35"/>
      <c r="DI1019" s="35"/>
      <c r="DJ1019" s="35"/>
      <c r="DK1019" s="35"/>
      <c r="DL1019" s="35"/>
      <c r="DM1019" s="35"/>
      <c r="DN1019" s="35"/>
      <c r="DO1019" s="35"/>
      <c r="DP1019" s="35"/>
      <c r="DQ1019" s="35"/>
      <c r="DR1019" s="35"/>
      <c r="DS1019" s="35"/>
      <c r="DT1019" s="35"/>
      <c r="DU1019" s="35"/>
      <c r="DV1019" s="35"/>
      <c r="DW1019" s="35"/>
      <c r="DX1019" s="35"/>
      <c r="DY1019" s="35"/>
      <c r="DZ1019" s="35"/>
      <c r="EA1019" s="35"/>
      <c r="EB1019" s="35"/>
      <c r="EC1019" s="35"/>
      <c r="ED1019" s="35"/>
      <c r="EE1019" s="35"/>
      <c r="EF1019" s="35"/>
      <c r="EG1019" s="35"/>
      <c r="EH1019" s="35"/>
      <c r="EI1019" s="35"/>
      <c r="EJ1019" s="35"/>
      <c r="EK1019" s="35"/>
      <c r="EL1019" s="35"/>
      <c r="EM1019" s="35"/>
      <c r="EN1019" s="35"/>
      <c r="EO1019" s="35"/>
      <c r="EP1019" s="35"/>
      <c r="EQ1019" s="35"/>
      <c r="ER1019" s="35"/>
      <c r="ES1019" s="35"/>
      <c r="ET1019" s="35"/>
      <c r="EU1019" s="35"/>
      <c r="EV1019" s="35"/>
      <c r="EW1019" s="35"/>
      <c r="EX1019" s="35"/>
      <c r="EY1019" s="35"/>
      <c r="EZ1019" s="35"/>
      <c r="FA1019" s="35"/>
      <c r="FB1019" s="35"/>
      <c r="FC1019" s="35"/>
      <c r="FD1019" s="35"/>
      <c r="FE1019" s="35"/>
      <c r="FF1019" s="35"/>
      <c r="FG1019" s="35"/>
      <c r="FH1019" s="35"/>
      <c r="FI1019" s="35"/>
      <c r="FJ1019" s="35"/>
      <c r="FK1019" s="35"/>
      <c r="FL1019" s="35"/>
      <c r="FM1019" s="35"/>
      <c r="FN1019" s="35"/>
      <c r="FO1019" s="35"/>
      <c r="FP1019" s="35"/>
      <c r="FQ1019" s="35"/>
      <c r="FR1019" s="35"/>
      <c r="FS1019" s="35"/>
      <c r="FT1019" s="35"/>
      <c r="FU1019" s="35"/>
      <c r="FV1019" s="35"/>
      <c r="FW1019" s="35"/>
      <c r="FX1019" s="35"/>
      <c r="FY1019" s="35"/>
      <c r="FZ1019" s="35"/>
      <c r="GA1019" s="35"/>
      <c r="GB1019" s="35"/>
      <c r="GC1019" s="35"/>
      <c r="GD1019" s="35"/>
      <c r="GE1019" s="35"/>
      <c r="GF1019" s="35"/>
      <c r="GG1019" s="35"/>
      <c r="GH1019" s="35"/>
      <c r="GI1019" s="35"/>
      <c r="GJ1019" s="35"/>
      <c r="GK1019" s="35"/>
      <c r="GL1019" s="35"/>
      <c r="GM1019" s="35"/>
      <c r="GN1019" s="35"/>
      <c r="GO1019" s="35"/>
      <c r="GP1019" s="35"/>
      <c r="GQ1019" s="35"/>
      <c r="GR1019" s="35"/>
      <c r="GS1019" s="35"/>
      <c r="GT1019" s="35"/>
      <c r="GU1019" s="35"/>
      <c r="GV1019" s="35"/>
      <c r="GW1019" s="35"/>
      <c r="GX1019" s="35"/>
      <c r="GY1019" s="35"/>
      <c r="GZ1019" s="35"/>
      <c r="HA1019" s="35"/>
      <c r="HB1019" s="35"/>
      <c r="HC1019" s="35"/>
      <c r="HD1019" s="35"/>
      <c r="HE1019" s="35"/>
      <c r="HF1019" s="35"/>
      <c r="HG1019" s="35"/>
      <c r="HH1019" s="35"/>
      <c r="HI1019" s="35"/>
      <c r="HJ1019" s="35"/>
      <c r="HK1019" s="35"/>
      <c r="HL1019" s="35"/>
      <c r="HM1019" s="35"/>
      <c r="HN1019" s="35"/>
      <c r="HO1019" s="35"/>
      <c r="HP1019" s="35"/>
      <c r="HQ1019" s="35"/>
      <c r="HR1019" s="35"/>
      <c r="HS1019" s="35"/>
      <c r="HT1019" s="35"/>
      <c r="HU1019" s="35"/>
      <c r="HV1019" s="35"/>
      <c r="HW1019" s="35"/>
      <c r="HX1019" s="35"/>
      <c r="HY1019" s="35"/>
      <c r="HZ1019" s="35"/>
      <c r="IA1019" s="35"/>
      <c r="IB1019" s="35"/>
      <c r="IC1019" s="35"/>
      <c r="ID1019" s="35"/>
      <c r="IE1019" s="35"/>
      <c r="IF1019" s="35"/>
      <c r="IG1019" s="35"/>
      <c r="IH1019" s="35"/>
      <c r="II1019" s="35"/>
      <c r="IJ1019" s="35"/>
      <c r="IK1019" s="35"/>
      <c r="IL1019" s="35"/>
      <c r="IM1019" s="35"/>
      <c r="IN1019" s="35"/>
      <c r="IO1019" s="35"/>
      <c r="IP1019" s="35"/>
      <c r="IQ1019" s="35"/>
      <c r="IR1019" s="35"/>
      <c r="IS1019" s="35"/>
      <c r="IT1019" s="35"/>
      <c r="IU1019" s="35"/>
      <c r="IV1019" s="35"/>
      <c r="IW1019" s="35"/>
      <c r="IX1019" s="35"/>
      <c r="IY1019" s="35"/>
      <c r="IZ1019" s="35"/>
      <c r="JA1019" s="35"/>
      <c r="JB1019" s="35"/>
      <c r="JC1019" s="35"/>
      <c r="JD1019" s="35"/>
      <c r="JE1019" s="35"/>
    </row>
    <row r="1020">
      <c r="A1020" s="42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  <c r="AF1020" s="35"/>
      <c r="AG1020" s="35"/>
      <c r="AH1020" s="35"/>
      <c r="AI1020" s="35"/>
      <c r="AJ1020" s="35"/>
      <c r="AK1020" s="35"/>
      <c r="AL1020" s="35"/>
      <c r="AM1020" s="35"/>
      <c r="AN1020" s="35"/>
      <c r="AO1020" s="35"/>
      <c r="AP1020" s="35"/>
      <c r="AQ1020" s="35"/>
      <c r="AR1020" s="35"/>
      <c r="AS1020" s="35"/>
      <c r="AT1020" s="35"/>
      <c r="AU1020" s="35"/>
      <c r="AV1020" s="35"/>
      <c r="AW1020" s="35"/>
      <c r="AX1020" s="35"/>
      <c r="AY1020" s="35"/>
      <c r="AZ1020" s="35"/>
      <c r="BA1020" s="35"/>
      <c r="BB1020" s="35"/>
      <c r="BC1020" s="35"/>
      <c r="BD1020" s="35"/>
      <c r="BE1020" s="35"/>
      <c r="BF1020" s="35"/>
      <c r="BG1020" s="35"/>
      <c r="BH1020" s="35"/>
      <c r="BI1020" s="35"/>
      <c r="BJ1020" s="35"/>
      <c r="BK1020" s="35"/>
      <c r="BL1020" s="35"/>
      <c r="BM1020" s="35"/>
      <c r="BN1020" s="35"/>
      <c r="BO1020" s="35"/>
      <c r="BP1020" s="35"/>
      <c r="BQ1020" s="35"/>
      <c r="BR1020" s="35"/>
      <c r="BS1020" s="35"/>
      <c r="BT1020" s="35"/>
      <c r="BU1020" s="35"/>
      <c r="BV1020" s="35"/>
      <c r="BW1020" s="35"/>
      <c r="BX1020" s="35"/>
      <c r="BY1020" s="35"/>
      <c r="BZ1020" s="35"/>
      <c r="CA1020" s="35"/>
      <c r="CB1020" s="35"/>
      <c r="CC1020" s="35"/>
      <c r="CD1020" s="35"/>
      <c r="CE1020" s="35"/>
      <c r="CF1020" s="35"/>
      <c r="CG1020" s="35"/>
      <c r="CH1020" s="35"/>
      <c r="CI1020" s="35"/>
      <c r="CJ1020" s="35"/>
      <c r="CK1020" s="35"/>
      <c r="CL1020" s="35"/>
      <c r="CM1020" s="35"/>
      <c r="CN1020" s="35"/>
      <c r="CO1020" s="35"/>
      <c r="CP1020" s="35"/>
      <c r="CQ1020" s="35"/>
      <c r="CR1020" s="35"/>
      <c r="CS1020" s="35"/>
      <c r="CT1020" s="35"/>
      <c r="CU1020" s="35"/>
      <c r="CV1020" s="35"/>
      <c r="CW1020" s="35"/>
      <c r="CX1020" s="35"/>
      <c r="CY1020" s="35"/>
      <c r="CZ1020" s="35"/>
      <c r="DA1020" s="35"/>
      <c r="DB1020" s="35"/>
      <c r="DC1020" s="35"/>
      <c r="DD1020" s="35"/>
      <c r="DE1020" s="35"/>
      <c r="DF1020" s="35"/>
      <c r="DG1020" s="35"/>
      <c r="DH1020" s="35"/>
      <c r="DI1020" s="35"/>
      <c r="DJ1020" s="35"/>
      <c r="DK1020" s="35"/>
      <c r="DL1020" s="35"/>
      <c r="DM1020" s="35"/>
      <c r="DN1020" s="35"/>
      <c r="DO1020" s="35"/>
      <c r="DP1020" s="35"/>
      <c r="DQ1020" s="35"/>
      <c r="DR1020" s="35"/>
      <c r="DS1020" s="35"/>
      <c r="DT1020" s="35"/>
      <c r="DU1020" s="35"/>
      <c r="DV1020" s="35"/>
      <c r="DW1020" s="35"/>
      <c r="DX1020" s="35"/>
      <c r="DY1020" s="35"/>
      <c r="DZ1020" s="35"/>
      <c r="EA1020" s="35"/>
      <c r="EB1020" s="35"/>
      <c r="EC1020" s="35"/>
      <c r="ED1020" s="35"/>
      <c r="EE1020" s="35"/>
      <c r="EF1020" s="35"/>
      <c r="EG1020" s="35"/>
      <c r="EH1020" s="35"/>
      <c r="EI1020" s="35"/>
      <c r="EJ1020" s="35"/>
      <c r="EK1020" s="35"/>
      <c r="EL1020" s="35"/>
      <c r="EM1020" s="35"/>
      <c r="EN1020" s="35"/>
      <c r="EO1020" s="35"/>
      <c r="EP1020" s="35"/>
      <c r="EQ1020" s="35"/>
      <c r="ER1020" s="35"/>
      <c r="ES1020" s="35"/>
      <c r="ET1020" s="35"/>
      <c r="EU1020" s="35"/>
      <c r="EV1020" s="35"/>
      <c r="EW1020" s="35"/>
      <c r="EX1020" s="35"/>
      <c r="EY1020" s="35"/>
      <c r="EZ1020" s="35"/>
      <c r="FA1020" s="35"/>
      <c r="FB1020" s="35"/>
      <c r="FC1020" s="35"/>
      <c r="FD1020" s="35"/>
      <c r="FE1020" s="35"/>
      <c r="FF1020" s="35"/>
      <c r="FG1020" s="35"/>
      <c r="FH1020" s="35"/>
      <c r="FI1020" s="35"/>
      <c r="FJ1020" s="35"/>
      <c r="FK1020" s="35"/>
      <c r="FL1020" s="35"/>
      <c r="FM1020" s="35"/>
      <c r="FN1020" s="35"/>
      <c r="FO1020" s="35"/>
      <c r="FP1020" s="35"/>
      <c r="FQ1020" s="35"/>
      <c r="FR1020" s="35"/>
      <c r="FS1020" s="35"/>
      <c r="FT1020" s="35"/>
      <c r="FU1020" s="35"/>
      <c r="FV1020" s="35"/>
      <c r="FW1020" s="35"/>
      <c r="FX1020" s="35"/>
      <c r="FY1020" s="35"/>
      <c r="FZ1020" s="35"/>
      <c r="GA1020" s="35"/>
      <c r="GB1020" s="35"/>
      <c r="GC1020" s="35"/>
      <c r="GD1020" s="35"/>
      <c r="GE1020" s="35"/>
      <c r="GF1020" s="35"/>
      <c r="GG1020" s="35"/>
      <c r="GH1020" s="35"/>
      <c r="GI1020" s="35"/>
      <c r="GJ1020" s="35"/>
      <c r="GK1020" s="35"/>
      <c r="GL1020" s="35"/>
      <c r="GM1020" s="35"/>
      <c r="GN1020" s="35"/>
      <c r="GO1020" s="35"/>
      <c r="GP1020" s="35"/>
      <c r="GQ1020" s="35"/>
      <c r="GR1020" s="35"/>
      <c r="GS1020" s="35"/>
      <c r="GT1020" s="35"/>
      <c r="GU1020" s="35"/>
      <c r="GV1020" s="35"/>
      <c r="GW1020" s="35"/>
      <c r="GX1020" s="35"/>
      <c r="GY1020" s="35"/>
      <c r="GZ1020" s="35"/>
      <c r="HA1020" s="35"/>
      <c r="HB1020" s="35"/>
      <c r="HC1020" s="35"/>
      <c r="HD1020" s="35"/>
      <c r="HE1020" s="35"/>
      <c r="HF1020" s="35"/>
      <c r="HG1020" s="35"/>
      <c r="HH1020" s="35"/>
      <c r="HI1020" s="35"/>
      <c r="HJ1020" s="35"/>
      <c r="HK1020" s="35"/>
      <c r="HL1020" s="35"/>
      <c r="HM1020" s="35"/>
      <c r="HN1020" s="35"/>
      <c r="HO1020" s="35"/>
      <c r="HP1020" s="35"/>
      <c r="HQ1020" s="35"/>
      <c r="HR1020" s="35"/>
      <c r="HS1020" s="35"/>
      <c r="HT1020" s="35"/>
      <c r="HU1020" s="35"/>
      <c r="HV1020" s="35"/>
      <c r="HW1020" s="35"/>
      <c r="HX1020" s="35"/>
      <c r="HY1020" s="35"/>
      <c r="HZ1020" s="35"/>
      <c r="IA1020" s="35"/>
      <c r="IB1020" s="35"/>
      <c r="IC1020" s="35"/>
      <c r="ID1020" s="35"/>
      <c r="IE1020" s="35"/>
      <c r="IF1020" s="35"/>
      <c r="IG1020" s="35"/>
      <c r="IH1020" s="35"/>
      <c r="II1020" s="35"/>
      <c r="IJ1020" s="35"/>
      <c r="IK1020" s="35"/>
      <c r="IL1020" s="35"/>
      <c r="IM1020" s="35"/>
      <c r="IN1020" s="35"/>
      <c r="IO1020" s="35"/>
      <c r="IP1020" s="35"/>
      <c r="IQ1020" s="35"/>
      <c r="IR1020" s="35"/>
      <c r="IS1020" s="35"/>
      <c r="IT1020" s="35"/>
      <c r="IU1020" s="35"/>
      <c r="IV1020" s="35"/>
      <c r="IW1020" s="35"/>
      <c r="IX1020" s="35"/>
      <c r="IY1020" s="35"/>
      <c r="IZ1020" s="35"/>
      <c r="JA1020" s="35"/>
      <c r="JB1020" s="35"/>
      <c r="JC1020" s="35"/>
      <c r="JD1020" s="35"/>
      <c r="JE1020" s="35"/>
    </row>
    <row r="1021">
      <c r="A1021" s="42"/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  <c r="AF1021" s="35"/>
      <c r="AG1021" s="35"/>
      <c r="AH1021" s="35"/>
      <c r="AI1021" s="35"/>
      <c r="AJ1021" s="35"/>
      <c r="AK1021" s="35"/>
      <c r="AL1021" s="35"/>
      <c r="AM1021" s="35"/>
      <c r="AN1021" s="35"/>
      <c r="AO1021" s="35"/>
      <c r="AP1021" s="35"/>
      <c r="AQ1021" s="35"/>
      <c r="AR1021" s="35"/>
      <c r="AS1021" s="35"/>
      <c r="AT1021" s="35"/>
      <c r="AU1021" s="35"/>
      <c r="AV1021" s="35"/>
      <c r="AW1021" s="35"/>
      <c r="AX1021" s="35"/>
      <c r="AY1021" s="35"/>
      <c r="AZ1021" s="35"/>
      <c r="BA1021" s="35"/>
      <c r="BB1021" s="35"/>
      <c r="BC1021" s="35"/>
      <c r="BD1021" s="35"/>
      <c r="BE1021" s="35"/>
      <c r="BF1021" s="35"/>
      <c r="BG1021" s="35"/>
      <c r="BH1021" s="35"/>
      <c r="BI1021" s="35"/>
      <c r="BJ1021" s="35"/>
      <c r="BK1021" s="35"/>
      <c r="BL1021" s="35"/>
      <c r="BM1021" s="35"/>
      <c r="BN1021" s="35"/>
      <c r="BO1021" s="35"/>
      <c r="BP1021" s="35"/>
      <c r="BQ1021" s="35"/>
      <c r="BR1021" s="35"/>
      <c r="BS1021" s="35"/>
      <c r="BT1021" s="35"/>
      <c r="BU1021" s="35"/>
      <c r="BV1021" s="35"/>
      <c r="BW1021" s="35"/>
      <c r="BX1021" s="35"/>
      <c r="BY1021" s="35"/>
      <c r="BZ1021" s="35"/>
      <c r="CA1021" s="35"/>
      <c r="CB1021" s="35"/>
      <c r="CC1021" s="35"/>
      <c r="CD1021" s="35"/>
      <c r="CE1021" s="35"/>
      <c r="CF1021" s="35"/>
      <c r="CG1021" s="35"/>
      <c r="CH1021" s="35"/>
      <c r="CI1021" s="35"/>
      <c r="CJ1021" s="35"/>
      <c r="CK1021" s="35"/>
      <c r="CL1021" s="35"/>
      <c r="CM1021" s="35"/>
      <c r="CN1021" s="35"/>
      <c r="CO1021" s="35"/>
      <c r="CP1021" s="35"/>
      <c r="CQ1021" s="35"/>
      <c r="CR1021" s="35"/>
      <c r="CS1021" s="35"/>
      <c r="CT1021" s="35"/>
      <c r="CU1021" s="35"/>
      <c r="CV1021" s="35"/>
      <c r="CW1021" s="35"/>
      <c r="CX1021" s="35"/>
      <c r="CY1021" s="35"/>
      <c r="CZ1021" s="35"/>
      <c r="DA1021" s="35"/>
      <c r="DB1021" s="35"/>
      <c r="DC1021" s="35"/>
      <c r="DD1021" s="35"/>
      <c r="DE1021" s="35"/>
      <c r="DF1021" s="35"/>
      <c r="DG1021" s="35"/>
      <c r="DH1021" s="35"/>
      <c r="DI1021" s="35"/>
      <c r="DJ1021" s="35"/>
      <c r="DK1021" s="35"/>
      <c r="DL1021" s="35"/>
      <c r="DM1021" s="35"/>
      <c r="DN1021" s="35"/>
      <c r="DO1021" s="35"/>
      <c r="DP1021" s="35"/>
      <c r="DQ1021" s="35"/>
      <c r="DR1021" s="35"/>
      <c r="DS1021" s="35"/>
      <c r="DT1021" s="35"/>
      <c r="DU1021" s="35"/>
      <c r="DV1021" s="35"/>
      <c r="DW1021" s="35"/>
      <c r="DX1021" s="35"/>
      <c r="DY1021" s="35"/>
      <c r="DZ1021" s="35"/>
      <c r="EA1021" s="35"/>
      <c r="EB1021" s="35"/>
      <c r="EC1021" s="35"/>
      <c r="ED1021" s="35"/>
      <c r="EE1021" s="35"/>
      <c r="EF1021" s="35"/>
      <c r="EG1021" s="35"/>
      <c r="EH1021" s="35"/>
      <c r="EI1021" s="35"/>
      <c r="EJ1021" s="35"/>
      <c r="EK1021" s="35"/>
      <c r="EL1021" s="35"/>
      <c r="EM1021" s="35"/>
      <c r="EN1021" s="35"/>
      <c r="EO1021" s="35"/>
      <c r="EP1021" s="35"/>
      <c r="EQ1021" s="35"/>
      <c r="ER1021" s="35"/>
      <c r="ES1021" s="35"/>
      <c r="ET1021" s="35"/>
      <c r="EU1021" s="35"/>
      <c r="EV1021" s="35"/>
      <c r="EW1021" s="35"/>
      <c r="EX1021" s="35"/>
      <c r="EY1021" s="35"/>
      <c r="EZ1021" s="35"/>
      <c r="FA1021" s="35"/>
      <c r="FB1021" s="35"/>
      <c r="FC1021" s="35"/>
      <c r="FD1021" s="35"/>
      <c r="FE1021" s="35"/>
      <c r="FF1021" s="35"/>
      <c r="FG1021" s="35"/>
      <c r="FH1021" s="35"/>
      <c r="FI1021" s="35"/>
      <c r="FJ1021" s="35"/>
      <c r="FK1021" s="35"/>
      <c r="FL1021" s="35"/>
      <c r="FM1021" s="35"/>
      <c r="FN1021" s="35"/>
      <c r="FO1021" s="35"/>
      <c r="FP1021" s="35"/>
      <c r="FQ1021" s="35"/>
      <c r="FR1021" s="35"/>
      <c r="FS1021" s="35"/>
      <c r="FT1021" s="35"/>
      <c r="FU1021" s="35"/>
      <c r="FV1021" s="35"/>
      <c r="FW1021" s="35"/>
      <c r="FX1021" s="35"/>
      <c r="FY1021" s="35"/>
      <c r="FZ1021" s="35"/>
      <c r="GA1021" s="35"/>
      <c r="GB1021" s="35"/>
      <c r="GC1021" s="35"/>
      <c r="GD1021" s="35"/>
      <c r="GE1021" s="35"/>
      <c r="GF1021" s="35"/>
      <c r="GG1021" s="35"/>
      <c r="GH1021" s="35"/>
      <c r="GI1021" s="35"/>
      <c r="GJ1021" s="35"/>
      <c r="GK1021" s="35"/>
      <c r="GL1021" s="35"/>
      <c r="GM1021" s="35"/>
      <c r="GN1021" s="35"/>
      <c r="GO1021" s="35"/>
      <c r="GP1021" s="35"/>
      <c r="GQ1021" s="35"/>
      <c r="GR1021" s="35"/>
      <c r="GS1021" s="35"/>
      <c r="GT1021" s="35"/>
      <c r="GU1021" s="35"/>
      <c r="GV1021" s="35"/>
      <c r="GW1021" s="35"/>
      <c r="GX1021" s="35"/>
      <c r="GY1021" s="35"/>
      <c r="GZ1021" s="35"/>
      <c r="HA1021" s="35"/>
      <c r="HB1021" s="35"/>
      <c r="HC1021" s="35"/>
      <c r="HD1021" s="35"/>
      <c r="HE1021" s="35"/>
      <c r="HF1021" s="35"/>
      <c r="HG1021" s="35"/>
      <c r="HH1021" s="35"/>
      <c r="HI1021" s="35"/>
      <c r="HJ1021" s="35"/>
      <c r="HK1021" s="35"/>
      <c r="HL1021" s="35"/>
      <c r="HM1021" s="35"/>
      <c r="HN1021" s="35"/>
      <c r="HO1021" s="35"/>
      <c r="HP1021" s="35"/>
      <c r="HQ1021" s="35"/>
      <c r="HR1021" s="35"/>
      <c r="HS1021" s="35"/>
      <c r="HT1021" s="35"/>
      <c r="HU1021" s="35"/>
      <c r="HV1021" s="35"/>
      <c r="HW1021" s="35"/>
      <c r="HX1021" s="35"/>
      <c r="HY1021" s="35"/>
      <c r="HZ1021" s="35"/>
      <c r="IA1021" s="35"/>
      <c r="IB1021" s="35"/>
      <c r="IC1021" s="35"/>
      <c r="ID1021" s="35"/>
      <c r="IE1021" s="35"/>
      <c r="IF1021" s="35"/>
      <c r="IG1021" s="35"/>
      <c r="IH1021" s="35"/>
      <c r="II1021" s="35"/>
      <c r="IJ1021" s="35"/>
      <c r="IK1021" s="35"/>
      <c r="IL1021" s="35"/>
      <c r="IM1021" s="35"/>
      <c r="IN1021" s="35"/>
      <c r="IO1021" s="35"/>
      <c r="IP1021" s="35"/>
      <c r="IQ1021" s="35"/>
      <c r="IR1021" s="35"/>
      <c r="IS1021" s="35"/>
      <c r="IT1021" s="35"/>
      <c r="IU1021" s="35"/>
      <c r="IV1021" s="35"/>
      <c r="IW1021" s="35"/>
      <c r="IX1021" s="35"/>
      <c r="IY1021" s="35"/>
      <c r="IZ1021" s="35"/>
      <c r="JA1021" s="35"/>
      <c r="JB1021" s="35"/>
      <c r="JC1021" s="35"/>
      <c r="JD1021" s="35"/>
      <c r="JE1021" s="35"/>
    </row>
    <row r="1022">
      <c r="A1022" s="42"/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5"/>
      <c r="AD1022" s="35"/>
      <c r="AE1022" s="35"/>
      <c r="AF1022" s="35"/>
      <c r="AG1022" s="35"/>
      <c r="AH1022" s="35"/>
      <c r="AI1022" s="35"/>
      <c r="AJ1022" s="35"/>
      <c r="AK1022" s="35"/>
      <c r="AL1022" s="35"/>
      <c r="AM1022" s="35"/>
      <c r="AN1022" s="35"/>
      <c r="AO1022" s="35"/>
      <c r="AP1022" s="35"/>
      <c r="AQ1022" s="35"/>
      <c r="AR1022" s="35"/>
      <c r="AS1022" s="35"/>
      <c r="AT1022" s="35"/>
      <c r="AU1022" s="35"/>
      <c r="AV1022" s="35"/>
      <c r="AW1022" s="35"/>
      <c r="AX1022" s="35"/>
      <c r="AY1022" s="35"/>
      <c r="AZ1022" s="35"/>
      <c r="BA1022" s="35"/>
      <c r="BB1022" s="35"/>
      <c r="BC1022" s="35"/>
      <c r="BD1022" s="35"/>
      <c r="BE1022" s="35"/>
      <c r="BF1022" s="35"/>
      <c r="BG1022" s="35"/>
      <c r="BH1022" s="35"/>
      <c r="BI1022" s="35"/>
      <c r="BJ1022" s="35"/>
      <c r="BK1022" s="35"/>
      <c r="BL1022" s="35"/>
      <c r="BM1022" s="35"/>
      <c r="BN1022" s="35"/>
      <c r="BO1022" s="35"/>
      <c r="BP1022" s="35"/>
      <c r="BQ1022" s="35"/>
      <c r="BR1022" s="35"/>
      <c r="BS1022" s="35"/>
      <c r="BT1022" s="35"/>
      <c r="BU1022" s="35"/>
      <c r="BV1022" s="35"/>
      <c r="BW1022" s="35"/>
      <c r="BX1022" s="35"/>
      <c r="BY1022" s="35"/>
      <c r="BZ1022" s="35"/>
      <c r="CA1022" s="35"/>
      <c r="CB1022" s="35"/>
      <c r="CC1022" s="35"/>
      <c r="CD1022" s="35"/>
      <c r="CE1022" s="35"/>
      <c r="CF1022" s="35"/>
      <c r="CG1022" s="35"/>
      <c r="CH1022" s="35"/>
      <c r="CI1022" s="35"/>
      <c r="CJ1022" s="35"/>
      <c r="CK1022" s="35"/>
      <c r="CL1022" s="35"/>
      <c r="CM1022" s="35"/>
      <c r="CN1022" s="35"/>
      <c r="CO1022" s="35"/>
      <c r="CP1022" s="35"/>
      <c r="CQ1022" s="35"/>
      <c r="CR1022" s="35"/>
      <c r="CS1022" s="35"/>
      <c r="CT1022" s="35"/>
      <c r="CU1022" s="35"/>
      <c r="CV1022" s="35"/>
      <c r="CW1022" s="35"/>
      <c r="CX1022" s="35"/>
      <c r="CY1022" s="35"/>
      <c r="CZ1022" s="35"/>
      <c r="DA1022" s="35"/>
      <c r="DB1022" s="35"/>
      <c r="DC1022" s="35"/>
      <c r="DD1022" s="35"/>
      <c r="DE1022" s="35"/>
      <c r="DF1022" s="35"/>
      <c r="DG1022" s="35"/>
      <c r="DH1022" s="35"/>
      <c r="DI1022" s="35"/>
      <c r="DJ1022" s="35"/>
      <c r="DK1022" s="35"/>
      <c r="DL1022" s="35"/>
      <c r="DM1022" s="35"/>
      <c r="DN1022" s="35"/>
      <c r="DO1022" s="35"/>
      <c r="DP1022" s="35"/>
      <c r="DQ1022" s="35"/>
      <c r="DR1022" s="35"/>
      <c r="DS1022" s="35"/>
      <c r="DT1022" s="35"/>
      <c r="DU1022" s="35"/>
      <c r="DV1022" s="35"/>
      <c r="DW1022" s="35"/>
      <c r="DX1022" s="35"/>
      <c r="DY1022" s="35"/>
      <c r="DZ1022" s="35"/>
      <c r="EA1022" s="35"/>
      <c r="EB1022" s="35"/>
      <c r="EC1022" s="35"/>
      <c r="ED1022" s="35"/>
      <c r="EE1022" s="35"/>
      <c r="EF1022" s="35"/>
      <c r="EG1022" s="35"/>
      <c r="EH1022" s="35"/>
      <c r="EI1022" s="35"/>
      <c r="EJ1022" s="35"/>
      <c r="EK1022" s="35"/>
      <c r="EL1022" s="35"/>
      <c r="EM1022" s="35"/>
      <c r="EN1022" s="35"/>
      <c r="EO1022" s="35"/>
      <c r="EP1022" s="35"/>
      <c r="EQ1022" s="35"/>
      <c r="ER1022" s="35"/>
      <c r="ES1022" s="35"/>
      <c r="ET1022" s="35"/>
      <c r="EU1022" s="35"/>
      <c r="EV1022" s="35"/>
      <c r="EW1022" s="35"/>
      <c r="EX1022" s="35"/>
      <c r="EY1022" s="35"/>
      <c r="EZ1022" s="35"/>
      <c r="FA1022" s="35"/>
      <c r="FB1022" s="35"/>
      <c r="FC1022" s="35"/>
      <c r="FD1022" s="35"/>
      <c r="FE1022" s="35"/>
      <c r="FF1022" s="35"/>
      <c r="FG1022" s="35"/>
      <c r="FH1022" s="35"/>
      <c r="FI1022" s="35"/>
      <c r="FJ1022" s="35"/>
      <c r="FK1022" s="35"/>
      <c r="FL1022" s="35"/>
      <c r="FM1022" s="35"/>
      <c r="FN1022" s="35"/>
      <c r="FO1022" s="35"/>
      <c r="FP1022" s="35"/>
      <c r="FQ1022" s="35"/>
      <c r="FR1022" s="35"/>
      <c r="FS1022" s="35"/>
      <c r="FT1022" s="35"/>
      <c r="FU1022" s="35"/>
      <c r="FV1022" s="35"/>
      <c r="FW1022" s="35"/>
      <c r="FX1022" s="35"/>
      <c r="FY1022" s="35"/>
      <c r="FZ1022" s="35"/>
      <c r="GA1022" s="35"/>
      <c r="GB1022" s="35"/>
      <c r="GC1022" s="35"/>
      <c r="GD1022" s="35"/>
      <c r="GE1022" s="35"/>
      <c r="GF1022" s="35"/>
      <c r="GG1022" s="35"/>
      <c r="GH1022" s="35"/>
      <c r="GI1022" s="35"/>
      <c r="GJ1022" s="35"/>
      <c r="GK1022" s="35"/>
      <c r="GL1022" s="35"/>
      <c r="GM1022" s="35"/>
      <c r="GN1022" s="35"/>
      <c r="GO1022" s="35"/>
      <c r="GP1022" s="35"/>
      <c r="GQ1022" s="35"/>
      <c r="GR1022" s="35"/>
      <c r="GS1022" s="35"/>
      <c r="GT1022" s="35"/>
      <c r="GU1022" s="35"/>
      <c r="GV1022" s="35"/>
      <c r="GW1022" s="35"/>
      <c r="GX1022" s="35"/>
      <c r="GY1022" s="35"/>
      <c r="GZ1022" s="35"/>
      <c r="HA1022" s="35"/>
      <c r="HB1022" s="35"/>
      <c r="HC1022" s="35"/>
      <c r="HD1022" s="35"/>
      <c r="HE1022" s="35"/>
      <c r="HF1022" s="35"/>
      <c r="HG1022" s="35"/>
      <c r="HH1022" s="35"/>
      <c r="HI1022" s="35"/>
      <c r="HJ1022" s="35"/>
      <c r="HK1022" s="35"/>
      <c r="HL1022" s="35"/>
      <c r="HM1022" s="35"/>
      <c r="HN1022" s="35"/>
      <c r="HO1022" s="35"/>
      <c r="HP1022" s="35"/>
      <c r="HQ1022" s="35"/>
      <c r="HR1022" s="35"/>
      <c r="HS1022" s="35"/>
      <c r="HT1022" s="35"/>
      <c r="HU1022" s="35"/>
      <c r="HV1022" s="35"/>
      <c r="HW1022" s="35"/>
      <c r="HX1022" s="35"/>
      <c r="HY1022" s="35"/>
      <c r="HZ1022" s="35"/>
      <c r="IA1022" s="35"/>
      <c r="IB1022" s="35"/>
      <c r="IC1022" s="35"/>
      <c r="ID1022" s="35"/>
      <c r="IE1022" s="35"/>
      <c r="IF1022" s="35"/>
      <c r="IG1022" s="35"/>
      <c r="IH1022" s="35"/>
      <c r="II1022" s="35"/>
      <c r="IJ1022" s="35"/>
      <c r="IK1022" s="35"/>
      <c r="IL1022" s="35"/>
      <c r="IM1022" s="35"/>
      <c r="IN1022" s="35"/>
      <c r="IO1022" s="35"/>
      <c r="IP1022" s="35"/>
      <c r="IQ1022" s="35"/>
      <c r="IR1022" s="35"/>
      <c r="IS1022" s="35"/>
      <c r="IT1022" s="35"/>
      <c r="IU1022" s="35"/>
      <c r="IV1022" s="35"/>
      <c r="IW1022" s="35"/>
      <c r="IX1022" s="35"/>
      <c r="IY1022" s="35"/>
      <c r="IZ1022" s="35"/>
      <c r="JA1022" s="35"/>
      <c r="JB1022" s="35"/>
      <c r="JC1022" s="35"/>
      <c r="JD1022" s="35"/>
      <c r="JE1022" s="35"/>
    </row>
    <row r="1023">
      <c r="A1023" s="42"/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5"/>
      <c r="AD1023" s="35"/>
      <c r="AE1023" s="35"/>
      <c r="AF1023" s="35"/>
      <c r="AG1023" s="35"/>
      <c r="AH1023" s="35"/>
      <c r="AI1023" s="35"/>
      <c r="AJ1023" s="35"/>
      <c r="AK1023" s="35"/>
      <c r="AL1023" s="35"/>
      <c r="AM1023" s="35"/>
      <c r="AN1023" s="35"/>
      <c r="AO1023" s="35"/>
      <c r="AP1023" s="35"/>
      <c r="AQ1023" s="35"/>
      <c r="AR1023" s="35"/>
      <c r="AS1023" s="35"/>
      <c r="AT1023" s="35"/>
      <c r="AU1023" s="35"/>
      <c r="AV1023" s="35"/>
      <c r="AW1023" s="35"/>
      <c r="AX1023" s="35"/>
      <c r="AY1023" s="35"/>
      <c r="AZ1023" s="35"/>
      <c r="BA1023" s="35"/>
      <c r="BB1023" s="35"/>
      <c r="BC1023" s="35"/>
      <c r="BD1023" s="35"/>
      <c r="BE1023" s="35"/>
      <c r="BF1023" s="35"/>
      <c r="BG1023" s="35"/>
      <c r="BH1023" s="35"/>
      <c r="BI1023" s="35"/>
      <c r="BJ1023" s="35"/>
      <c r="BK1023" s="35"/>
      <c r="BL1023" s="35"/>
      <c r="BM1023" s="35"/>
      <c r="BN1023" s="35"/>
      <c r="BO1023" s="35"/>
      <c r="BP1023" s="35"/>
      <c r="BQ1023" s="35"/>
      <c r="BR1023" s="35"/>
      <c r="BS1023" s="35"/>
      <c r="BT1023" s="35"/>
      <c r="BU1023" s="35"/>
      <c r="BV1023" s="35"/>
      <c r="BW1023" s="35"/>
      <c r="BX1023" s="35"/>
      <c r="BY1023" s="35"/>
      <c r="BZ1023" s="35"/>
      <c r="CA1023" s="35"/>
      <c r="CB1023" s="35"/>
      <c r="CC1023" s="35"/>
      <c r="CD1023" s="35"/>
      <c r="CE1023" s="35"/>
      <c r="CF1023" s="35"/>
      <c r="CG1023" s="35"/>
      <c r="CH1023" s="35"/>
      <c r="CI1023" s="35"/>
      <c r="CJ1023" s="35"/>
      <c r="CK1023" s="35"/>
      <c r="CL1023" s="35"/>
      <c r="CM1023" s="35"/>
      <c r="CN1023" s="35"/>
      <c r="CO1023" s="35"/>
      <c r="CP1023" s="35"/>
      <c r="CQ1023" s="35"/>
      <c r="CR1023" s="35"/>
      <c r="CS1023" s="35"/>
      <c r="CT1023" s="35"/>
      <c r="CU1023" s="35"/>
      <c r="CV1023" s="35"/>
      <c r="CW1023" s="35"/>
      <c r="CX1023" s="35"/>
      <c r="CY1023" s="35"/>
      <c r="CZ1023" s="35"/>
      <c r="DA1023" s="35"/>
      <c r="DB1023" s="35"/>
      <c r="DC1023" s="35"/>
      <c r="DD1023" s="35"/>
      <c r="DE1023" s="35"/>
      <c r="DF1023" s="35"/>
      <c r="DG1023" s="35"/>
      <c r="DH1023" s="35"/>
      <c r="DI1023" s="35"/>
      <c r="DJ1023" s="35"/>
      <c r="DK1023" s="35"/>
      <c r="DL1023" s="35"/>
      <c r="DM1023" s="35"/>
      <c r="DN1023" s="35"/>
      <c r="DO1023" s="35"/>
      <c r="DP1023" s="35"/>
      <c r="DQ1023" s="35"/>
      <c r="DR1023" s="35"/>
      <c r="DS1023" s="35"/>
      <c r="DT1023" s="35"/>
      <c r="DU1023" s="35"/>
      <c r="DV1023" s="35"/>
      <c r="DW1023" s="35"/>
      <c r="DX1023" s="35"/>
      <c r="DY1023" s="35"/>
      <c r="DZ1023" s="35"/>
      <c r="EA1023" s="35"/>
      <c r="EB1023" s="35"/>
      <c r="EC1023" s="35"/>
      <c r="ED1023" s="35"/>
      <c r="EE1023" s="35"/>
      <c r="EF1023" s="35"/>
      <c r="EG1023" s="35"/>
      <c r="EH1023" s="35"/>
      <c r="EI1023" s="35"/>
      <c r="EJ1023" s="35"/>
      <c r="EK1023" s="35"/>
      <c r="EL1023" s="35"/>
      <c r="EM1023" s="35"/>
      <c r="EN1023" s="35"/>
      <c r="EO1023" s="35"/>
      <c r="EP1023" s="35"/>
      <c r="EQ1023" s="35"/>
      <c r="ER1023" s="35"/>
      <c r="ES1023" s="35"/>
      <c r="ET1023" s="35"/>
      <c r="EU1023" s="35"/>
      <c r="EV1023" s="35"/>
      <c r="EW1023" s="35"/>
      <c r="EX1023" s="35"/>
      <c r="EY1023" s="35"/>
      <c r="EZ1023" s="35"/>
      <c r="FA1023" s="35"/>
      <c r="FB1023" s="35"/>
      <c r="FC1023" s="35"/>
      <c r="FD1023" s="35"/>
      <c r="FE1023" s="35"/>
      <c r="FF1023" s="35"/>
      <c r="FG1023" s="35"/>
      <c r="FH1023" s="35"/>
      <c r="FI1023" s="35"/>
      <c r="FJ1023" s="35"/>
      <c r="FK1023" s="35"/>
      <c r="FL1023" s="35"/>
      <c r="FM1023" s="35"/>
      <c r="FN1023" s="35"/>
      <c r="FO1023" s="35"/>
      <c r="FP1023" s="35"/>
      <c r="FQ1023" s="35"/>
      <c r="FR1023" s="35"/>
      <c r="FS1023" s="35"/>
      <c r="FT1023" s="35"/>
      <c r="FU1023" s="35"/>
      <c r="FV1023" s="35"/>
      <c r="FW1023" s="35"/>
      <c r="FX1023" s="35"/>
      <c r="FY1023" s="35"/>
      <c r="FZ1023" s="35"/>
      <c r="GA1023" s="35"/>
      <c r="GB1023" s="35"/>
      <c r="GC1023" s="35"/>
      <c r="GD1023" s="35"/>
      <c r="GE1023" s="35"/>
      <c r="GF1023" s="35"/>
      <c r="GG1023" s="35"/>
      <c r="GH1023" s="35"/>
      <c r="GI1023" s="35"/>
      <c r="GJ1023" s="35"/>
      <c r="GK1023" s="35"/>
      <c r="GL1023" s="35"/>
      <c r="GM1023" s="35"/>
      <c r="GN1023" s="35"/>
      <c r="GO1023" s="35"/>
      <c r="GP1023" s="35"/>
      <c r="GQ1023" s="35"/>
      <c r="GR1023" s="35"/>
      <c r="GS1023" s="35"/>
      <c r="GT1023" s="35"/>
      <c r="GU1023" s="35"/>
      <c r="GV1023" s="35"/>
      <c r="GW1023" s="35"/>
      <c r="GX1023" s="35"/>
      <c r="GY1023" s="35"/>
      <c r="GZ1023" s="35"/>
      <c r="HA1023" s="35"/>
      <c r="HB1023" s="35"/>
      <c r="HC1023" s="35"/>
      <c r="HD1023" s="35"/>
      <c r="HE1023" s="35"/>
      <c r="HF1023" s="35"/>
      <c r="HG1023" s="35"/>
      <c r="HH1023" s="35"/>
      <c r="HI1023" s="35"/>
      <c r="HJ1023" s="35"/>
      <c r="HK1023" s="35"/>
      <c r="HL1023" s="35"/>
      <c r="HM1023" s="35"/>
      <c r="HN1023" s="35"/>
      <c r="HO1023" s="35"/>
      <c r="HP1023" s="35"/>
      <c r="HQ1023" s="35"/>
      <c r="HR1023" s="35"/>
      <c r="HS1023" s="35"/>
      <c r="HT1023" s="35"/>
      <c r="HU1023" s="35"/>
      <c r="HV1023" s="35"/>
      <c r="HW1023" s="35"/>
      <c r="HX1023" s="35"/>
      <c r="HY1023" s="35"/>
      <c r="HZ1023" s="35"/>
      <c r="IA1023" s="35"/>
      <c r="IB1023" s="35"/>
      <c r="IC1023" s="35"/>
      <c r="ID1023" s="35"/>
      <c r="IE1023" s="35"/>
      <c r="IF1023" s="35"/>
      <c r="IG1023" s="35"/>
      <c r="IH1023" s="35"/>
      <c r="II1023" s="35"/>
      <c r="IJ1023" s="35"/>
      <c r="IK1023" s="35"/>
      <c r="IL1023" s="35"/>
      <c r="IM1023" s="35"/>
      <c r="IN1023" s="35"/>
      <c r="IO1023" s="35"/>
      <c r="IP1023" s="35"/>
      <c r="IQ1023" s="35"/>
      <c r="IR1023" s="35"/>
      <c r="IS1023" s="35"/>
      <c r="IT1023" s="35"/>
      <c r="IU1023" s="35"/>
      <c r="IV1023" s="35"/>
      <c r="IW1023" s="35"/>
      <c r="IX1023" s="35"/>
      <c r="IY1023" s="35"/>
      <c r="IZ1023" s="35"/>
      <c r="JA1023" s="35"/>
      <c r="JB1023" s="35"/>
      <c r="JC1023" s="35"/>
      <c r="JD1023" s="35"/>
      <c r="JE1023" s="35"/>
    </row>
    <row r="1024">
      <c r="A1024" s="42"/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  <c r="AF1024" s="35"/>
      <c r="AG1024" s="35"/>
      <c r="AH1024" s="35"/>
      <c r="AI1024" s="35"/>
      <c r="AJ1024" s="35"/>
      <c r="AK1024" s="35"/>
      <c r="AL1024" s="35"/>
      <c r="AM1024" s="35"/>
      <c r="AN1024" s="35"/>
      <c r="AO1024" s="35"/>
      <c r="AP1024" s="35"/>
      <c r="AQ1024" s="35"/>
      <c r="AR1024" s="35"/>
      <c r="AS1024" s="35"/>
      <c r="AT1024" s="35"/>
      <c r="AU1024" s="35"/>
      <c r="AV1024" s="35"/>
      <c r="AW1024" s="35"/>
      <c r="AX1024" s="35"/>
      <c r="AY1024" s="35"/>
      <c r="AZ1024" s="35"/>
      <c r="BA1024" s="35"/>
      <c r="BB1024" s="35"/>
      <c r="BC1024" s="35"/>
      <c r="BD1024" s="35"/>
      <c r="BE1024" s="35"/>
      <c r="BF1024" s="35"/>
      <c r="BG1024" s="35"/>
      <c r="BH1024" s="35"/>
      <c r="BI1024" s="35"/>
      <c r="BJ1024" s="35"/>
      <c r="BK1024" s="35"/>
      <c r="BL1024" s="35"/>
      <c r="BM1024" s="35"/>
      <c r="BN1024" s="35"/>
      <c r="BO1024" s="35"/>
      <c r="BP1024" s="35"/>
      <c r="BQ1024" s="35"/>
      <c r="BR1024" s="35"/>
      <c r="BS1024" s="35"/>
      <c r="BT1024" s="35"/>
      <c r="BU1024" s="35"/>
      <c r="BV1024" s="35"/>
      <c r="BW1024" s="35"/>
      <c r="BX1024" s="35"/>
      <c r="BY1024" s="35"/>
      <c r="BZ1024" s="35"/>
      <c r="CA1024" s="35"/>
      <c r="CB1024" s="35"/>
      <c r="CC1024" s="35"/>
      <c r="CD1024" s="35"/>
      <c r="CE1024" s="35"/>
      <c r="CF1024" s="35"/>
      <c r="CG1024" s="35"/>
      <c r="CH1024" s="35"/>
      <c r="CI1024" s="35"/>
      <c r="CJ1024" s="35"/>
      <c r="CK1024" s="35"/>
      <c r="CL1024" s="35"/>
      <c r="CM1024" s="35"/>
      <c r="CN1024" s="35"/>
      <c r="CO1024" s="35"/>
      <c r="CP1024" s="35"/>
      <c r="CQ1024" s="35"/>
      <c r="CR1024" s="35"/>
      <c r="CS1024" s="35"/>
      <c r="CT1024" s="35"/>
      <c r="CU1024" s="35"/>
      <c r="CV1024" s="35"/>
      <c r="CW1024" s="35"/>
      <c r="CX1024" s="35"/>
      <c r="CY1024" s="35"/>
      <c r="CZ1024" s="35"/>
      <c r="DA1024" s="35"/>
      <c r="DB1024" s="35"/>
      <c r="DC1024" s="35"/>
      <c r="DD1024" s="35"/>
      <c r="DE1024" s="35"/>
      <c r="DF1024" s="35"/>
      <c r="DG1024" s="35"/>
      <c r="DH1024" s="35"/>
      <c r="DI1024" s="35"/>
      <c r="DJ1024" s="35"/>
      <c r="DK1024" s="35"/>
      <c r="DL1024" s="35"/>
      <c r="DM1024" s="35"/>
      <c r="DN1024" s="35"/>
      <c r="DO1024" s="35"/>
      <c r="DP1024" s="35"/>
      <c r="DQ1024" s="35"/>
      <c r="DR1024" s="35"/>
      <c r="DS1024" s="35"/>
      <c r="DT1024" s="35"/>
      <c r="DU1024" s="35"/>
      <c r="DV1024" s="35"/>
      <c r="DW1024" s="35"/>
      <c r="DX1024" s="35"/>
      <c r="DY1024" s="35"/>
      <c r="DZ1024" s="35"/>
      <c r="EA1024" s="35"/>
      <c r="EB1024" s="35"/>
      <c r="EC1024" s="35"/>
      <c r="ED1024" s="35"/>
      <c r="EE1024" s="35"/>
      <c r="EF1024" s="35"/>
      <c r="EG1024" s="35"/>
      <c r="EH1024" s="35"/>
      <c r="EI1024" s="35"/>
      <c r="EJ1024" s="35"/>
      <c r="EK1024" s="35"/>
      <c r="EL1024" s="35"/>
      <c r="EM1024" s="35"/>
      <c r="EN1024" s="35"/>
      <c r="EO1024" s="35"/>
      <c r="EP1024" s="35"/>
      <c r="EQ1024" s="35"/>
      <c r="ER1024" s="35"/>
      <c r="ES1024" s="35"/>
      <c r="ET1024" s="35"/>
      <c r="EU1024" s="35"/>
      <c r="EV1024" s="35"/>
      <c r="EW1024" s="35"/>
      <c r="EX1024" s="35"/>
      <c r="EY1024" s="35"/>
      <c r="EZ1024" s="35"/>
      <c r="FA1024" s="35"/>
      <c r="FB1024" s="35"/>
      <c r="FC1024" s="35"/>
      <c r="FD1024" s="35"/>
      <c r="FE1024" s="35"/>
      <c r="FF1024" s="35"/>
      <c r="FG1024" s="35"/>
      <c r="FH1024" s="35"/>
      <c r="FI1024" s="35"/>
      <c r="FJ1024" s="35"/>
      <c r="FK1024" s="35"/>
      <c r="FL1024" s="35"/>
      <c r="FM1024" s="35"/>
      <c r="FN1024" s="35"/>
      <c r="FO1024" s="35"/>
      <c r="FP1024" s="35"/>
      <c r="FQ1024" s="35"/>
      <c r="FR1024" s="35"/>
      <c r="FS1024" s="35"/>
      <c r="FT1024" s="35"/>
      <c r="FU1024" s="35"/>
      <c r="FV1024" s="35"/>
      <c r="FW1024" s="35"/>
      <c r="FX1024" s="35"/>
      <c r="FY1024" s="35"/>
      <c r="FZ1024" s="35"/>
      <c r="GA1024" s="35"/>
      <c r="GB1024" s="35"/>
      <c r="GC1024" s="35"/>
      <c r="GD1024" s="35"/>
      <c r="GE1024" s="35"/>
      <c r="GF1024" s="35"/>
      <c r="GG1024" s="35"/>
      <c r="GH1024" s="35"/>
      <c r="GI1024" s="35"/>
      <c r="GJ1024" s="35"/>
      <c r="GK1024" s="35"/>
      <c r="GL1024" s="35"/>
      <c r="GM1024" s="35"/>
      <c r="GN1024" s="35"/>
      <c r="GO1024" s="35"/>
      <c r="GP1024" s="35"/>
      <c r="GQ1024" s="35"/>
      <c r="GR1024" s="35"/>
      <c r="GS1024" s="35"/>
      <c r="GT1024" s="35"/>
      <c r="GU1024" s="35"/>
      <c r="GV1024" s="35"/>
      <c r="GW1024" s="35"/>
      <c r="GX1024" s="35"/>
      <c r="GY1024" s="35"/>
      <c r="GZ1024" s="35"/>
      <c r="HA1024" s="35"/>
      <c r="HB1024" s="35"/>
      <c r="HC1024" s="35"/>
      <c r="HD1024" s="35"/>
      <c r="HE1024" s="35"/>
      <c r="HF1024" s="35"/>
      <c r="HG1024" s="35"/>
      <c r="HH1024" s="35"/>
      <c r="HI1024" s="35"/>
      <c r="HJ1024" s="35"/>
      <c r="HK1024" s="35"/>
      <c r="HL1024" s="35"/>
      <c r="HM1024" s="35"/>
      <c r="HN1024" s="35"/>
      <c r="HO1024" s="35"/>
      <c r="HP1024" s="35"/>
      <c r="HQ1024" s="35"/>
      <c r="HR1024" s="35"/>
      <c r="HS1024" s="35"/>
      <c r="HT1024" s="35"/>
      <c r="HU1024" s="35"/>
      <c r="HV1024" s="35"/>
      <c r="HW1024" s="35"/>
      <c r="HX1024" s="35"/>
      <c r="HY1024" s="35"/>
      <c r="HZ1024" s="35"/>
      <c r="IA1024" s="35"/>
      <c r="IB1024" s="35"/>
      <c r="IC1024" s="35"/>
      <c r="ID1024" s="35"/>
      <c r="IE1024" s="35"/>
      <c r="IF1024" s="35"/>
      <c r="IG1024" s="35"/>
      <c r="IH1024" s="35"/>
      <c r="II1024" s="35"/>
      <c r="IJ1024" s="35"/>
      <c r="IK1024" s="35"/>
      <c r="IL1024" s="35"/>
      <c r="IM1024" s="35"/>
      <c r="IN1024" s="35"/>
      <c r="IO1024" s="35"/>
      <c r="IP1024" s="35"/>
      <c r="IQ1024" s="35"/>
      <c r="IR1024" s="35"/>
      <c r="IS1024" s="35"/>
      <c r="IT1024" s="35"/>
      <c r="IU1024" s="35"/>
      <c r="IV1024" s="35"/>
      <c r="IW1024" s="35"/>
      <c r="IX1024" s="35"/>
      <c r="IY1024" s="35"/>
      <c r="IZ1024" s="35"/>
      <c r="JA1024" s="35"/>
      <c r="JB1024" s="35"/>
      <c r="JC1024" s="35"/>
      <c r="JD1024" s="35"/>
      <c r="JE1024" s="35"/>
    </row>
    <row r="1025">
      <c r="A1025" s="42"/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5"/>
      <c r="AD1025" s="35"/>
      <c r="AE1025" s="35"/>
      <c r="AF1025" s="35"/>
      <c r="AG1025" s="35"/>
      <c r="AH1025" s="35"/>
      <c r="AI1025" s="35"/>
      <c r="AJ1025" s="35"/>
      <c r="AK1025" s="35"/>
      <c r="AL1025" s="35"/>
      <c r="AM1025" s="35"/>
      <c r="AN1025" s="35"/>
      <c r="AO1025" s="35"/>
      <c r="AP1025" s="35"/>
      <c r="AQ1025" s="35"/>
      <c r="AR1025" s="35"/>
      <c r="AS1025" s="35"/>
      <c r="AT1025" s="35"/>
      <c r="AU1025" s="35"/>
      <c r="AV1025" s="35"/>
      <c r="AW1025" s="35"/>
      <c r="AX1025" s="35"/>
      <c r="AY1025" s="35"/>
      <c r="AZ1025" s="35"/>
      <c r="BA1025" s="35"/>
      <c r="BB1025" s="35"/>
      <c r="BC1025" s="35"/>
      <c r="BD1025" s="35"/>
      <c r="BE1025" s="35"/>
      <c r="BF1025" s="35"/>
      <c r="BG1025" s="35"/>
      <c r="BH1025" s="35"/>
      <c r="BI1025" s="35"/>
      <c r="BJ1025" s="35"/>
      <c r="BK1025" s="35"/>
      <c r="BL1025" s="35"/>
      <c r="BM1025" s="35"/>
      <c r="BN1025" s="35"/>
      <c r="BO1025" s="35"/>
      <c r="BP1025" s="35"/>
      <c r="BQ1025" s="35"/>
      <c r="BR1025" s="35"/>
      <c r="BS1025" s="35"/>
      <c r="BT1025" s="35"/>
      <c r="BU1025" s="35"/>
      <c r="BV1025" s="35"/>
      <c r="BW1025" s="35"/>
      <c r="BX1025" s="35"/>
      <c r="BY1025" s="35"/>
      <c r="BZ1025" s="35"/>
      <c r="CA1025" s="35"/>
      <c r="CB1025" s="35"/>
      <c r="CC1025" s="35"/>
      <c r="CD1025" s="35"/>
      <c r="CE1025" s="35"/>
      <c r="CF1025" s="35"/>
      <c r="CG1025" s="35"/>
      <c r="CH1025" s="35"/>
      <c r="CI1025" s="35"/>
      <c r="CJ1025" s="35"/>
      <c r="CK1025" s="35"/>
      <c r="CL1025" s="35"/>
      <c r="CM1025" s="35"/>
      <c r="CN1025" s="35"/>
      <c r="CO1025" s="35"/>
      <c r="CP1025" s="35"/>
      <c r="CQ1025" s="35"/>
      <c r="CR1025" s="35"/>
      <c r="CS1025" s="35"/>
      <c r="CT1025" s="35"/>
      <c r="CU1025" s="35"/>
      <c r="CV1025" s="35"/>
      <c r="CW1025" s="35"/>
      <c r="CX1025" s="35"/>
      <c r="CY1025" s="35"/>
      <c r="CZ1025" s="35"/>
      <c r="DA1025" s="35"/>
      <c r="DB1025" s="35"/>
      <c r="DC1025" s="35"/>
      <c r="DD1025" s="35"/>
      <c r="DE1025" s="35"/>
      <c r="DF1025" s="35"/>
      <c r="DG1025" s="35"/>
      <c r="DH1025" s="35"/>
      <c r="DI1025" s="35"/>
      <c r="DJ1025" s="35"/>
      <c r="DK1025" s="35"/>
      <c r="DL1025" s="35"/>
      <c r="DM1025" s="35"/>
      <c r="DN1025" s="35"/>
      <c r="DO1025" s="35"/>
      <c r="DP1025" s="35"/>
      <c r="DQ1025" s="35"/>
      <c r="DR1025" s="35"/>
      <c r="DS1025" s="35"/>
      <c r="DT1025" s="35"/>
      <c r="DU1025" s="35"/>
      <c r="DV1025" s="35"/>
      <c r="DW1025" s="35"/>
      <c r="DX1025" s="35"/>
      <c r="DY1025" s="35"/>
      <c r="DZ1025" s="35"/>
      <c r="EA1025" s="35"/>
      <c r="EB1025" s="35"/>
      <c r="EC1025" s="35"/>
      <c r="ED1025" s="35"/>
      <c r="EE1025" s="35"/>
      <c r="EF1025" s="35"/>
      <c r="EG1025" s="35"/>
      <c r="EH1025" s="35"/>
      <c r="EI1025" s="35"/>
      <c r="EJ1025" s="35"/>
      <c r="EK1025" s="35"/>
      <c r="EL1025" s="35"/>
      <c r="EM1025" s="35"/>
      <c r="EN1025" s="35"/>
      <c r="EO1025" s="35"/>
      <c r="EP1025" s="35"/>
      <c r="EQ1025" s="35"/>
      <c r="ER1025" s="35"/>
      <c r="ES1025" s="35"/>
      <c r="ET1025" s="35"/>
      <c r="EU1025" s="35"/>
      <c r="EV1025" s="35"/>
      <c r="EW1025" s="35"/>
      <c r="EX1025" s="35"/>
      <c r="EY1025" s="35"/>
      <c r="EZ1025" s="35"/>
      <c r="FA1025" s="35"/>
      <c r="FB1025" s="35"/>
      <c r="FC1025" s="35"/>
      <c r="FD1025" s="35"/>
      <c r="FE1025" s="35"/>
      <c r="FF1025" s="35"/>
      <c r="FG1025" s="35"/>
      <c r="FH1025" s="35"/>
      <c r="FI1025" s="35"/>
      <c r="FJ1025" s="35"/>
      <c r="FK1025" s="35"/>
      <c r="FL1025" s="35"/>
      <c r="FM1025" s="35"/>
      <c r="FN1025" s="35"/>
      <c r="FO1025" s="35"/>
      <c r="FP1025" s="35"/>
      <c r="FQ1025" s="35"/>
      <c r="FR1025" s="35"/>
      <c r="FS1025" s="35"/>
      <c r="FT1025" s="35"/>
      <c r="FU1025" s="35"/>
      <c r="FV1025" s="35"/>
      <c r="FW1025" s="35"/>
      <c r="FX1025" s="35"/>
      <c r="FY1025" s="35"/>
      <c r="FZ1025" s="35"/>
      <c r="GA1025" s="35"/>
      <c r="GB1025" s="35"/>
      <c r="GC1025" s="35"/>
      <c r="GD1025" s="35"/>
      <c r="GE1025" s="35"/>
      <c r="GF1025" s="35"/>
      <c r="GG1025" s="35"/>
      <c r="GH1025" s="35"/>
      <c r="GI1025" s="35"/>
      <c r="GJ1025" s="35"/>
      <c r="GK1025" s="35"/>
      <c r="GL1025" s="35"/>
      <c r="GM1025" s="35"/>
      <c r="GN1025" s="35"/>
      <c r="GO1025" s="35"/>
      <c r="GP1025" s="35"/>
      <c r="GQ1025" s="35"/>
      <c r="GR1025" s="35"/>
      <c r="GS1025" s="35"/>
      <c r="GT1025" s="35"/>
      <c r="GU1025" s="35"/>
      <c r="GV1025" s="35"/>
      <c r="GW1025" s="35"/>
      <c r="GX1025" s="35"/>
      <c r="GY1025" s="35"/>
      <c r="GZ1025" s="35"/>
      <c r="HA1025" s="35"/>
      <c r="HB1025" s="35"/>
      <c r="HC1025" s="35"/>
      <c r="HD1025" s="35"/>
      <c r="HE1025" s="35"/>
      <c r="HF1025" s="35"/>
      <c r="HG1025" s="35"/>
      <c r="HH1025" s="35"/>
      <c r="HI1025" s="35"/>
      <c r="HJ1025" s="35"/>
      <c r="HK1025" s="35"/>
      <c r="HL1025" s="35"/>
      <c r="HM1025" s="35"/>
      <c r="HN1025" s="35"/>
      <c r="HO1025" s="35"/>
      <c r="HP1025" s="35"/>
      <c r="HQ1025" s="35"/>
      <c r="HR1025" s="35"/>
      <c r="HS1025" s="35"/>
      <c r="HT1025" s="35"/>
      <c r="HU1025" s="35"/>
      <c r="HV1025" s="35"/>
      <c r="HW1025" s="35"/>
      <c r="HX1025" s="35"/>
      <c r="HY1025" s="35"/>
      <c r="HZ1025" s="35"/>
      <c r="IA1025" s="35"/>
      <c r="IB1025" s="35"/>
      <c r="IC1025" s="35"/>
      <c r="ID1025" s="35"/>
      <c r="IE1025" s="35"/>
      <c r="IF1025" s="35"/>
      <c r="IG1025" s="35"/>
      <c r="IH1025" s="35"/>
      <c r="II1025" s="35"/>
      <c r="IJ1025" s="35"/>
      <c r="IK1025" s="35"/>
      <c r="IL1025" s="35"/>
      <c r="IM1025" s="35"/>
      <c r="IN1025" s="35"/>
      <c r="IO1025" s="35"/>
      <c r="IP1025" s="35"/>
      <c r="IQ1025" s="35"/>
      <c r="IR1025" s="35"/>
      <c r="IS1025" s="35"/>
      <c r="IT1025" s="35"/>
      <c r="IU1025" s="35"/>
      <c r="IV1025" s="35"/>
      <c r="IW1025" s="35"/>
      <c r="IX1025" s="35"/>
      <c r="IY1025" s="35"/>
      <c r="IZ1025" s="35"/>
      <c r="JA1025" s="35"/>
      <c r="JB1025" s="35"/>
      <c r="JC1025" s="35"/>
      <c r="JD1025" s="35"/>
      <c r="JE1025" s="35"/>
    </row>
    <row r="1026">
      <c r="A1026" s="42"/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  <c r="AF1026" s="35"/>
      <c r="AG1026" s="35"/>
      <c r="AH1026" s="35"/>
      <c r="AI1026" s="35"/>
      <c r="AJ1026" s="35"/>
      <c r="AK1026" s="35"/>
      <c r="AL1026" s="35"/>
      <c r="AM1026" s="35"/>
      <c r="AN1026" s="35"/>
      <c r="AO1026" s="35"/>
      <c r="AP1026" s="35"/>
      <c r="AQ1026" s="35"/>
      <c r="AR1026" s="35"/>
      <c r="AS1026" s="35"/>
      <c r="AT1026" s="35"/>
      <c r="AU1026" s="35"/>
      <c r="AV1026" s="35"/>
      <c r="AW1026" s="35"/>
      <c r="AX1026" s="35"/>
      <c r="AY1026" s="35"/>
      <c r="AZ1026" s="35"/>
      <c r="BA1026" s="35"/>
      <c r="BB1026" s="35"/>
      <c r="BC1026" s="35"/>
      <c r="BD1026" s="35"/>
      <c r="BE1026" s="35"/>
      <c r="BF1026" s="35"/>
      <c r="BG1026" s="35"/>
      <c r="BH1026" s="35"/>
      <c r="BI1026" s="35"/>
      <c r="BJ1026" s="35"/>
      <c r="BK1026" s="35"/>
      <c r="BL1026" s="35"/>
      <c r="BM1026" s="35"/>
      <c r="BN1026" s="35"/>
      <c r="BO1026" s="35"/>
      <c r="BP1026" s="35"/>
      <c r="BQ1026" s="35"/>
      <c r="BR1026" s="35"/>
      <c r="BS1026" s="35"/>
      <c r="BT1026" s="35"/>
      <c r="BU1026" s="35"/>
      <c r="BV1026" s="35"/>
      <c r="BW1026" s="35"/>
      <c r="BX1026" s="35"/>
      <c r="BY1026" s="35"/>
      <c r="BZ1026" s="35"/>
      <c r="CA1026" s="35"/>
      <c r="CB1026" s="35"/>
      <c r="CC1026" s="35"/>
      <c r="CD1026" s="35"/>
      <c r="CE1026" s="35"/>
      <c r="CF1026" s="35"/>
      <c r="CG1026" s="35"/>
      <c r="CH1026" s="35"/>
      <c r="CI1026" s="35"/>
      <c r="CJ1026" s="35"/>
      <c r="CK1026" s="35"/>
      <c r="CL1026" s="35"/>
      <c r="CM1026" s="35"/>
      <c r="CN1026" s="35"/>
      <c r="CO1026" s="35"/>
      <c r="CP1026" s="35"/>
      <c r="CQ1026" s="35"/>
      <c r="CR1026" s="35"/>
      <c r="CS1026" s="35"/>
      <c r="CT1026" s="35"/>
      <c r="CU1026" s="35"/>
      <c r="CV1026" s="35"/>
      <c r="CW1026" s="35"/>
      <c r="CX1026" s="35"/>
      <c r="CY1026" s="35"/>
      <c r="CZ1026" s="35"/>
      <c r="DA1026" s="35"/>
      <c r="DB1026" s="35"/>
      <c r="DC1026" s="35"/>
      <c r="DD1026" s="35"/>
      <c r="DE1026" s="35"/>
      <c r="DF1026" s="35"/>
      <c r="DG1026" s="35"/>
      <c r="DH1026" s="35"/>
      <c r="DI1026" s="35"/>
      <c r="DJ1026" s="35"/>
      <c r="DK1026" s="35"/>
      <c r="DL1026" s="35"/>
      <c r="DM1026" s="35"/>
      <c r="DN1026" s="35"/>
      <c r="DO1026" s="35"/>
      <c r="DP1026" s="35"/>
      <c r="DQ1026" s="35"/>
      <c r="DR1026" s="35"/>
      <c r="DS1026" s="35"/>
      <c r="DT1026" s="35"/>
      <c r="DU1026" s="35"/>
      <c r="DV1026" s="35"/>
      <c r="DW1026" s="35"/>
      <c r="DX1026" s="35"/>
      <c r="DY1026" s="35"/>
      <c r="DZ1026" s="35"/>
      <c r="EA1026" s="35"/>
      <c r="EB1026" s="35"/>
      <c r="EC1026" s="35"/>
      <c r="ED1026" s="35"/>
      <c r="EE1026" s="35"/>
      <c r="EF1026" s="35"/>
      <c r="EG1026" s="35"/>
      <c r="EH1026" s="35"/>
      <c r="EI1026" s="35"/>
      <c r="EJ1026" s="35"/>
      <c r="EK1026" s="35"/>
      <c r="EL1026" s="35"/>
      <c r="EM1026" s="35"/>
      <c r="EN1026" s="35"/>
      <c r="EO1026" s="35"/>
      <c r="EP1026" s="35"/>
      <c r="EQ1026" s="35"/>
      <c r="ER1026" s="35"/>
      <c r="ES1026" s="35"/>
      <c r="ET1026" s="35"/>
      <c r="EU1026" s="35"/>
      <c r="EV1026" s="35"/>
      <c r="EW1026" s="35"/>
      <c r="EX1026" s="35"/>
      <c r="EY1026" s="35"/>
      <c r="EZ1026" s="35"/>
      <c r="FA1026" s="35"/>
      <c r="FB1026" s="35"/>
      <c r="FC1026" s="35"/>
      <c r="FD1026" s="35"/>
      <c r="FE1026" s="35"/>
      <c r="FF1026" s="35"/>
      <c r="FG1026" s="35"/>
      <c r="FH1026" s="35"/>
      <c r="FI1026" s="35"/>
      <c r="FJ1026" s="35"/>
      <c r="FK1026" s="35"/>
      <c r="FL1026" s="35"/>
      <c r="FM1026" s="35"/>
      <c r="FN1026" s="35"/>
      <c r="FO1026" s="35"/>
      <c r="FP1026" s="35"/>
      <c r="FQ1026" s="35"/>
      <c r="FR1026" s="35"/>
      <c r="FS1026" s="35"/>
      <c r="FT1026" s="35"/>
      <c r="FU1026" s="35"/>
      <c r="FV1026" s="35"/>
      <c r="FW1026" s="35"/>
      <c r="FX1026" s="35"/>
      <c r="FY1026" s="35"/>
      <c r="FZ1026" s="35"/>
      <c r="GA1026" s="35"/>
      <c r="GB1026" s="35"/>
      <c r="GC1026" s="35"/>
      <c r="GD1026" s="35"/>
      <c r="GE1026" s="35"/>
      <c r="GF1026" s="35"/>
      <c r="GG1026" s="35"/>
      <c r="GH1026" s="35"/>
      <c r="GI1026" s="35"/>
      <c r="GJ1026" s="35"/>
      <c r="GK1026" s="35"/>
      <c r="GL1026" s="35"/>
      <c r="GM1026" s="35"/>
      <c r="GN1026" s="35"/>
      <c r="GO1026" s="35"/>
      <c r="GP1026" s="35"/>
      <c r="GQ1026" s="35"/>
      <c r="GR1026" s="35"/>
      <c r="GS1026" s="35"/>
      <c r="GT1026" s="35"/>
      <c r="GU1026" s="35"/>
      <c r="GV1026" s="35"/>
      <c r="GW1026" s="35"/>
      <c r="GX1026" s="35"/>
      <c r="GY1026" s="35"/>
      <c r="GZ1026" s="35"/>
      <c r="HA1026" s="35"/>
      <c r="HB1026" s="35"/>
      <c r="HC1026" s="35"/>
      <c r="HD1026" s="35"/>
      <c r="HE1026" s="35"/>
      <c r="HF1026" s="35"/>
      <c r="HG1026" s="35"/>
      <c r="HH1026" s="35"/>
      <c r="HI1026" s="35"/>
      <c r="HJ1026" s="35"/>
      <c r="HK1026" s="35"/>
      <c r="HL1026" s="35"/>
      <c r="HM1026" s="35"/>
      <c r="HN1026" s="35"/>
      <c r="HO1026" s="35"/>
      <c r="HP1026" s="35"/>
      <c r="HQ1026" s="35"/>
      <c r="HR1026" s="35"/>
      <c r="HS1026" s="35"/>
      <c r="HT1026" s="35"/>
      <c r="HU1026" s="35"/>
      <c r="HV1026" s="35"/>
      <c r="HW1026" s="35"/>
      <c r="HX1026" s="35"/>
      <c r="HY1026" s="35"/>
      <c r="HZ1026" s="35"/>
      <c r="IA1026" s="35"/>
      <c r="IB1026" s="35"/>
      <c r="IC1026" s="35"/>
      <c r="ID1026" s="35"/>
      <c r="IE1026" s="35"/>
      <c r="IF1026" s="35"/>
      <c r="IG1026" s="35"/>
      <c r="IH1026" s="35"/>
      <c r="II1026" s="35"/>
      <c r="IJ1026" s="35"/>
      <c r="IK1026" s="35"/>
      <c r="IL1026" s="35"/>
      <c r="IM1026" s="35"/>
      <c r="IN1026" s="35"/>
      <c r="IO1026" s="35"/>
      <c r="IP1026" s="35"/>
      <c r="IQ1026" s="35"/>
      <c r="IR1026" s="35"/>
      <c r="IS1026" s="35"/>
      <c r="IT1026" s="35"/>
      <c r="IU1026" s="35"/>
      <c r="IV1026" s="35"/>
      <c r="IW1026" s="35"/>
      <c r="IX1026" s="35"/>
      <c r="IY1026" s="35"/>
      <c r="IZ1026" s="35"/>
      <c r="JA1026" s="35"/>
      <c r="JB1026" s="35"/>
      <c r="JC1026" s="35"/>
      <c r="JD1026" s="35"/>
      <c r="JE1026" s="35"/>
    </row>
    <row r="1027">
      <c r="A1027" s="42"/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5"/>
      <c r="AD1027" s="35"/>
      <c r="AE1027" s="35"/>
      <c r="AF1027" s="35"/>
      <c r="AG1027" s="35"/>
      <c r="AH1027" s="35"/>
      <c r="AI1027" s="35"/>
      <c r="AJ1027" s="35"/>
      <c r="AK1027" s="35"/>
      <c r="AL1027" s="35"/>
      <c r="AM1027" s="35"/>
      <c r="AN1027" s="35"/>
      <c r="AO1027" s="35"/>
      <c r="AP1027" s="35"/>
      <c r="AQ1027" s="35"/>
      <c r="AR1027" s="35"/>
      <c r="AS1027" s="35"/>
      <c r="AT1027" s="35"/>
      <c r="AU1027" s="35"/>
      <c r="AV1027" s="35"/>
      <c r="AW1027" s="35"/>
      <c r="AX1027" s="35"/>
      <c r="AY1027" s="35"/>
      <c r="AZ1027" s="35"/>
      <c r="BA1027" s="35"/>
      <c r="BB1027" s="35"/>
      <c r="BC1027" s="35"/>
      <c r="BD1027" s="35"/>
      <c r="BE1027" s="35"/>
      <c r="BF1027" s="35"/>
      <c r="BG1027" s="35"/>
      <c r="BH1027" s="35"/>
      <c r="BI1027" s="35"/>
      <c r="BJ1027" s="35"/>
      <c r="BK1027" s="35"/>
      <c r="BL1027" s="35"/>
      <c r="BM1027" s="35"/>
      <c r="BN1027" s="35"/>
      <c r="BO1027" s="35"/>
      <c r="BP1027" s="35"/>
      <c r="BQ1027" s="35"/>
      <c r="BR1027" s="35"/>
      <c r="BS1027" s="35"/>
      <c r="BT1027" s="35"/>
      <c r="BU1027" s="35"/>
      <c r="BV1027" s="35"/>
      <c r="BW1027" s="35"/>
      <c r="BX1027" s="35"/>
      <c r="BY1027" s="35"/>
      <c r="BZ1027" s="35"/>
      <c r="CA1027" s="35"/>
      <c r="CB1027" s="35"/>
      <c r="CC1027" s="35"/>
      <c r="CD1027" s="35"/>
      <c r="CE1027" s="35"/>
      <c r="CF1027" s="35"/>
      <c r="CG1027" s="35"/>
      <c r="CH1027" s="35"/>
      <c r="CI1027" s="35"/>
      <c r="CJ1027" s="35"/>
      <c r="CK1027" s="35"/>
      <c r="CL1027" s="35"/>
      <c r="CM1027" s="35"/>
      <c r="CN1027" s="35"/>
      <c r="CO1027" s="35"/>
      <c r="CP1027" s="35"/>
      <c r="CQ1027" s="35"/>
      <c r="CR1027" s="35"/>
      <c r="CS1027" s="35"/>
      <c r="CT1027" s="35"/>
      <c r="CU1027" s="35"/>
      <c r="CV1027" s="35"/>
      <c r="CW1027" s="35"/>
      <c r="CX1027" s="35"/>
      <c r="CY1027" s="35"/>
      <c r="CZ1027" s="35"/>
      <c r="DA1027" s="35"/>
      <c r="DB1027" s="35"/>
      <c r="DC1027" s="35"/>
      <c r="DD1027" s="35"/>
      <c r="DE1027" s="35"/>
      <c r="DF1027" s="35"/>
      <c r="DG1027" s="35"/>
      <c r="DH1027" s="35"/>
      <c r="DI1027" s="35"/>
      <c r="DJ1027" s="35"/>
      <c r="DK1027" s="35"/>
      <c r="DL1027" s="35"/>
      <c r="DM1027" s="35"/>
      <c r="DN1027" s="35"/>
      <c r="DO1027" s="35"/>
      <c r="DP1027" s="35"/>
      <c r="DQ1027" s="35"/>
      <c r="DR1027" s="35"/>
      <c r="DS1027" s="35"/>
      <c r="DT1027" s="35"/>
      <c r="DU1027" s="35"/>
      <c r="DV1027" s="35"/>
      <c r="DW1027" s="35"/>
      <c r="DX1027" s="35"/>
      <c r="DY1027" s="35"/>
      <c r="DZ1027" s="35"/>
      <c r="EA1027" s="35"/>
      <c r="EB1027" s="35"/>
      <c r="EC1027" s="35"/>
      <c r="ED1027" s="35"/>
      <c r="EE1027" s="35"/>
      <c r="EF1027" s="35"/>
      <c r="EG1027" s="35"/>
      <c r="EH1027" s="35"/>
      <c r="EI1027" s="35"/>
      <c r="EJ1027" s="35"/>
      <c r="EK1027" s="35"/>
      <c r="EL1027" s="35"/>
      <c r="EM1027" s="35"/>
      <c r="EN1027" s="35"/>
      <c r="EO1027" s="35"/>
      <c r="EP1027" s="35"/>
      <c r="EQ1027" s="35"/>
      <c r="ER1027" s="35"/>
      <c r="ES1027" s="35"/>
      <c r="ET1027" s="35"/>
      <c r="EU1027" s="35"/>
      <c r="EV1027" s="35"/>
      <c r="EW1027" s="35"/>
      <c r="EX1027" s="35"/>
      <c r="EY1027" s="35"/>
      <c r="EZ1027" s="35"/>
      <c r="FA1027" s="35"/>
      <c r="FB1027" s="35"/>
      <c r="FC1027" s="35"/>
      <c r="FD1027" s="35"/>
      <c r="FE1027" s="35"/>
      <c r="FF1027" s="35"/>
      <c r="FG1027" s="35"/>
      <c r="FH1027" s="35"/>
      <c r="FI1027" s="35"/>
      <c r="FJ1027" s="35"/>
      <c r="FK1027" s="35"/>
      <c r="FL1027" s="35"/>
      <c r="FM1027" s="35"/>
      <c r="FN1027" s="35"/>
      <c r="FO1027" s="35"/>
      <c r="FP1027" s="35"/>
      <c r="FQ1027" s="35"/>
      <c r="FR1027" s="35"/>
      <c r="FS1027" s="35"/>
      <c r="FT1027" s="35"/>
      <c r="FU1027" s="35"/>
      <c r="FV1027" s="35"/>
      <c r="FW1027" s="35"/>
      <c r="FX1027" s="35"/>
      <c r="FY1027" s="35"/>
      <c r="FZ1027" s="35"/>
      <c r="GA1027" s="35"/>
      <c r="GB1027" s="35"/>
      <c r="GC1027" s="35"/>
      <c r="GD1027" s="35"/>
      <c r="GE1027" s="35"/>
      <c r="GF1027" s="35"/>
      <c r="GG1027" s="35"/>
      <c r="GH1027" s="35"/>
      <c r="GI1027" s="35"/>
      <c r="GJ1027" s="35"/>
      <c r="GK1027" s="35"/>
      <c r="GL1027" s="35"/>
      <c r="GM1027" s="35"/>
      <c r="GN1027" s="35"/>
      <c r="GO1027" s="35"/>
      <c r="GP1027" s="35"/>
      <c r="GQ1027" s="35"/>
      <c r="GR1027" s="35"/>
      <c r="GS1027" s="35"/>
      <c r="GT1027" s="35"/>
      <c r="GU1027" s="35"/>
      <c r="GV1027" s="35"/>
      <c r="GW1027" s="35"/>
      <c r="GX1027" s="35"/>
      <c r="GY1027" s="35"/>
      <c r="GZ1027" s="35"/>
      <c r="HA1027" s="35"/>
      <c r="HB1027" s="35"/>
      <c r="HC1027" s="35"/>
      <c r="HD1027" s="35"/>
      <c r="HE1027" s="35"/>
      <c r="HF1027" s="35"/>
      <c r="HG1027" s="35"/>
      <c r="HH1027" s="35"/>
      <c r="HI1027" s="35"/>
      <c r="HJ1027" s="35"/>
      <c r="HK1027" s="35"/>
      <c r="HL1027" s="35"/>
      <c r="HM1027" s="35"/>
      <c r="HN1027" s="35"/>
      <c r="HO1027" s="35"/>
      <c r="HP1027" s="35"/>
      <c r="HQ1027" s="35"/>
      <c r="HR1027" s="35"/>
      <c r="HS1027" s="35"/>
      <c r="HT1027" s="35"/>
      <c r="HU1027" s="35"/>
      <c r="HV1027" s="35"/>
      <c r="HW1027" s="35"/>
      <c r="HX1027" s="35"/>
      <c r="HY1027" s="35"/>
      <c r="HZ1027" s="35"/>
      <c r="IA1027" s="35"/>
      <c r="IB1027" s="35"/>
      <c r="IC1027" s="35"/>
      <c r="ID1027" s="35"/>
      <c r="IE1027" s="35"/>
      <c r="IF1027" s="35"/>
      <c r="IG1027" s="35"/>
      <c r="IH1027" s="35"/>
      <c r="II1027" s="35"/>
      <c r="IJ1027" s="35"/>
      <c r="IK1027" s="35"/>
      <c r="IL1027" s="35"/>
      <c r="IM1027" s="35"/>
      <c r="IN1027" s="35"/>
      <c r="IO1027" s="35"/>
      <c r="IP1027" s="35"/>
      <c r="IQ1027" s="35"/>
      <c r="IR1027" s="35"/>
      <c r="IS1027" s="35"/>
      <c r="IT1027" s="35"/>
      <c r="IU1027" s="35"/>
      <c r="IV1027" s="35"/>
      <c r="IW1027" s="35"/>
      <c r="IX1027" s="35"/>
      <c r="IY1027" s="35"/>
      <c r="IZ1027" s="35"/>
      <c r="JA1027" s="35"/>
      <c r="JB1027" s="35"/>
      <c r="JC1027" s="35"/>
      <c r="JD1027" s="35"/>
      <c r="JE1027" s="35"/>
    </row>
    <row r="1028">
      <c r="A1028" s="42"/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5"/>
      <c r="AD1028" s="35"/>
      <c r="AE1028" s="35"/>
      <c r="AF1028" s="35"/>
      <c r="AG1028" s="35"/>
      <c r="AH1028" s="35"/>
      <c r="AI1028" s="35"/>
      <c r="AJ1028" s="35"/>
      <c r="AK1028" s="35"/>
      <c r="AL1028" s="35"/>
      <c r="AM1028" s="35"/>
      <c r="AN1028" s="35"/>
      <c r="AO1028" s="35"/>
      <c r="AP1028" s="35"/>
      <c r="AQ1028" s="35"/>
      <c r="AR1028" s="35"/>
      <c r="AS1028" s="35"/>
      <c r="AT1028" s="35"/>
      <c r="AU1028" s="35"/>
      <c r="AV1028" s="35"/>
      <c r="AW1028" s="35"/>
      <c r="AX1028" s="35"/>
      <c r="AY1028" s="35"/>
      <c r="AZ1028" s="35"/>
      <c r="BA1028" s="35"/>
      <c r="BB1028" s="35"/>
      <c r="BC1028" s="35"/>
      <c r="BD1028" s="35"/>
      <c r="BE1028" s="35"/>
      <c r="BF1028" s="35"/>
      <c r="BG1028" s="35"/>
      <c r="BH1028" s="35"/>
      <c r="BI1028" s="35"/>
      <c r="BJ1028" s="35"/>
      <c r="BK1028" s="35"/>
      <c r="BL1028" s="35"/>
      <c r="BM1028" s="35"/>
      <c r="BN1028" s="35"/>
      <c r="BO1028" s="35"/>
      <c r="BP1028" s="35"/>
      <c r="BQ1028" s="35"/>
      <c r="BR1028" s="35"/>
      <c r="BS1028" s="35"/>
      <c r="BT1028" s="35"/>
      <c r="BU1028" s="35"/>
      <c r="BV1028" s="35"/>
      <c r="BW1028" s="35"/>
      <c r="BX1028" s="35"/>
      <c r="BY1028" s="35"/>
      <c r="BZ1028" s="35"/>
      <c r="CA1028" s="35"/>
      <c r="CB1028" s="35"/>
      <c r="CC1028" s="35"/>
      <c r="CD1028" s="35"/>
      <c r="CE1028" s="35"/>
      <c r="CF1028" s="35"/>
      <c r="CG1028" s="35"/>
      <c r="CH1028" s="35"/>
      <c r="CI1028" s="35"/>
      <c r="CJ1028" s="35"/>
      <c r="CK1028" s="35"/>
      <c r="CL1028" s="35"/>
      <c r="CM1028" s="35"/>
      <c r="CN1028" s="35"/>
      <c r="CO1028" s="35"/>
      <c r="CP1028" s="35"/>
      <c r="CQ1028" s="35"/>
      <c r="CR1028" s="35"/>
      <c r="CS1028" s="35"/>
      <c r="CT1028" s="35"/>
      <c r="CU1028" s="35"/>
      <c r="CV1028" s="35"/>
      <c r="CW1028" s="35"/>
      <c r="CX1028" s="35"/>
      <c r="CY1028" s="35"/>
      <c r="CZ1028" s="35"/>
      <c r="DA1028" s="35"/>
      <c r="DB1028" s="35"/>
      <c r="DC1028" s="35"/>
      <c r="DD1028" s="35"/>
      <c r="DE1028" s="35"/>
      <c r="DF1028" s="35"/>
      <c r="DG1028" s="35"/>
      <c r="DH1028" s="35"/>
      <c r="DI1028" s="35"/>
      <c r="DJ1028" s="35"/>
      <c r="DK1028" s="35"/>
      <c r="DL1028" s="35"/>
      <c r="DM1028" s="35"/>
      <c r="DN1028" s="35"/>
      <c r="DO1028" s="35"/>
      <c r="DP1028" s="35"/>
      <c r="DQ1028" s="35"/>
      <c r="DR1028" s="35"/>
      <c r="DS1028" s="35"/>
      <c r="DT1028" s="35"/>
      <c r="DU1028" s="35"/>
      <c r="DV1028" s="35"/>
      <c r="DW1028" s="35"/>
      <c r="DX1028" s="35"/>
      <c r="DY1028" s="35"/>
      <c r="DZ1028" s="35"/>
      <c r="EA1028" s="35"/>
      <c r="EB1028" s="35"/>
      <c r="EC1028" s="35"/>
      <c r="ED1028" s="35"/>
      <c r="EE1028" s="35"/>
      <c r="EF1028" s="35"/>
      <c r="EG1028" s="35"/>
      <c r="EH1028" s="35"/>
      <c r="EI1028" s="35"/>
      <c r="EJ1028" s="35"/>
      <c r="EK1028" s="35"/>
      <c r="EL1028" s="35"/>
      <c r="EM1028" s="35"/>
      <c r="EN1028" s="35"/>
      <c r="EO1028" s="35"/>
      <c r="EP1028" s="35"/>
      <c r="EQ1028" s="35"/>
      <c r="ER1028" s="35"/>
      <c r="ES1028" s="35"/>
      <c r="ET1028" s="35"/>
      <c r="EU1028" s="35"/>
      <c r="EV1028" s="35"/>
      <c r="EW1028" s="35"/>
      <c r="EX1028" s="35"/>
      <c r="EY1028" s="35"/>
      <c r="EZ1028" s="35"/>
      <c r="FA1028" s="35"/>
      <c r="FB1028" s="35"/>
      <c r="FC1028" s="35"/>
      <c r="FD1028" s="35"/>
      <c r="FE1028" s="35"/>
      <c r="FF1028" s="35"/>
      <c r="FG1028" s="35"/>
      <c r="FH1028" s="35"/>
      <c r="FI1028" s="35"/>
      <c r="FJ1028" s="35"/>
      <c r="FK1028" s="35"/>
      <c r="FL1028" s="35"/>
      <c r="FM1028" s="35"/>
      <c r="FN1028" s="35"/>
      <c r="FO1028" s="35"/>
      <c r="FP1028" s="35"/>
      <c r="FQ1028" s="35"/>
      <c r="FR1028" s="35"/>
      <c r="FS1028" s="35"/>
      <c r="FT1028" s="35"/>
      <c r="FU1028" s="35"/>
      <c r="FV1028" s="35"/>
      <c r="FW1028" s="35"/>
      <c r="FX1028" s="35"/>
      <c r="FY1028" s="35"/>
      <c r="FZ1028" s="35"/>
      <c r="GA1028" s="35"/>
      <c r="GB1028" s="35"/>
      <c r="GC1028" s="35"/>
      <c r="GD1028" s="35"/>
      <c r="GE1028" s="35"/>
      <c r="GF1028" s="35"/>
      <c r="GG1028" s="35"/>
      <c r="GH1028" s="35"/>
      <c r="GI1028" s="35"/>
      <c r="GJ1028" s="35"/>
      <c r="GK1028" s="35"/>
      <c r="GL1028" s="35"/>
      <c r="GM1028" s="35"/>
      <c r="GN1028" s="35"/>
      <c r="GO1028" s="35"/>
      <c r="GP1028" s="35"/>
      <c r="GQ1028" s="35"/>
      <c r="GR1028" s="35"/>
      <c r="GS1028" s="35"/>
      <c r="GT1028" s="35"/>
      <c r="GU1028" s="35"/>
      <c r="GV1028" s="35"/>
      <c r="GW1028" s="35"/>
      <c r="GX1028" s="35"/>
      <c r="GY1028" s="35"/>
      <c r="GZ1028" s="35"/>
      <c r="HA1028" s="35"/>
      <c r="HB1028" s="35"/>
      <c r="HC1028" s="35"/>
      <c r="HD1028" s="35"/>
      <c r="HE1028" s="35"/>
      <c r="HF1028" s="35"/>
      <c r="HG1028" s="35"/>
      <c r="HH1028" s="35"/>
      <c r="HI1028" s="35"/>
      <c r="HJ1028" s="35"/>
      <c r="HK1028" s="35"/>
      <c r="HL1028" s="35"/>
      <c r="HM1028" s="35"/>
      <c r="HN1028" s="35"/>
      <c r="HO1028" s="35"/>
      <c r="HP1028" s="35"/>
      <c r="HQ1028" s="35"/>
      <c r="HR1028" s="35"/>
      <c r="HS1028" s="35"/>
      <c r="HT1028" s="35"/>
      <c r="HU1028" s="35"/>
      <c r="HV1028" s="35"/>
      <c r="HW1028" s="35"/>
      <c r="HX1028" s="35"/>
      <c r="HY1028" s="35"/>
      <c r="HZ1028" s="35"/>
      <c r="IA1028" s="35"/>
      <c r="IB1028" s="35"/>
      <c r="IC1028" s="35"/>
      <c r="ID1028" s="35"/>
      <c r="IE1028" s="35"/>
      <c r="IF1028" s="35"/>
      <c r="IG1028" s="35"/>
      <c r="IH1028" s="35"/>
      <c r="II1028" s="35"/>
      <c r="IJ1028" s="35"/>
      <c r="IK1028" s="35"/>
      <c r="IL1028" s="35"/>
      <c r="IM1028" s="35"/>
      <c r="IN1028" s="35"/>
      <c r="IO1028" s="35"/>
      <c r="IP1028" s="35"/>
      <c r="IQ1028" s="35"/>
      <c r="IR1028" s="35"/>
      <c r="IS1028" s="35"/>
      <c r="IT1028" s="35"/>
      <c r="IU1028" s="35"/>
      <c r="IV1028" s="35"/>
      <c r="IW1028" s="35"/>
      <c r="IX1028" s="35"/>
      <c r="IY1028" s="35"/>
      <c r="IZ1028" s="35"/>
      <c r="JA1028" s="35"/>
      <c r="JB1028" s="35"/>
      <c r="JC1028" s="35"/>
      <c r="JD1028" s="35"/>
      <c r="JE1028" s="35"/>
    </row>
    <row r="1029">
      <c r="A1029" s="42"/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5"/>
      <c r="AD1029" s="35"/>
      <c r="AE1029" s="35"/>
      <c r="AF1029" s="35"/>
      <c r="AG1029" s="35"/>
      <c r="AH1029" s="35"/>
      <c r="AI1029" s="35"/>
      <c r="AJ1029" s="35"/>
      <c r="AK1029" s="35"/>
      <c r="AL1029" s="35"/>
      <c r="AM1029" s="35"/>
      <c r="AN1029" s="35"/>
      <c r="AO1029" s="35"/>
      <c r="AP1029" s="35"/>
      <c r="AQ1029" s="35"/>
      <c r="AR1029" s="35"/>
      <c r="AS1029" s="35"/>
      <c r="AT1029" s="35"/>
      <c r="AU1029" s="35"/>
      <c r="AV1029" s="35"/>
      <c r="AW1029" s="35"/>
      <c r="AX1029" s="35"/>
      <c r="AY1029" s="35"/>
      <c r="AZ1029" s="35"/>
      <c r="BA1029" s="35"/>
      <c r="BB1029" s="35"/>
      <c r="BC1029" s="35"/>
      <c r="BD1029" s="35"/>
      <c r="BE1029" s="35"/>
      <c r="BF1029" s="35"/>
      <c r="BG1029" s="35"/>
      <c r="BH1029" s="35"/>
      <c r="BI1029" s="35"/>
      <c r="BJ1029" s="35"/>
      <c r="BK1029" s="35"/>
      <c r="BL1029" s="35"/>
      <c r="BM1029" s="35"/>
      <c r="BN1029" s="35"/>
      <c r="BO1029" s="35"/>
      <c r="BP1029" s="35"/>
      <c r="BQ1029" s="35"/>
      <c r="BR1029" s="35"/>
      <c r="BS1029" s="35"/>
      <c r="BT1029" s="35"/>
      <c r="BU1029" s="35"/>
      <c r="BV1029" s="35"/>
      <c r="BW1029" s="35"/>
      <c r="BX1029" s="35"/>
      <c r="BY1029" s="35"/>
      <c r="BZ1029" s="35"/>
      <c r="CA1029" s="35"/>
      <c r="CB1029" s="35"/>
      <c r="CC1029" s="35"/>
      <c r="CD1029" s="35"/>
      <c r="CE1029" s="35"/>
      <c r="CF1029" s="35"/>
      <c r="CG1029" s="35"/>
      <c r="CH1029" s="35"/>
      <c r="CI1029" s="35"/>
      <c r="CJ1029" s="35"/>
      <c r="CK1029" s="35"/>
      <c r="CL1029" s="35"/>
      <c r="CM1029" s="35"/>
      <c r="CN1029" s="35"/>
      <c r="CO1029" s="35"/>
      <c r="CP1029" s="35"/>
      <c r="CQ1029" s="35"/>
      <c r="CR1029" s="35"/>
      <c r="CS1029" s="35"/>
      <c r="CT1029" s="35"/>
      <c r="CU1029" s="35"/>
      <c r="CV1029" s="35"/>
      <c r="CW1029" s="35"/>
      <c r="CX1029" s="35"/>
      <c r="CY1029" s="35"/>
      <c r="CZ1029" s="35"/>
      <c r="DA1029" s="35"/>
      <c r="DB1029" s="35"/>
      <c r="DC1029" s="35"/>
      <c r="DD1029" s="35"/>
      <c r="DE1029" s="35"/>
      <c r="DF1029" s="35"/>
      <c r="DG1029" s="35"/>
      <c r="DH1029" s="35"/>
      <c r="DI1029" s="35"/>
      <c r="DJ1029" s="35"/>
      <c r="DK1029" s="35"/>
      <c r="DL1029" s="35"/>
      <c r="DM1029" s="35"/>
      <c r="DN1029" s="35"/>
      <c r="DO1029" s="35"/>
      <c r="DP1029" s="35"/>
      <c r="DQ1029" s="35"/>
      <c r="DR1029" s="35"/>
      <c r="DS1029" s="35"/>
      <c r="DT1029" s="35"/>
      <c r="DU1029" s="35"/>
      <c r="DV1029" s="35"/>
      <c r="DW1029" s="35"/>
      <c r="DX1029" s="35"/>
      <c r="DY1029" s="35"/>
      <c r="DZ1029" s="35"/>
      <c r="EA1029" s="35"/>
      <c r="EB1029" s="35"/>
      <c r="EC1029" s="35"/>
      <c r="ED1029" s="35"/>
      <c r="EE1029" s="35"/>
      <c r="EF1029" s="35"/>
      <c r="EG1029" s="35"/>
      <c r="EH1029" s="35"/>
      <c r="EI1029" s="35"/>
      <c r="EJ1029" s="35"/>
      <c r="EK1029" s="35"/>
      <c r="EL1029" s="35"/>
      <c r="EM1029" s="35"/>
      <c r="EN1029" s="35"/>
      <c r="EO1029" s="35"/>
      <c r="EP1029" s="35"/>
      <c r="EQ1029" s="35"/>
      <c r="ER1029" s="35"/>
      <c r="ES1029" s="35"/>
      <c r="ET1029" s="35"/>
      <c r="EU1029" s="35"/>
      <c r="EV1029" s="35"/>
      <c r="EW1029" s="35"/>
      <c r="EX1029" s="35"/>
      <c r="EY1029" s="35"/>
      <c r="EZ1029" s="35"/>
      <c r="FA1029" s="35"/>
      <c r="FB1029" s="35"/>
      <c r="FC1029" s="35"/>
      <c r="FD1029" s="35"/>
      <c r="FE1029" s="35"/>
      <c r="FF1029" s="35"/>
      <c r="FG1029" s="35"/>
      <c r="FH1029" s="35"/>
      <c r="FI1029" s="35"/>
      <c r="FJ1029" s="35"/>
      <c r="FK1029" s="35"/>
      <c r="FL1029" s="35"/>
      <c r="FM1029" s="35"/>
      <c r="FN1029" s="35"/>
      <c r="FO1029" s="35"/>
      <c r="FP1029" s="35"/>
      <c r="FQ1029" s="35"/>
      <c r="FR1029" s="35"/>
      <c r="FS1029" s="35"/>
      <c r="FT1029" s="35"/>
      <c r="FU1029" s="35"/>
      <c r="FV1029" s="35"/>
      <c r="FW1029" s="35"/>
      <c r="FX1029" s="35"/>
      <c r="FY1029" s="35"/>
      <c r="FZ1029" s="35"/>
      <c r="GA1029" s="35"/>
      <c r="GB1029" s="35"/>
      <c r="GC1029" s="35"/>
      <c r="GD1029" s="35"/>
      <c r="GE1029" s="35"/>
      <c r="GF1029" s="35"/>
      <c r="GG1029" s="35"/>
      <c r="GH1029" s="35"/>
      <c r="GI1029" s="35"/>
      <c r="GJ1029" s="35"/>
      <c r="GK1029" s="35"/>
      <c r="GL1029" s="35"/>
      <c r="GM1029" s="35"/>
      <c r="GN1029" s="35"/>
      <c r="GO1029" s="35"/>
      <c r="GP1029" s="35"/>
      <c r="GQ1029" s="35"/>
      <c r="GR1029" s="35"/>
      <c r="GS1029" s="35"/>
      <c r="GT1029" s="35"/>
      <c r="GU1029" s="35"/>
      <c r="GV1029" s="35"/>
      <c r="GW1029" s="35"/>
      <c r="GX1029" s="35"/>
      <c r="GY1029" s="35"/>
      <c r="GZ1029" s="35"/>
      <c r="HA1029" s="35"/>
      <c r="HB1029" s="35"/>
      <c r="HC1029" s="35"/>
      <c r="HD1029" s="35"/>
      <c r="HE1029" s="35"/>
      <c r="HF1029" s="35"/>
      <c r="HG1029" s="35"/>
      <c r="HH1029" s="35"/>
      <c r="HI1029" s="35"/>
      <c r="HJ1029" s="35"/>
      <c r="HK1029" s="35"/>
      <c r="HL1029" s="35"/>
      <c r="HM1029" s="35"/>
      <c r="HN1029" s="35"/>
      <c r="HO1029" s="35"/>
      <c r="HP1029" s="35"/>
      <c r="HQ1029" s="35"/>
      <c r="HR1029" s="35"/>
      <c r="HS1029" s="35"/>
      <c r="HT1029" s="35"/>
      <c r="HU1029" s="35"/>
      <c r="HV1029" s="35"/>
      <c r="HW1029" s="35"/>
      <c r="HX1029" s="35"/>
      <c r="HY1029" s="35"/>
      <c r="HZ1029" s="35"/>
      <c r="IA1029" s="35"/>
      <c r="IB1029" s="35"/>
      <c r="IC1029" s="35"/>
      <c r="ID1029" s="35"/>
      <c r="IE1029" s="35"/>
      <c r="IF1029" s="35"/>
      <c r="IG1029" s="35"/>
      <c r="IH1029" s="35"/>
      <c r="II1029" s="35"/>
      <c r="IJ1029" s="35"/>
      <c r="IK1029" s="35"/>
      <c r="IL1029" s="35"/>
      <c r="IM1029" s="35"/>
      <c r="IN1029" s="35"/>
      <c r="IO1029" s="35"/>
      <c r="IP1029" s="35"/>
      <c r="IQ1029" s="35"/>
      <c r="IR1029" s="35"/>
      <c r="IS1029" s="35"/>
      <c r="IT1029" s="35"/>
      <c r="IU1029" s="35"/>
      <c r="IV1029" s="35"/>
      <c r="IW1029" s="35"/>
      <c r="IX1029" s="35"/>
      <c r="IY1029" s="35"/>
      <c r="IZ1029" s="35"/>
      <c r="JA1029" s="35"/>
      <c r="JB1029" s="35"/>
      <c r="JC1029" s="35"/>
      <c r="JD1029" s="35"/>
      <c r="JE1029" s="35"/>
    </row>
    <row r="1030">
      <c r="A1030" s="42"/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  <c r="AF1030" s="35"/>
      <c r="AG1030" s="35"/>
      <c r="AH1030" s="35"/>
      <c r="AI1030" s="35"/>
      <c r="AJ1030" s="35"/>
      <c r="AK1030" s="35"/>
      <c r="AL1030" s="35"/>
      <c r="AM1030" s="35"/>
      <c r="AN1030" s="35"/>
      <c r="AO1030" s="35"/>
      <c r="AP1030" s="35"/>
      <c r="AQ1030" s="35"/>
      <c r="AR1030" s="35"/>
      <c r="AS1030" s="35"/>
      <c r="AT1030" s="35"/>
      <c r="AU1030" s="35"/>
      <c r="AV1030" s="35"/>
      <c r="AW1030" s="35"/>
      <c r="AX1030" s="35"/>
      <c r="AY1030" s="35"/>
      <c r="AZ1030" s="35"/>
      <c r="BA1030" s="35"/>
      <c r="BB1030" s="35"/>
      <c r="BC1030" s="35"/>
      <c r="BD1030" s="35"/>
      <c r="BE1030" s="35"/>
      <c r="BF1030" s="35"/>
      <c r="BG1030" s="35"/>
      <c r="BH1030" s="35"/>
      <c r="BI1030" s="35"/>
      <c r="BJ1030" s="35"/>
      <c r="BK1030" s="35"/>
      <c r="BL1030" s="35"/>
      <c r="BM1030" s="35"/>
      <c r="BN1030" s="35"/>
      <c r="BO1030" s="35"/>
      <c r="BP1030" s="35"/>
      <c r="BQ1030" s="35"/>
      <c r="BR1030" s="35"/>
      <c r="BS1030" s="35"/>
      <c r="BT1030" s="35"/>
      <c r="BU1030" s="35"/>
      <c r="BV1030" s="35"/>
      <c r="BW1030" s="35"/>
      <c r="BX1030" s="35"/>
      <c r="BY1030" s="35"/>
      <c r="BZ1030" s="35"/>
      <c r="CA1030" s="35"/>
      <c r="CB1030" s="35"/>
      <c r="CC1030" s="35"/>
      <c r="CD1030" s="35"/>
      <c r="CE1030" s="35"/>
      <c r="CF1030" s="35"/>
      <c r="CG1030" s="35"/>
      <c r="CH1030" s="35"/>
      <c r="CI1030" s="35"/>
      <c r="CJ1030" s="35"/>
      <c r="CK1030" s="35"/>
      <c r="CL1030" s="35"/>
      <c r="CM1030" s="35"/>
      <c r="CN1030" s="35"/>
      <c r="CO1030" s="35"/>
      <c r="CP1030" s="35"/>
      <c r="CQ1030" s="35"/>
      <c r="CR1030" s="35"/>
      <c r="CS1030" s="35"/>
      <c r="CT1030" s="35"/>
      <c r="CU1030" s="35"/>
      <c r="CV1030" s="35"/>
      <c r="CW1030" s="35"/>
      <c r="CX1030" s="35"/>
      <c r="CY1030" s="35"/>
      <c r="CZ1030" s="35"/>
      <c r="DA1030" s="35"/>
      <c r="DB1030" s="35"/>
      <c r="DC1030" s="35"/>
      <c r="DD1030" s="35"/>
      <c r="DE1030" s="35"/>
      <c r="DF1030" s="35"/>
      <c r="DG1030" s="35"/>
      <c r="DH1030" s="35"/>
      <c r="DI1030" s="35"/>
      <c r="DJ1030" s="35"/>
      <c r="DK1030" s="35"/>
      <c r="DL1030" s="35"/>
      <c r="DM1030" s="35"/>
      <c r="DN1030" s="35"/>
      <c r="DO1030" s="35"/>
      <c r="DP1030" s="35"/>
      <c r="DQ1030" s="35"/>
      <c r="DR1030" s="35"/>
      <c r="DS1030" s="35"/>
      <c r="DT1030" s="35"/>
      <c r="DU1030" s="35"/>
      <c r="DV1030" s="35"/>
      <c r="DW1030" s="35"/>
      <c r="DX1030" s="35"/>
      <c r="DY1030" s="35"/>
      <c r="DZ1030" s="35"/>
      <c r="EA1030" s="35"/>
      <c r="EB1030" s="35"/>
      <c r="EC1030" s="35"/>
      <c r="ED1030" s="35"/>
      <c r="EE1030" s="35"/>
      <c r="EF1030" s="35"/>
      <c r="EG1030" s="35"/>
      <c r="EH1030" s="35"/>
      <c r="EI1030" s="35"/>
      <c r="EJ1030" s="35"/>
      <c r="EK1030" s="35"/>
      <c r="EL1030" s="35"/>
      <c r="EM1030" s="35"/>
      <c r="EN1030" s="35"/>
      <c r="EO1030" s="35"/>
      <c r="EP1030" s="35"/>
      <c r="EQ1030" s="35"/>
      <c r="ER1030" s="35"/>
      <c r="ES1030" s="35"/>
      <c r="ET1030" s="35"/>
      <c r="EU1030" s="35"/>
      <c r="EV1030" s="35"/>
      <c r="EW1030" s="35"/>
      <c r="EX1030" s="35"/>
      <c r="EY1030" s="35"/>
      <c r="EZ1030" s="35"/>
      <c r="FA1030" s="35"/>
      <c r="FB1030" s="35"/>
      <c r="FC1030" s="35"/>
      <c r="FD1030" s="35"/>
      <c r="FE1030" s="35"/>
      <c r="FF1030" s="35"/>
      <c r="FG1030" s="35"/>
      <c r="FH1030" s="35"/>
      <c r="FI1030" s="35"/>
      <c r="FJ1030" s="35"/>
      <c r="FK1030" s="35"/>
      <c r="FL1030" s="35"/>
      <c r="FM1030" s="35"/>
      <c r="FN1030" s="35"/>
      <c r="FO1030" s="35"/>
      <c r="FP1030" s="35"/>
      <c r="FQ1030" s="35"/>
      <c r="FR1030" s="35"/>
      <c r="FS1030" s="35"/>
      <c r="FT1030" s="35"/>
      <c r="FU1030" s="35"/>
      <c r="FV1030" s="35"/>
      <c r="FW1030" s="35"/>
      <c r="FX1030" s="35"/>
      <c r="FY1030" s="35"/>
      <c r="FZ1030" s="35"/>
      <c r="GA1030" s="35"/>
      <c r="GB1030" s="35"/>
      <c r="GC1030" s="35"/>
      <c r="GD1030" s="35"/>
      <c r="GE1030" s="35"/>
      <c r="GF1030" s="35"/>
      <c r="GG1030" s="35"/>
      <c r="GH1030" s="35"/>
      <c r="GI1030" s="35"/>
      <c r="GJ1030" s="35"/>
      <c r="GK1030" s="35"/>
      <c r="GL1030" s="35"/>
      <c r="GM1030" s="35"/>
      <c r="GN1030" s="35"/>
      <c r="GO1030" s="35"/>
      <c r="GP1030" s="35"/>
      <c r="GQ1030" s="35"/>
      <c r="GR1030" s="35"/>
      <c r="GS1030" s="35"/>
      <c r="GT1030" s="35"/>
      <c r="GU1030" s="35"/>
      <c r="GV1030" s="35"/>
      <c r="GW1030" s="35"/>
      <c r="GX1030" s="35"/>
      <c r="GY1030" s="35"/>
      <c r="GZ1030" s="35"/>
      <c r="HA1030" s="35"/>
      <c r="HB1030" s="35"/>
      <c r="HC1030" s="35"/>
      <c r="HD1030" s="35"/>
      <c r="HE1030" s="35"/>
      <c r="HF1030" s="35"/>
      <c r="HG1030" s="35"/>
      <c r="HH1030" s="35"/>
      <c r="HI1030" s="35"/>
      <c r="HJ1030" s="35"/>
      <c r="HK1030" s="35"/>
      <c r="HL1030" s="35"/>
      <c r="HM1030" s="35"/>
      <c r="HN1030" s="35"/>
      <c r="HO1030" s="35"/>
      <c r="HP1030" s="35"/>
      <c r="HQ1030" s="35"/>
      <c r="HR1030" s="35"/>
      <c r="HS1030" s="35"/>
      <c r="HT1030" s="35"/>
      <c r="HU1030" s="35"/>
      <c r="HV1030" s="35"/>
      <c r="HW1030" s="35"/>
      <c r="HX1030" s="35"/>
      <c r="HY1030" s="35"/>
      <c r="HZ1030" s="35"/>
      <c r="IA1030" s="35"/>
      <c r="IB1030" s="35"/>
      <c r="IC1030" s="35"/>
      <c r="ID1030" s="35"/>
      <c r="IE1030" s="35"/>
      <c r="IF1030" s="35"/>
      <c r="IG1030" s="35"/>
      <c r="IH1030" s="35"/>
      <c r="II1030" s="35"/>
      <c r="IJ1030" s="35"/>
      <c r="IK1030" s="35"/>
      <c r="IL1030" s="35"/>
      <c r="IM1030" s="35"/>
      <c r="IN1030" s="35"/>
      <c r="IO1030" s="35"/>
      <c r="IP1030" s="35"/>
      <c r="IQ1030" s="35"/>
      <c r="IR1030" s="35"/>
      <c r="IS1030" s="35"/>
      <c r="IT1030" s="35"/>
      <c r="IU1030" s="35"/>
      <c r="IV1030" s="35"/>
      <c r="IW1030" s="35"/>
      <c r="IX1030" s="35"/>
      <c r="IY1030" s="35"/>
      <c r="IZ1030" s="35"/>
      <c r="JA1030" s="35"/>
      <c r="JB1030" s="35"/>
      <c r="JC1030" s="35"/>
      <c r="JD1030" s="35"/>
      <c r="JE1030" s="35"/>
    </row>
    <row r="1031">
      <c r="A1031" s="42"/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  <c r="AF1031" s="35"/>
      <c r="AG1031" s="35"/>
      <c r="AH1031" s="35"/>
      <c r="AI1031" s="35"/>
      <c r="AJ1031" s="35"/>
      <c r="AK1031" s="35"/>
      <c r="AL1031" s="35"/>
      <c r="AM1031" s="35"/>
      <c r="AN1031" s="35"/>
      <c r="AO1031" s="35"/>
      <c r="AP1031" s="35"/>
      <c r="AQ1031" s="35"/>
      <c r="AR1031" s="35"/>
      <c r="AS1031" s="35"/>
      <c r="AT1031" s="35"/>
      <c r="AU1031" s="35"/>
      <c r="AV1031" s="35"/>
      <c r="AW1031" s="35"/>
      <c r="AX1031" s="35"/>
      <c r="AY1031" s="35"/>
      <c r="AZ1031" s="35"/>
      <c r="BA1031" s="35"/>
      <c r="BB1031" s="35"/>
      <c r="BC1031" s="35"/>
      <c r="BD1031" s="35"/>
      <c r="BE1031" s="35"/>
      <c r="BF1031" s="35"/>
      <c r="BG1031" s="35"/>
      <c r="BH1031" s="35"/>
      <c r="BI1031" s="35"/>
      <c r="BJ1031" s="35"/>
      <c r="BK1031" s="35"/>
      <c r="BL1031" s="35"/>
      <c r="BM1031" s="35"/>
      <c r="BN1031" s="35"/>
      <c r="BO1031" s="35"/>
      <c r="BP1031" s="35"/>
      <c r="BQ1031" s="35"/>
      <c r="BR1031" s="35"/>
      <c r="BS1031" s="35"/>
      <c r="BT1031" s="35"/>
      <c r="BU1031" s="35"/>
      <c r="BV1031" s="35"/>
      <c r="BW1031" s="35"/>
      <c r="BX1031" s="35"/>
      <c r="BY1031" s="35"/>
      <c r="BZ1031" s="35"/>
      <c r="CA1031" s="35"/>
      <c r="CB1031" s="35"/>
      <c r="CC1031" s="35"/>
      <c r="CD1031" s="35"/>
      <c r="CE1031" s="35"/>
      <c r="CF1031" s="35"/>
      <c r="CG1031" s="35"/>
      <c r="CH1031" s="35"/>
      <c r="CI1031" s="35"/>
      <c r="CJ1031" s="35"/>
      <c r="CK1031" s="35"/>
      <c r="CL1031" s="35"/>
      <c r="CM1031" s="35"/>
      <c r="CN1031" s="35"/>
      <c r="CO1031" s="35"/>
      <c r="CP1031" s="35"/>
      <c r="CQ1031" s="35"/>
      <c r="CR1031" s="35"/>
      <c r="CS1031" s="35"/>
      <c r="CT1031" s="35"/>
      <c r="CU1031" s="35"/>
      <c r="CV1031" s="35"/>
      <c r="CW1031" s="35"/>
      <c r="CX1031" s="35"/>
      <c r="CY1031" s="35"/>
      <c r="CZ1031" s="35"/>
      <c r="DA1031" s="35"/>
      <c r="DB1031" s="35"/>
      <c r="DC1031" s="35"/>
      <c r="DD1031" s="35"/>
      <c r="DE1031" s="35"/>
      <c r="DF1031" s="35"/>
      <c r="DG1031" s="35"/>
      <c r="DH1031" s="35"/>
      <c r="DI1031" s="35"/>
      <c r="DJ1031" s="35"/>
      <c r="DK1031" s="35"/>
      <c r="DL1031" s="35"/>
      <c r="DM1031" s="35"/>
      <c r="DN1031" s="35"/>
      <c r="DO1031" s="35"/>
      <c r="DP1031" s="35"/>
      <c r="DQ1031" s="35"/>
      <c r="DR1031" s="35"/>
      <c r="DS1031" s="35"/>
      <c r="DT1031" s="35"/>
      <c r="DU1031" s="35"/>
      <c r="DV1031" s="35"/>
      <c r="DW1031" s="35"/>
      <c r="DX1031" s="35"/>
      <c r="DY1031" s="35"/>
      <c r="DZ1031" s="35"/>
      <c r="EA1031" s="35"/>
      <c r="EB1031" s="35"/>
      <c r="EC1031" s="35"/>
      <c r="ED1031" s="35"/>
      <c r="EE1031" s="35"/>
      <c r="EF1031" s="35"/>
      <c r="EG1031" s="35"/>
      <c r="EH1031" s="35"/>
      <c r="EI1031" s="35"/>
      <c r="EJ1031" s="35"/>
      <c r="EK1031" s="35"/>
      <c r="EL1031" s="35"/>
      <c r="EM1031" s="35"/>
      <c r="EN1031" s="35"/>
      <c r="EO1031" s="35"/>
      <c r="EP1031" s="35"/>
      <c r="EQ1031" s="35"/>
      <c r="ER1031" s="35"/>
      <c r="ES1031" s="35"/>
      <c r="ET1031" s="35"/>
      <c r="EU1031" s="35"/>
      <c r="EV1031" s="35"/>
      <c r="EW1031" s="35"/>
      <c r="EX1031" s="35"/>
      <c r="EY1031" s="35"/>
      <c r="EZ1031" s="35"/>
      <c r="FA1031" s="35"/>
      <c r="FB1031" s="35"/>
      <c r="FC1031" s="35"/>
      <c r="FD1031" s="35"/>
      <c r="FE1031" s="35"/>
      <c r="FF1031" s="35"/>
      <c r="FG1031" s="35"/>
      <c r="FH1031" s="35"/>
      <c r="FI1031" s="35"/>
      <c r="FJ1031" s="35"/>
      <c r="FK1031" s="35"/>
      <c r="FL1031" s="35"/>
      <c r="FM1031" s="35"/>
      <c r="FN1031" s="35"/>
      <c r="FO1031" s="35"/>
      <c r="FP1031" s="35"/>
      <c r="FQ1031" s="35"/>
      <c r="FR1031" s="35"/>
      <c r="FS1031" s="35"/>
      <c r="FT1031" s="35"/>
      <c r="FU1031" s="35"/>
      <c r="FV1031" s="35"/>
      <c r="FW1031" s="35"/>
      <c r="FX1031" s="35"/>
      <c r="FY1031" s="35"/>
      <c r="FZ1031" s="35"/>
      <c r="GA1031" s="35"/>
      <c r="GB1031" s="35"/>
      <c r="GC1031" s="35"/>
      <c r="GD1031" s="35"/>
      <c r="GE1031" s="35"/>
      <c r="GF1031" s="35"/>
      <c r="GG1031" s="35"/>
      <c r="GH1031" s="35"/>
      <c r="GI1031" s="35"/>
      <c r="GJ1031" s="35"/>
      <c r="GK1031" s="35"/>
      <c r="GL1031" s="35"/>
      <c r="GM1031" s="35"/>
      <c r="GN1031" s="35"/>
      <c r="GO1031" s="35"/>
      <c r="GP1031" s="35"/>
      <c r="GQ1031" s="35"/>
      <c r="GR1031" s="35"/>
      <c r="GS1031" s="35"/>
      <c r="GT1031" s="35"/>
      <c r="GU1031" s="35"/>
      <c r="GV1031" s="35"/>
      <c r="GW1031" s="35"/>
      <c r="GX1031" s="35"/>
      <c r="GY1031" s="35"/>
      <c r="GZ1031" s="35"/>
      <c r="HA1031" s="35"/>
      <c r="HB1031" s="35"/>
      <c r="HC1031" s="35"/>
      <c r="HD1031" s="35"/>
      <c r="HE1031" s="35"/>
      <c r="HF1031" s="35"/>
      <c r="HG1031" s="35"/>
      <c r="HH1031" s="35"/>
      <c r="HI1031" s="35"/>
      <c r="HJ1031" s="35"/>
      <c r="HK1031" s="35"/>
      <c r="HL1031" s="35"/>
      <c r="HM1031" s="35"/>
      <c r="HN1031" s="35"/>
      <c r="HO1031" s="35"/>
      <c r="HP1031" s="35"/>
      <c r="HQ1031" s="35"/>
      <c r="HR1031" s="35"/>
      <c r="HS1031" s="35"/>
      <c r="HT1031" s="35"/>
      <c r="HU1031" s="35"/>
      <c r="HV1031" s="35"/>
      <c r="HW1031" s="35"/>
      <c r="HX1031" s="35"/>
      <c r="HY1031" s="35"/>
      <c r="HZ1031" s="35"/>
      <c r="IA1031" s="35"/>
      <c r="IB1031" s="35"/>
      <c r="IC1031" s="35"/>
      <c r="ID1031" s="35"/>
      <c r="IE1031" s="35"/>
      <c r="IF1031" s="35"/>
      <c r="IG1031" s="35"/>
      <c r="IH1031" s="35"/>
      <c r="II1031" s="35"/>
      <c r="IJ1031" s="35"/>
      <c r="IK1031" s="35"/>
      <c r="IL1031" s="35"/>
      <c r="IM1031" s="35"/>
      <c r="IN1031" s="35"/>
      <c r="IO1031" s="35"/>
      <c r="IP1031" s="35"/>
      <c r="IQ1031" s="35"/>
      <c r="IR1031" s="35"/>
      <c r="IS1031" s="35"/>
      <c r="IT1031" s="35"/>
      <c r="IU1031" s="35"/>
      <c r="IV1031" s="35"/>
      <c r="IW1031" s="35"/>
      <c r="IX1031" s="35"/>
      <c r="IY1031" s="35"/>
      <c r="IZ1031" s="35"/>
      <c r="JA1031" s="35"/>
      <c r="JB1031" s="35"/>
      <c r="JC1031" s="35"/>
      <c r="JD1031" s="35"/>
      <c r="JE1031" s="35"/>
    </row>
    <row r="1032">
      <c r="A1032" s="42"/>
      <c r="B1032" s="35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35"/>
      <c r="AH1032" s="35"/>
      <c r="AI1032" s="35"/>
      <c r="AJ1032" s="35"/>
      <c r="AK1032" s="35"/>
      <c r="AL1032" s="35"/>
      <c r="AM1032" s="35"/>
      <c r="AN1032" s="35"/>
      <c r="AO1032" s="35"/>
      <c r="AP1032" s="35"/>
      <c r="AQ1032" s="35"/>
      <c r="AR1032" s="35"/>
      <c r="AS1032" s="35"/>
      <c r="AT1032" s="35"/>
      <c r="AU1032" s="35"/>
      <c r="AV1032" s="35"/>
      <c r="AW1032" s="35"/>
      <c r="AX1032" s="35"/>
      <c r="AY1032" s="35"/>
      <c r="AZ1032" s="35"/>
      <c r="BA1032" s="35"/>
      <c r="BB1032" s="35"/>
      <c r="BC1032" s="35"/>
      <c r="BD1032" s="35"/>
      <c r="BE1032" s="35"/>
      <c r="BF1032" s="35"/>
      <c r="BG1032" s="35"/>
      <c r="BH1032" s="35"/>
      <c r="BI1032" s="35"/>
      <c r="BJ1032" s="35"/>
      <c r="BK1032" s="35"/>
      <c r="BL1032" s="35"/>
      <c r="BM1032" s="35"/>
      <c r="BN1032" s="35"/>
      <c r="BO1032" s="35"/>
      <c r="BP1032" s="35"/>
      <c r="BQ1032" s="35"/>
      <c r="BR1032" s="35"/>
      <c r="BS1032" s="35"/>
      <c r="BT1032" s="35"/>
      <c r="BU1032" s="35"/>
      <c r="BV1032" s="35"/>
      <c r="BW1032" s="35"/>
      <c r="BX1032" s="35"/>
      <c r="BY1032" s="35"/>
      <c r="BZ1032" s="35"/>
      <c r="CA1032" s="35"/>
      <c r="CB1032" s="35"/>
      <c r="CC1032" s="35"/>
      <c r="CD1032" s="35"/>
      <c r="CE1032" s="35"/>
      <c r="CF1032" s="35"/>
      <c r="CG1032" s="35"/>
      <c r="CH1032" s="35"/>
      <c r="CI1032" s="35"/>
      <c r="CJ1032" s="35"/>
      <c r="CK1032" s="35"/>
      <c r="CL1032" s="35"/>
      <c r="CM1032" s="35"/>
      <c r="CN1032" s="35"/>
      <c r="CO1032" s="35"/>
      <c r="CP1032" s="35"/>
      <c r="CQ1032" s="35"/>
      <c r="CR1032" s="35"/>
      <c r="CS1032" s="35"/>
      <c r="CT1032" s="35"/>
      <c r="CU1032" s="35"/>
      <c r="CV1032" s="35"/>
      <c r="CW1032" s="35"/>
      <c r="CX1032" s="35"/>
      <c r="CY1032" s="35"/>
      <c r="CZ1032" s="35"/>
      <c r="DA1032" s="35"/>
      <c r="DB1032" s="35"/>
      <c r="DC1032" s="35"/>
      <c r="DD1032" s="35"/>
      <c r="DE1032" s="35"/>
      <c r="DF1032" s="35"/>
      <c r="DG1032" s="35"/>
      <c r="DH1032" s="35"/>
      <c r="DI1032" s="35"/>
      <c r="DJ1032" s="35"/>
      <c r="DK1032" s="35"/>
      <c r="DL1032" s="35"/>
      <c r="DM1032" s="35"/>
      <c r="DN1032" s="35"/>
      <c r="DO1032" s="35"/>
      <c r="DP1032" s="35"/>
      <c r="DQ1032" s="35"/>
      <c r="DR1032" s="35"/>
      <c r="DS1032" s="35"/>
      <c r="DT1032" s="35"/>
      <c r="DU1032" s="35"/>
      <c r="DV1032" s="35"/>
      <c r="DW1032" s="35"/>
      <c r="DX1032" s="35"/>
      <c r="DY1032" s="35"/>
      <c r="DZ1032" s="35"/>
      <c r="EA1032" s="35"/>
      <c r="EB1032" s="35"/>
      <c r="EC1032" s="35"/>
      <c r="ED1032" s="35"/>
      <c r="EE1032" s="35"/>
      <c r="EF1032" s="35"/>
      <c r="EG1032" s="35"/>
      <c r="EH1032" s="35"/>
      <c r="EI1032" s="35"/>
      <c r="EJ1032" s="35"/>
      <c r="EK1032" s="35"/>
      <c r="EL1032" s="35"/>
      <c r="EM1032" s="35"/>
      <c r="EN1032" s="35"/>
      <c r="EO1032" s="35"/>
      <c r="EP1032" s="35"/>
      <c r="EQ1032" s="35"/>
      <c r="ER1032" s="35"/>
      <c r="ES1032" s="35"/>
      <c r="ET1032" s="35"/>
      <c r="EU1032" s="35"/>
      <c r="EV1032" s="35"/>
      <c r="EW1032" s="35"/>
      <c r="EX1032" s="35"/>
      <c r="EY1032" s="35"/>
      <c r="EZ1032" s="35"/>
      <c r="FA1032" s="35"/>
      <c r="FB1032" s="35"/>
      <c r="FC1032" s="35"/>
      <c r="FD1032" s="35"/>
      <c r="FE1032" s="35"/>
      <c r="FF1032" s="35"/>
      <c r="FG1032" s="35"/>
      <c r="FH1032" s="35"/>
      <c r="FI1032" s="35"/>
      <c r="FJ1032" s="35"/>
      <c r="FK1032" s="35"/>
      <c r="FL1032" s="35"/>
      <c r="FM1032" s="35"/>
      <c r="FN1032" s="35"/>
      <c r="FO1032" s="35"/>
      <c r="FP1032" s="35"/>
      <c r="FQ1032" s="35"/>
      <c r="FR1032" s="35"/>
      <c r="FS1032" s="35"/>
      <c r="FT1032" s="35"/>
      <c r="FU1032" s="35"/>
      <c r="FV1032" s="35"/>
      <c r="FW1032" s="35"/>
      <c r="FX1032" s="35"/>
      <c r="FY1032" s="35"/>
      <c r="FZ1032" s="35"/>
      <c r="GA1032" s="35"/>
      <c r="GB1032" s="35"/>
      <c r="GC1032" s="35"/>
      <c r="GD1032" s="35"/>
      <c r="GE1032" s="35"/>
      <c r="GF1032" s="35"/>
      <c r="GG1032" s="35"/>
      <c r="GH1032" s="35"/>
      <c r="GI1032" s="35"/>
      <c r="GJ1032" s="35"/>
      <c r="GK1032" s="35"/>
      <c r="GL1032" s="35"/>
      <c r="GM1032" s="35"/>
      <c r="GN1032" s="35"/>
      <c r="GO1032" s="35"/>
      <c r="GP1032" s="35"/>
      <c r="GQ1032" s="35"/>
      <c r="GR1032" s="35"/>
      <c r="GS1032" s="35"/>
      <c r="GT1032" s="35"/>
      <c r="GU1032" s="35"/>
      <c r="GV1032" s="35"/>
      <c r="GW1032" s="35"/>
      <c r="GX1032" s="35"/>
      <c r="GY1032" s="35"/>
      <c r="GZ1032" s="35"/>
      <c r="HA1032" s="35"/>
      <c r="HB1032" s="35"/>
      <c r="HC1032" s="35"/>
      <c r="HD1032" s="35"/>
      <c r="HE1032" s="35"/>
      <c r="HF1032" s="35"/>
      <c r="HG1032" s="35"/>
      <c r="HH1032" s="35"/>
      <c r="HI1032" s="35"/>
      <c r="HJ1032" s="35"/>
      <c r="HK1032" s="35"/>
      <c r="HL1032" s="35"/>
      <c r="HM1032" s="35"/>
      <c r="HN1032" s="35"/>
      <c r="HO1032" s="35"/>
      <c r="HP1032" s="35"/>
      <c r="HQ1032" s="35"/>
      <c r="HR1032" s="35"/>
      <c r="HS1032" s="35"/>
      <c r="HT1032" s="35"/>
      <c r="HU1032" s="35"/>
      <c r="HV1032" s="35"/>
      <c r="HW1032" s="35"/>
      <c r="HX1032" s="35"/>
      <c r="HY1032" s="35"/>
      <c r="HZ1032" s="35"/>
      <c r="IA1032" s="35"/>
      <c r="IB1032" s="35"/>
      <c r="IC1032" s="35"/>
      <c r="ID1032" s="35"/>
      <c r="IE1032" s="35"/>
      <c r="IF1032" s="35"/>
      <c r="IG1032" s="35"/>
      <c r="IH1032" s="35"/>
      <c r="II1032" s="35"/>
      <c r="IJ1032" s="35"/>
      <c r="IK1032" s="35"/>
      <c r="IL1032" s="35"/>
      <c r="IM1032" s="35"/>
      <c r="IN1032" s="35"/>
      <c r="IO1032" s="35"/>
      <c r="IP1032" s="35"/>
      <c r="IQ1032" s="35"/>
      <c r="IR1032" s="35"/>
      <c r="IS1032" s="35"/>
      <c r="IT1032" s="35"/>
      <c r="IU1032" s="35"/>
      <c r="IV1032" s="35"/>
      <c r="IW1032" s="35"/>
      <c r="IX1032" s="35"/>
      <c r="IY1032" s="35"/>
      <c r="IZ1032" s="35"/>
      <c r="JA1032" s="35"/>
      <c r="JB1032" s="35"/>
      <c r="JC1032" s="35"/>
      <c r="JD1032" s="35"/>
      <c r="JE1032" s="35"/>
    </row>
    <row r="1033">
      <c r="A1033" s="42"/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/>
      <c r="AH1033" s="35"/>
      <c r="AI1033" s="35"/>
      <c r="AJ1033" s="35"/>
      <c r="AK1033" s="35"/>
      <c r="AL1033" s="35"/>
      <c r="AM1033" s="35"/>
      <c r="AN1033" s="35"/>
      <c r="AO1033" s="35"/>
      <c r="AP1033" s="35"/>
      <c r="AQ1033" s="35"/>
      <c r="AR1033" s="35"/>
      <c r="AS1033" s="35"/>
      <c r="AT1033" s="35"/>
      <c r="AU1033" s="35"/>
      <c r="AV1033" s="35"/>
      <c r="AW1033" s="35"/>
      <c r="AX1033" s="35"/>
      <c r="AY1033" s="35"/>
      <c r="AZ1033" s="35"/>
      <c r="BA1033" s="35"/>
      <c r="BB1033" s="35"/>
      <c r="BC1033" s="35"/>
      <c r="BD1033" s="35"/>
      <c r="BE1033" s="35"/>
      <c r="BF1033" s="35"/>
      <c r="BG1033" s="35"/>
      <c r="BH1033" s="35"/>
      <c r="BI1033" s="35"/>
      <c r="BJ1033" s="35"/>
      <c r="BK1033" s="35"/>
      <c r="BL1033" s="35"/>
      <c r="BM1033" s="35"/>
      <c r="BN1033" s="35"/>
      <c r="BO1033" s="35"/>
      <c r="BP1033" s="35"/>
      <c r="BQ1033" s="35"/>
      <c r="BR1033" s="35"/>
      <c r="BS1033" s="35"/>
      <c r="BT1033" s="35"/>
      <c r="BU1033" s="35"/>
      <c r="BV1033" s="35"/>
      <c r="BW1033" s="35"/>
      <c r="BX1033" s="35"/>
      <c r="BY1033" s="35"/>
      <c r="BZ1033" s="35"/>
      <c r="CA1033" s="35"/>
      <c r="CB1033" s="35"/>
      <c r="CC1033" s="35"/>
      <c r="CD1033" s="35"/>
      <c r="CE1033" s="35"/>
      <c r="CF1033" s="35"/>
      <c r="CG1033" s="35"/>
      <c r="CH1033" s="35"/>
      <c r="CI1033" s="35"/>
      <c r="CJ1033" s="35"/>
      <c r="CK1033" s="35"/>
      <c r="CL1033" s="35"/>
      <c r="CM1033" s="35"/>
      <c r="CN1033" s="35"/>
      <c r="CO1033" s="35"/>
      <c r="CP1033" s="35"/>
      <c r="CQ1033" s="35"/>
      <c r="CR1033" s="35"/>
      <c r="CS1033" s="35"/>
      <c r="CT1033" s="35"/>
      <c r="CU1033" s="35"/>
      <c r="CV1033" s="35"/>
      <c r="CW1033" s="35"/>
      <c r="CX1033" s="35"/>
      <c r="CY1033" s="35"/>
      <c r="CZ1033" s="35"/>
      <c r="DA1033" s="35"/>
      <c r="DB1033" s="35"/>
      <c r="DC1033" s="35"/>
      <c r="DD1033" s="35"/>
      <c r="DE1033" s="35"/>
      <c r="DF1033" s="35"/>
      <c r="DG1033" s="35"/>
      <c r="DH1033" s="35"/>
      <c r="DI1033" s="35"/>
      <c r="DJ1033" s="35"/>
      <c r="DK1033" s="35"/>
      <c r="DL1033" s="35"/>
      <c r="DM1033" s="35"/>
      <c r="DN1033" s="35"/>
      <c r="DO1033" s="35"/>
      <c r="DP1033" s="35"/>
      <c r="DQ1033" s="35"/>
      <c r="DR1033" s="35"/>
      <c r="DS1033" s="35"/>
      <c r="DT1033" s="35"/>
      <c r="DU1033" s="35"/>
      <c r="DV1033" s="35"/>
      <c r="DW1033" s="35"/>
      <c r="DX1033" s="35"/>
      <c r="DY1033" s="35"/>
      <c r="DZ1033" s="35"/>
      <c r="EA1033" s="35"/>
      <c r="EB1033" s="35"/>
      <c r="EC1033" s="35"/>
      <c r="ED1033" s="35"/>
      <c r="EE1033" s="35"/>
      <c r="EF1033" s="35"/>
      <c r="EG1033" s="35"/>
      <c r="EH1033" s="35"/>
      <c r="EI1033" s="35"/>
      <c r="EJ1033" s="35"/>
      <c r="EK1033" s="35"/>
      <c r="EL1033" s="35"/>
      <c r="EM1033" s="35"/>
      <c r="EN1033" s="35"/>
      <c r="EO1033" s="35"/>
      <c r="EP1033" s="35"/>
      <c r="EQ1033" s="35"/>
      <c r="ER1033" s="35"/>
      <c r="ES1033" s="35"/>
      <c r="ET1033" s="35"/>
      <c r="EU1033" s="35"/>
      <c r="EV1033" s="35"/>
      <c r="EW1033" s="35"/>
      <c r="EX1033" s="35"/>
      <c r="EY1033" s="35"/>
      <c r="EZ1033" s="35"/>
      <c r="FA1033" s="35"/>
      <c r="FB1033" s="35"/>
      <c r="FC1033" s="35"/>
      <c r="FD1033" s="35"/>
      <c r="FE1033" s="35"/>
      <c r="FF1033" s="35"/>
      <c r="FG1033" s="35"/>
      <c r="FH1033" s="35"/>
      <c r="FI1033" s="35"/>
      <c r="FJ1033" s="35"/>
      <c r="FK1033" s="35"/>
      <c r="FL1033" s="35"/>
      <c r="FM1033" s="35"/>
      <c r="FN1033" s="35"/>
      <c r="FO1033" s="35"/>
      <c r="FP1033" s="35"/>
      <c r="FQ1033" s="35"/>
      <c r="FR1033" s="35"/>
      <c r="FS1033" s="35"/>
      <c r="FT1033" s="35"/>
      <c r="FU1033" s="35"/>
      <c r="FV1033" s="35"/>
      <c r="FW1033" s="35"/>
      <c r="FX1033" s="35"/>
      <c r="FY1033" s="35"/>
      <c r="FZ1033" s="35"/>
      <c r="GA1033" s="35"/>
      <c r="GB1033" s="35"/>
      <c r="GC1033" s="35"/>
      <c r="GD1033" s="35"/>
      <c r="GE1033" s="35"/>
      <c r="GF1033" s="35"/>
      <c r="GG1033" s="35"/>
      <c r="GH1033" s="35"/>
      <c r="GI1033" s="35"/>
      <c r="GJ1033" s="35"/>
      <c r="GK1033" s="35"/>
      <c r="GL1033" s="35"/>
      <c r="GM1033" s="35"/>
      <c r="GN1033" s="35"/>
      <c r="GO1033" s="35"/>
      <c r="GP1033" s="35"/>
      <c r="GQ1033" s="35"/>
      <c r="GR1033" s="35"/>
      <c r="GS1033" s="35"/>
      <c r="GT1033" s="35"/>
      <c r="GU1033" s="35"/>
      <c r="GV1033" s="35"/>
      <c r="GW1033" s="35"/>
      <c r="GX1033" s="35"/>
      <c r="GY1033" s="35"/>
      <c r="GZ1033" s="35"/>
      <c r="HA1033" s="35"/>
      <c r="HB1033" s="35"/>
      <c r="HC1033" s="35"/>
      <c r="HD1033" s="35"/>
      <c r="HE1033" s="35"/>
      <c r="HF1033" s="35"/>
      <c r="HG1033" s="35"/>
      <c r="HH1033" s="35"/>
      <c r="HI1033" s="35"/>
      <c r="HJ1033" s="35"/>
      <c r="HK1033" s="35"/>
      <c r="HL1033" s="35"/>
      <c r="HM1033" s="35"/>
      <c r="HN1033" s="35"/>
      <c r="HO1033" s="35"/>
      <c r="HP1033" s="35"/>
      <c r="HQ1033" s="35"/>
      <c r="HR1033" s="35"/>
      <c r="HS1033" s="35"/>
      <c r="HT1033" s="35"/>
      <c r="HU1033" s="35"/>
      <c r="HV1033" s="35"/>
      <c r="HW1033" s="35"/>
      <c r="HX1033" s="35"/>
      <c r="HY1033" s="35"/>
      <c r="HZ1033" s="35"/>
      <c r="IA1033" s="35"/>
      <c r="IB1033" s="35"/>
      <c r="IC1033" s="35"/>
      <c r="ID1033" s="35"/>
      <c r="IE1033" s="35"/>
      <c r="IF1033" s="35"/>
      <c r="IG1033" s="35"/>
      <c r="IH1033" s="35"/>
      <c r="II1033" s="35"/>
      <c r="IJ1033" s="35"/>
      <c r="IK1033" s="35"/>
      <c r="IL1033" s="35"/>
      <c r="IM1033" s="35"/>
      <c r="IN1033" s="35"/>
      <c r="IO1033" s="35"/>
      <c r="IP1033" s="35"/>
      <c r="IQ1033" s="35"/>
      <c r="IR1033" s="35"/>
      <c r="IS1033" s="35"/>
      <c r="IT1033" s="35"/>
      <c r="IU1033" s="35"/>
      <c r="IV1033" s="35"/>
      <c r="IW1033" s="35"/>
      <c r="IX1033" s="35"/>
      <c r="IY1033" s="35"/>
      <c r="IZ1033" s="35"/>
      <c r="JA1033" s="35"/>
      <c r="JB1033" s="35"/>
      <c r="JC1033" s="35"/>
      <c r="JD1033" s="35"/>
      <c r="JE1033" s="35"/>
    </row>
    <row r="1034">
      <c r="A1034" s="42"/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  <c r="AF1034" s="35"/>
      <c r="AG1034" s="35"/>
      <c r="AH1034" s="35"/>
      <c r="AI1034" s="35"/>
      <c r="AJ1034" s="35"/>
      <c r="AK1034" s="35"/>
      <c r="AL1034" s="35"/>
      <c r="AM1034" s="35"/>
      <c r="AN1034" s="35"/>
      <c r="AO1034" s="35"/>
      <c r="AP1034" s="35"/>
      <c r="AQ1034" s="35"/>
      <c r="AR1034" s="35"/>
      <c r="AS1034" s="35"/>
      <c r="AT1034" s="35"/>
      <c r="AU1034" s="35"/>
      <c r="AV1034" s="35"/>
      <c r="AW1034" s="35"/>
      <c r="AX1034" s="35"/>
      <c r="AY1034" s="35"/>
      <c r="AZ1034" s="35"/>
      <c r="BA1034" s="35"/>
      <c r="BB1034" s="35"/>
      <c r="BC1034" s="35"/>
      <c r="BD1034" s="35"/>
      <c r="BE1034" s="35"/>
      <c r="BF1034" s="35"/>
      <c r="BG1034" s="35"/>
      <c r="BH1034" s="35"/>
      <c r="BI1034" s="35"/>
      <c r="BJ1034" s="35"/>
      <c r="BK1034" s="35"/>
      <c r="BL1034" s="35"/>
      <c r="BM1034" s="35"/>
      <c r="BN1034" s="35"/>
      <c r="BO1034" s="35"/>
      <c r="BP1034" s="35"/>
      <c r="BQ1034" s="35"/>
      <c r="BR1034" s="35"/>
      <c r="BS1034" s="35"/>
      <c r="BT1034" s="35"/>
      <c r="BU1034" s="35"/>
      <c r="BV1034" s="35"/>
      <c r="BW1034" s="35"/>
      <c r="BX1034" s="35"/>
      <c r="BY1034" s="35"/>
      <c r="BZ1034" s="35"/>
      <c r="CA1034" s="35"/>
      <c r="CB1034" s="35"/>
      <c r="CC1034" s="35"/>
      <c r="CD1034" s="35"/>
      <c r="CE1034" s="35"/>
      <c r="CF1034" s="35"/>
      <c r="CG1034" s="35"/>
      <c r="CH1034" s="35"/>
      <c r="CI1034" s="35"/>
      <c r="CJ1034" s="35"/>
      <c r="CK1034" s="35"/>
      <c r="CL1034" s="35"/>
      <c r="CM1034" s="35"/>
      <c r="CN1034" s="35"/>
      <c r="CO1034" s="35"/>
      <c r="CP1034" s="35"/>
      <c r="CQ1034" s="35"/>
      <c r="CR1034" s="35"/>
      <c r="CS1034" s="35"/>
      <c r="CT1034" s="35"/>
      <c r="CU1034" s="35"/>
      <c r="CV1034" s="35"/>
      <c r="CW1034" s="35"/>
      <c r="CX1034" s="35"/>
      <c r="CY1034" s="35"/>
      <c r="CZ1034" s="35"/>
      <c r="DA1034" s="35"/>
      <c r="DB1034" s="35"/>
      <c r="DC1034" s="35"/>
      <c r="DD1034" s="35"/>
      <c r="DE1034" s="35"/>
      <c r="DF1034" s="35"/>
      <c r="DG1034" s="35"/>
      <c r="DH1034" s="35"/>
      <c r="DI1034" s="35"/>
      <c r="DJ1034" s="35"/>
      <c r="DK1034" s="35"/>
      <c r="DL1034" s="35"/>
      <c r="DM1034" s="35"/>
      <c r="DN1034" s="35"/>
      <c r="DO1034" s="35"/>
      <c r="DP1034" s="35"/>
      <c r="DQ1034" s="35"/>
      <c r="DR1034" s="35"/>
      <c r="DS1034" s="35"/>
      <c r="DT1034" s="35"/>
      <c r="DU1034" s="35"/>
      <c r="DV1034" s="35"/>
      <c r="DW1034" s="35"/>
      <c r="DX1034" s="35"/>
      <c r="DY1034" s="35"/>
      <c r="DZ1034" s="35"/>
      <c r="EA1034" s="35"/>
      <c r="EB1034" s="35"/>
      <c r="EC1034" s="35"/>
      <c r="ED1034" s="35"/>
      <c r="EE1034" s="35"/>
      <c r="EF1034" s="35"/>
      <c r="EG1034" s="35"/>
      <c r="EH1034" s="35"/>
      <c r="EI1034" s="35"/>
      <c r="EJ1034" s="35"/>
      <c r="EK1034" s="35"/>
      <c r="EL1034" s="35"/>
      <c r="EM1034" s="35"/>
      <c r="EN1034" s="35"/>
      <c r="EO1034" s="35"/>
      <c r="EP1034" s="35"/>
      <c r="EQ1034" s="35"/>
      <c r="ER1034" s="35"/>
      <c r="ES1034" s="35"/>
      <c r="ET1034" s="35"/>
      <c r="EU1034" s="35"/>
      <c r="EV1034" s="35"/>
      <c r="EW1034" s="35"/>
      <c r="EX1034" s="35"/>
      <c r="EY1034" s="35"/>
      <c r="EZ1034" s="35"/>
      <c r="FA1034" s="35"/>
      <c r="FB1034" s="35"/>
      <c r="FC1034" s="35"/>
      <c r="FD1034" s="35"/>
      <c r="FE1034" s="35"/>
      <c r="FF1034" s="35"/>
      <c r="FG1034" s="35"/>
      <c r="FH1034" s="35"/>
      <c r="FI1034" s="35"/>
      <c r="FJ1034" s="35"/>
      <c r="FK1034" s="35"/>
      <c r="FL1034" s="35"/>
      <c r="FM1034" s="35"/>
      <c r="FN1034" s="35"/>
      <c r="FO1034" s="35"/>
      <c r="FP1034" s="35"/>
      <c r="FQ1034" s="35"/>
      <c r="FR1034" s="35"/>
      <c r="FS1034" s="35"/>
      <c r="FT1034" s="35"/>
      <c r="FU1034" s="35"/>
      <c r="FV1034" s="35"/>
      <c r="FW1034" s="35"/>
      <c r="FX1034" s="35"/>
      <c r="FY1034" s="35"/>
      <c r="FZ1034" s="35"/>
      <c r="GA1034" s="35"/>
      <c r="GB1034" s="35"/>
      <c r="GC1034" s="35"/>
      <c r="GD1034" s="35"/>
      <c r="GE1034" s="35"/>
      <c r="GF1034" s="35"/>
      <c r="GG1034" s="35"/>
      <c r="GH1034" s="35"/>
      <c r="GI1034" s="35"/>
      <c r="GJ1034" s="35"/>
      <c r="GK1034" s="35"/>
      <c r="GL1034" s="35"/>
      <c r="GM1034" s="35"/>
      <c r="GN1034" s="35"/>
      <c r="GO1034" s="35"/>
      <c r="GP1034" s="35"/>
      <c r="GQ1034" s="35"/>
      <c r="GR1034" s="35"/>
      <c r="GS1034" s="35"/>
      <c r="GT1034" s="35"/>
      <c r="GU1034" s="35"/>
      <c r="GV1034" s="35"/>
      <c r="GW1034" s="35"/>
      <c r="GX1034" s="35"/>
      <c r="GY1034" s="35"/>
      <c r="GZ1034" s="35"/>
      <c r="HA1034" s="35"/>
      <c r="HB1034" s="35"/>
      <c r="HC1034" s="35"/>
      <c r="HD1034" s="35"/>
      <c r="HE1034" s="35"/>
      <c r="HF1034" s="35"/>
      <c r="HG1034" s="35"/>
      <c r="HH1034" s="35"/>
      <c r="HI1034" s="35"/>
      <c r="HJ1034" s="35"/>
      <c r="HK1034" s="35"/>
      <c r="HL1034" s="35"/>
      <c r="HM1034" s="35"/>
      <c r="HN1034" s="35"/>
      <c r="HO1034" s="35"/>
      <c r="HP1034" s="35"/>
      <c r="HQ1034" s="35"/>
      <c r="HR1034" s="35"/>
      <c r="HS1034" s="35"/>
      <c r="HT1034" s="35"/>
      <c r="HU1034" s="35"/>
      <c r="HV1034" s="35"/>
      <c r="HW1034" s="35"/>
      <c r="HX1034" s="35"/>
      <c r="HY1034" s="35"/>
      <c r="HZ1034" s="35"/>
      <c r="IA1034" s="35"/>
      <c r="IB1034" s="35"/>
      <c r="IC1034" s="35"/>
      <c r="ID1034" s="35"/>
      <c r="IE1034" s="35"/>
      <c r="IF1034" s="35"/>
      <c r="IG1034" s="35"/>
      <c r="IH1034" s="35"/>
      <c r="II1034" s="35"/>
      <c r="IJ1034" s="35"/>
      <c r="IK1034" s="35"/>
      <c r="IL1034" s="35"/>
      <c r="IM1034" s="35"/>
      <c r="IN1034" s="35"/>
      <c r="IO1034" s="35"/>
      <c r="IP1034" s="35"/>
      <c r="IQ1034" s="35"/>
      <c r="IR1034" s="35"/>
      <c r="IS1034" s="35"/>
      <c r="IT1034" s="35"/>
      <c r="IU1034" s="35"/>
      <c r="IV1034" s="35"/>
      <c r="IW1034" s="35"/>
      <c r="IX1034" s="35"/>
      <c r="IY1034" s="35"/>
      <c r="IZ1034" s="35"/>
      <c r="JA1034" s="35"/>
      <c r="JB1034" s="35"/>
      <c r="JC1034" s="35"/>
      <c r="JD1034" s="35"/>
      <c r="JE1034" s="35"/>
    </row>
    <row r="1035">
      <c r="A1035" s="42"/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  <c r="AF1035" s="35"/>
      <c r="AG1035" s="35"/>
      <c r="AH1035" s="35"/>
      <c r="AI1035" s="35"/>
      <c r="AJ1035" s="35"/>
      <c r="AK1035" s="35"/>
      <c r="AL1035" s="35"/>
      <c r="AM1035" s="35"/>
      <c r="AN1035" s="35"/>
      <c r="AO1035" s="35"/>
      <c r="AP1035" s="35"/>
      <c r="AQ1035" s="35"/>
      <c r="AR1035" s="35"/>
      <c r="AS1035" s="35"/>
      <c r="AT1035" s="35"/>
      <c r="AU1035" s="35"/>
      <c r="AV1035" s="35"/>
      <c r="AW1035" s="35"/>
      <c r="AX1035" s="35"/>
      <c r="AY1035" s="35"/>
      <c r="AZ1035" s="35"/>
      <c r="BA1035" s="35"/>
      <c r="BB1035" s="35"/>
      <c r="BC1035" s="35"/>
      <c r="BD1035" s="35"/>
      <c r="BE1035" s="35"/>
      <c r="BF1035" s="35"/>
      <c r="BG1035" s="35"/>
      <c r="BH1035" s="35"/>
      <c r="BI1035" s="35"/>
      <c r="BJ1035" s="35"/>
      <c r="BK1035" s="35"/>
      <c r="BL1035" s="35"/>
      <c r="BM1035" s="35"/>
      <c r="BN1035" s="35"/>
      <c r="BO1035" s="35"/>
      <c r="BP1035" s="35"/>
      <c r="BQ1035" s="35"/>
      <c r="BR1035" s="35"/>
      <c r="BS1035" s="35"/>
      <c r="BT1035" s="35"/>
      <c r="BU1035" s="35"/>
      <c r="BV1035" s="35"/>
      <c r="BW1035" s="35"/>
      <c r="BX1035" s="35"/>
      <c r="BY1035" s="35"/>
      <c r="BZ1035" s="35"/>
      <c r="CA1035" s="35"/>
      <c r="CB1035" s="35"/>
      <c r="CC1035" s="35"/>
      <c r="CD1035" s="35"/>
      <c r="CE1035" s="35"/>
      <c r="CF1035" s="35"/>
      <c r="CG1035" s="35"/>
      <c r="CH1035" s="35"/>
      <c r="CI1035" s="35"/>
      <c r="CJ1035" s="35"/>
      <c r="CK1035" s="35"/>
      <c r="CL1035" s="35"/>
      <c r="CM1035" s="35"/>
      <c r="CN1035" s="35"/>
      <c r="CO1035" s="35"/>
      <c r="CP1035" s="35"/>
      <c r="CQ1035" s="35"/>
      <c r="CR1035" s="35"/>
      <c r="CS1035" s="35"/>
      <c r="CT1035" s="35"/>
      <c r="CU1035" s="35"/>
      <c r="CV1035" s="35"/>
      <c r="CW1035" s="35"/>
      <c r="CX1035" s="35"/>
      <c r="CY1035" s="35"/>
      <c r="CZ1035" s="35"/>
      <c r="DA1035" s="35"/>
      <c r="DB1035" s="35"/>
      <c r="DC1035" s="35"/>
      <c r="DD1035" s="35"/>
      <c r="DE1035" s="35"/>
      <c r="DF1035" s="35"/>
      <c r="DG1035" s="35"/>
      <c r="DH1035" s="35"/>
      <c r="DI1035" s="35"/>
      <c r="DJ1035" s="35"/>
      <c r="DK1035" s="35"/>
      <c r="DL1035" s="35"/>
      <c r="DM1035" s="35"/>
      <c r="DN1035" s="35"/>
      <c r="DO1035" s="35"/>
      <c r="DP1035" s="35"/>
      <c r="DQ1035" s="35"/>
      <c r="DR1035" s="35"/>
      <c r="DS1035" s="35"/>
      <c r="DT1035" s="35"/>
      <c r="DU1035" s="35"/>
      <c r="DV1035" s="35"/>
      <c r="DW1035" s="35"/>
      <c r="DX1035" s="35"/>
      <c r="DY1035" s="35"/>
      <c r="DZ1035" s="35"/>
      <c r="EA1035" s="35"/>
      <c r="EB1035" s="35"/>
      <c r="EC1035" s="35"/>
      <c r="ED1035" s="35"/>
      <c r="EE1035" s="35"/>
      <c r="EF1035" s="35"/>
      <c r="EG1035" s="35"/>
      <c r="EH1035" s="35"/>
      <c r="EI1035" s="35"/>
      <c r="EJ1035" s="35"/>
      <c r="EK1035" s="35"/>
      <c r="EL1035" s="35"/>
      <c r="EM1035" s="35"/>
      <c r="EN1035" s="35"/>
      <c r="EO1035" s="35"/>
      <c r="EP1035" s="35"/>
      <c r="EQ1035" s="35"/>
      <c r="ER1035" s="35"/>
      <c r="ES1035" s="35"/>
      <c r="ET1035" s="35"/>
      <c r="EU1035" s="35"/>
      <c r="EV1035" s="35"/>
      <c r="EW1035" s="35"/>
      <c r="EX1035" s="35"/>
      <c r="EY1035" s="35"/>
      <c r="EZ1035" s="35"/>
      <c r="FA1035" s="35"/>
      <c r="FB1035" s="35"/>
      <c r="FC1035" s="35"/>
      <c r="FD1035" s="35"/>
      <c r="FE1035" s="35"/>
      <c r="FF1035" s="35"/>
      <c r="FG1035" s="35"/>
      <c r="FH1035" s="35"/>
      <c r="FI1035" s="35"/>
      <c r="FJ1035" s="35"/>
      <c r="FK1035" s="35"/>
      <c r="FL1035" s="35"/>
      <c r="FM1035" s="35"/>
      <c r="FN1035" s="35"/>
      <c r="FO1035" s="35"/>
      <c r="FP1035" s="35"/>
      <c r="FQ1035" s="35"/>
      <c r="FR1035" s="35"/>
      <c r="FS1035" s="35"/>
      <c r="FT1035" s="35"/>
      <c r="FU1035" s="35"/>
      <c r="FV1035" s="35"/>
      <c r="FW1035" s="35"/>
      <c r="FX1035" s="35"/>
      <c r="FY1035" s="35"/>
      <c r="FZ1035" s="35"/>
      <c r="GA1035" s="35"/>
      <c r="GB1035" s="35"/>
      <c r="GC1035" s="35"/>
      <c r="GD1035" s="35"/>
      <c r="GE1035" s="35"/>
      <c r="GF1035" s="35"/>
      <c r="GG1035" s="35"/>
      <c r="GH1035" s="35"/>
      <c r="GI1035" s="35"/>
      <c r="GJ1035" s="35"/>
      <c r="GK1035" s="35"/>
      <c r="GL1035" s="35"/>
      <c r="GM1035" s="35"/>
      <c r="GN1035" s="35"/>
      <c r="GO1035" s="35"/>
      <c r="GP1035" s="35"/>
      <c r="GQ1035" s="35"/>
      <c r="GR1035" s="35"/>
      <c r="GS1035" s="35"/>
      <c r="GT1035" s="35"/>
      <c r="GU1035" s="35"/>
      <c r="GV1035" s="35"/>
      <c r="GW1035" s="35"/>
      <c r="GX1035" s="35"/>
      <c r="GY1035" s="35"/>
      <c r="GZ1035" s="35"/>
      <c r="HA1035" s="35"/>
      <c r="HB1035" s="35"/>
      <c r="HC1035" s="35"/>
      <c r="HD1035" s="35"/>
      <c r="HE1035" s="35"/>
      <c r="HF1035" s="35"/>
      <c r="HG1035" s="35"/>
      <c r="HH1035" s="35"/>
      <c r="HI1035" s="35"/>
      <c r="HJ1035" s="35"/>
      <c r="HK1035" s="35"/>
      <c r="HL1035" s="35"/>
      <c r="HM1035" s="35"/>
      <c r="HN1035" s="35"/>
      <c r="HO1035" s="35"/>
      <c r="HP1035" s="35"/>
      <c r="HQ1035" s="35"/>
      <c r="HR1035" s="35"/>
      <c r="HS1035" s="35"/>
      <c r="HT1035" s="35"/>
      <c r="HU1035" s="35"/>
      <c r="HV1035" s="35"/>
      <c r="HW1035" s="35"/>
      <c r="HX1035" s="35"/>
      <c r="HY1035" s="35"/>
      <c r="HZ1035" s="35"/>
      <c r="IA1035" s="35"/>
      <c r="IB1035" s="35"/>
      <c r="IC1035" s="35"/>
      <c r="ID1035" s="35"/>
      <c r="IE1035" s="35"/>
      <c r="IF1035" s="35"/>
      <c r="IG1035" s="35"/>
      <c r="IH1035" s="35"/>
      <c r="II1035" s="35"/>
      <c r="IJ1035" s="35"/>
      <c r="IK1035" s="35"/>
      <c r="IL1035" s="35"/>
      <c r="IM1035" s="35"/>
      <c r="IN1035" s="35"/>
      <c r="IO1035" s="35"/>
      <c r="IP1035" s="35"/>
      <c r="IQ1035" s="35"/>
      <c r="IR1035" s="35"/>
      <c r="IS1035" s="35"/>
      <c r="IT1035" s="35"/>
      <c r="IU1035" s="35"/>
      <c r="IV1035" s="35"/>
      <c r="IW1035" s="35"/>
      <c r="IX1035" s="35"/>
      <c r="IY1035" s="35"/>
      <c r="IZ1035" s="35"/>
      <c r="JA1035" s="35"/>
      <c r="JB1035" s="35"/>
      <c r="JC1035" s="35"/>
      <c r="JD1035" s="35"/>
      <c r="JE1035" s="35"/>
    </row>
    <row r="1036">
      <c r="A1036" s="42"/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  <c r="AB1036" s="35"/>
      <c r="AC1036" s="35"/>
      <c r="AD1036" s="35"/>
      <c r="AE1036" s="35"/>
      <c r="AF1036" s="35"/>
      <c r="AG1036" s="35"/>
      <c r="AH1036" s="35"/>
      <c r="AI1036" s="35"/>
      <c r="AJ1036" s="35"/>
      <c r="AK1036" s="35"/>
      <c r="AL1036" s="35"/>
      <c r="AM1036" s="35"/>
      <c r="AN1036" s="35"/>
      <c r="AO1036" s="35"/>
      <c r="AP1036" s="35"/>
      <c r="AQ1036" s="35"/>
      <c r="AR1036" s="35"/>
      <c r="AS1036" s="35"/>
      <c r="AT1036" s="35"/>
      <c r="AU1036" s="35"/>
      <c r="AV1036" s="35"/>
      <c r="AW1036" s="35"/>
      <c r="AX1036" s="35"/>
      <c r="AY1036" s="35"/>
      <c r="AZ1036" s="35"/>
      <c r="BA1036" s="35"/>
      <c r="BB1036" s="35"/>
      <c r="BC1036" s="35"/>
      <c r="BD1036" s="35"/>
      <c r="BE1036" s="35"/>
      <c r="BF1036" s="35"/>
      <c r="BG1036" s="35"/>
      <c r="BH1036" s="35"/>
      <c r="BI1036" s="35"/>
      <c r="BJ1036" s="35"/>
      <c r="BK1036" s="35"/>
      <c r="BL1036" s="35"/>
      <c r="BM1036" s="35"/>
      <c r="BN1036" s="35"/>
      <c r="BO1036" s="35"/>
      <c r="BP1036" s="35"/>
      <c r="BQ1036" s="35"/>
      <c r="BR1036" s="35"/>
      <c r="BS1036" s="35"/>
      <c r="BT1036" s="35"/>
      <c r="BU1036" s="35"/>
      <c r="BV1036" s="35"/>
      <c r="BW1036" s="35"/>
      <c r="BX1036" s="35"/>
      <c r="BY1036" s="35"/>
      <c r="BZ1036" s="35"/>
      <c r="CA1036" s="35"/>
      <c r="CB1036" s="35"/>
      <c r="CC1036" s="35"/>
      <c r="CD1036" s="35"/>
      <c r="CE1036" s="35"/>
      <c r="CF1036" s="35"/>
      <c r="CG1036" s="35"/>
      <c r="CH1036" s="35"/>
      <c r="CI1036" s="35"/>
      <c r="CJ1036" s="35"/>
      <c r="CK1036" s="35"/>
      <c r="CL1036" s="35"/>
      <c r="CM1036" s="35"/>
      <c r="CN1036" s="35"/>
      <c r="CO1036" s="35"/>
      <c r="CP1036" s="35"/>
      <c r="CQ1036" s="35"/>
      <c r="CR1036" s="35"/>
      <c r="CS1036" s="35"/>
      <c r="CT1036" s="35"/>
      <c r="CU1036" s="35"/>
      <c r="CV1036" s="35"/>
      <c r="CW1036" s="35"/>
      <c r="CX1036" s="35"/>
      <c r="CY1036" s="35"/>
      <c r="CZ1036" s="35"/>
      <c r="DA1036" s="35"/>
      <c r="DB1036" s="35"/>
      <c r="DC1036" s="35"/>
      <c r="DD1036" s="35"/>
      <c r="DE1036" s="35"/>
      <c r="DF1036" s="35"/>
      <c r="DG1036" s="35"/>
      <c r="DH1036" s="35"/>
      <c r="DI1036" s="35"/>
      <c r="DJ1036" s="35"/>
      <c r="DK1036" s="35"/>
      <c r="DL1036" s="35"/>
      <c r="DM1036" s="35"/>
      <c r="DN1036" s="35"/>
      <c r="DO1036" s="35"/>
      <c r="DP1036" s="35"/>
      <c r="DQ1036" s="35"/>
      <c r="DR1036" s="35"/>
      <c r="DS1036" s="35"/>
      <c r="DT1036" s="35"/>
      <c r="DU1036" s="35"/>
      <c r="DV1036" s="35"/>
      <c r="DW1036" s="35"/>
      <c r="DX1036" s="35"/>
      <c r="DY1036" s="35"/>
      <c r="DZ1036" s="35"/>
      <c r="EA1036" s="35"/>
      <c r="EB1036" s="35"/>
      <c r="EC1036" s="35"/>
      <c r="ED1036" s="35"/>
      <c r="EE1036" s="35"/>
      <c r="EF1036" s="35"/>
      <c r="EG1036" s="35"/>
      <c r="EH1036" s="35"/>
      <c r="EI1036" s="35"/>
      <c r="EJ1036" s="35"/>
      <c r="EK1036" s="35"/>
      <c r="EL1036" s="35"/>
      <c r="EM1036" s="35"/>
      <c r="EN1036" s="35"/>
      <c r="EO1036" s="35"/>
      <c r="EP1036" s="35"/>
      <c r="EQ1036" s="35"/>
      <c r="ER1036" s="35"/>
      <c r="ES1036" s="35"/>
      <c r="ET1036" s="35"/>
      <c r="EU1036" s="35"/>
      <c r="EV1036" s="35"/>
      <c r="EW1036" s="35"/>
      <c r="EX1036" s="35"/>
      <c r="EY1036" s="35"/>
      <c r="EZ1036" s="35"/>
      <c r="FA1036" s="35"/>
      <c r="FB1036" s="35"/>
      <c r="FC1036" s="35"/>
      <c r="FD1036" s="35"/>
      <c r="FE1036" s="35"/>
      <c r="FF1036" s="35"/>
      <c r="FG1036" s="35"/>
      <c r="FH1036" s="35"/>
      <c r="FI1036" s="35"/>
      <c r="FJ1036" s="35"/>
      <c r="FK1036" s="35"/>
      <c r="FL1036" s="35"/>
      <c r="FM1036" s="35"/>
      <c r="FN1036" s="35"/>
      <c r="FO1036" s="35"/>
      <c r="FP1036" s="35"/>
      <c r="FQ1036" s="35"/>
      <c r="FR1036" s="35"/>
      <c r="FS1036" s="35"/>
      <c r="FT1036" s="35"/>
      <c r="FU1036" s="35"/>
      <c r="FV1036" s="35"/>
      <c r="FW1036" s="35"/>
      <c r="FX1036" s="35"/>
      <c r="FY1036" s="35"/>
      <c r="FZ1036" s="35"/>
      <c r="GA1036" s="35"/>
      <c r="GB1036" s="35"/>
      <c r="GC1036" s="35"/>
      <c r="GD1036" s="35"/>
      <c r="GE1036" s="35"/>
      <c r="GF1036" s="35"/>
      <c r="GG1036" s="35"/>
      <c r="GH1036" s="35"/>
      <c r="GI1036" s="35"/>
      <c r="GJ1036" s="35"/>
      <c r="GK1036" s="35"/>
      <c r="GL1036" s="35"/>
      <c r="GM1036" s="35"/>
      <c r="GN1036" s="35"/>
      <c r="GO1036" s="35"/>
      <c r="GP1036" s="35"/>
      <c r="GQ1036" s="35"/>
      <c r="GR1036" s="35"/>
      <c r="GS1036" s="35"/>
      <c r="GT1036" s="35"/>
      <c r="GU1036" s="35"/>
      <c r="GV1036" s="35"/>
      <c r="GW1036" s="35"/>
      <c r="GX1036" s="35"/>
      <c r="GY1036" s="35"/>
      <c r="GZ1036" s="35"/>
      <c r="HA1036" s="35"/>
      <c r="HB1036" s="35"/>
      <c r="HC1036" s="35"/>
      <c r="HD1036" s="35"/>
      <c r="HE1036" s="35"/>
      <c r="HF1036" s="35"/>
      <c r="HG1036" s="35"/>
      <c r="HH1036" s="35"/>
      <c r="HI1036" s="35"/>
      <c r="HJ1036" s="35"/>
      <c r="HK1036" s="35"/>
      <c r="HL1036" s="35"/>
      <c r="HM1036" s="35"/>
      <c r="HN1036" s="35"/>
      <c r="HO1036" s="35"/>
      <c r="HP1036" s="35"/>
      <c r="HQ1036" s="35"/>
      <c r="HR1036" s="35"/>
      <c r="HS1036" s="35"/>
      <c r="HT1036" s="35"/>
      <c r="HU1036" s="35"/>
      <c r="HV1036" s="35"/>
      <c r="HW1036" s="35"/>
      <c r="HX1036" s="35"/>
      <c r="HY1036" s="35"/>
      <c r="HZ1036" s="35"/>
      <c r="IA1036" s="35"/>
      <c r="IB1036" s="35"/>
      <c r="IC1036" s="35"/>
      <c r="ID1036" s="35"/>
      <c r="IE1036" s="35"/>
      <c r="IF1036" s="35"/>
      <c r="IG1036" s="35"/>
      <c r="IH1036" s="35"/>
      <c r="II1036" s="35"/>
      <c r="IJ1036" s="35"/>
      <c r="IK1036" s="35"/>
      <c r="IL1036" s="35"/>
      <c r="IM1036" s="35"/>
      <c r="IN1036" s="35"/>
      <c r="IO1036" s="35"/>
      <c r="IP1036" s="35"/>
      <c r="IQ1036" s="35"/>
      <c r="IR1036" s="35"/>
      <c r="IS1036" s="35"/>
      <c r="IT1036" s="35"/>
      <c r="IU1036" s="35"/>
      <c r="IV1036" s="35"/>
      <c r="IW1036" s="35"/>
      <c r="IX1036" s="35"/>
      <c r="IY1036" s="35"/>
      <c r="IZ1036" s="35"/>
      <c r="JA1036" s="35"/>
      <c r="JB1036" s="35"/>
      <c r="JC1036" s="35"/>
      <c r="JD1036" s="35"/>
      <c r="JE1036" s="35"/>
    </row>
    <row r="1037">
      <c r="A1037" s="42"/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  <c r="AA1037" s="35"/>
      <c r="AB1037" s="35"/>
      <c r="AC1037" s="35"/>
      <c r="AD1037" s="35"/>
      <c r="AE1037" s="35"/>
      <c r="AF1037" s="35"/>
      <c r="AG1037" s="35"/>
      <c r="AH1037" s="35"/>
      <c r="AI1037" s="35"/>
      <c r="AJ1037" s="35"/>
      <c r="AK1037" s="35"/>
      <c r="AL1037" s="35"/>
      <c r="AM1037" s="35"/>
      <c r="AN1037" s="35"/>
      <c r="AO1037" s="35"/>
      <c r="AP1037" s="35"/>
      <c r="AQ1037" s="35"/>
      <c r="AR1037" s="35"/>
      <c r="AS1037" s="35"/>
      <c r="AT1037" s="35"/>
      <c r="AU1037" s="35"/>
      <c r="AV1037" s="35"/>
      <c r="AW1037" s="35"/>
      <c r="AX1037" s="35"/>
      <c r="AY1037" s="35"/>
      <c r="AZ1037" s="35"/>
      <c r="BA1037" s="35"/>
      <c r="BB1037" s="35"/>
      <c r="BC1037" s="35"/>
      <c r="BD1037" s="35"/>
      <c r="BE1037" s="35"/>
      <c r="BF1037" s="35"/>
      <c r="BG1037" s="35"/>
      <c r="BH1037" s="35"/>
      <c r="BI1037" s="35"/>
      <c r="BJ1037" s="35"/>
      <c r="BK1037" s="35"/>
      <c r="BL1037" s="35"/>
      <c r="BM1037" s="35"/>
      <c r="BN1037" s="35"/>
      <c r="BO1037" s="35"/>
      <c r="BP1037" s="35"/>
      <c r="BQ1037" s="35"/>
      <c r="BR1037" s="35"/>
      <c r="BS1037" s="35"/>
      <c r="BT1037" s="35"/>
      <c r="BU1037" s="35"/>
      <c r="BV1037" s="35"/>
      <c r="BW1037" s="35"/>
      <c r="BX1037" s="35"/>
      <c r="BY1037" s="35"/>
      <c r="BZ1037" s="35"/>
      <c r="CA1037" s="35"/>
      <c r="CB1037" s="35"/>
      <c r="CC1037" s="35"/>
      <c r="CD1037" s="35"/>
      <c r="CE1037" s="35"/>
      <c r="CF1037" s="35"/>
      <c r="CG1037" s="35"/>
      <c r="CH1037" s="35"/>
      <c r="CI1037" s="35"/>
      <c r="CJ1037" s="35"/>
      <c r="CK1037" s="35"/>
      <c r="CL1037" s="35"/>
      <c r="CM1037" s="35"/>
      <c r="CN1037" s="35"/>
      <c r="CO1037" s="35"/>
      <c r="CP1037" s="35"/>
      <c r="CQ1037" s="35"/>
      <c r="CR1037" s="35"/>
      <c r="CS1037" s="35"/>
      <c r="CT1037" s="35"/>
      <c r="CU1037" s="35"/>
      <c r="CV1037" s="35"/>
      <c r="CW1037" s="35"/>
      <c r="CX1037" s="35"/>
      <c r="CY1037" s="35"/>
      <c r="CZ1037" s="35"/>
      <c r="DA1037" s="35"/>
      <c r="DB1037" s="35"/>
      <c r="DC1037" s="35"/>
      <c r="DD1037" s="35"/>
      <c r="DE1037" s="35"/>
      <c r="DF1037" s="35"/>
      <c r="DG1037" s="35"/>
      <c r="DH1037" s="35"/>
      <c r="DI1037" s="35"/>
      <c r="DJ1037" s="35"/>
      <c r="DK1037" s="35"/>
      <c r="DL1037" s="35"/>
      <c r="DM1037" s="35"/>
      <c r="DN1037" s="35"/>
      <c r="DO1037" s="35"/>
      <c r="DP1037" s="35"/>
      <c r="DQ1037" s="35"/>
      <c r="DR1037" s="35"/>
      <c r="DS1037" s="35"/>
      <c r="DT1037" s="35"/>
      <c r="DU1037" s="35"/>
      <c r="DV1037" s="35"/>
      <c r="DW1037" s="35"/>
      <c r="DX1037" s="35"/>
      <c r="DY1037" s="35"/>
      <c r="DZ1037" s="35"/>
      <c r="EA1037" s="35"/>
      <c r="EB1037" s="35"/>
      <c r="EC1037" s="35"/>
      <c r="ED1037" s="35"/>
      <c r="EE1037" s="35"/>
      <c r="EF1037" s="35"/>
      <c r="EG1037" s="35"/>
      <c r="EH1037" s="35"/>
      <c r="EI1037" s="35"/>
      <c r="EJ1037" s="35"/>
      <c r="EK1037" s="35"/>
      <c r="EL1037" s="35"/>
      <c r="EM1037" s="35"/>
      <c r="EN1037" s="35"/>
      <c r="EO1037" s="35"/>
      <c r="EP1037" s="35"/>
      <c r="EQ1037" s="35"/>
      <c r="ER1037" s="35"/>
      <c r="ES1037" s="35"/>
      <c r="ET1037" s="35"/>
      <c r="EU1037" s="35"/>
      <c r="EV1037" s="35"/>
      <c r="EW1037" s="35"/>
      <c r="EX1037" s="35"/>
      <c r="EY1037" s="35"/>
      <c r="EZ1037" s="35"/>
      <c r="FA1037" s="35"/>
      <c r="FB1037" s="35"/>
      <c r="FC1037" s="35"/>
      <c r="FD1037" s="35"/>
      <c r="FE1037" s="35"/>
      <c r="FF1037" s="35"/>
      <c r="FG1037" s="35"/>
      <c r="FH1037" s="35"/>
      <c r="FI1037" s="35"/>
      <c r="FJ1037" s="35"/>
      <c r="FK1037" s="35"/>
      <c r="FL1037" s="35"/>
      <c r="FM1037" s="35"/>
      <c r="FN1037" s="35"/>
      <c r="FO1037" s="35"/>
      <c r="FP1037" s="35"/>
      <c r="FQ1037" s="35"/>
      <c r="FR1037" s="35"/>
      <c r="FS1037" s="35"/>
      <c r="FT1037" s="35"/>
      <c r="FU1037" s="35"/>
      <c r="FV1037" s="35"/>
      <c r="FW1037" s="35"/>
      <c r="FX1037" s="35"/>
      <c r="FY1037" s="35"/>
      <c r="FZ1037" s="35"/>
      <c r="GA1037" s="35"/>
      <c r="GB1037" s="35"/>
      <c r="GC1037" s="35"/>
      <c r="GD1037" s="35"/>
      <c r="GE1037" s="35"/>
      <c r="GF1037" s="35"/>
      <c r="GG1037" s="35"/>
      <c r="GH1037" s="35"/>
      <c r="GI1037" s="35"/>
      <c r="GJ1037" s="35"/>
      <c r="GK1037" s="35"/>
      <c r="GL1037" s="35"/>
      <c r="GM1037" s="35"/>
      <c r="GN1037" s="35"/>
      <c r="GO1037" s="35"/>
      <c r="GP1037" s="35"/>
      <c r="GQ1037" s="35"/>
      <c r="GR1037" s="35"/>
      <c r="GS1037" s="35"/>
      <c r="GT1037" s="35"/>
      <c r="GU1037" s="35"/>
      <c r="GV1037" s="35"/>
      <c r="GW1037" s="35"/>
      <c r="GX1037" s="35"/>
      <c r="GY1037" s="35"/>
      <c r="GZ1037" s="35"/>
      <c r="HA1037" s="35"/>
      <c r="HB1037" s="35"/>
      <c r="HC1037" s="35"/>
      <c r="HD1037" s="35"/>
      <c r="HE1037" s="35"/>
      <c r="HF1037" s="35"/>
      <c r="HG1037" s="35"/>
      <c r="HH1037" s="35"/>
      <c r="HI1037" s="35"/>
      <c r="HJ1037" s="35"/>
      <c r="HK1037" s="35"/>
      <c r="HL1037" s="35"/>
      <c r="HM1037" s="35"/>
      <c r="HN1037" s="35"/>
      <c r="HO1037" s="35"/>
      <c r="HP1037" s="35"/>
      <c r="HQ1037" s="35"/>
      <c r="HR1037" s="35"/>
      <c r="HS1037" s="35"/>
      <c r="HT1037" s="35"/>
      <c r="HU1037" s="35"/>
      <c r="HV1037" s="35"/>
      <c r="HW1037" s="35"/>
      <c r="HX1037" s="35"/>
      <c r="HY1037" s="35"/>
      <c r="HZ1037" s="35"/>
      <c r="IA1037" s="35"/>
      <c r="IB1037" s="35"/>
      <c r="IC1037" s="35"/>
      <c r="ID1037" s="35"/>
      <c r="IE1037" s="35"/>
      <c r="IF1037" s="35"/>
      <c r="IG1037" s="35"/>
      <c r="IH1037" s="35"/>
      <c r="II1037" s="35"/>
      <c r="IJ1037" s="35"/>
      <c r="IK1037" s="35"/>
      <c r="IL1037" s="35"/>
      <c r="IM1037" s="35"/>
      <c r="IN1037" s="35"/>
      <c r="IO1037" s="35"/>
      <c r="IP1037" s="35"/>
      <c r="IQ1037" s="35"/>
      <c r="IR1037" s="35"/>
      <c r="IS1037" s="35"/>
      <c r="IT1037" s="35"/>
      <c r="IU1037" s="35"/>
      <c r="IV1037" s="35"/>
      <c r="IW1037" s="35"/>
      <c r="IX1037" s="35"/>
      <c r="IY1037" s="35"/>
      <c r="IZ1037" s="35"/>
      <c r="JA1037" s="35"/>
      <c r="JB1037" s="35"/>
      <c r="JC1037" s="35"/>
      <c r="JD1037" s="35"/>
      <c r="JE1037" s="35"/>
    </row>
    <row r="1038">
      <c r="A1038" s="42"/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  <c r="AA1038" s="35"/>
      <c r="AB1038" s="35"/>
      <c r="AC1038" s="35"/>
      <c r="AD1038" s="35"/>
      <c r="AE1038" s="35"/>
      <c r="AF1038" s="35"/>
      <c r="AG1038" s="35"/>
      <c r="AH1038" s="35"/>
      <c r="AI1038" s="35"/>
      <c r="AJ1038" s="35"/>
      <c r="AK1038" s="35"/>
      <c r="AL1038" s="35"/>
      <c r="AM1038" s="35"/>
      <c r="AN1038" s="35"/>
      <c r="AO1038" s="35"/>
      <c r="AP1038" s="35"/>
      <c r="AQ1038" s="35"/>
      <c r="AR1038" s="35"/>
      <c r="AS1038" s="35"/>
      <c r="AT1038" s="35"/>
      <c r="AU1038" s="35"/>
      <c r="AV1038" s="35"/>
      <c r="AW1038" s="35"/>
      <c r="AX1038" s="35"/>
      <c r="AY1038" s="35"/>
      <c r="AZ1038" s="35"/>
      <c r="BA1038" s="35"/>
      <c r="BB1038" s="35"/>
      <c r="BC1038" s="35"/>
      <c r="BD1038" s="35"/>
      <c r="BE1038" s="35"/>
      <c r="BF1038" s="35"/>
      <c r="BG1038" s="35"/>
      <c r="BH1038" s="35"/>
      <c r="BI1038" s="35"/>
      <c r="BJ1038" s="35"/>
      <c r="BK1038" s="35"/>
      <c r="BL1038" s="35"/>
      <c r="BM1038" s="35"/>
      <c r="BN1038" s="35"/>
      <c r="BO1038" s="35"/>
      <c r="BP1038" s="35"/>
      <c r="BQ1038" s="35"/>
      <c r="BR1038" s="35"/>
      <c r="BS1038" s="35"/>
      <c r="BT1038" s="35"/>
      <c r="BU1038" s="35"/>
      <c r="BV1038" s="35"/>
      <c r="BW1038" s="35"/>
      <c r="BX1038" s="35"/>
      <c r="BY1038" s="35"/>
      <c r="BZ1038" s="35"/>
      <c r="CA1038" s="35"/>
      <c r="CB1038" s="35"/>
      <c r="CC1038" s="35"/>
      <c r="CD1038" s="35"/>
      <c r="CE1038" s="35"/>
      <c r="CF1038" s="35"/>
      <c r="CG1038" s="35"/>
      <c r="CH1038" s="35"/>
      <c r="CI1038" s="35"/>
      <c r="CJ1038" s="35"/>
      <c r="CK1038" s="35"/>
      <c r="CL1038" s="35"/>
      <c r="CM1038" s="35"/>
      <c r="CN1038" s="35"/>
      <c r="CO1038" s="35"/>
      <c r="CP1038" s="35"/>
      <c r="CQ1038" s="35"/>
      <c r="CR1038" s="35"/>
      <c r="CS1038" s="35"/>
      <c r="CT1038" s="35"/>
      <c r="CU1038" s="35"/>
      <c r="CV1038" s="35"/>
      <c r="CW1038" s="35"/>
      <c r="CX1038" s="35"/>
      <c r="CY1038" s="35"/>
      <c r="CZ1038" s="35"/>
      <c r="DA1038" s="35"/>
      <c r="DB1038" s="35"/>
      <c r="DC1038" s="35"/>
      <c r="DD1038" s="35"/>
      <c r="DE1038" s="35"/>
      <c r="DF1038" s="35"/>
      <c r="DG1038" s="35"/>
      <c r="DH1038" s="35"/>
      <c r="DI1038" s="35"/>
      <c r="DJ1038" s="35"/>
      <c r="DK1038" s="35"/>
      <c r="DL1038" s="35"/>
      <c r="DM1038" s="35"/>
      <c r="DN1038" s="35"/>
      <c r="DO1038" s="35"/>
      <c r="DP1038" s="35"/>
      <c r="DQ1038" s="35"/>
      <c r="DR1038" s="35"/>
      <c r="DS1038" s="35"/>
      <c r="DT1038" s="35"/>
      <c r="DU1038" s="35"/>
      <c r="DV1038" s="35"/>
      <c r="DW1038" s="35"/>
      <c r="DX1038" s="35"/>
      <c r="DY1038" s="35"/>
      <c r="DZ1038" s="35"/>
      <c r="EA1038" s="35"/>
      <c r="EB1038" s="35"/>
      <c r="EC1038" s="35"/>
      <c r="ED1038" s="35"/>
      <c r="EE1038" s="35"/>
      <c r="EF1038" s="35"/>
      <c r="EG1038" s="35"/>
      <c r="EH1038" s="35"/>
      <c r="EI1038" s="35"/>
      <c r="EJ1038" s="35"/>
      <c r="EK1038" s="35"/>
      <c r="EL1038" s="35"/>
      <c r="EM1038" s="35"/>
      <c r="EN1038" s="35"/>
      <c r="EO1038" s="35"/>
      <c r="EP1038" s="35"/>
      <c r="EQ1038" s="35"/>
      <c r="ER1038" s="35"/>
      <c r="ES1038" s="35"/>
      <c r="ET1038" s="35"/>
      <c r="EU1038" s="35"/>
      <c r="EV1038" s="35"/>
      <c r="EW1038" s="35"/>
      <c r="EX1038" s="35"/>
      <c r="EY1038" s="35"/>
      <c r="EZ1038" s="35"/>
      <c r="FA1038" s="35"/>
      <c r="FB1038" s="35"/>
      <c r="FC1038" s="35"/>
      <c r="FD1038" s="35"/>
      <c r="FE1038" s="35"/>
      <c r="FF1038" s="35"/>
      <c r="FG1038" s="35"/>
      <c r="FH1038" s="35"/>
      <c r="FI1038" s="35"/>
      <c r="FJ1038" s="35"/>
      <c r="FK1038" s="35"/>
      <c r="FL1038" s="35"/>
      <c r="FM1038" s="35"/>
      <c r="FN1038" s="35"/>
      <c r="FO1038" s="35"/>
      <c r="FP1038" s="35"/>
      <c r="FQ1038" s="35"/>
      <c r="FR1038" s="35"/>
      <c r="FS1038" s="35"/>
      <c r="FT1038" s="35"/>
      <c r="FU1038" s="35"/>
      <c r="FV1038" s="35"/>
      <c r="FW1038" s="35"/>
      <c r="FX1038" s="35"/>
      <c r="FY1038" s="35"/>
      <c r="FZ1038" s="35"/>
      <c r="GA1038" s="35"/>
      <c r="GB1038" s="35"/>
      <c r="GC1038" s="35"/>
      <c r="GD1038" s="35"/>
      <c r="GE1038" s="35"/>
      <c r="GF1038" s="35"/>
      <c r="GG1038" s="35"/>
      <c r="GH1038" s="35"/>
      <c r="GI1038" s="35"/>
      <c r="GJ1038" s="35"/>
      <c r="GK1038" s="35"/>
      <c r="GL1038" s="35"/>
      <c r="GM1038" s="35"/>
      <c r="GN1038" s="35"/>
      <c r="GO1038" s="35"/>
      <c r="GP1038" s="35"/>
      <c r="GQ1038" s="35"/>
      <c r="GR1038" s="35"/>
      <c r="GS1038" s="35"/>
      <c r="GT1038" s="35"/>
      <c r="GU1038" s="35"/>
      <c r="GV1038" s="35"/>
      <c r="GW1038" s="35"/>
      <c r="GX1038" s="35"/>
      <c r="GY1038" s="35"/>
      <c r="GZ1038" s="35"/>
      <c r="HA1038" s="35"/>
      <c r="HB1038" s="35"/>
      <c r="HC1038" s="35"/>
      <c r="HD1038" s="35"/>
      <c r="HE1038" s="35"/>
      <c r="HF1038" s="35"/>
      <c r="HG1038" s="35"/>
      <c r="HH1038" s="35"/>
      <c r="HI1038" s="35"/>
      <c r="HJ1038" s="35"/>
      <c r="HK1038" s="35"/>
      <c r="HL1038" s="35"/>
      <c r="HM1038" s="35"/>
      <c r="HN1038" s="35"/>
      <c r="HO1038" s="35"/>
      <c r="HP1038" s="35"/>
      <c r="HQ1038" s="35"/>
      <c r="HR1038" s="35"/>
      <c r="HS1038" s="35"/>
      <c r="HT1038" s="35"/>
      <c r="HU1038" s="35"/>
      <c r="HV1038" s="35"/>
      <c r="HW1038" s="35"/>
      <c r="HX1038" s="35"/>
      <c r="HY1038" s="35"/>
      <c r="HZ1038" s="35"/>
      <c r="IA1038" s="35"/>
      <c r="IB1038" s="35"/>
      <c r="IC1038" s="35"/>
      <c r="ID1038" s="35"/>
      <c r="IE1038" s="35"/>
      <c r="IF1038" s="35"/>
      <c r="IG1038" s="35"/>
      <c r="IH1038" s="35"/>
      <c r="II1038" s="35"/>
      <c r="IJ1038" s="35"/>
      <c r="IK1038" s="35"/>
      <c r="IL1038" s="35"/>
      <c r="IM1038" s="35"/>
      <c r="IN1038" s="35"/>
      <c r="IO1038" s="35"/>
      <c r="IP1038" s="35"/>
      <c r="IQ1038" s="35"/>
      <c r="IR1038" s="35"/>
      <c r="IS1038" s="35"/>
      <c r="IT1038" s="35"/>
      <c r="IU1038" s="35"/>
      <c r="IV1038" s="35"/>
      <c r="IW1038" s="35"/>
      <c r="IX1038" s="35"/>
      <c r="IY1038" s="35"/>
      <c r="IZ1038" s="35"/>
      <c r="JA1038" s="35"/>
      <c r="JB1038" s="35"/>
      <c r="JC1038" s="35"/>
      <c r="JD1038" s="35"/>
      <c r="JE1038" s="35"/>
    </row>
    <row r="1039">
      <c r="A1039" s="42"/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  <c r="AA1039" s="35"/>
      <c r="AB1039" s="35"/>
      <c r="AC1039" s="35"/>
      <c r="AD1039" s="35"/>
      <c r="AE1039" s="35"/>
      <c r="AF1039" s="35"/>
      <c r="AG1039" s="35"/>
      <c r="AH1039" s="35"/>
      <c r="AI1039" s="35"/>
      <c r="AJ1039" s="35"/>
      <c r="AK1039" s="35"/>
      <c r="AL1039" s="35"/>
      <c r="AM1039" s="35"/>
      <c r="AN1039" s="35"/>
      <c r="AO1039" s="35"/>
      <c r="AP1039" s="35"/>
      <c r="AQ1039" s="35"/>
      <c r="AR1039" s="35"/>
      <c r="AS1039" s="35"/>
      <c r="AT1039" s="35"/>
      <c r="AU1039" s="35"/>
      <c r="AV1039" s="35"/>
      <c r="AW1039" s="35"/>
      <c r="AX1039" s="35"/>
      <c r="AY1039" s="35"/>
      <c r="AZ1039" s="35"/>
      <c r="BA1039" s="35"/>
      <c r="BB1039" s="35"/>
      <c r="BC1039" s="35"/>
      <c r="BD1039" s="35"/>
      <c r="BE1039" s="35"/>
      <c r="BF1039" s="35"/>
      <c r="BG1039" s="35"/>
      <c r="BH1039" s="35"/>
      <c r="BI1039" s="35"/>
      <c r="BJ1039" s="35"/>
      <c r="BK1039" s="35"/>
      <c r="BL1039" s="35"/>
      <c r="BM1039" s="35"/>
      <c r="BN1039" s="35"/>
      <c r="BO1039" s="35"/>
      <c r="BP1039" s="35"/>
      <c r="BQ1039" s="35"/>
      <c r="BR1039" s="35"/>
      <c r="BS1039" s="35"/>
      <c r="BT1039" s="35"/>
      <c r="BU1039" s="35"/>
      <c r="BV1039" s="35"/>
      <c r="BW1039" s="35"/>
      <c r="BX1039" s="35"/>
      <c r="BY1039" s="35"/>
      <c r="BZ1039" s="35"/>
      <c r="CA1039" s="35"/>
      <c r="CB1039" s="35"/>
      <c r="CC1039" s="35"/>
      <c r="CD1039" s="35"/>
      <c r="CE1039" s="35"/>
      <c r="CF1039" s="35"/>
      <c r="CG1039" s="35"/>
      <c r="CH1039" s="35"/>
      <c r="CI1039" s="35"/>
      <c r="CJ1039" s="35"/>
      <c r="CK1039" s="35"/>
      <c r="CL1039" s="35"/>
      <c r="CM1039" s="35"/>
      <c r="CN1039" s="35"/>
      <c r="CO1039" s="35"/>
      <c r="CP1039" s="35"/>
      <c r="CQ1039" s="35"/>
      <c r="CR1039" s="35"/>
      <c r="CS1039" s="35"/>
      <c r="CT1039" s="35"/>
      <c r="CU1039" s="35"/>
      <c r="CV1039" s="35"/>
      <c r="CW1039" s="35"/>
      <c r="CX1039" s="35"/>
      <c r="CY1039" s="35"/>
      <c r="CZ1039" s="35"/>
      <c r="DA1039" s="35"/>
      <c r="DB1039" s="35"/>
      <c r="DC1039" s="35"/>
      <c r="DD1039" s="35"/>
      <c r="DE1039" s="35"/>
      <c r="DF1039" s="35"/>
      <c r="DG1039" s="35"/>
      <c r="DH1039" s="35"/>
      <c r="DI1039" s="35"/>
      <c r="DJ1039" s="35"/>
      <c r="DK1039" s="35"/>
      <c r="DL1039" s="35"/>
      <c r="DM1039" s="35"/>
      <c r="DN1039" s="35"/>
      <c r="DO1039" s="35"/>
      <c r="DP1039" s="35"/>
      <c r="DQ1039" s="35"/>
      <c r="DR1039" s="35"/>
      <c r="DS1039" s="35"/>
      <c r="DT1039" s="35"/>
      <c r="DU1039" s="35"/>
      <c r="DV1039" s="35"/>
      <c r="DW1039" s="35"/>
      <c r="DX1039" s="35"/>
      <c r="DY1039" s="35"/>
      <c r="DZ1039" s="35"/>
      <c r="EA1039" s="35"/>
      <c r="EB1039" s="35"/>
      <c r="EC1039" s="35"/>
      <c r="ED1039" s="35"/>
      <c r="EE1039" s="35"/>
      <c r="EF1039" s="35"/>
      <c r="EG1039" s="35"/>
      <c r="EH1039" s="35"/>
      <c r="EI1039" s="35"/>
      <c r="EJ1039" s="35"/>
      <c r="EK1039" s="35"/>
      <c r="EL1039" s="35"/>
      <c r="EM1039" s="35"/>
      <c r="EN1039" s="35"/>
      <c r="EO1039" s="35"/>
      <c r="EP1039" s="35"/>
      <c r="EQ1039" s="35"/>
      <c r="ER1039" s="35"/>
      <c r="ES1039" s="35"/>
      <c r="ET1039" s="35"/>
      <c r="EU1039" s="35"/>
      <c r="EV1039" s="35"/>
      <c r="EW1039" s="35"/>
      <c r="EX1039" s="35"/>
      <c r="EY1039" s="35"/>
      <c r="EZ1039" s="35"/>
      <c r="FA1039" s="35"/>
      <c r="FB1039" s="35"/>
      <c r="FC1039" s="35"/>
      <c r="FD1039" s="35"/>
      <c r="FE1039" s="35"/>
      <c r="FF1039" s="35"/>
      <c r="FG1039" s="35"/>
      <c r="FH1039" s="35"/>
      <c r="FI1039" s="35"/>
      <c r="FJ1039" s="35"/>
      <c r="FK1039" s="35"/>
      <c r="FL1039" s="35"/>
      <c r="FM1039" s="35"/>
      <c r="FN1039" s="35"/>
      <c r="FO1039" s="35"/>
      <c r="FP1039" s="35"/>
      <c r="FQ1039" s="35"/>
      <c r="FR1039" s="35"/>
      <c r="FS1039" s="35"/>
      <c r="FT1039" s="35"/>
      <c r="FU1039" s="35"/>
      <c r="FV1039" s="35"/>
      <c r="FW1039" s="35"/>
      <c r="FX1039" s="35"/>
      <c r="FY1039" s="35"/>
      <c r="FZ1039" s="35"/>
      <c r="GA1039" s="35"/>
      <c r="GB1039" s="35"/>
      <c r="GC1039" s="35"/>
      <c r="GD1039" s="35"/>
      <c r="GE1039" s="35"/>
      <c r="GF1039" s="35"/>
      <c r="GG1039" s="35"/>
      <c r="GH1039" s="35"/>
      <c r="GI1039" s="35"/>
      <c r="GJ1039" s="35"/>
      <c r="GK1039" s="35"/>
      <c r="GL1039" s="35"/>
      <c r="GM1039" s="35"/>
      <c r="GN1039" s="35"/>
      <c r="GO1039" s="35"/>
      <c r="GP1039" s="35"/>
      <c r="GQ1039" s="35"/>
      <c r="GR1039" s="35"/>
      <c r="GS1039" s="35"/>
      <c r="GT1039" s="35"/>
      <c r="GU1039" s="35"/>
      <c r="GV1039" s="35"/>
      <c r="GW1039" s="35"/>
      <c r="GX1039" s="35"/>
      <c r="GY1039" s="35"/>
      <c r="GZ1039" s="35"/>
      <c r="HA1039" s="35"/>
      <c r="HB1039" s="35"/>
      <c r="HC1039" s="35"/>
      <c r="HD1039" s="35"/>
      <c r="HE1039" s="35"/>
      <c r="HF1039" s="35"/>
      <c r="HG1039" s="35"/>
      <c r="HH1039" s="35"/>
      <c r="HI1039" s="35"/>
      <c r="HJ1039" s="35"/>
      <c r="HK1039" s="35"/>
      <c r="HL1039" s="35"/>
      <c r="HM1039" s="35"/>
      <c r="HN1039" s="35"/>
      <c r="HO1039" s="35"/>
      <c r="HP1039" s="35"/>
      <c r="HQ1039" s="35"/>
      <c r="HR1039" s="35"/>
      <c r="HS1039" s="35"/>
      <c r="HT1039" s="35"/>
      <c r="HU1039" s="35"/>
      <c r="HV1039" s="35"/>
      <c r="HW1039" s="35"/>
      <c r="HX1039" s="35"/>
      <c r="HY1039" s="35"/>
      <c r="HZ1039" s="35"/>
      <c r="IA1039" s="35"/>
      <c r="IB1039" s="35"/>
      <c r="IC1039" s="35"/>
      <c r="ID1039" s="35"/>
      <c r="IE1039" s="35"/>
      <c r="IF1039" s="35"/>
      <c r="IG1039" s="35"/>
      <c r="IH1039" s="35"/>
      <c r="II1039" s="35"/>
      <c r="IJ1039" s="35"/>
      <c r="IK1039" s="35"/>
      <c r="IL1039" s="35"/>
      <c r="IM1039" s="35"/>
      <c r="IN1039" s="35"/>
      <c r="IO1039" s="35"/>
      <c r="IP1039" s="35"/>
      <c r="IQ1039" s="35"/>
      <c r="IR1039" s="35"/>
      <c r="IS1039" s="35"/>
      <c r="IT1039" s="35"/>
      <c r="IU1039" s="35"/>
      <c r="IV1039" s="35"/>
      <c r="IW1039" s="35"/>
      <c r="IX1039" s="35"/>
      <c r="IY1039" s="35"/>
      <c r="IZ1039" s="35"/>
      <c r="JA1039" s="35"/>
      <c r="JB1039" s="35"/>
      <c r="JC1039" s="35"/>
      <c r="JD1039" s="35"/>
      <c r="JE1039" s="35"/>
    </row>
  </sheetData>
  <conditionalFormatting sqref="A2:A1039 C2:JE1039 B3:B1039">
    <cfRule type="cellIs" dxfId="12" priority="1" operator="equal">
      <formula>2</formula>
    </cfRule>
  </conditionalFormatting>
  <conditionalFormatting sqref="A2:A1039 C2:JE1039 B3:B1039">
    <cfRule type="cellIs" dxfId="13" priority="2" operator="equal">
      <formula>3</formula>
    </cfRule>
  </conditionalFormatting>
  <hyperlinks>
    <hyperlink r:id="rId1" location="gid=1934461323" ref="A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25"/>
    <col customWidth="1" min="2" max="2" width="88.63"/>
  </cols>
  <sheetData>
    <row r="1">
      <c r="A1" s="53" t="s">
        <v>277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/>
      <c r="M1" s="56" t="s">
        <v>278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5"/>
      <c r="Y1" s="57" t="s">
        <v>284</v>
      </c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5"/>
      <c r="AK1" s="57" t="s">
        <v>279</v>
      </c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5"/>
      <c r="AW1" s="57" t="s">
        <v>280</v>
      </c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5"/>
      <c r="BI1" s="57" t="s">
        <v>285</v>
      </c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5"/>
      <c r="BU1" s="57" t="s">
        <v>281</v>
      </c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5"/>
      <c r="CG1" s="57" t="s">
        <v>282</v>
      </c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5"/>
      <c r="CS1" s="57" t="s">
        <v>287</v>
      </c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5"/>
      <c r="DE1" s="57" t="s">
        <v>288</v>
      </c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5"/>
      <c r="DQ1" s="57" t="s">
        <v>290</v>
      </c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5"/>
      <c r="EC1" s="57" t="s">
        <v>283</v>
      </c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5"/>
      <c r="EO1" s="57" t="s">
        <v>289</v>
      </c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5"/>
      <c r="FA1" s="57" t="s">
        <v>293</v>
      </c>
      <c r="FB1" s="54"/>
      <c r="FC1" s="54"/>
      <c r="FD1" s="54"/>
      <c r="FE1" s="54"/>
      <c r="FF1" s="54"/>
      <c r="FG1" s="54"/>
      <c r="FH1" s="54"/>
      <c r="FI1" s="54"/>
      <c r="FJ1" s="54"/>
      <c r="FK1" s="54"/>
      <c r="FL1" s="55"/>
    </row>
    <row r="2">
      <c r="A2" s="58" t="str">
        <f>IFERROR(__xludf.DUMMYFUNCTION("IMPORTRANGE(data!$A$2, CONCATENATE(A1,""!JC3:JN82""))"),"")</f>
        <v/>
      </c>
      <c r="B2" s="59"/>
      <c r="C2" s="59" t="str">
        <f>IFERROR(__xludf.DUMMYFUNCTION("""COMPUTED_VALUE"""),"3 четверть")</f>
        <v>3 четверть</v>
      </c>
      <c r="D2" s="59"/>
      <c r="E2" s="59"/>
      <c r="F2" s="59" t="str">
        <f>IFERROR(__xludf.DUMMYFUNCTION("""COMPUTED_VALUE"""),"4 четверть")</f>
        <v>4 четверть</v>
      </c>
      <c r="G2" s="59"/>
      <c r="H2" s="59"/>
      <c r="I2" s="59"/>
      <c r="J2" s="59"/>
      <c r="K2" s="59"/>
      <c r="L2" s="60"/>
      <c r="M2" s="53" t="str">
        <f>IFERROR(__xludf.DUMMYFUNCTION("IMPORTRANGE(data!$A$2, CONCATENATE(M1,""!JC3:JN82""))"),"")</f>
        <v/>
      </c>
      <c r="N2" s="59" t="str">
        <f>IFERROR(__xludf.DUMMYFUNCTION("""COMPUTED_VALUE"""),"3 четверть")</f>
        <v>3 четверть</v>
      </c>
      <c r="O2" s="59"/>
      <c r="P2" s="59"/>
      <c r="Q2" s="59" t="str">
        <f>IFERROR(__xludf.DUMMYFUNCTION("""COMPUTED_VALUE"""),"4 четверть")</f>
        <v>4 четверть</v>
      </c>
      <c r="R2" s="59"/>
      <c r="S2" s="59"/>
      <c r="T2" s="59"/>
      <c r="U2" s="59"/>
      <c r="V2" s="59"/>
      <c r="W2" s="59"/>
      <c r="X2" s="60"/>
      <c r="Y2" s="53" t="str">
        <f>IFERROR(__xludf.DUMMYFUNCTION("IMPORTRANGE(data!$A$2, CONCATENATE(Y1,""!JC3:JN82""))"),"")</f>
        <v/>
      </c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60"/>
      <c r="AK2" s="53" t="str">
        <f>IFERROR(__xludf.DUMMYFUNCTION("IMPORTRANGE(data!$A$2, CONCATENATE(AK1,""!JC3:JN82""))"),"#REF!")</f>
        <v>#REF!</v>
      </c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60"/>
      <c r="AW2" s="53" t="str">
        <f>IFERROR(__xludf.DUMMYFUNCTION("IMPORTRANGE(data!$A$2, CONCATENATE(AW1,""!JC3:JN82""))"),"#REF!")</f>
        <v>#REF!</v>
      </c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60"/>
      <c r="BI2" s="53" t="str">
        <f>IFERROR(__xludf.DUMMYFUNCTION("IMPORTRANGE(data!$A$2, CONCATENATE(BI1,""!JC3:JN82""))"),"1 четверть")</f>
        <v>1 четверть</v>
      </c>
      <c r="BJ2" s="59"/>
      <c r="BK2" s="59"/>
      <c r="BL2" s="59" t="str">
        <f>IFERROR(__xludf.DUMMYFUNCTION("""COMPUTED_VALUE"""),"2 четверть")</f>
        <v>2 четверть</v>
      </c>
      <c r="BM2" s="59"/>
      <c r="BN2" s="59"/>
      <c r="BO2" s="59" t="str">
        <f>IFERROR(__xludf.DUMMYFUNCTION("""COMPUTED_VALUE"""),"3 четверть")</f>
        <v>3 четверть</v>
      </c>
      <c r="BP2" s="59"/>
      <c r="BQ2" s="59"/>
      <c r="BR2" s="59" t="str">
        <f>IFERROR(__xludf.DUMMYFUNCTION("""COMPUTED_VALUE"""),"4 четверть")</f>
        <v>4 четверть</v>
      </c>
      <c r="BS2" s="59"/>
      <c r="BT2" s="60"/>
      <c r="BU2" s="53" t="str">
        <f>IFERROR(__xludf.DUMMYFUNCTION("IMPORTRANGE(data!$A$2, CONCATENATE(BU1,""!JC3:JN82""))"),"")</f>
        <v/>
      </c>
      <c r="BV2" s="59"/>
      <c r="BW2" s="59" t="str">
        <f>IFERROR(__xludf.DUMMYFUNCTION("""COMPUTED_VALUE"""),"2 четверть")</f>
        <v>2 четверть</v>
      </c>
      <c r="BX2" s="59"/>
      <c r="BY2" s="59"/>
      <c r="BZ2" s="59" t="str">
        <f>IFERROR(__xludf.DUMMYFUNCTION("""COMPUTED_VALUE"""),"3 четверть")</f>
        <v>3 четверть</v>
      </c>
      <c r="CA2" s="59"/>
      <c r="CB2" s="59"/>
      <c r="CC2" s="59" t="str">
        <f>IFERROR(__xludf.DUMMYFUNCTION("""COMPUTED_VALUE"""),"4 четверть")</f>
        <v>4 четверть</v>
      </c>
      <c r="CD2" s="59"/>
      <c r="CE2" s="59"/>
      <c r="CF2" s="60"/>
      <c r="CG2" s="53" t="str">
        <f>IFERROR(__xludf.DUMMYFUNCTION("IMPORTRANGE(data!$A$2, CONCATENATE(CG1,""!JC3:JN82""))"),"1 полугодие")</f>
        <v>1 полугодие</v>
      </c>
      <c r="CH2" s="59"/>
      <c r="CI2" s="59"/>
      <c r="CJ2" s="59" t="str">
        <f>IFERROR(__xludf.DUMMYFUNCTION("""COMPUTED_VALUE"""),"1 полугодие")</f>
        <v>1 полугодие</v>
      </c>
      <c r="CK2" s="59"/>
      <c r="CL2" s="59"/>
      <c r="CM2" s="59" t="str">
        <f>IFERROR(__xludf.DUMMYFUNCTION("""COMPUTED_VALUE"""),"2 полугодие")</f>
        <v>2 полугодие</v>
      </c>
      <c r="CN2" s="59"/>
      <c r="CO2" s="59"/>
      <c r="CP2" s="59"/>
      <c r="CQ2" s="59"/>
      <c r="CR2" s="60"/>
      <c r="CS2" s="53" t="str">
        <f>IFERROR(__xludf.DUMMYFUNCTION("IMPORTRANGE(data!$A$2, CONCATENATE(CS1,""!JC3:JN82""))"),"1 четверть")</f>
        <v>1 четверть</v>
      </c>
      <c r="CT2" s="59"/>
      <c r="CU2" s="59"/>
      <c r="CV2" s="59" t="str">
        <f>IFERROR(__xludf.DUMMYFUNCTION("""COMPUTED_VALUE"""),"2 четверть")</f>
        <v>2 четверть</v>
      </c>
      <c r="CW2" s="59"/>
      <c r="CX2" s="59"/>
      <c r="CY2" s="59" t="str">
        <f>IFERROR(__xludf.DUMMYFUNCTION("""COMPUTED_VALUE"""),"3 четверть")</f>
        <v>3 четверть</v>
      </c>
      <c r="CZ2" s="59"/>
      <c r="DA2" s="59"/>
      <c r="DB2" s="59" t="str">
        <f>IFERROR(__xludf.DUMMYFUNCTION("""COMPUTED_VALUE"""),"4 четверть")</f>
        <v>4 четверть</v>
      </c>
      <c r="DC2" s="59"/>
      <c r="DD2" s="60"/>
      <c r="DE2" s="53" t="str">
        <f>IFERROR(__xludf.DUMMYFUNCTION("IMPORTRANGE(data!$A$2, CONCATENATE(DE1,""!JC3:JN82""))"),"")</f>
        <v/>
      </c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60"/>
      <c r="DQ2" s="53" t="str">
        <f>IFERROR(__xludf.DUMMYFUNCTION("IMPORTRANGE(data!$A$2, CONCATENATE(DQ1,""!JC3:JN82""))"),"")</f>
        <v/>
      </c>
      <c r="DR2" s="59"/>
      <c r="DS2" s="59"/>
      <c r="DT2" s="59" t="str">
        <f>IFERROR(__xludf.DUMMYFUNCTION("""COMPUTED_VALUE"""),"1 четверть")</f>
        <v>1 четверть</v>
      </c>
      <c r="DU2" s="59"/>
      <c r="DV2" s="59"/>
      <c r="DW2" s="59" t="str">
        <f>IFERROR(__xludf.DUMMYFUNCTION("""COMPUTED_VALUE"""),"2 четверть")</f>
        <v>2 четверть</v>
      </c>
      <c r="DX2" s="59"/>
      <c r="DY2" s="59"/>
      <c r="DZ2" s="59" t="str">
        <f>IFERROR(__xludf.DUMMYFUNCTION("""COMPUTED_VALUE"""),"3 четверть")</f>
        <v>3 четверть</v>
      </c>
      <c r="EA2" s="59"/>
      <c r="EB2" s="60"/>
      <c r="EC2" s="53" t="str">
        <f>IFERROR(__xludf.DUMMYFUNCTION("IMPORTRANGE(data!$A$2, CONCATENATE(EC1,""!JC3:JN82""))"),"")</f>
        <v/>
      </c>
      <c r="ED2" s="59"/>
      <c r="EE2" s="59" t="str">
        <f>IFERROR(__xludf.DUMMYFUNCTION("""COMPUTED_VALUE"""),"3 четверть")</f>
        <v>3 четверть</v>
      </c>
      <c r="EF2" s="59"/>
      <c r="EG2" s="59"/>
      <c r="EH2" s="59" t="str">
        <f>IFERROR(__xludf.DUMMYFUNCTION("""COMPUTED_VALUE"""),"4 четверть")</f>
        <v>4 четверть</v>
      </c>
      <c r="EI2" s="59"/>
      <c r="EJ2" s="59"/>
      <c r="EK2" s="59"/>
      <c r="EL2" s="59"/>
      <c r="EM2" s="59"/>
      <c r="EN2" s="60"/>
      <c r="EO2" s="53" t="str">
        <f>IFERROR(__xludf.DUMMYFUNCTION("IMPORTRANGE(data!$A$2, CONCATENATE(EO1,""!JC3:JN82""))"),"")</f>
        <v/>
      </c>
      <c r="EP2" s="59"/>
      <c r="EQ2" s="59" t="str">
        <f>IFERROR(__xludf.DUMMYFUNCTION("""COMPUTED_VALUE"""),"2 четверть")</f>
        <v>2 четверть</v>
      </c>
      <c r="ER2" s="59"/>
      <c r="ES2" s="59"/>
      <c r="ET2" s="59" t="str">
        <f>IFERROR(__xludf.DUMMYFUNCTION("""COMPUTED_VALUE"""),"3 четверть")</f>
        <v>3 четверть</v>
      </c>
      <c r="EU2" s="59"/>
      <c r="EV2" s="59"/>
      <c r="EW2" s="59" t="str">
        <f>IFERROR(__xludf.DUMMYFUNCTION("""COMPUTED_VALUE"""),"4 четверть")</f>
        <v>4 четверть</v>
      </c>
      <c r="EX2" s="59"/>
      <c r="EY2" s="59"/>
      <c r="EZ2" s="60"/>
      <c r="FA2" s="53" t="str">
        <f>IFERROR(__xludf.DUMMYFUNCTION("IMPORTRANGE(data!$A$2, CONCATENATE(FA1,""!JC3:JN82""))"),"1 полугодие")</f>
        <v>1 полугодие</v>
      </c>
      <c r="FB2" s="59"/>
      <c r="FC2" s="59"/>
      <c r="FD2" s="59"/>
      <c r="FE2" s="59"/>
      <c r="FF2" s="59"/>
      <c r="FG2" s="59" t="str">
        <f>IFERROR(__xludf.DUMMYFUNCTION("""COMPUTED_VALUE"""),"2 полугодие")</f>
        <v>2 полугодие</v>
      </c>
      <c r="FH2" s="59"/>
      <c r="FI2" s="59"/>
      <c r="FJ2" s="59"/>
      <c r="FK2" s="59"/>
      <c r="FL2" s="60"/>
    </row>
    <row r="3">
      <c r="A3" s="61" t="str">
        <f>IFERROR(__xludf.DUMMYFUNCTION("""COMPUTED_VALUE"""),"Тема урока")</f>
        <v>Тема урока</v>
      </c>
      <c r="B3" s="62" t="str">
        <f>IFERROR(__xludf.DUMMYFUNCTION("""COMPUTED_VALUE"""),"Домашнее задание")</f>
        <v>Домашнее задание</v>
      </c>
      <c r="C3" s="62" t="str">
        <f>IFERROR(__xludf.DUMMYFUNCTION("""COMPUTED_VALUE"""),"Дата")</f>
        <v>Дата</v>
      </c>
      <c r="D3" s="62" t="str">
        <f>IFERROR(__xludf.DUMMYFUNCTION("""COMPUTED_VALUE"""),"Тема урока")</f>
        <v>Тема урока</v>
      </c>
      <c r="E3" s="62" t="str">
        <f>IFERROR(__xludf.DUMMYFUNCTION("""COMPUTED_VALUE"""),"Домашнее задание")</f>
        <v>Домашнее задание</v>
      </c>
      <c r="F3" s="62" t="str">
        <f>IFERROR(__xludf.DUMMYFUNCTION("""COMPUTED_VALUE"""),"Дата")</f>
        <v>Дата</v>
      </c>
      <c r="G3" s="62" t="str">
        <f>IFERROR(__xludf.DUMMYFUNCTION("""COMPUTED_VALUE"""),"Тема урока")</f>
        <v>Тема урока</v>
      </c>
      <c r="H3" s="62" t="str">
        <f>IFERROR(__xludf.DUMMYFUNCTION("""COMPUTED_VALUE"""),"Домашнее задание")</f>
        <v>Домашнее задание</v>
      </c>
      <c r="I3" s="59"/>
      <c r="J3" s="59"/>
      <c r="K3" s="59"/>
      <c r="L3" s="60"/>
      <c r="M3" s="63" t="str">
        <f>IFERROR(__xludf.DUMMYFUNCTION("""COMPUTED_VALUE"""),"Домашнее задание")</f>
        <v>Домашнее задание</v>
      </c>
      <c r="N3" s="62" t="str">
        <f>IFERROR(__xludf.DUMMYFUNCTION("""COMPUTED_VALUE"""),"Дата")</f>
        <v>Дата</v>
      </c>
      <c r="O3" s="62" t="str">
        <f>IFERROR(__xludf.DUMMYFUNCTION("""COMPUTED_VALUE"""),"Тема урока")</f>
        <v>Тема урока</v>
      </c>
      <c r="P3" s="62" t="str">
        <f>IFERROR(__xludf.DUMMYFUNCTION("""COMPUTED_VALUE"""),"Домашнее задание")</f>
        <v>Домашнее задание</v>
      </c>
      <c r="Q3" s="62" t="str">
        <f>IFERROR(__xludf.DUMMYFUNCTION("""COMPUTED_VALUE"""),"Дата")</f>
        <v>Дата</v>
      </c>
      <c r="R3" s="62" t="str">
        <f>IFERROR(__xludf.DUMMYFUNCTION("""COMPUTED_VALUE"""),"Тема урока")</f>
        <v>Тема урока</v>
      </c>
      <c r="S3" s="62" t="str">
        <f>IFERROR(__xludf.DUMMYFUNCTION("""COMPUTED_VALUE"""),"Домашнее задание")</f>
        <v>Домашнее задание</v>
      </c>
      <c r="T3" s="59"/>
      <c r="U3" s="59"/>
      <c r="V3" s="59"/>
      <c r="W3" s="59"/>
      <c r="X3" s="60"/>
      <c r="Y3" s="64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60"/>
      <c r="AK3" s="64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60"/>
      <c r="AW3" s="64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60"/>
      <c r="BI3" s="63" t="str">
        <f>IFERROR(__xludf.DUMMYFUNCTION("""COMPUTED_VALUE"""),"Дата")</f>
        <v>Дата</v>
      </c>
      <c r="BJ3" s="62" t="str">
        <f>IFERROR(__xludf.DUMMYFUNCTION("""COMPUTED_VALUE"""),"Тема урока")</f>
        <v>Тема урока</v>
      </c>
      <c r="BK3" s="62" t="str">
        <f>IFERROR(__xludf.DUMMYFUNCTION("""COMPUTED_VALUE"""),"Домашнее задание")</f>
        <v>Домашнее задание</v>
      </c>
      <c r="BL3" s="62" t="str">
        <f>IFERROR(__xludf.DUMMYFUNCTION("""COMPUTED_VALUE"""),"Дата")</f>
        <v>Дата</v>
      </c>
      <c r="BM3" s="62" t="str">
        <f>IFERROR(__xludf.DUMMYFUNCTION("""COMPUTED_VALUE"""),"Тема урока")</f>
        <v>Тема урока</v>
      </c>
      <c r="BN3" s="62" t="str">
        <f>IFERROR(__xludf.DUMMYFUNCTION("""COMPUTED_VALUE"""),"Домашнее задание")</f>
        <v>Домашнее задание</v>
      </c>
      <c r="BO3" s="62" t="str">
        <f>IFERROR(__xludf.DUMMYFUNCTION("""COMPUTED_VALUE"""),"Дата")</f>
        <v>Дата</v>
      </c>
      <c r="BP3" s="62" t="str">
        <f>IFERROR(__xludf.DUMMYFUNCTION("""COMPUTED_VALUE"""),"Тема урока")</f>
        <v>Тема урока</v>
      </c>
      <c r="BQ3" s="62" t="str">
        <f>IFERROR(__xludf.DUMMYFUNCTION("""COMPUTED_VALUE"""),"Домашнее задание")</f>
        <v>Домашнее задание</v>
      </c>
      <c r="BR3" s="62" t="str">
        <f>IFERROR(__xludf.DUMMYFUNCTION("""COMPUTED_VALUE"""),"Дата")</f>
        <v>Дата</v>
      </c>
      <c r="BS3" s="62" t="str">
        <f>IFERROR(__xludf.DUMMYFUNCTION("""COMPUTED_VALUE"""),"Тема урока")</f>
        <v>Тема урока</v>
      </c>
      <c r="BT3" s="65" t="str">
        <f>IFERROR(__xludf.DUMMYFUNCTION("""COMPUTED_VALUE"""),"Домашнее задание")</f>
        <v>Домашнее задание</v>
      </c>
      <c r="BU3" s="63" t="str">
        <f>IFERROR(__xludf.DUMMYFUNCTION("""COMPUTED_VALUE"""),"Тема урока")</f>
        <v>Тема урока</v>
      </c>
      <c r="BV3" s="62" t="str">
        <f>IFERROR(__xludf.DUMMYFUNCTION("""COMPUTED_VALUE"""),"Домашнее задание")</f>
        <v>Домашнее задание</v>
      </c>
      <c r="BW3" s="62" t="str">
        <f>IFERROR(__xludf.DUMMYFUNCTION("""COMPUTED_VALUE"""),"Дата")</f>
        <v>Дата</v>
      </c>
      <c r="BX3" s="62" t="str">
        <f>IFERROR(__xludf.DUMMYFUNCTION("""COMPUTED_VALUE"""),"Тема урока")</f>
        <v>Тема урока</v>
      </c>
      <c r="BY3" s="62" t="str">
        <f>IFERROR(__xludf.DUMMYFUNCTION("""COMPUTED_VALUE"""),"Домашнее задание")</f>
        <v>Домашнее задание</v>
      </c>
      <c r="BZ3" s="62" t="str">
        <f>IFERROR(__xludf.DUMMYFUNCTION("""COMPUTED_VALUE"""),"Дата")</f>
        <v>Дата</v>
      </c>
      <c r="CA3" s="62" t="str">
        <f>IFERROR(__xludf.DUMMYFUNCTION("""COMPUTED_VALUE"""),"Тема урока")</f>
        <v>Тема урока</v>
      </c>
      <c r="CB3" s="62" t="str">
        <f>IFERROR(__xludf.DUMMYFUNCTION("""COMPUTED_VALUE"""),"Домашнее задание")</f>
        <v>Домашнее задание</v>
      </c>
      <c r="CC3" s="62" t="str">
        <f>IFERROR(__xludf.DUMMYFUNCTION("""COMPUTED_VALUE"""),"Дата")</f>
        <v>Дата</v>
      </c>
      <c r="CD3" s="62" t="str">
        <f>IFERROR(__xludf.DUMMYFUNCTION("""COMPUTED_VALUE"""),"Тема урока")</f>
        <v>Тема урока</v>
      </c>
      <c r="CE3" s="62" t="str">
        <f>IFERROR(__xludf.DUMMYFUNCTION("""COMPUTED_VALUE"""),"Домашнее задание")</f>
        <v>Домашнее задание</v>
      </c>
      <c r="CF3" s="60"/>
      <c r="CG3" s="63" t="str">
        <f>IFERROR(__xludf.DUMMYFUNCTION("""COMPUTED_VALUE"""),"Дата")</f>
        <v>Дата</v>
      </c>
      <c r="CH3" s="62" t="str">
        <f>IFERROR(__xludf.DUMMYFUNCTION("""COMPUTED_VALUE"""),"Тема урока")</f>
        <v>Тема урока</v>
      </c>
      <c r="CI3" s="62" t="str">
        <f>IFERROR(__xludf.DUMMYFUNCTION("""COMPUTED_VALUE"""),"Домашнее задание")</f>
        <v>Домашнее задание</v>
      </c>
      <c r="CJ3" s="62" t="str">
        <f>IFERROR(__xludf.DUMMYFUNCTION("""COMPUTED_VALUE"""),"Дата")</f>
        <v>Дата</v>
      </c>
      <c r="CK3" s="62" t="str">
        <f>IFERROR(__xludf.DUMMYFUNCTION("""COMPUTED_VALUE"""),"Тема урока")</f>
        <v>Тема урока</v>
      </c>
      <c r="CL3" s="62" t="str">
        <f>IFERROR(__xludf.DUMMYFUNCTION("""COMPUTED_VALUE"""),"Домашнее задание")</f>
        <v>Домашнее задание</v>
      </c>
      <c r="CM3" s="62" t="str">
        <f>IFERROR(__xludf.DUMMYFUNCTION("""COMPUTED_VALUE"""),"Дата")</f>
        <v>Дата</v>
      </c>
      <c r="CN3" s="62" t="str">
        <f>IFERROR(__xludf.DUMMYFUNCTION("""COMPUTED_VALUE"""),"Тема урока")</f>
        <v>Тема урока</v>
      </c>
      <c r="CO3" s="62" t="str">
        <f>IFERROR(__xludf.DUMMYFUNCTION("""COMPUTED_VALUE"""),"Домашнее задание")</f>
        <v>Домашнее задание</v>
      </c>
      <c r="CP3" s="59"/>
      <c r="CQ3" s="59"/>
      <c r="CR3" s="60"/>
      <c r="CS3" s="63" t="str">
        <f>IFERROR(__xludf.DUMMYFUNCTION("""COMPUTED_VALUE"""),"Дата")</f>
        <v>Дата</v>
      </c>
      <c r="CT3" s="62" t="str">
        <f>IFERROR(__xludf.DUMMYFUNCTION("""COMPUTED_VALUE"""),"Тема урока")</f>
        <v>Тема урока</v>
      </c>
      <c r="CU3" s="62" t="str">
        <f>IFERROR(__xludf.DUMMYFUNCTION("""COMPUTED_VALUE"""),"Домашнее задание")</f>
        <v>Домашнее задание</v>
      </c>
      <c r="CV3" s="62" t="str">
        <f>IFERROR(__xludf.DUMMYFUNCTION("""COMPUTED_VALUE"""),"Дата")</f>
        <v>Дата</v>
      </c>
      <c r="CW3" s="62" t="str">
        <f>IFERROR(__xludf.DUMMYFUNCTION("""COMPUTED_VALUE"""),"Тема урока")</f>
        <v>Тема урока</v>
      </c>
      <c r="CX3" s="62" t="str">
        <f>IFERROR(__xludf.DUMMYFUNCTION("""COMPUTED_VALUE"""),"Домашнее задание")</f>
        <v>Домашнее задание</v>
      </c>
      <c r="CY3" s="62" t="str">
        <f>IFERROR(__xludf.DUMMYFUNCTION("""COMPUTED_VALUE"""),"Дата")</f>
        <v>Дата</v>
      </c>
      <c r="CZ3" s="62" t="str">
        <f>IFERROR(__xludf.DUMMYFUNCTION("""COMPUTED_VALUE"""),"Тема урока")</f>
        <v>Тема урока</v>
      </c>
      <c r="DA3" s="62" t="str">
        <f>IFERROR(__xludf.DUMMYFUNCTION("""COMPUTED_VALUE"""),"Домашнее задание")</f>
        <v>Домашнее задание</v>
      </c>
      <c r="DB3" s="62" t="str">
        <f>IFERROR(__xludf.DUMMYFUNCTION("""COMPUTED_VALUE"""),"Дата")</f>
        <v>Дата</v>
      </c>
      <c r="DC3" s="62" t="str">
        <f>IFERROR(__xludf.DUMMYFUNCTION("""COMPUTED_VALUE"""),"Тема урока")</f>
        <v>Тема урока</v>
      </c>
      <c r="DD3" s="65" t="str">
        <f>IFERROR(__xludf.DUMMYFUNCTION("""COMPUTED_VALUE"""),"Домашнее задание")</f>
        <v>Домашнее задание</v>
      </c>
      <c r="DE3" s="63">
        <f>IFERROR(__xludf.DUMMYFUNCTION("""COMPUTED_VALUE"""),46069.0)</f>
        <v>46069</v>
      </c>
      <c r="DF3" s="62">
        <f>IFERROR(__xludf.DUMMYFUNCTION("""COMPUTED_VALUE"""),46076.0)</f>
        <v>46076</v>
      </c>
      <c r="DG3" s="62">
        <f>IFERROR(__xludf.DUMMYFUNCTION("""COMPUTED_VALUE"""),46076.0)</f>
        <v>46076</v>
      </c>
      <c r="DH3" s="62">
        <f>IFERROR(__xludf.DUMMYFUNCTION("""COMPUTED_VALUE"""),46083.0)</f>
        <v>46083</v>
      </c>
      <c r="DI3" s="62">
        <f>IFERROR(__xludf.DUMMYFUNCTION("""COMPUTED_VALUE"""),46083.0)</f>
        <v>46083</v>
      </c>
      <c r="DJ3" s="62">
        <f>IFERROR(__xludf.DUMMYFUNCTION("""COMPUTED_VALUE"""),46097.0)</f>
        <v>46097</v>
      </c>
      <c r="DK3" s="62">
        <f>IFERROR(__xludf.DUMMYFUNCTION("""COMPUTED_VALUE"""),46097.0)</f>
        <v>46097</v>
      </c>
      <c r="DL3" s="59"/>
      <c r="DM3" s="59"/>
      <c r="DN3" s="59"/>
      <c r="DO3" s="59"/>
      <c r="DP3" s="60"/>
      <c r="DQ3" s="63" t="str">
        <f>IFERROR(__xludf.DUMMYFUNCTION("""COMPUTED_VALUE"""),"рейтинг")</f>
        <v>рейтинг</v>
      </c>
      <c r="DR3" s="59"/>
      <c r="DS3" s="59"/>
      <c r="DT3" s="62" t="str">
        <f>IFERROR(__xludf.DUMMYFUNCTION("""COMPUTED_VALUE"""),"Дата")</f>
        <v>Дата</v>
      </c>
      <c r="DU3" s="62" t="str">
        <f>IFERROR(__xludf.DUMMYFUNCTION("""COMPUTED_VALUE"""),"Тема урока")</f>
        <v>Тема урока</v>
      </c>
      <c r="DV3" s="62" t="str">
        <f>IFERROR(__xludf.DUMMYFUNCTION("""COMPUTED_VALUE"""),"Домашнее задание")</f>
        <v>Домашнее задание</v>
      </c>
      <c r="DW3" s="62" t="str">
        <f>IFERROR(__xludf.DUMMYFUNCTION("""COMPUTED_VALUE"""),"Дата")</f>
        <v>Дата</v>
      </c>
      <c r="DX3" s="62" t="str">
        <f>IFERROR(__xludf.DUMMYFUNCTION("""COMPUTED_VALUE"""),"Тема урока")</f>
        <v>Тема урока</v>
      </c>
      <c r="DY3" s="62" t="str">
        <f>IFERROR(__xludf.DUMMYFUNCTION("""COMPUTED_VALUE"""),"Домашнее задание")</f>
        <v>Домашнее задание</v>
      </c>
      <c r="DZ3" s="62" t="str">
        <f>IFERROR(__xludf.DUMMYFUNCTION("""COMPUTED_VALUE"""),"Дата")</f>
        <v>Дата</v>
      </c>
      <c r="EA3" s="62" t="str">
        <f>IFERROR(__xludf.DUMMYFUNCTION("""COMPUTED_VALUE"""),"Тема урока")</f>
        <v>Тема урока</v>
      </c>
      <c r="EB3" s="65" t="str">
        <f>IFERROR(__xludf.DUMMYFUNCTION("""COMPUTED_VALUE"""),"Домашнее задание")</f>
        <v>Домашнее задание</v>
      </c>
      <c r="EC3" s="63" t="str">
        <f>IFERROR(__xludf.DUMMYFUNCTION("""COMPUTED_VALUE"""),"Тема урока")</f>
        <v>Тема урока</v>
      </c>
      <c r="ED3" s="62" t="str">
        <f>IFERROR(__xludf.DUMMYFUNCTION("""COMPUTED_VALUE"""),"Домашнее задание")</f>
        <v>Домашнее задание</v>
      </c>
      <c r="EE3" s="62" t="str">
        <f>IFERROR(__xludf.DUMMYFUNCTION("""COMPUTED_VALUE"""),"Дата")</f>
        <v>Дата</v>
      </c>
      <c r="EF3" s="62" t="str">
        <f>IFERROR(__xludf.DUMMYFUNCTION("""COMPUTED_VALUE"""),"Тема урока")</f>
        <v>Тема урока</v>
      </c>
      <c r="EG3" s="62" t="str">
        <f>IFERROR(__xludf.DUMMYFUNCTION("""COMPUTED_VALUE"""),"Домашнее задание")</f>
        <v>Домашнее задание</v>
      </c>
      <c r="EH3" s="62" t="str">
        <f>IFERROR(__xludf.DUMMYFUNCTION("""COMPUTED_VALUE"""),"Дата")</f>
        <v>Дата</v>
      </c>
      <c r="EI3" s="62" t="str">
        <f>IFERROR(__xludf.DUMMYFUNCTION("""COMPUTED_VALUE"""),"Тема урока")</f>
        <v>Тема урока</v>
      </c>
      <c r="EJ3" s="62" t="str">
        <f>IFERROR(__xludf.DUMMYFUNCTION("""COMPUTED_VALUE"""),"Домашнее задание")</f>
        <v>Домашнее задание</v>
      </c>
      <c r="EK3" s="59"/>
      <c r="EL3" s="59"/>
      <c r="EM3" s="59"/>
      <c r="EN3" s="60"/>
      <c r="EO3" s="63" t="str">
        <f>IFERROR(__xludf.DUMMYFUNCTION("""COMPUTED_VALUE"""),"Тема урока")</f>
        <v>Тема урока</v>
      </c>
      <c r="EP3" s="62" t="str">
        <f>IFERROR(__xludf.DUMMYFUNCTION("""COMPUTED_VALUE"""),"Домашнее задание")</f>
        <v>Домашнее задание</v>
      </c>
      <c r="EQ3" s="62" t="str">
        <f>IFERROR(__xludf.DUMMYFUNCTION("""COMPUTED_VALUE"""),"Дата")</f>
        <v>Дата</v>
      </c>
      <c r="ER3" s="62" t="str">
        <f>IFERROR(__xludf.DUMMYFUNCTION("""COMPUTED_VALUE"""),"Тема урока")</f>
        <v>Тема урока</v>
      </c>
      <c r="ES3" s="62" t="str">
        <f>IFERROR(__xludf.DUMMYFUNCTION("""COMPUTED_VALUE"""),"Домашнее задание")</f>
        <v>Домашнее задание</v>
      </c>
      <c r="ET3" s="62" t="str">
        <f>IFERROR(__xludf.DUMMYFUNCTION("""COMPUTED_VALUE"""),"Дата")</f>
        <v>Дата</v>
      </c>
      <c r="EU3" s="62" t="str">
        <f>IFERROR(__xludf.DUMMYFUNCTION("""COMPUTED_VALUE"""),"Тема урока")</f>
        <v>Тема урока</v>
      </c>
      <c r="EV3" s="62" t="str">
        <f>IFERROR(__xludf.DUMMYFUNCTION("""COMPUTED_VALUE"""),"Домашнее задание")</f>
        <v>Домашнее задание</v>
      </c>
      <c r="EW3" s="62" t="str">
        <f>IFERROR(__xludf.DUMMYFUNCTION("""COMPUTED_VALUE"""),"Дата")</f>
        <v>Дата</v>
      </c>
      <c r="EX3" s="62" t="str">
        <f>IFERROR(__xludf.DUMMYFUNCTION("""COMPUTED_VALUE"""),"Тема урока")</f>
        <v>Тема урока</v>
      </c>
      <c r="EY3" s="62" t="str">
        <f>IFERROR(__xludf.DUMMYFUNCTION("""COMPUTED_VALUE"""),"Домашнее задание")</f>
        <v>Домашнее задание</v>
      </c>
      <c r="EZ3" s="60"/>
      <c r="FA3" s="63" t="str">
        <f>IFERROR(__xludf.DUMMYFUNCTION("""COMPUTED_VALUE"""),"Дата")</f>
        <v>Дата</v>
      </c>
      <c r="FB3" s="62" t="str">
        <f>IFERROR(__xludf.DUMMYFUNCTION("""COMPUTED_VALUE"""),"Тема урока")</f>
        <v>Тема урока</v>
      </c>
      <c r="FC3" s="62" t="str">
        <f>IFERROR(__xludf.DUMMYFUNCTION("""COMPUTED_VALUE"""),"Домашнее задание")</f>
        <v>Домашнее задание</v>
      </c>
      <c r="FD3" s="62" t="str">
        <f>IFERROR(__xludf.DUMMYFUNCTION("""COMPUTED_VALUE"""),"Дата")</f>
        <v>Дата</v>
      </c>
      <c r="FE3" s="62" t="str">
        <f>IFERROR(__xludf.DUMMYFUNCTION("""COMPUTED_VALUE"""),"Тема урока")</f>
        <v>Тема урока</v>
      </c>
      <c r="FF3" s="62" t="str">
        <f>IFERROR(__xludf.DUMMYFUNCTION("""COMPUTED_VALUE"""),"Домашнее задание")</f>
        <v>Домашнее задание</v>
      </c>
      <c r="FG3" s="62" t="str">
        <f>IFERROR(__xludf.DUMMYFUNCTION("""COMPUTED_VALUE"""),"Дата")</f>
        <v>Дата</v>
      </c>
      <c r="FH3" s="62" t="str">
        <f>IFERROR(__xludf.DUMMYFUNCTION("""COMPUTED_VALUE"""),"Тема урока")</f>
        <v>Тема урока</v>
      </c>
      <c r="FI3" s="62" t="str">
        <f>IFERROR(__xludf.DUMMYFUNCTION("""COMPUTED_VALUE"""),"Домашнее задание")</f>
        <v>Домашнее задание</v>
      </c>
      <c r="FJ3" s="62" t="str">
        <f>IFERROR(__xludf.DUMMYFUNCTION("""COMPUTED_VALUE"""),"Дата")</f>
        <v>Дата</v>
      </c>
      <c r="FK3" s="62" t="str">
        <f>IFERROR(__xludf.DUMMYFUNCTION("""COMPUTED_VALUE"""),"Тема урока")</f>
        <v>Тема урока</v>
      </c>
      <c r="FL3" s="65" t="str">
        <f>IFERROR(__xludf.DUMMYFUNCTION("""COMPUTED_VALUE"""),"Домашнее задание")</f>
        <v>Домашнее задание</v>
      </c>
    </row>
    <row r="4">
      <c r="A4" s="54" t="str">
        <f>IFERROR(__xludf.DUMMYFUNCTION("""COMPUTED_VALUE"""),"Разряды прилагательных")</f>
        <v>Разряды прилагательных</v>
      </c>
      <c r="B4" s="54" t="str">
        <f>IFERROR(__xludf.DUMMYFUNCTION("""COMPUTED_VALUE"""),"Карточки")</f>
        <v>Карточки</v>
      </c>
      <c r="C4" s="66">
        <f>IFERROR(__xludf.DUMMYFUNCTION("""COMPUTED_VALUE"""),46035.0)</f>
        <v>46035</v>
      </c>
      <c r="D4" s="54" t="str">
        <f>IFERROR(__xludf.DUMMYFUNCTION("""COMPUTED_VALUE"""),"Имя числительное как часть речи.")</f>
        <v>Имя числительное как часть речи.</v>
      </c>
      <c r="E4" s="54" t="str">
        <f>IFERROR(__xludf.DUMMYFUNCTION("""COMPUTED_VALUE"""),"стр. 101, задание")</f>
        <v>стр. 101, задание</v>
      </c>
      <c r="F4" s="54"/>
      <c r="G4" s="54"/>
      <c r="H4" s="54"/>
      <c r="I4" s="54"/>
      <c r="J4" s="54"/>
      <c r="K4" s="54"/>
      <c r="L4" s="55"/>
      <c r="M4" s="67" t="str">
        <f>IFERROR(__xludf.DUMMYFUNCTION("""COMPUTED_VALUE"""),"пересказ")</f>
        <v>пересказ</v>
      </c>
      <c r="N4" s="66">
        <f>IFERROR(__xludf.DUMMYFUNCTION("""COMPUTED_VALUE"""),46035.0)</f>
        <v>46035</v>
      </c>
      <c r="O4" s="54" t="str">
        <f>IFERROR(__xludf.DUMMYFUNCTION("""COMPUTED_VALUE"""),"В.Г.Короленко«Слепой музыкант»")</f>
        <v>В.Г.Короленко«Слепой музыкант»</v>
      </c>
      <c r="P4" s="54" t="str">
        <f>IFERROR(__xludf.DUMMYFUNCTION("""COMPUTED_VALUE"""),"пересказ")</f>
        <v>пересказ</v>
      </c>
      <c r="Q4" s="54"/>
      <c r="R4" s="54"/>
      <c r="S4" s="54"/>
      <c r="T4" s="54"/>
      <c r="U4" s="54"/>
      <c r="V4" s="54"/>
      <c r="W4" s="54"/>
      <c r="X4" s="55"/>
      <c r="Y4" s="67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5"/>
      <c r="AK4" s="67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5"/>
      <c r="AW4" s="67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5"/>
      <c r="BI4" s="68">
        <f>IFERROR(__xludf.DUMMYFUNCTION("""COMPUTED_VALUE"""),45903.0)</f>
        <v>45903</v>
      </c>
      <c r="BJ4" s="54" t="str">
        <f>IFERROR(__xludf.DUMMYFUNCTION("""COMPUTED_VALUE"""),"Объект исследования биологии")</f>
        <v>Объект исследования биологии</v>
      </c>
      <c r="BK4" s="54" t="str">
        <f>IFERROR(__xludf.DUMMYFUNCTION("""COMPUTED_VALUE""")," д/з стр 1 учебник переписать названия методов+ кратко их описание Ответить на вопросы")</f>
        <v> д/з стр 1 учебник переписать названия методов+ кратко их описание Ответить на вопросы</v>
      </c>
      <c r="BL4" s="69">
        <f>IFERROR(__xludf.DUMMYFUNCTION("""COMPUTED_VALUE"""),45974.0)</f>
        <v>45974</v>
      </c>
      <c r="BM4" s="54" t="str">
        <f>IFERROR(__xludf.DUMMYFUNCTION("""COMPUTED_VALUE"""),"Пищеварительная система")</f>
        <v>Пищеварительная система</v>
      </c>
      <c r="BN4" s="54" t="str">
        <f>IFERROR(__xludf.DUMMYFUNCTION("""COMPUTED_VALUE"""),"Стр 11 инфографика нарисовать")</f>
        <v>Стр 11 инфографика нарисовать</v>
      </c>
      <c r="BO4" s="66">
        <f>IFERROR(__xludf.DUMMYFUNCTION("""COMPUTED_VALUE"""),46037.0)</f>
        <v>46037</v>
      </c>
      <c r="BP4" s="54" t="str">
        <f>IFERROR(__xludf.DUMMYFUNCTION("""COMPUTED_VALUE"""),"Кровеносная система")</f>
        <v>Кровеносная система</v>
      </c>
      <c r="BQ4" s="54" t="str">
        <f>IFERROR(__xludf.DUMMYFUNCTION("""COMPUTED_VALUE"""),"Стр 26 рис")</f>
        <v>Стр 26 рис</v>
      </c>
      <c r="BR4" s="54"/>
      <c r="BS4" s="54" t="str">
        <f>IFERROR(__xludf.DUMMYFUNCTION("""COMPUTED_VALUE"""),"Защитные механизмы организма человека")</f>
        <v>Защитные механизмы организма человека</v>
      </c>
      <c r="BT4" s="55" t="str">
        <f>IFERROR(__xludf.DUMMYFUNCTION("""COMPUTED_VALUE"""),"Рабочая тетрадь
Практическая работа 3.3, стр. 33")</f>
        <v>Рабочая тетрадь
Практическая работа 3.3, стр. 33</v>
      </c>
      <c r="BU4" s="67" t="str">
        <f>IFERROR(__xludf.DUMMYFUNCTION("""COMPUTED_VALUE"""),"Введение. Что изучает наука «история»?")</f>
        <v>Введение. Что изучает наука «история»?</v>
      </c>
      <c r="BV4" s="54" t="str">
        <f>IFERROR(__xludf.DUMMYFUNCTION("""COMPUTED_VALUE"""),"стр.5, пересказ")</f>
        <v>стр.5, пересказ</v>
      </c>
      <c r="BW4" s="70">
        <f>IFERROR(__xludf.DUMMYFUNCTION("""COMPUTED_VALUE"""),45971.0)</f>
        <v>45971</v>
      </c>
      <c r="BX4" s="54" t="str">
        <f>IFERROR(__xludf.DUMMYFUNCTION("""COMPUTED_VALUE"""),"Древние цивилизации Месопотамии")</f>
        <v>Древние цивилизации Месопотамии</v>
      </c>
      <c r="BY4" s="54" t="str">
        <f>IFERROR(__xludf.DUMMYFUNCTION("""COMPUTED_VALUE"""),"§ 11 стр.43, пересказ")</f>
        <v>§ 11 стр.43, пересказ</v>
      </c>
      <c r="BZ4" s="70">
        <f>IFERROR(__xludf.DUMMYFUNCTION("""COMPUTED_VALUE"""),46034.0)</f>
        <v>46034</v>
      </c>
      <c r="CA4" s="54" t="str">
        <f>IFERROR(__xludf.DUMMYFUNCTION("""COMPUTED_VALUE"""),"Начало античной истории")</f>
        <v>Начало античной истории</v>
      </c>
      <c r="CB4" s="54"/>
      <c r="CC4" s="54"/>
      <c r="CD4" s="54"/>
      <c r="CE4" s="54"/>
      <c r="CF4" s="55"/>
      <c r="CG4" s="68">
        <f>IFERROR(__xludf.DUMMYFUNCTION("""COMPUTED_VALUE"""),44449.0)</f>
        <v>44449</v>
      </c>
      <c r="CH4" s="54" t="str">
        <f>IFERROR(__xludf.DUMMYFUNCTION("""COMPUTED_VALUE"""),"Я живу по золотым правилам")</f>
        <v>Я живу по золотым правилам</v>
      </c>
      <c r="CI4" s="54" t="str">
        <f>IFERROR(__xludf.DUMMYFUNCTION("""COMPUTED_VALUE"""),"Тема 1-2")</f>
        <v>Тема 1-2</v>
      </c>
      <c r="CJ4" s="70">
        <f>IFERROR(__xludf.DUMMYFUNCTION("""COMPUTED_VALUE"""),45908.0)</f>
        <v>45908</v>
      </c>
      <c r="CK4" s="54" t="str">
        <f>IFERROR(__xludf.DUMMYFUNCTION("""COMPUTED_VALUE"""),"Я живу придерживаясь «золотых правил».")</f>
        <v>Я живу придерживаясь «золотых правил».</v>
      </c>
      <c r="CL4" s="54" t="str">
        <f>IFERROR(__xludf.DUMMYFUNCTION("""COMPUTED_VALUE"""),"тема 1")</f>
        <v>тема 1</v>
      </c>
      <c r="CM4" s="70">
        <f>IFERROR(__xludf.DUMMYFUNCTION("""COMPUTED_VALUE"""),46034.0)</f>
        <v>46034</v>
      </c>
      <c r="CN4" s="54" t="str">
        <f>IFERROR(__xludf.DUMMYFUNCTION("""COMPUTED_VALUE"""),"Современные технологии на службе добра")</f>
        <v>Современные технологии на службе добра</v>
      </c>
      <c r="CO4" s="54" t="str">
        <f>IFERROR(__xludf.DUMMYFUNCTION("""COMPUTED_VALUE"""),"тема 16")</f>
        <v>тема 16</v>
      </c>
      <c r="CP4" s="54"/>
      <c r="CQ4" s="54"/>
      <c r="CR4" s="55"/>
      <c r="CS4" s="71" t="str">
        <f>IFERROR(__xludf.DUMMYFUNCTION("""COMPUTED_VALUE"""),"2.09")</f>
        <v>2.09</v>
      </c>
      <c r="CT4" s="54" t="str">
        <f>IFERROR(__xludf.DUMMYFUNCTION("""COMPUTED_VALUE"""),"Создание композиции на тему «Мои летние
 впечатления»")</f>
        <v>Создание композиции на тему «Мои летние
 впечатления»</v>
      </c>
      <c r="CU4" s="54"/>
      <c r="CV4" s="69">
        <f>IFERROR(__xludf.DUMMYFUNCTION("""COMPUTED_VALUE"""),46034.0)</f>
        <v>46034</v>
      </c>
      <c r="CW4" s="54" t="str">
        <f>IFERROR(__xludf.DUMMYFUNCTION("""COMPUTED_VALUE"""),"Создание композиции на тему «Цирк» (в свободном
 стиле")</f>
        <v>Создание композиции на тему «Цирк» (в свободном
 стиле</v>
      </c>
      <c r="CX4" s="54"/>
      <c r="CY4" s="54"/>
      <c r="CZ4" s="54"/>
      <c r="DA4" s="54"/>
      <c r="DB4" s="54"/>
      <c r="DC4" s="54"/>
      <c r="DD4" s="55"/>
      <c r="DE4" s="67"/>
      <c r="DF4" s="72">
        <f>IFERROR(__xludf.DUMMYFUNCTION("""COMPUTED_VALUE"""),5.0)</f>
        <v>5</v>
      </c>
      <c r="DG4" s="72">
        <f>IFERROR(__xludf.DUMMYFUNCTION("""COMPUTED_VALUE"""),5.0)</f>
        <v>5</v>
      </c>
      <c r="DH4" s="54"/>
      <c r="DI4" s="54"/>
      <c r="DJ4" s="54"/>
      <c r="DK4" s="54"/>
      <c r="DL4" s="54"/>
      <c r="DM4" s="54"/>
      <c r="DN4" s="54"/>
      <c r="DO4" s="54"/>
      <c r="DP4" s="55"/>
      <c r="DQ4" s="67"/>
      <c r="DR4" s="54"/>
      <c r="DS4" s="54"/>
      <c r="DT4" s="54"/>
      <c r="DU4" s="54" t="str">
        <f>IFERROR(__xludf.DUMMYFUNCTION("""COMPUTED_VALUE"""),"Что такое музыка? Язык звуков")</f>
        <v>Что такое музыка? Язык звуков</v>
      </c>
      <c r="DV4" s="54"/>
      <c r="DW4" s="54"/>
      <c r="DX4" s="54" t="str">
        <f>IFERROR(__xludf.DUMMYFUNCTION("""COMPUTED_VALUE"""),"Народная музыка: что это?")</f>
        <v>Народная музыка: что это?</v>
      </c>
      <c r="DY4" s="66">
        <f>IFERROR(__xludf.DUMMYFUNCTION("""COMPUTED_VALUE"""),46041.0)</f>
        <v>46041</v>
      </c>
      <c r="DZ4" s="54"/>
      <c r="EA4" s="54" t="str">
        <f>IFERROR(__xludf.DUMMYFUNCTION("""COMPUTED_VALUE"""),"Жанры музыки: от колыбельной до симфонии")</f>
        <v>Жанры музыки: от колыбельной до симфонии</v>
      </c>
      <c r="EB4" s="55"/>
      <c r="EC4" s="67" t="str">
        <f>IFERROR(__xludf.DUMMYFUNCTION("""COMPUTED_VALUE"""),"Спортивные игры - Баскетбол, Волейбол, Гандбол (исходя из условий школы выбираются 2 вида игр) Теория: История развития выбранного вида спортивной игры и правила игры Практика: Баскетбол - бег с ведением мяча и изменением направления Волейбол – обучение с"&amp;"тойкам и правилам перехода Гандбол - Быстрый бег в ведением мяча, передвижения с мячом;")</f>
        <v>Спортивные игры - Баскетбол, Волейбол, Гандбол (исходя из условий школы выбираются 2 вида игр) Теория: История развития выбранного вида спортивной игры и правила игры Практика: Баскетбол - бег с ведением мяча и изменением направления Волейбол – обучение стойкам и правилам перехода Гандбол - Быстрый бег в ведением мяча, передвижения с мячом;</v>
      </c>
      <c r="ED4" s="54" t="str">
        <f>IFERROR(__xludf.DUMMYFUNCTION("""COMPUTED_VALUE"""),"Наклоны головы вперед-назад вправо-влево повороты головы вправо-влево.")</f>
        <v>Наклоны головы вперед-назад вправо-влево повороты головы вправо-влево.</v>
      </c>
      <c r="EE4" s="66">
        <f>IFERROR(__xludf.DUMMYFUNCTION("""COMPUTED_VALUE"""),46034.0)</f>
        <v>46034</v>
      </c>
      <c r="EF4" s="54" t="str">
        <f>IFERROR(__xludf.DUMMYFUNCTION("""COMPUTED_VALUE"""),"Баскетбол. Эстафета с элементами баскетбольной игры.")</f>
        <v>Баскетбол. Эстафета с элементами баскетбольной игры.</v>
      </c>
      <c r="EG4" s="54" t="str">
        <f>IFERROR(__xludf.DUMMYFUNCTION("""COMPUTED_VALUE"""),"Потренировать точность и передачу")</f>
        <v>Потренировать точность и передачу</v>
      </c>
      <c r="EH4" s="54"/>
      <c r="EI4" s="54"/>
      <c r="EJ4" s="54"/>
      <c r="EK4" s="54"/>
      <c r="EL4" s="54"/>
      <c r="EM4" s="54"/>
      <c r="EN4" s="55"/>
      <c r="EO4" s="67" t="str">
        <f>IFERROR(__xludf.DUMMYFUNCTION("""COMPUTED_VALUE"""),"Добавление, редактирование и перемещение текста")</f>
        <v>Добавление, редактирование и перемещение текста</v>
      </c>
      <c r="EP4" s="54"/>
      <c r="EQ4" s="69">
        <f>IFERROR(__xludf.DUMMYFUNCTION("""COMPUTED_VALUE"""),45973.0)</f>
        <v>45973</v>
      </c>
      <c r="ER4" s="54" t="str">
        <f>IFERROR(__xludf.DUMMYFUNCTION("""COMPUTED_VALUE"""),"Понятие электронной таблицы. Ввод данных в электронную таблицу")</f>
        <v>Понятие электронной таблицы. Ввод данных в электронную таблицу</v>
      </c>
      <c r="ES4" s="54"/>
      <c r="ET4" s="54"/>
      <c r="EU4" s="54"/>
      <c r="EV4" s="54"/>
      <c r="EW4" s="54"/>
      <c r="EX4" s="54"/>
      <c r="EY4" s="54"/>
      <c r="EZ4" s="55"/>
      <c r="FA4" s="67"/>
      <c r="FB4" s="54"/>
      <c r="FC4" s="54"/>
      <c r="FD4" s="54"/>
      <c r="FE4" s="54"/>
      <c r="FF4" s="54"/>
      <c r="FG4" s="54"/>
      <c r="FH4" s="54"/>
      <c r="FI4" s="54"/>
      <c r="FJ4" s="54"/>
      <c r="FK4" s="54"/>
      <c r="FL4" s="55"/>
    </row>
    <row r="5">
      <c r="A5" s="73" t="str">
        <f>IFERROR(__xludf.DUMMYFUNCTION("""COMPUTED_VALUE"""),"Качественные прилагательные")</f>
        <v>Качественные прилагательные</v>
      </c>
      <c r="B5" s="54" t="str">
        <f>IFERROR(__xludf.DUMMYFUNCTION("""COMPUTED_VALUE"""),"Упражнение 7")</f>
        <v>Упражнение 7</v>
      </c>
      <c r="C5" s="66">
        <f>IFERROR(__xludf.DUMMYFUNCTION("""COMPUTED_VALUE"""),46037.0)</f>
        <v>46037</v>
      </c>
      <c r="D5" s="54" t="str">
        <f>IFERROR(__xludf.DUMMYFUNCTION("""COMPUTED_VALUE"""),"Простые, сложные и составные числительные.")</f>
        <v>Простые, сложные и составные числительные.</v>
      </c>
      <c r="E5" s="54" t="str">
        <f>IFERROR(__xludf.DUMMYFUNCTION("""COMPUTED_VALUE"""),"стр. 103, задание")</f>
        <v>стр. 103, задание</v>
      </c>
      <c r="F5" s="54"/>
      <c r="G5" s="54"/>
      <c r="H5" s="54"/>
      <c r="I5" s="54"/>
      <c r="J5" s="54"/>
      <c r="K5" s="54"/>
      <c r="L5" s="55"/>
      <c r="M5" s="67" t="str">
        <f>IFERROR(__xludf.DUMMYFUNCTION("""COMPUTED_VALUE"""),"ответить на вопросы")</f>
        <v>ответить на вопросы</v>
      </c>
      <c r="N5" s="66">
        <f>IFERROR(__xludf.DUMMYFUNCTION("""COMPUTED_VALUE"""),46037.0)</f>
        <v>46037</v>
      </c>
      <c r="O5" s="54" t="str">
        <f>IFERROR(__xludf.DUMMYFUNCTION("""COMPUTED_VALUE"""),"В.Г.Короленко«Слепой музыкант»")</f>
        <v>В.Г.Короленко«Слепой музыкант»</v>
      </c>
      <c r="P5" s="54" t="str">
        <f>IFERROR(__xludf.DUMMYFUNCTION("""COMPUTED_VALUE"""),"написать эссе")</f>
        <v>написать эссе</v>
      </c>
      <c r="Q5" s="54"/>
      <c r="R5" s="54"/>
      <c r="S5" s="54"/>
      <c r="T5" s="54"/>
      <c r="U5" s="54"/>
      <c r="V5" s="54"/>
      <c r="W5" s="54"/>
      <c r="X5" s="55"/>
      <c r="Y5" s="67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5"/>
      <c r="AK5" s="67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5"/>
      <c r="AW5" s="67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5"/>
      <c r="BI5" s="68">
        <f>IFERROR(__xludf.DUMMYFUNCTION("""COMPUTED_VALUE"""),45911.0)</f>
        <v>45911</v>
      </c>
      <c r="BJ5" s="54" t="str">
        <f>IFERROR(__xludf.DUMMYFUNCTION("""COMPUTED_VALUE"""),"Планирование научного исследования")</f>
        <v>Планирование научного исследования</v>
      </c>
      <c r="BK5" s="54" t="str">
        <f>IFERROR(__xludf.DUMMYFUNCTION("""COMPUTED_VALUE"""),"на примере исследования, придумать свой проект и расписать")</f>
        <v>на примере исследования, придумать свой проект и расписать</v>
      </c>
      <c r="BL5" s="69">
        <f>IFERROR(__xludf.DUMMYFUNCTION("""COMPUTED_VALUE"""),45981.0)</f>
        <v>45981</v>
      </c>
      <c r="BM5" s="54" t="str">
        <f>IFERROR(__xludf.DUMMYFUNCTION("""COMPUTED_VALUE"""),"Пищеварительная система")</f>
        <v>Пищеварительная система</v>
      </c>
      <c r="BN5" s="54" t="str">
        <f>IFERROR(__xludf.DUMMYFUNCTION("""COMPUTED_VALUE"""),"Рабочая тетрадь
Практическая работа 1.2, стр. 3")</f>
        <v>Рабочая тетрадь
Практическая работа 1.2, стр. 3</v>
      </c>
      <c r="BO5" s="66">
        <f>IFERROR(__xludf.DUMMYFUNCTION("""COMPUTED_VALUE"""),46044.0)</f>
        <v>46044</v>
      </c>
      <c r="BP5" s="54" t="str">
        <f>IFERROR(__xludf.DUMMYFUNCTION("""COMPUTED_VALUE"""),"Кровеносная система")</f>
        <v>Кровеносная система</v>
      </c>
      <c r="BQ5" s="54" t="str">
        <f>IFERROR(__xludf.DUMMYFUNCTION("""COMPUTED_VALUE"""),"Рабочая тетрадь
Практическая работа 2.4, стр. 19
")</f>
        <v>Рабочая тетрадь
Практическая работа 2.4, стр. 19
</v>
      </c>
      <c r="BR5" s="54"/>
      <c r="BS5" s="54" t="str">
        <f>IFERROR(__xludf.DUMMYFUNCTION("""COMPUTED_VALUE"""),"Пищевая цепь и пищевая сеть")</f>
        <v>Пищевая цепь и пищевая сеть</v>
      </c>
      <c r="BT5" s="55" t="str">
        <f>IFERROR(__xludf.DUMMYFUNCTION("""COMPUTED_VALUE"""),"Тема 4.1 стр 48 Рабочая тетрадь
Практическая работа 4.1, стр. 41")</f>
        <v>Тема 4.1 стр 48 Рабочая тетрадь
Практическая работа 4.1, стр. 41</v>
      </c>
      <c r="BU5" s="67" t="str">
        <f>IFERROR(__xludf.DUMMYFUNCTION("""COMPUTED_VALUE"""),"Периодизация Древнего мира")</f>
        <v>Периодизация Древнего мира</v>
      </c>
      <c r="BV5" s="54" t="str">
        <f>IFERROR(__xludf.DUMMYFUNCTION("""COMPUTED_VALUE"""),"§ 1 стр.8, пересказ")</f>
        <v>§ 1 стр.8, пересказ</v>
      </c>
      <c r="BW5" s="70">
        <f>IFERROR(__xludf.DUMMYFUNCTION("""COMPUTED_VALUE"""),45972.0)</f>
        <v>45972</v>
      </c>
      <c r="BX5" s="54" t="str">
        <f>IFERROR(__xludf.DUMMYFUNCTION("""COMPUTED_VALUE"""),"Вавилонское царство.")</f>
        <v>Вавилонское царство.</v>
      </c>
      <c r="BY5" s="54" t="str">
        <f>IFERROR(__xludf.DUMMYFUNCTION("""COMPUTED_VALUE"""),"§ 12 стр.49, пересказ")</f>
        <v>§ 12 стр.49, пересказ</v>
      </c>
      <c r="BZ5" s="70">
        <f>IFERROR(__xludf.DUMMYFUNCTION("""COMPUTED_VALUE"""),46035.0)</f>
        <v>46035</v>
      </c>
      <c r="CA5" s="54" t="str">
        <f>IFERROR(__xludf.DUMMYFUNCTION("""COMPUTED_VALUE"""),"Расцвет Древней Греции")</f>
        <v>Расцвет Древней Греции</v>
      </c>
      <c r="CB5" s="54"/>
      <c r="CC5" s="54"/>
      <c r="CD5" s="54"/>
      <c r="CE5" s="54"/>
      <c r="CF5" s="55"/>
      <c r="CG5" s="68">
        <f>IFERROR(__xludf.DUMMYFUNCTION("""COMPUTED_VALUE"""),44456.0)</f>
        <v>44456</v>
      </c>
      <c r="CH5" s="54" t="str">
        <f>IFERROR(__xludf.DUMMYFUNCTION("""COMPUTED_VALUE"""),"Что такое нравственность?")</f>
        <v>Что такое нравственность?</v>
      </c>
      <c r="CI5" s="54" t="str">
        <f>IFERROR(__xludf.DUMMYFUNCTION("""COMPUTED_VALUE"""),"Тема 3-4")</f>
        <v>Тема 3-4</v>
      </c>
      <c r="CJ5" s="70">
        <f>IFERROR(__xludf.DUMMYFUNCTION("""COMPUTED_VALUE"""),45915.0)</f>
        <v>45915</v>
      </c>
      <c r="CK5" s="54" t="str">
        <f>IFERROR(__xludf.DUMMYFUNCTION("""COMPUTED_VALUE"""),"Я живу придерживаясь «золотых правил».")</f>
        <v>Я живу придерживаясь «золотых правил».</v>
      </c>
      <c r="CL5" s="54" t="str">
        <f>IFERROR(__xludf.DUMMYFUNCTION("""COMPUTED_VALUE"""),"тема 2 Т.Р")</f>
        <v>тема 2 Т.Р</v>
      </c>
      <c r="CM5" s="70">
        <f>IFERROR(__xludf.DUMMYFUNCTION("""COMPUTED_VALUE"""),46041.0)</f>
        <v>46041</v>
      </c>
      <c r="CN5" s="54" t="str">
        <f>IFERROR(__xludf.DUMMYFUNCTION("""COMPUTED_VALUE"""),"Современные технологии на службе добра")</f>
        <v>Современные технологии на службе добра</v>
      </c>
      <c r="CO5" s="54" t="str">
        <f>IFERROR(__xludf.DUMMYFUNCTION("""COMPUTED_VALUE"""),"тема 17 Т.Р")</f>
        <v>тема 17 Т.Р</v>
      </c>
      <c r="CP5" s="54"/>
      <c r="CQ5" s="54"/>
      <c r="CR5" s="55"/>
      <c r="CS5" s="71" t="str">
        <f>IFERROR(__xludf.DUMMYFUNCTION("""COMPUTED_VALUE"""),"8.09")</f>
        <v>8.09</v>
      </c>
      <c r="CT5" s="54" t="str">
        <f>IFERROR(__xludf.DUMMYFUNCTION("""COMPUTED_VALUE"""),"Работа над изображением осеннего пейзажа")</f>
        <v>Работа над изображением осеннего пейзажа</v>
      </c>
      <c r="CU5" s="54"/>
      <c r="CV5" s="69">
        <f>IFERROR(__xludf.DUMMYFUNCTION("""COMPUTED_VALUE"""),46041.0)</f>
        <v>46041</v>
      </c>
      <c r="CW5" s="54" t="str">
        <f>IFERROR(__xludf.DUMMYFUNCTION("""COMPUTED_VALUE"""),"Изображение животных в стиле поп-арта")</f>
        <v>Изображение животных в стиле поп-арта</v>
      </c>
      <c r="CX5" s="54"/>
      <c r="CY5" s="54"/>
      <c r="CZ5" s="54"/>
      <c r="DA5" s="54"/>
      <c r="DB5" s="54"/>
      <c r="DC5" s="54"/>
      <c r="DD5" s="55"/>
      <c r="DE5" s="67"/>
      <c r="DF5" s="54"/>
      <c r="DG5" s="54"/>
      <c r="DH5" s="72">
        <f>IFERROR(__xludf.DUMMYFUNCTION("""COMPUTED_VALUE"""),5.0)</f>
        <v>5</v>
      </c>
      <c r="DI5" s="72">
        <f>IFERROR(__xludf.DUMMYFUNCTION("""COMPUTED_VALUE"""),5.0)</f>
        <v>5</v>
      </c>
      <c r="DJ5" s="54"/>
      <c r="DK5" s="54"/>
      <c r="DL5" s="54"/>
      <c r="DM5" s="54"/>
      <c r="DN5" s="54"/>
      <c r="DO5" s="54"/>
      <c r="DP5" s="55"/>
      <c r="DQ5" s="67"/>
      <c r="DR5" s="54"/>
      <c r="DS5" s="54"/>
      <c r="DT5" s="54"/>
      <c r="DU5" s="54" t="str">
        <f>IFERROR(__xludf.DUMMYFUNCTION("""COMPUTED_VALUE"""),"Музыка и эмоции человека")</f>
        <v>Музыка и эмоции человека</v>
      </c>
      <c r="DV5" s="54"/>
      <c r="DW5" s="54"/>
      <c r="DX5" s="54" t="str">
        <f>IFERROR(__xludf.DUMMYFUNCTION("""COMPUTED_VALUE"""),"Музыка Узбекистана (макомы, народные песни)")</f>
        <v>Музыка Узбекистана (макомы, народные песни)</v>
      </c>
      <c r="DY5" s="66">
        <f>IFERROR(__xludf.DUMMYFUNCTION("""COMPUTED_VALUE"""),46048.0)</f>
        <v>46048</v>
      </c>
      <c r="DZ5" s="54"/>
      <c r="EA5" s="54" t="str">
        <f>IFERROR(__xludf.DUMMYFUNCTION("""COMPUTED_VALUE"""),"Песня и её строение (куплет, припев, бридж)")</f>
        <v>Песня и её строение (куплет, припев, бридж)</v>
      </c>
      <c r="EB5" s="55"/>
      <c r="EC5" s="67" t="str">
        <f>IFERROR(__xludf.DUMMYFUNCTION("""COMPUTED_VALUE"""),"Спортивные игры - Баскетбол, Волейбол, Гандбол (исходя из условий школы выбираются 2 вида игр) Теория: Информация о размерах площадки, мяча в выбранном виде спортивной игры Практика: Баскетбол - Бег с ведением мяча и изменением направления с остановкой пр"&amp;"ыжком, ловля мяча, передача от груди Волейбол – совершенствование ходьбы быстрыми большими шагами вперед, назад, вправо, влево Гандбол - ведение мяча правой и левой рукой,")</f>
        <v>Спортивные игры - Баскетбол, Волейбол, Гандбол (исходя из условий школы выбираются 2 вида игр) Теория: Информация о размерах площадки, мяча в выбранном виде спортивной игры Практика: Баскетбол - Бег с ведением мяча и изменением направления с остановкой прыжком, ловля мяча, передача от груди Волейбол – совершенствование ходьбы быстрыми большими шагами вперед, назад, вправо, влево Гандбол - ведение мяча правой и левой рукой,</v>
      </c>
      <c r="ED5" s="54" t="str">
        <f>IFERROR(__xludf.DUMMYFUNCTION("""COMPUTED_VALUE"""),"Поднимание и опускание плеч отведение и сведение, круговые движения плечами.")</f>
        <v>Поднимание и опускание плеч отведение и сведение, круговые движения плечами.</v>
      </c>
      <c r="EE5" s="66">
        <f>IFERROR(__xludf.DUMMYFUNCTION("""COMPUTED_VALUE"""),46036.0)</f>
        <v>46036</v>
      </c>
      <c r="EF5" s="54" t="str">
        <f>IFERROR(__xludf.DUMMYFUNCTION("""COMPUTED_VALUE"""),"Баскетбол. Игра в баскетбол по упрощённым правилам.")</f>
        <v>Баскетбол. Игра в баскетбол по упрощённым правилам.</v>
      </c>
      <c r="EG5" s="54" t="str">
        <f>IFERROR(__xludf.DUMMYFUNCTION("""COMPUTED_VALUE"""),"Отработать взаимодействие в команде")</f>
        <v>Отработать взаимодействие в команде</v>
      </c>
      <c r="EH5" s="54"/>
      <c r="EI5" s="54"/>
      <c r="EJ5" s="54"/>
      <c r="EK5" s="54"/>
      <c r="EL5" s="54"/>
      <c r="EM5" s="54"/>
      <c r="EN5" s="55"/>
      <c r="EO5" s="67" t="str">
        <f>IFERROR(__xludf.DUMMYFUNCTION("""COMPUTED_VALUE"""),"Изменение типа, размера и цвета шрифта. Выравнивание текста")</f>
        <v>Изменение типа, размера и цвета шрифта. Выравнивание текста</v>
      </c>
      <c r="EP5" s="54"/>
      <c r="EQ5" s="69">
        <f>IFERROR(__xludf.DUMMYFUNCTION("""COMPUTED_VALUE"""),45980.0)</f>
        <v>45980</v>
      </c>
      <c r="ER5" s="54" t="str">
        <f>IFERROR(__xludf.DUMMYFUNCTION("""COMPUTED_VALUE"""),"Использование адреса ячейки при вводе простых формул. Копирование формулы")</f>
        <v>Использование адреса ячейки при вводе простых формул. Копирование формулы</v>
      </c>
      <c r="ES5" s="54"/>
      <c r="ET5" s="54"/>
      <c r="EU5" s="54"/>
      <c r="EV5" s="54"/>
      <c r="EW5" s="54"/>
      <c r="EX5" s="54"/>
      <c r="EY5" s="54"/>
      <c r="EZ5" s="55"/>
      <c r="FA5" s="67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5"/>
    </row>
    <row r="6">
      <c r="A6" s="73" t="str">
        <f>IFERROR(__xludf.DUMMYFUNCTION("""COMPUTED_VALUE"""),"Относительные прилагательные")</f>
        <v>Относительные прилагательные</v>
      </c>
      <c r="B6" s="54" t="str">
        <f>IFERROR(__xludf.DUMMYFUNCTION("""COMPUTED_VALUE"""),"Карточки")</f>
        <v>Карточки</v>
      </c>
      <c r="C6" s="66">
        <f>IFERROR(__xludf.DUMMYFUNCTION("""COMPUTED_VALUE"""),46044.0)</f>
        <v>46044</v>
      </c>
      <c r="D6" s="54" t="str">
        <f>IFERROR(__xludf.DUMMYFUNCTION("""COMPUTED_VALUE"""),"Разряды количественных числительных. Употребление количественных числительных.")</f>
        <v>Разряды количественных числительных. Употребление количественных числительных.</v>
      </c>
      <c r="E6" s="54" t="str">
        <f>IFERROR(__xludf.DUMMYFUNCTION("""COMPUTED_VALUE"""),"стр. 105, задание")</f>
        <v>стр. 105, задание</v>
      </c>
      <c r="F6" s="54"/>
      <c r="G6" s="54"/>
      <c r="H6" s="54"/>
      <c r="I6" s="54"/>
      <c r="J6" s="54"/>
      <c r="K6" s="54"/>
      <c r="L6" s="55"/>
      <c r="M6" s="67" t="str">
        <f>IFERROR(__xludf.DUMMYFUNCTION("""COMPUTED_VALUE"""),"выучить стихи")</f>
        <v>выучить стихи</v>
      </c>
      <c r="N6" s="66">
        <f>IFERROR(__xludf.DUMMYFUNCTION("""COMPUTED_VALUE"""),46042.0)</f>
        <v>46042</v>
      </c>
      <c r="O6" s="54" t="str">
        <f>IFERROR(__xludf.DUMMYFUNCTION("""COMPUTED_VALUE"""),"Теория. Понятие о приключенческом, фантастическом, детективном произведениях")</f>
        <v>Теория. Понятие о приключенческом, фантастическом, детективном произведениях</v>
      </c>
      <c r="P6" s="54" t="str">
        <f>IFERROR(__xludf.DUMMYFUNCTION("""COMPUTED_VALUE"""),"сравнить фэнтези и фантастику")</f>
        <v>сравнить фэнтези и фантастику</v>
      </c>
      <c r="Q6" s="54"/>
      <c r="R6" s="54"/>
      <c r="S6" s="54"/>
      <c r="T6" s="54"/>
      <c r="U6" s="54"/>
      <c r="V6" s="54"/>
      <c r="W6" s="54"/>
      <c r="X6" s="55"/>
      <c r="Y6" s="67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K6" s="67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5"/>
      <c r="AW6" s="67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5"/>
      <c r="BI6" s="68">
        <f>IFERROR(__xludf.DUMMYFUNCTION("""COMPUTED_VALUE"""),45918.0)</f>
        <v>45918</v>
      </c>
      <c r="BJ6" s="54" t="str">
        <f>IFERROR(__xludf.DUMMYFUNCTION("""COMPUTED_VALUE"""),"Практическое занятие. Графическое представление данных")</f>
        <v>Практическое занятие. Графическое представление данных</v>
      </c>
      <c r="BK6" s="54" t="str">
        <f>IFERROR(__xludf.DUMMYFUNCTION("""COMPUTED_VALUE"""),"Выполнить работу в рабочей тетради")</f>
        <v>Выполнить работу в рабочей тетради</v>
      </c>
      <c r="BL6" s="69">
        <f>IFERROR(__xludf.DUMMYFUNCTION("""COMPUTED_VALUE"""),45988.0)</f>
        <v>45988</v>
      </c>
      <c r="BM6" s="54" t="str">
        <f>IFERROR(__xludf.DUMMYFUNCTION("""COMPUTED_VALUE"""),"Дыхательная система")</f>
        <v>Дыхательная система</v>
      </c>
      <c r="BN6" s="54" t="str">
        <f>IFERROR(__xludf.DUMMYFUNCTION("""COMPUTED_VALUE"""),"Тема 2.1 Изготовление модели легких")</f>
        <v>Тема 2.1 Изготовление модели легких</v>
      </c>
      <c r="BO6" s="66">
        <f>IFERROR(__xludf.DUMMYFUNCTION("""COMPUTED_VALUE"""),46051.0)</f>
        <v>46051</v>
      </c>
      <c r="BP6" s="54" t="str">
        <f>IFERROR(__xludf.DUMMYFUNCTION("""COMPUTED_VALUE"""),"Практическая работа. Частота сердечных сокращений и частота дыхания позвоночных животных")</f>
        <v>Практическая работа. Частота сердечных сокращений и частота дыхания позвоночных животных</v>
      </c>
      <c r="BQ6" s="54" t="str">
        <f>IFERROR(__xludf.DUMMYFUNCTION("""COMPUTED_VALUE"""),"Рабочая тетрадь
Практическая работа 2.4, стр. 19
")</f>
        <v>Рабочая тетрадь
Практическая работа 2.4, стр. 19
</v>
      </c>
      <c r="BR6" s="54"/>
      <c r="BS6" s="54" t="str">
        <f>IFERROR(__xludf.DUMMYFUNCTION("""COMPUTED_VALUE"""),"Поток энергии и вредных веществ")</f>
        <v>Поток энергии и вредных веществ</v>
      </c>
      <c r="BT6" s="55" t="str">
        <f>IFERROR(__xludf.DUMMYFUNCTION("""COMPUTED_VALUE"""),"Рабочая тетрадь
Практическая работа 4.2, стр. 43
")</f>
        <v>Рабочая тетрадь
Практическая работа 4.2, стр. 43
</v>
      </c>
      <c r="BU6" s="67" t="str">
        <f>IFERROR(__xludf.DUMMYFUNCTION("""COMPUTED_VALUE"""),"Ранние этапы развития древнейшего человека")</f>
        <v>Ранние этапы развития древнейшего человека</v>
      </c>
      <c r="BV6" s="54" t="str">
        <f>IFERROR(__xludf.DUMMYFUNCTION("""COMPUTED_VALUE"""),"§ 2 стр.14, пересказ")</f>
        <v>§ 2 стр.14, пересказ</v>
      </c>
      <c r="BW6" s="70">
        <f>IFERROR(__xludf.DUMMYFUNCTION("""COMPUTED_VALUE"""),45978.0)</f>
        <v>45978</v>
      </c>
      <c r="BX6" s="54" t="str">
        <f>IFERROR(__xludf.DUMMYFUNCTION("""COMPUTED_VALUE"""),"Государства Передней Азии")</f>
        <v>Государства Передней Азии</v>
      </c>
      <c r="BY6" s="54" t="str">
        <f>IFERROR(__xludf.DUMMYFUNCTION("""COMPUTED_VALUE"""),"§ 13 стр.53, пересказ, таблица")</f>
        <v>§ 13 стр.53, пересказ, таблица</v>
      </c>
      <c r="BZ6" s="70">
        <f>IFERROR(__xludf.DUMMYFUNCTION("""COMPUTED_VALUE"""),46041.0)</f>
        <v>46041</v>
      </c>
      <c r="CA6" s="54" t="str">
        <f>IFERROR(__xludf.DUMMYFUNCTION("""COMPUTED_VALUE"""),"Греческая колонизация")</f>
        <v>Греческая колонизация</v>
      </c>
      <c r="CB6" s="54"/>
      <c r="CC6" s="54"/>
      <c r="CD6" s="54"/>
      <c r="CE6" s="54"/>
      <c r="CF6" s="55"/>
      <c r="CG6" s="68">
        <f>IFERROR(__xludf.DUMMYFUNCTION("""COMPUTED_VALUE"""),44457.0)</f>
        <v>44457</v>
      </c>
      <c r="CH6" s="54" t="str">
        <f>IFERROR(__xludf.DUMMYFUNCTION("""COMPUTED_VALUE"""),"Жить с чувством совести и долга")</f>
        <v>Жить с чувством совести и долга</v>
      </c>
      <c r="CI6" s="54" t="str">
        <f>IFERROR(__xludf.DUMMYFUNCTION("""COMPUTED_VALUE"""),"Тема 3-4")</f>
        <v>Тема 3-4</v>
      </c>
      <c r="CJ6" s="70">
        <f>IFERROR(__xludf.DUMMYFUNCTION("""COMPUTED_VALUE"""),45922.0)</f>
        <v>45922</v>
      </c>
      <c r="CK6" s="54" t="str">
        <f>IFERROR(__xludf.DUMMYFUNCTION("""COMPUTED_VALUE"""),"Жить честно и чувствовать обязательства.")</f>
        <v>Жить честно и чувствовать обязательства.</v>
      </c>
      <c r="CL6" s="54" t="str">
        <f>IFERROR(__xludf.DUMMYFUNCTION("""COMPUTED_VALUE"""),"тема 3")</f>
        <v>тема 3</v>
      </c>
      <c r="CM6" s="70">
        <f>IFERROR(__xludf.DUMMYFUNCTION("""COMPUTED_VALUE"""),46048.0)</f>
        <v>46048</v>
      </c>
      <c r="CN6" s="54" t="str">
        <f>IFERROR(__xludf.DUMMYFUNCTION("""COMPUTED_VALUE"""),"Здоровье - большое богатство")</f>
        <v>Здоровье - большое богатство</v>
      </c>
      <c r="CO6" s="54" t="str">
        <f>IFERROR(__xludf.DUMMYFUNCTION("""COMPUTED_VALUE"""),"тема 18")</f>
        <v>тема 18</v>
      </c>
      <c r="CP6" s="54"/>
      <c r="CQ6" s="54"/>
      <c r="CR6" s="55"/>
      <c r="CS6" s="74" t="str">
        <f>IFERROR(__xludf.DUMMYFUNCTION("""COMPUTED_VALUE"""),"15.09")</f>
        <v>15.09</v>
      </c>
      <c r="CT6" s="54" t="str">
        <f>IFERROR(__xludf.DUMMYFUNCTION("""COMPUTED_VALUE"""),"Работа над изображением осеннего пейзажа")</f>
        <v>Работа над изображением осеннего пейзажа</v>
      </c>
      <c r="CU6" s="54"/>
      <c r="CV6" s="69">
        <f>IFERROR(__xludf.DUMMYFUNCTION("""COMPUTED_VALUE"""),46048.0)</f>
        <v>46048</v>
      </c>
      <c r="CW6" s="54" t="str">
        <f>IFERROR(__xludf.DUMMYFUNCTION("""COMPUTED_VALUE"""),"Создание абстрактного композиционного макета")</f>
        <v>Создание абстрактного композиционного макета</v>
      </c>
      <c r="CX6" s="54"/>
      <c r="CY6" s="54"/>
      <c r="CZ6" s="54"/>
      <c r="DA6" s="54"/>
      <c r="DB6" s="54"/>
      <c r="DC6" s="54"/>
      <c r="DD6" s="55"/>
      <c r="DE6" s="67"/>
      <c r="DF6" s="54"/>
      <c r="DG6" s="54"/>
      <c r="DH6" s="72">
        <f>IFERROR(__xludf.DUMMYFUNCTION("""COMPUTED_VALUE"""),3.0)</f>
        <v>3</v>
      </c>
      <c r="DI6" s="72">
        <f>IFERROR(__xludf.DUMMYFUNCTION("""COMPUTED_VALUE"""),3.0)</f>
        <v>3</v>
      </c>
      <c r="DJ6" s="54"/>
      <c r="DK6" s="54"/>
      <c r="DL6" s="54"/>
      <c r="DM6" s="54"/>
      <c r="DN6" s="54"/>
      <c r="DO6" s="54"/>
      <c r="DP6" s="55"/>
      <c r="DQ6" s="67"/>
      <c r="DR6" s="54"/>
      <c r="DS6" s="54"/>
      <c r="DT6" s="54"/>
      <c r="DU6" s="54" t="str">
        <f>IFERROR(__xludf.DUMMYFUNCTION("""COMPUTED_VALUE"""),"Настроение и характер в музыке")</f>
        <v>Настроение и характер в музыке</v>
      </c>
      <c r="DV6" s="54"/>
      <c r="DW6" s="54"/>
      <c r="DX6" s="54" t="str">
        <f>IFERROR(__xludf.DUMMYFUNCTION("""COMPUTED_VALUE"""),"Музыка Востока")</f>
        <v>Музыка Востока</v>
      </c>
      <c r="DY6" s="66">
        <f>IFERROR(__xludf.DUMMYFUNCTION("""COMPUTED_VALUE"""),46055.0)</f>
        <v>46055</v>
      </c>
      <c r="DZ6" s="54"/>
      <c r="EA6" s="54" t="str">
        <f>IFERROR(__xludf.DUMMYFUNCTION("""COMPUTED_VALUE"""),"Инструменты симфонического оркестра")</f>
        <v>Инструменты симфонического оркестра</v>
      </c>
      <c r="EB6" s="55"/>
      <c r="EC6" s="67" t="str">
        <f>IFERROR(__xludf.DUMMYFUNCTION("""COMPUTED_VALUE"""),"Спортивные игры - Баскетбол, Волейбол, Гандбол (исходя из условий школы выбираются 2 вида игр)Теория: Правила техники безопасности во время занятий Практика:Баскетбол - передача мяча одной рукой от плеча, стоя на месте, делая выпады и движении; смена мест"&amp;"а, двигаясь во всех направлениях. Точная передача мяча двумя руками друг другу на месте, Челночный бег 4 х 10 м (сдача контрольного норматива) Волейбол – закрепление навыка передачи мяча сверху. Челночный бег 4 х 10 м (сдача контрольного норматива) Гандбо"&amp;"л – ведение мяча правой и левой рукой. Челночный бег 4 х 10 м (сдача контрольного норматива)")</f>
        <v>Спортивные игры - Баскетбол, Волейбол, Гандбол (исходя из условий школы выбираются 2 вида игр)Теория: Правила техники безопасности во время занятий Практика:Баскетбол - передача мяча одной рукой от плеча, стоя на месте, делая выпады и движении; смена места, двигаясь во всех направлениях. Точная передача мяча двумя руками друг другу на месте, Челночный бег 4 х 10 м (сдача контрольного норматива) Волейбол – закрепление навыка передачи мяча сверху. Челночный бег 4 х 10 м (сдача контрольного норматива) Гандбол – ведение мяча правой и левой рукой. Челночный бег 4 х 10 м (сдача контрольного норматива)</v>
      </c>
      <c r="ED6" s="54" t="str">
        <f>IFERROR(__xludf.DUMMYFUNCTION("""COMPUTED_VALUE"""),"Упражнения с палкой. Палка за головой, на лопатках, сзади на изгибах локтей. Внизу сзади на прямых руках - выкруты.")</f>
        <v>Упражнения с палкой. Палка за головой, на лопатках, сзади на изгибах локтей. Внизу сзади на прямых руках - выкруты.</v>
      </c>
      <c r="EE6" s="66">
        <f>IFERROR(__xludf.DUMMYFUNCTION("""COMPUTED_VALUE"""),46041.0)</f>
        <v>46041</v>
      </c>
      <c r="EF6" s="54" t="str">
        <f>IFERROR(__xludf.DUMMYFUNCTION("""COMPUTED_VALUE"""),"Гимнастика. Общая физическая подготовка. Выполнение упражнений без предметов и с предметами (медицинбол, гимнастическая палка, скакалка, обруч и др.), соответствующих возрастным и физиологическим особенностям учащихся.")</f>
        <v>Гимнастика. Общая физическая подготовка. Выполнение упражнений без предметов и с предметами (медицинбол, гимнастическая палка, скакалка, обруч и др.), соответствующих возрастным и физиологическим особенностям учащихся.</v>
      </c>
      <c r="EG6" s="54" t="str">
        <f>IFERROR(__xludf.DUMMYFUNCTION("""COMPUTED_VALUE"""),"Выполнить общеукрепляющий комплекс дома")</f>
        <v>Выполнить общеукрепляющий комплекс дома</v>
      </c>
      <c r="EH6" s="54"/>
      <c r="EI6" s="54"/>
      <c r="EJ6" s="54"/>
      <c r="EK6" s="54"/>
      <c r="EL6" s="54"/>
      <c r="EM6" s="54"/>
      <c r="EN6" s="55"/>
      <c r="EO6" s="67" t="str">
        <f>IFERROR(__xludf.DUMMYFUNCTION("""COMPUTED_VALUE"""),"Добавление изображения или рамки в документ")</f>
        <v>Добавление изображения или рамки в документ</v>
      </c>
      <c r="EP6" s="54"/>
      <c r="EQ6" s="69">
        <f>IFERROR(__xludf.DUMMYFUNCTION("""COMPUTED_VALUE"""),45987.0)</f>
        <v>45987</v>
      </c>
      <c r="ER6" s="54" t="str">
        <f>IFERROR(__xludf.DUMMYFUNCTION("""COMPUTED_VALUE"""),"Создание графика. Проектная работа")</f>
        <v>Создание графика. Проектная работа</v>
      </c>
      <c r="ES6" s="54"/>
      <c r="ET6" s="54"/>
      <c r="EU6" s="54"/>
      <c r="EV6" s="54"/>
      <c r="EW6" s="54"/>
      <c r="EX6" s="54"/>
      <c r="EY6" s="54"/>
      <c r="EZ6" s="55"/>
      <c r="FA6" s="67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5"/>
    </row>
    <row r="7">
      <c r="A7" s="54" t="str">
        <f>IFERROR(__xludf.DUMMYFUNCTION("""COMPUTED_VALUE"""),"Притяжательные прилагательные")</f>
        <v>Притяжательные прилагательные</v>
      </c>
      <c r="B7" s="54" t="str">
        <f>IFERROR(__xludf.DUMMYFUNCTION("""COMPUTED_VALUE"""),"Упражнение 15")</f>
        <v>Упражнение 15</v>
      </c>
      <c r="C7" s="66">
        <f>IFERROR(__xludf.DUMMYFUNCTION("""COMPUTED_VALUE"""),46049.0)</f>
        <v>46049</v>
      </c>
      <c r="D7" s="54" t="str">
        <f>IFERROR(__xludf.DUMMYFUNCTION("""COMPUTED_VALUE"""),"Правописание числительных.")</f>
        <v>Правописание числительных.</v>
      </c>
      <c r="E7" s="54" t="str">
        <f>IFERROR(__xludf.DUMMYFUNCTION("""COMPUTED_VALUE"""),"стр. 107, задание")</f>
        <v>стр. 107, задание</v>
      </c>
      <c r="F7" s="54"/>
      <c r="G7" s="54"/>
      <c r="H7" s="54"/>
      <c r="I7" s="54"/>
      <c r="J7" s="54"/>
      <c r="K7" s="54"/>
      <c r="L7" s="55"/>
      <c r="M7" s="67" t="str">
        <f>IFERROR(__xludf.DUMMYFUNCTION("""COMPUTED_VALUE"""),"выучить ")</f>
        <v>выучить </v>
      </c>
      <c r="N7" s="66">
        <f>IFERROR(__xludf.DUMMYFUNCTION("""COMPUTED_VALUE"""),46044.0)</f>
        <v>46044</v>
      </c>
      <c r="O7" s="54" t="str">
        <f>IFERROR(__xludf.DUMMYFUNCTION("""COMPUTED_VALUE"""),"Ж.Верн«Пятнадцатилетний капитан».")</f>
        <v>Ж.Верн«Пятнадцатилетний капитан».</v>
      </c>
      <c r="P7" s="54" t="str">
        <f>IFERROR(__xludf.DUMMYFUNCTION("""COMPUTED_VALUE"""),"дочитать 1, 9 главу")</f>
        <v>дочитать 1, 9 главу</v>
      </c>
      <c r="Q7" s="54"/>
      <c r="R7" s="54"/>
      <c r="S7" s="54"/>
      <c r="T7" s="54"/>
      <c r="U7" s="54"/>
      <c r="V7" s="54"/>
      <c r="W7" s="54"/>
      <c r="X7" s="55"/>
      <c r="Y7" s="67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5"/>
      <c r="AK7" s="67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5"/>
      <c r="AW7" s="67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5"/>
      <c r="BI7" s="68">
        <f>IFERROR(__xludf.DUMMYFUNCTION("""COMPUTED_VALUE"""),45925.0)</f>
        <v>45925</v>
      </c>
      <c r="BJ7" s="54" t="str">
        <f>IFERROR(__xludf.DUMMYFUNCTION("""COMPUTED_VALUE"""),"Проектная работа Моделирование экосистемы.")</f>
        <v>Проектная работа Моделирование экосистемы.</v>
      </c>
      <c r="BK7" s="54" t="str">
        <f>IFERROR(__xludf.DUMMYFUNCTION("""COMPUTED_VALUE"""),"Повторить тему, Ответить на вопросы")</f>
        <v>Повторить тему, Ответить на вопросы</v>
      </c>
      <c r="BL7" s="69">
        <f>IFERROR(__xludf.DUMMYFUNCTION("""COMPUTED_VALUE"""),45995.0)</f>
        <v>45995</v>
      </c>
      <c r="BM7" s="54" t="str">
        <f>IFERROR(__xludf.DUMMYFUNCTION("""COMPUTED_VALUE"""),"Дыхательная система")</f>
        <v>Дыхательная система</v>
      </c>
      <c r="BN7" s="54" t="str">
        <f>IFERROR(__xludf.DUMMYFUNCTION("""COMPUTED_VALUE"""),"Рабочая тетрадь
Практическая работа 2.1, стр. 12.
Практическая работа 2.2, стр. 14
")</f>
        <v>Рабочая тетрадь
Практическая работа 2.1, стр. 12.
Практическая работа 2.2, стр. 14
</v>
      </c>
      <c r="BO7" s="66">
        <f>IFERROR(__xludf.DUMMYFUNCTION("""COMPUTED_VALUE"""),46058.0)</f>
        <v>46058</v>
      </c>
      <c r="BP7" s="54" t="str">
        <f>IFERROR(__xludf.DUMMYFUNCTION("""COMPUTED_VALUE"""),"Инфекционные заболевания")</f>
        <v>Инфекционные заболевания</v>
      </c>
      <c r="BQ7" s="54" t="str">
        <f>IFERROR(__xludf.DUMMYFUNCTION("""COMPUTED_VALUE"""),"Тема3.1 стр 37")</f>
        <v>Тема3.1 стр 37</v>
      </c>
      <c r="BR7" s="54"/>
      <c r="BS7" s="54" t="str">
        <f>IFERROR(__xludf.DUMMYFUNCTION("""COMPUTED_VALUE"""),"Свойства вещества")</f>
        <v>Свойства вещества</v>
      </c>
      <c r="BT7" s="55" t="str">
        <f>IFERROR(__xludf.DUMMYFUNCTION("""COMPUTED_VALUE"""),"Рабочая тетрадь
Практическая работа 5.1, стр. 51
")</f>
        <v>Рабочая тетрадь
Практическая работа 5.1, стр. 51
</v>
      </c>
      <c r="BU7" s="67" t="str">
        <f>IFERROR(__xludf.DUMMYFUNCTION("""COMPUTED_VALUE"""),"Человек в эпоху палеолита")</f>
        <v>Человек в эпоху палеолита</v>
      </c>
      <c r="BV7" s="54" t="str">
        <f>IFERROR(__xludf.DUMMYFUNCTION("""COMPUTED_VALUE"""),"§ 2, 3 пересказ")</f>
        <v>§ 2, 3 пересказ</v>
      </c>
      <c r="BW7" s="70">
        <f>IFERROR(__xludf.DUMMYFUNCTION("""COMPUTED_VALUE"""),45979.0)</f>
        <v>45979</v>
      </c>
      <c r="BX7" s="54" t="str">
        <f>IFERROR(__xludf.DUMMYFUNCTION("""COMPUTED_VALUE"""),"Ахеменидская держава")</f>
        <v>Ахеменидская держава</v>
      </c>
      <c r="BY7" s="54" t="str">
        <f>IFERROR(__xludf.DUMMYFUNCTION("""COMPUTED_VALUE"""),"§ 14 стр.57, пересказ, контурная карта")</f>
        <v>§ 14 стр.57, пересказ, контурная карта</v>
      </c>
      <c r="BZ7" s="70">
        <f>IFERROR(__xludf.DUMMYFUNCTION("""COMPUTED_VALUE"""),46042.0)</f>
        <v>46042</v>
      </c>
      <c r="CA7" s="54" t="str">
        <f>IFERROR(__xludf.DUMMYFUNCTION("""COMPUTED_VALUE"""),"Демократия в Афинах")</f>
        <v>Демократия в Афинах</v>
      </c>
      <c r="CB7" s="54"/>
      <c r="CC7" s="54"/>
      <c r="CD7" s="54"/>
      <c r="CE7" s="54"/>
      <c r="CF7" s="55"/>
      <c r="CG7" s="68">
        <f>IFERROR(__xludf.DUMMYFUNCTION("""COMPUTED_VALUE"""),44463.0)</f>
        <v>44463</v>
      </c>
      <c r="CH7" s="54" t="str">
        <f>IFERROR(__xludf.DUMMYFUNCTION("""COMPUTED_VALUE"""),"Жить с чувством совести и долга. Пр. з.")</f>
        <v>Жить с чувством совести и долга. Пр. з.</v>
      </c>
      <c r="CI7" s="54" t="str">
        <f>IFERROR(__xludf.DUMMYFUNCTION("""COMPUTED_VALUE"""),"повторение")</f>
        <v>повторение</v>
      </c>
      <c r="CJ7" s="70">
        <f>IFERROR(__xludf.DUMMYFUNCTION("""COMPUTED_VALUE"""),45929.0)</f>
        <v>45929</v>
      </c>
      <c r="CK7" s="54" t="str">
        <f>IFERROR(__xludf.DUMMYFUNCTION("""COMPUTED_VALUE"""),"Жить честно и чувствовать обязательства.")</f>
        <v>Жить честно и чувствовать обязательства.</v>
      </c>
      <c r="CL7" s="54" t="str">
        <f>IFERROR(__xludf.DUMMYFUNCTION("""COMPUTED_VALUE"""),"тема 4 Т.Р")</f>
        <v>тема 4 Т.Р</v>
      </c>
      <c r="CM7" s="70">
        <f>IFERROR(__xludf.DUMMYFUNCTION("""COMPUTED_VALUE"""),46055.0)</f>
        <v>46055</v>
      </c>
      <c r="CN7" s="54" t="str">
        <f>IFERROR(__xludf.DUMMYFUNCTION("""COMPUTED_VALUE"""),"Здоровье - большое богатство")</f>
        <v>Здоровье - большое богатство</v>
      </c>
      <c r="CO7" s="54" t="str">
        <f>IFERROR(__xludf.DUMMYFUNCTION("""COMPUTED_VALUE"""),"тема 19 Т.Р")</f>
        <v>тема 19 Т.Р</v>
      </c>
      <c r="CP7" s="54"/>
      <c r="CQ7" s="54"/>
      <c r="CR7" s="55"/>
      <c r="CS7" s="71" t="str">
        <f>IFERROR(__xludf.DUMMYFUNCTION("""COMPUTED_VALUE"""),"22.09")</f>
        <v>22.09</v>
      </c>
      <c r="CT7" s="54" t="str">
        <f>IFERROR(__xludf.DUMMYFUNCTION("""COMPUTED_VALUE"""),"Лепка национальных образов в мелкой пластике")</f>
        <v>Лепка национальных образов в мелкой пластике</v>
      </c>
      <c r="CU7" s="54"/>
      <c r="CV7" s="69">
        <f>IFERROR(__xludf.DUMMYFUNCTION("""COMPUTED_VALUE"""),46055.0)</f>
        <v>46055</v>
      </c>
      <c r="CW7" s="54" t="str">
        <f>IFERROR(__xludf.DUMMYFUNCTION("""COMPUTED_VALUE"""),"Создание изображения в 3D-стиле")</f>
        <v>Создание изображения в 3D-стиле</v>
      </c>
      <c r="CX7" s="54"/>
      <c r="CY7" s="54"/>
      <c r="CZ7" s="54"/>
      <c r="DA7" s="54"/>
      <c r="DB7" s="54"/>
      <c r="DC7" s="54"/>
      <c r="DD7" s="55"/>
      <c r="DE7" s="67"/>
      <c r="DF7" s="72">
        <f>IFERROR(__xludf.DUMMYFUNCTION("""COMPUTED_VALUE"""),5.0)</f>
        <v>5</v>
      </c>
      <c r="DG7" s="54"/>
      <c r="DH7" s="72">
        <f>IFERROR(__xludf.DUMMYFUNCTION("""COMPUTED_VALUE"""),5.0)</f>
        <v>5</v>
      </c>
      <c r="DI7" s="72">
        <f>IFERROR(__xludf.DUMMYFUNCTION("""COMPUTED_VALUE"""),5.0)</f>
        <v>5</v>
      </c>
      <c r="DJ7" s="54"/>
      <c r="DK7" s="54"/>
      <c r="DL7" s="54"/>
      <c r="DM7" s="54"/>
      <c r="DN7" s="54"/>
      <c r="DO7" s="54"/>
      <c r="DP7" s="55"/>
      <c r="DQ7" s="67"/>
      <c r="DR7" s="54"/>
      <c r="DS7" s="54"/>
      <c r="DT7" s="54"/>
      <c r="DU7" s="54" t="str">
        <f>IFERROR(__xludf.DUMMYFUNCTION("""COMPUTED_VALUE"""),"Ритм вокруг нас (природа, тело, жизнь)")</f>
        <v>Ритм вокруг нас (природа, тело, жизнь)</v>
      </c>
      <c r="DV7" s="54"/>
      <c r="DW7" s="54"/>
      <c r="DX7" s="54" t="str">
        <f>IFERROR(__xludf.DUMMYFUNCTION("""COMPUTED_VALUE"""),"Музыка Европы")</f>
        <v>Музыка Европы</v>
      </c>
      <c r="DY7" s="66">
        <f>IFERROR(__xludf.DUMMYFUNCTION("""COMPUTED_VALUE"""),46062.0)</f>
        <v>46062</v>
      </c>
      <c r="DZ7" s="54"/>
      <c r="EA7" s="54" t="str">
        <f>IFERROR(__xludf.DUMMYFUNCTION("""COMPUTED_VALUE"""),"Что такое опера и балет?")</f>
        <v>Что такое опера и балет?</v>
      </c>
      <c r="EB7" s="55"/>
      <c r="EC7" s="67" t="str">
        <f>IFERROR(__xludf.DUMMYFUNCTION("""COMPUTED_VALUE"""),"Спортивные игры - Баскетбол, Волейбол, Гандбол (исходя из условий школы выбираются 2 вида игр)Практика:Баскетбол - передача мяча одной рукой от плеча, стоя на месте, делая выпады и движении;Волейбол – совершенствование передач мяча двумя руками у стены Га"&amp;"ндбол – совершенствование ведения мяча правой и левой рукой")</f>
        <v>Спортивные игры - Баскетбол, Волейбол, Гандбол (исходя из условий школы выбираются 2 вида игр)Практика:Баскетбол - передача мяча одной рукой от плеча, стоя на месте, делая выпады и движении;Волейбол – совершенствование передач мяча двумя руками у стены Гандбол – совершенствование ведения мяча правой и левой рукой</v>
      </c>
      <c r="ED7" s="54" t="str">
        <f>IFERROR(__xludf.DUMMYFUNCTION("""COMPUTED_VALUE"""),"Перекладывание, броски и ловля набивных мячей.")</f>
        <v>Перекладывание, броски и ловля набивных мячей.</v>
      </c>
      <c r="EE7" s="54" t="str">
        <f>IFERROR(__xludf.DUMMYFUNCTION("""COMPUTED_VALUE"""),"21.126.1")</f>
        <v>21.126.1</v>
      </c>
      <c r="EF7" s="54" t="str">
        <f>IFERROR(__xludf.DUMMYFUNCTION("""COMPUTED_VALUE"""),"Гимнастика. Общая физическая подготовка. Выполнение комплекса упражнений на прыжки, приседания, наклоны и упоры в различных направлениях. Прыжки со скакалкой в течение 1 минуты (выполнение учебного норматива).")</f>
        <v>Гимнастика. Общая физическая подготовка. Выполнение комплекса упражнений на прыжки, приседания, наклоны и упоры в различных направлениях. Прыжки со скакалкой в течение 1 минуты (выполнение учебного норматива).</v>
      </c>
      <c r="EG7" s="54" t="str">
        <f>IFERROR(__xludf.DUMMYFUNCTION("""COMPUTED_VALUE"""),"Потренировать прыжки и выносливость")</f>
        <v>Потренировать прыжки и выносливость</v>
      </c>
      <c r="EH7" s="54"/>
      <c r="EI7" s="54"/>
      <c r="EJ7" s="54"/>
      <c r="EK7" s="54"/>
      <c r="EL7" s="54"/>
      <c r="EM7" s="54"/>
      <c r="EN7" s="55"/>
      <c r="EO7" s="67" t="str">
        <f>IFERROR(__xludf.DUMMYFUNCTION("""COMPUTED_VALUE"""),"Адаптация документов под  аудиторию.")</f>
        <v>Адаптация документов под  аудиторию.</v>
      </c>
      <c r="EP7" s="54"/>
      <c r="EQ7" s="69">
        <f>IFERROR(__xludf.DUMMYFUNCTION("""COMPUTED_VALUE"""),45994.0)</f>
        <v>45994</v>
      </c>
      <c r="ER7" s="54" t="str">
        <f>IFERROR(__xludf.DUMMYFUNCTION("""COMPUTED_VALUE"""),"Виды и базы данных, определение полей.")</f>
        <v>Виды и базы данных, определение полей.</v>
      </c>
      <c r="ES7" s="54"/>
      <c r="ET7" s="54"/>
      <c r="EU7" s="54"/>
      <c r="EV7" s="54"/>
      <c r="EW7" s="54"/>
      <c r="EX7" s="54"/>
      <c r="EY7" s="54"/>
      <c r="EZ7" s="55"/>
      <c r="FA7" s="67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5"/>
    </row>
    <row r="8">
      <c r="A8" s="73" t="str">
        <f>IFERROR(__xludf.DUMMYFUNCTION("""COMPUTED_VALUE"""),"Полные и краткие прилагательные")</f>
        <v>Полные и краткие прилагательные</v>
      </c>
      <c r="B8" s="54" t="str">
        <f>IFERROR(__xludf.DUMMYFUNCTION("""COMPUTED_VALUE"""),"Стр. 73")</f>
        <v>Стр. 73</v>
      </c>
      <c r="C8" s="66">
        <f>IFERROR(__xludf.DUMMYFUNCTION("""COMPUTED_VALUE"""),46056.0)</f>
        <v>46056</v>
      </c>
      <c r="D8" s="54" t="str">
        <f>IFERROR(__xludf.DUMMYFUNCTION("""COMPUTED_VALUE"""),"Склонение простых и сложных количественных числительных.")</f>
        <v>Склонение простых и сложных количественных числительных.</v>
      </c>
      <c r="E8" s="54" t="str">
        <f>IFERROR(__xludf.DUMMYFUNCTION("""COMPUTED_VALUE"""),"повторение пройденного материала")</f>
        <v>повторение пройденного материала</v>
      </c>
      <c r="F8" s="54"/>
      <c r="G8" s="54"/>
      <c r="H8" s="54"/>
      <c r="I8" s="54"/>
      <c r="J8" s="54"/>
      <c r="K8" s="54"/>
      <c r="L8" s="55"/>
      <c r="M8" s="67" t="str">
        <f>IFERROR(__xludf.DUMMYFUNCTION("""COMPUTED_VALUE"""),"выбрать песню")</f>
        <v>выбрать песню</v>
      </c>
      <c r="N8" s="66">
        <f>IFERROR(__xludf.DUMMYFUNCTION("""COMPUTED_VALUE"""),46049.0)</f>
        <v>46049</v>
      </c>
      <c r="O8" s="54" t="str">
        <f>IFERROR(__xludf.DUMMYFUNCTION("""COMPUTED_VALUE"""),"Ж.Верн«Пятнадцатилетний капитан».")</f>
        <v>Ж.Верн«Пятнадцатилетний капитан».</v>
      </c>
      <c r="P8" s="54" t="str">
        <f>IFERROR(__xludf.DUMMYFUNCTION("""COMPUTED_VALUE"""),"разобрать образы героев")</f>
        <v>разобрать образы героев</v>
      </c>
      <c r="Q8" s="54"/>
      <c r="R8" s="54"/>
      <c r="S8" s="54"/>
      <c r="T8" s="54"/>
      <c r="U8" s="54"/>
      <c r="V8" s="54"/>
      <c r="W8" s="54"/>
      <c r="X8" s="55"/>
      <c r="Y8" s="67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5"/>
      <c r="AK8" s="67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5"/>
      <c r="AW8" s="67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5"/>
      <c r="BI8" s="68">
        <f>IFERROR(__xludf.DUMMYFUNCTION("""COMPUTED_VALUE"""),45932.0)</f>
        <v>45932</v>
      </c>
      <c r="BJ8" s="54" t="str">
        <f>IFERROR(__xludf.DUMMYFUNCTION("""COMPUTED_VALUE"""),"Рациональное питание")</f>
        <v>Рациональное питание</v>
      </c>
      <c r="BK8" s="54" t="str">
        <f>IFERROR(__xludf.DUMMYFUNCTION("""COMPUTED_VALUE"""),"Тема 1,1 стр5")</f>
        <v>Тема 1,1 стр5</v>
      </c>
      <c r="BL8" s="69">
        <f>IFERROR(__xludf.DUMMYFUNCTION("""COMPUTED_VALUE"""),46002.0)</f>
        <v>46002</v>
      </c>
      <c r="BM8" s="54" t="str">
        <f>IFERROR(__xludf.DUMMYFUNCTION("""COMPUTED_VALUE"""),"Дыхательная система")</f>
        <v>Дыхательная система</v>
      </c>
      <c r="BN8" s="54" t="str">
        <f>IFERROR(__xludf.DUMMYFUNCTION("""COMPUTED_VALUE"""),"Стр 17 нарисовать рис")</f>
        <v>Стр 17 нарисовать рис</v>
      </c>
      <c r="BO8" s="66">
        <f>IFERROR(__xludf.DUMMYFUNCTION("""COMPUTED_VALUE"""),46065.0)</f>
        <v>46065</v>
      </c>
      <c r="BP8" s="54" t="str">
        <f>IFERROR(__xludf.DUMMYFUNCTION("""COMPUTED_VALUE"""),"Инфекционные заболевания")</f>
        <v>Инфекционные заболевания</v>
      </c>
      <c r="BQ8" s="54" t="str">
        <f>IFERROR(__xludf.DUMMYFUNCTION("""COMPUTED_VALUE"""),"Рабочая тетрадь
Практическая работа 3.1, стр. 29
")</f>
        <v>Рабочая тетрадь
Практическая работа 3.1, стр. 29
</v>
      </c>
      <c r="BR8" s="54"/>
      <c r="BS8" s="54" t="str">
        <f>IFERROR(__xludf.DUMMYFUNCTION("""COMPUTED_VALUE"""),"Кипение и испарение")</f>
        <v>Кипение и испарение</v>
      </c>
      <c r="BT8" s="55" t="str">
        <f>IFERROR(__xludf.DUMMYFUNCTION("""COMPUTED_VALUE"""),"Рабочая тетрадь
Практическая работа 5.2, стр. 58
")</f>
        <v>Рабочая тетрадь
Практическая работа 5.2, стр. 58
</v>
      </c>
      <c r="BU8" s="67" t="str">
        <f>IFERROR(__xludf.DUMMYFUNCTION("""COMPUTED_VALUE"""),"Творческая работа")</f>
        <v>Творческая работа</v>
      </c>
      <c r="BV8" s="54" t="str">
        <f>IFERROR(__xludf.DUMMYFUNCTION("""COMPUTED_VALUE"""),"работа с дополнительными источниками")</f>
        <v>работа с дополнительными источниками</v>
      </c>
      <c r="BW8" s="70">
        <f>IFERROR(__xludf.DUMMYFUNCTION("""COMPUTED_VALUE"""),45985.0)</f>
        <v>45985</v>
      </c>
      <c r="BX8" s="54" t="str">
        <f>IFERROR(__xludf.DUMMYFUNCTION("""COMPUTED_VALUE"""),"Древние цивилизации Индии")</f>
        <v>Древние цивилизации Индии</v>
      </c>
      <c r="BY8" s="54" t="str">
        <f>IFERROR(__xludf.DUMMYFUNCTION("""COMPUTED_VALUE"""),"§ 15 стр.61, пересказ")</f>
        <v>§ 15 стр.61, пересказ</v>
      </c>
      <c r="BZ8" s="70">
        <f>IFERROR(__xludf.DUMMYFUNCTION("""COMPUTED_VALUE"""),46055.0)</f>
        <v>46055</v>
      </c>
      <c r="CA8" s="54" t="str">
        <f>IFERROR(__xludf.DUMMYFUNCTION("""COMPUTED_VALUE"""),"Греко-персидские войны")</f>
        <v>Греко-персидские войны</v>
      </c>
      <c r="CB8" s="54"/>
      <c r="CC8" s="54"/>
      <c r="CD8" s="54"/>
      <c r="CE8" s="54"/>
      <c r="CF8" s="55"/>
      <c r="CG8" s="68">
        <f>IFERROR(__xludf.DUMMYFUNCTION("""COMPUTED_VALUE"""),44469.0)</f>
        <v>44469</v>
      </c>
      <c r="CH8" s="54" t="str">
        <f>IFERROR(__xludf.DUMMYFUNCTION("""COMPUTED_VALUE"""),"Справедливость - правда жизни")</f>
        <v>Справедливость - правда жизни</v>
      </c>
      <c r="CI8" s="54" t="str">
        <f>IFERROR(__xludf.DUMMYFUNCTION("""COMPUTED_VALUE"""),"Тема 5")</f>
        <v>Тема 5</v>
      </c>
      <c r="CJ8" s="70">
        <f>IFERROR(__xludf.DUMMYFUNCTION("""COMPUTED_VALUE"""),45936.0)</f>
        <v>45936</v>
      </c>
      <c r="CK8" s="54" t="str">
        <f>IFERROR(__xludf.DUMMYFUNCTION("""COMPUTED_VALUE"""),"Справедливость — правда жизни.")</f>
        <v>Справедливость — правда жизни.</v>
      </c>
      <c r="CL8" s="54" t="str">
        <f>IFERROR(__xludf.DUMMYFUNCTION("""COMPUTED_VALUE"""),"тема 5")</f>
        <v>тема 5</v>
      </c>
      <c r="CM8" s="70">
        <f>IFERROR(__xludf.DUMMYFUNCTION("""COMPUTED_VALUE"""),46062.0)</f>
        <v>46062</v>
      </c>
      <c r="CN8" s="54" t="str">
        <f>IFERROR(__xludf.DUMMYFUNCTION("""COMPUTED_VALUE"""),"Дружба и доброта")</f>
        <v>Дружба и доброта</v>
      </c>
      <c r="CO8" s="54" t="str">
        <f>IFERROR(__xludf.DUMMYFUNCTION("""COMPUTED_VALUE"""),"тема 20")</f>
        <v>тема 20</v>
      </c>
      <c r="CP8" s="54"/>
      <c r="CQ8" s="54"/>
      <c r="CR8" s="55"/>
      <c r="CS8" s="71" t="str">
        <f>IFERROR(__xludf.DUMMYFUNCTION("""COMPUTED_VALUE"""),"24.09")</f>
        <v>24.09</v>
      </c>
      <c r="CT8" s="54" t="str">
        <f>IFERROR(__xludf.DUMMYFUNCTION("""COMPUTED_VALUE"""),"Лепка национальных образов в мелкой пластике")</f>
        <v>Лепка национальных образов в мелкой пластике</v>
      </c>
      <c r="CU8" s="54"/>
      <c r="CV8" s="69">
        <f>IFERROR(__xludf.DUMMYFUNCTION("""COMPUTED_VALUE"""),46062.0)</f>
        <v>46062</v>
      </c>
      <c r="CW8" s="54" t="str">
        <f>IFERROR(__xludf.DUMMYFUNCTION("""COMPUTED_VALUE"""),"Создание изображений в технике «зентангл» и
 «дудлинг»")</f>
        <v>Создание изображений в технике «зентангл» и
 «дудлинг»</v>
      </c>
      <c r="CX8" s="54"/>
      <c r="CY8" s="54"/>
      <c r="CZ8" s="54"/>
      <c r="DA8" s="54"/>
      <c r="DB8" s="54"/>
      <c r="DC8" s="54"/>
      <c r="DD8" s="55"/>
      <c r="DE8" s="67"/>
      <c r="DF8" s="54"/>
      <c r="DG8" s="54"/>
      <c r="DH8" s="72">
        <f>IFERROR(__xludf.DUMMYFUNCTION("""COMPUTED_VALUE"""),3.0)</f>
        <v>3</v>
      </c>
      <c r="DI8" s="72">
        <f>IFERROR(__xludf.DUMMYFUNCTION("""COMPUTED_VALUE"""),3.0)</f>
        <v>3</v>
      </c>
      <c r="DJ8" s="54"/>
      <c r="DK8" s="54"/>
      <c r="DL8" s="54"/>
      <c r="DM8" s="54"/>
      <c r="DN8" s="54"/>
      <c r="DO8" s="54"/>
      <c r="DP8" s="55"/>
      <c r="DQ8" s="67"/>
      <c r="DR8" s="54"/>
      <c r="DS8" s="54"/>
      <c r="DT8" s="54"/>
      <c r="DU8" s="54" t="str">
        <f>IFERROR(__xludf.DUMMYFUNCTION("""COMPUTED_VALUE"""),"Мелодия как «душа» музыки")</f>
        <v>Мелодия как «душа» музыки</v>
      </c>
      <c r="DV8" s="54"/>
      <c r="DW8" s="54"/>
      <c r="DX8" s="54" t="str">
        <f>IFERROR(__xludf.DUMMYFUNCTION("""COMPUTED_VALUE"""),"Африканские ритмы")</f>
        <v>Африканские ритмы</v>
      </c>
      <c r="DY8" s="66">
        <f>IFERROR(__xludf.DUMMYFUNCTION("""COMPUTED_VALUE"""),46069.0)</f>
        <v>46069</v>
      </c>
      <c r="DZ8" s="54"/>
      <c r="EA8" s="54" t="str">
        <f>IFERROR(__xludf.DUMMYFUNCTION("""COMPUTED_VALUE"""),"Музыка и кино")</f>
        <v>Музыка и кино</v>
      </c>
      <c r="EB8" s="55"/>
      <c r="EC8" s="67" t="str">
        <f>IFERROR(__xludf.DUMMYFUNCTION("""COMPUTED_VALUE"""),"Спортивные игры - Баскетбол, Волейбол, Гандбол (исходя из условий школы выбираются 2 вида игр) Практика: Баскетбол - бросок мяча изученным способом в движении в кольцо, бег с ведением мяча правой и левой рукой, броски мяча в кольцо двумя руками Волейбол –"&amp;" точные передачи мяча двумя руками друг другу в парах, то же через сетку Гандбол – ловля двумя руками мяча, летящего сверху и передача его партнеру. Двусторонняя игра")</f>
        <v>Спортивные игры - Баскетбол, Волейбол, Гандбол (исходя из условий школы выбираются 2 вида игр) Практика: Баскетбол - бросок мяча изученным способом в движении в кольцо, бег с ведением мяча правой и левой рукой, броски мяча в кольцо двумя руками Волейбол – точные передачи мяча двумя руками друг другу в парах, то же через сетку Гандбол – ловля двумя руками мяча, летящего сверху и передача его партнеру. Двусторонняя игра</v>
      </c>
      <c r="ED8" s="54" t="str">
        <f>IFERROR(__xludf.DUMMYFUNCTION("""COMPUTED_VALUE"""),"Наклоны и повороты туловища в различных положениях.")</f>
        <v>Наклоны и повороты туловища в различных положениях.</v>
      </c>
      <c r="EE8" s="66">
        <f>IFERROR(__xludf.DUMMYFUNCTION("""COMPUTED_VALUE"""),46050.0)</f>
        <v>46050</v>
      </c>
      <c r="EF8" s="54" t="str">
        <f>IFERROR(__xludf.DUMMYFUNCTION("""COMPUTED_VALUE"""),"Гимнастика. Акробатика:
 Мальчики — кувырки вперёд и назад, стойка на лопатках.
 Девочки — кувырки вперёд и назад, полушпагат, переход из положения стоя в положение «мост» с помощью.")</f>
        <v>Гимнастика. Акробатика:
 Мальчики — кувырки вперёд и назад, стойка на лопатках.
 Девочки — кувырки вперёд и назад, полушпагат, переход из положения стоя в положение «мост» с помощью.</v>
      </c>
      <c r="EG8" s="54" t="str">
        <f>IFERROR(__xludf.DUMMYFUNCTION("""COMPUTED_VALUE"""),"Повторить безопасные перекаты вперёд")</f>
        <v>Повторить безопасные перекаты вперёд</v>
      </c>
      <c r="EH8" s="54"/>
      <c r="EI8" s="54"/>
      <c r="EJ8" s="54"/>
      <c r="EK8" s="54"/>
      <c r="EL8" s="54"/>
      <c r="EM8" s="54"/>
      <c r="EN8" s="55"/>
      <c r="EO8" s="67" t="str">
        <f>IFERROR(__xludf.DUMMYFUNCTION("""COMPUTED_VALUE"""),"Проектная работа. Практическое занятие")</f>
        <v>Проектная работа. Практическое занятие</v>
      </c>
      <c r="EP8" s="54"/>
      <c r="EQ8" s="69">
        <f>IFERROR(__xludf.DUMMYFUNCTION("""COMPUTED_VALUE"""),45997.0)</f>
        <v>45997</v>
      </c>
      <c r="ER8" s="54" t="str">
        <f>IFERROR(__xludf.DUMMYFUNCTION("""COMPUTED_VALUE"""),"Перемещение по базе данных и создание запроса (query) с условием РАВНО. Запрос (Query) — инструмент для поиска конкретной информации в базе данных.")</f>
        <v>Перемещение по базе данных и создание запроса (query) с условием РАВНО. Запрос (Query) — инструмент для поиска конкретной информации в базе данных.</v>
      </c>
      <c r="ES8" s="54"/>
      <c r="ET8" s="54"/>
      <c r="EU8" s="54"/>
      <c r="EV8" s="54"/>
      <c r="EW8" s="54"/>
      <c r="EX8" s="54"/>
      <c r="EY8" s="54"/>
      <c r="EZ8" s="55"/>
      <c r="FA8" s="67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5"/>
    </row>
    <row r="9">
      <c r="A9" s="73" t="str">
        <f>IFERROR(__xludf.DUMMYFUNCTION("""COMPUTED_VALUE"""),"Контрольная работа")</f>
        <v>Контрольная работа</v>
      </c>
      <c r="B9" s="54" t="str">
        <f>IFERROR(__xludf.DUMMYFUNCTION("""COMPUTED_VALUE"""),"Повторение")</f>
        <v>Повторение</v>
      </c>
      <c r="C9" s="66">
        <f>IFERROR(__xludf.DUMMYFUNCTION("""COMPUTED_VALUE"""),46058.0)</f>
        <v>46058</v>
      </c>
      <c r="D9" s="54" t="str">
        <f>IFERROR(__xludf.DUMMYFUNCTION("""COMPUTED_VALUE"""),"Дробные числительные.")</f>
        <v>Дробные числительные.</v>
      </c>
      <c r="E9" s="54" t="str">
        <f>IFERROR(__xludf.DUMMYFUNCTION("""COMPUTED_VALUE"""),"стр. 113, задание")</f>
        <v>стр. 113, задание</v>
      </c>
      <c r="F9" s="54"/>
      <c r="G9" s="54"/>
      <c r="H9" s="54"/>
      <c r="I9" s="54"/>
      <c r="J9" s="54"/>
      <c r="K9" s="54"/>
      <c r="L9" s="55"/>
      <c r="M9" s="67" t="str">
        <f>IFERROR(__xludf.DUMMYFUNCTION("""COMPUTED_VALUE"""),"подготовиться к контрольной")</f>
        <v>подготовиться к контрольной</v>
      </c>
      <c r="N9" s="66">
        <f>IFERROR(__xludf.DUMMYFUNCTION("""COMPUTED_VALUE"""),46051.0)</f>
        <v>46051</v>
      </c>
      <c r="O9" s="54" t="str">
        <f>IFERROR(__xludf.DUMMYFUNCTION("""COMPUTED_VALUE"""),"В.Одоевский «Городок в табакерке».")</f>
        <v>В.Одоевский «Городок в табакерке».</v>
      </c>
      <c r="P9" s="54" t="str">
        <f>IFERROR(__xludf.DUMMYFUNCTION("""COMPUTED_VALUE"""),"пересказ")</f>
        <v>пересказ</v>
      </c>
      <c r="Q9" s="54"/>
      <c r="R9" s="54"/>
      <c r="S9" s="54"/>
      <c r="T9" s="54"/>
      <c r="U9" s="54"/>
      <c r="V9" s="54"/>
      <c r="W9" s="54"/>
      <c r="X9" s="55"/>
      <c r="Y9" s="67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5"/>
      <c r="AK9" s="67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5"/>
      <c r="AW9" s="67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5"/>
      <c r="BI9" s="68">
        <f>IFERROR(__xludf.DUMMYFUNCTION("""COMPUTED_VALUE"""),45939.0)</f>
        <v>45939</v>
      </c>
      <c r="BJ9" s="54" t="str">
        <f>IFERROR(__xludf.DUMMYFUNCTION("""COMPUTED_VALUE"""),"Рациональное питание")</f>
        <v>Рациональное питание</v>
      </c>
      <c r="BK9" s="54" t="str">
        <f>IFERROR(__xludf.DUMMYFUNCTION("""COMPUTED_VALUE"""),"Стр 7 уч инфографика")</f>
        <v>Стр 7 уч инфографика</v>
      </c>
      <c r="BL9" s="69">
        <f>IFERROR(__xludf.DUMMYFUNCTION("""COMPUTED_VALUE"""),46009.0)</f>
        <v>46009</v>
      </c>
      <c r="BM9" s="54" t="str">
        <f>IFERROR(__xludf.DUMMYFUNCTION("""COMPUTED_VALUE"""),"Кровеносная система")</f>
        <v>Кровеносная система</v>
      </c>
      <c r="BN9" s="54" t="str">
        <f>IFERROR(__xludf.DUMMYFUNCTION("""COMPUTED_VALUE"""),"Тема 2.2 Изготовление модели сердца стр23")</f>
        <v>Тема 2.2 Изготовление модели сердца стр23</v>
      </c>
      <c r="BO9" s="54"/>
      <c r="BP9" s="54"/>
      <c r="BQ9" s="54" t="str">
        <f>IFERROR(__xludf.DUMMYFUNCTION("""COMPUTED_VALUE"""),"Инфографика болезни")</f>
        <v>Инфографика болезни</v>
      </c>
      <c r="BR9" s="54"/>
      <c r="BS9" s="54" t="str">
        <f>IFERROR(__xludf.DUMMYFUNCTION("""COMPUTED_VALUE"""),"Процесс растворения веществ")</f>
        <v>Процесс растворения веществ</v>
      </c>
      <c r="BT9" s="55" t="str">
        <f>IFERROR(__xludf.DUMMYFUNCTION("""COMPUTED_VALUE"""),"Рабочая тетрадь
Практическая работа .2, стр. 56 головоломка
")</f>
        <v>Рабочая тетрадь
Практическая работа .2, стр. 56 головоломка
</v>
      </c>
      <c r="BU9" s="67" t="str">
        <f>IFERROR(__xludf.DUMMYFUNCTION("""COMPUTED_VALUE"""),"Человек в эпоху мезолита, неолита, энеолита и бронзового века")</f>
        <v>Человек в эпоху мезолита, неолита, энеолита и бронзового века</v>
      </c>
      <c r="BV9" s="54" t="str">
        <f>IFERROR(__xludf.DUMMYFUNCTION("""COMPUTED_VALUE"""),"§ 3,4 стр.22, пересказ, творческие задания")</f>
        <v>§ 3,4 стр.22, пересказ, творческие задания</v>
      </c>
      <c r="BW9" s="70">
        <f>IFERROR(__xludf.DUMMYFUNCTION("""COMPUTED_VALUE"""),45986.0)</f>
        <v>45986</v>
      </c>
      <c r="BX9" s="54" t="str">
        <f>IFERROR(__xludf.DUMMYFUNCTION("""COMPUTED_VALUE"""),"Культура древней Индии")</f>
        <v>Культура древней Индии</v>
      </c>
      <c r="BY9" s="54" t="str">
        <f>IFERROR(__xludf.DUMMYFUNCTION("""COMPUTED_VALUE"""),"§ 16 стр.65, пересказ, конспект")</f>
        <v>§ 16 стр.65, пересказ, конспект</v>
      </c>
      <c r="BZ9" s="75">
        <f>IFERROR(__xludf.DUMMYFUNCTION("""COMPUTED_VALUE"""),46056.0)</f>
        <v>46056</v>
      </c>
      <c r="CA9" s="54" t="str">
        <f>IFERROR(__xludf.DUMMYFUNCTION("""COMPUTED_VALUE"""),"Завоевание Древней Греции Македонией")</f>
        <v>Завоевание Древней Греции Македонией</v>
      </c>
      <c r="CB9" s="54"/>
      <c r="CC9" s="54"/>
      <c r="CD9" s="54"/>
      <c r="CE9" s="54"/>
      <c r="CF9" s="55"/>
      <c r="CG9" s="68">
        <f>IFERROR(__xludf.DUMMYFUNCTION("""COMPUTED_VALUE"""),44476.0)</f>
        <v>44476</v>
      </c>
      <c r="CH9" s="54" t="str">
        <f>IFERROR(__xludf.DUMMYFUNCTION("""COMPUTED_VALUE"""),"Благодарность живет в моем сердце")</f>
        <v>Благодарность живет в моем сердце</v>
      </c>
      <c r="CI9" s="54" t="str">
        <f>IFERROR(__xludf.DUMMYFUNCTION("""COMPUTED_VALUE"""),"Тема 6-7")</f>
        <v>Тема 6-7</v>
      </c>
      <c r="CJ9" s="70">
        <f>IFERROR(__xludf.DUMMYFUNCTION("""COMPUTED_VALUE"""),45943.0)</f>
        <v>45943</v>
      </c>
      <c r="CK9" s="54" t="str">
        <f>IFERROR(__xludf.DUMMYFUNCTION("""COMPUTED_VALUE"""),"Благодарность живет в моем сердце.")</f>
        <v>Благодарность живет в моем сердце.</v>
      </c>
      <c r="CL9" s="54" t="str">
        <f>IFERROR(__xludf.DUMMYFUNCTION("""COMPUTED_VALUE"""),"тема 6")</f>
        <v>тема 6</v>
      </c>
      <c r="CM9" s="70">
        <f>IFERROR(__xludf.DUMMYFUNCTION("""COMPUTED_VALUE"""),46069.0)</f>
        <v>46069</v>
      </c>
      <c r="CN9" s="54" t="str">
        <f>IFERROR(__xludf.DUMMYFUNCTION("""COMPUTED_VALUE"""),"Дружба и доброта")</f>
        <v>Дружба и доброта</v>
      </c>
      <c r="CO9" s="54" t="str">
        <f>IFERROR(__xludf.DUMMYFUNCTION("""COMPUTED_VALUE"""),"тема 21 Т.Р")</f>
        <v>тема 21 Т.Р</v>
      </c>
      <c r="CP9" s="54"/>
      <c r="CQ9" s="54"/>
      <c r="CR9" s="55"/>
      <c r="CS9" s="74" t="str">
        <f>IFERROR(__xludf.DUMMYFUNCTION("""COMPUTED_VALUE"""),"8.10")</f>
        <v>8.10</v>
      </c>
      <c r="CT9" s="54" t="str">
        <f>IFERROR(__xludf.DUMMYFUNCTION("""COMPUTED_VALUE"""),"Работа над изображением на мифологическую тему")</f>
        <v>Работа над изображением на мифологическую тему</v>
      </c>
      <c r="CU9" s="54"/>
      <c r="CV9" s="69">
        <f>IFERROR(__xludf.DUMMYFUNCTION("""COMPUTED_VALUE"""),46069.0)</f>
        <v>46069</v>
      </c>
      <c r="CW9" s="54" t="str">
        <f>IFERROR(__xludf.DUMMYFUNCTION("""COMPUTED_VALUE"""),"Создание изображения в технике мозаики")</f>
        <v>Создание изображения в технике мозаики</v>
      </c>
      <c r="CX9" s="54"/>
      <c r="CY9" s="54"/>
      <c r="CZ9" s="54"/>
      <c r="DA9" s="54"/>
      <c r="DB9" s="54"/>
      <c r="DC9" s="54"/>
      <c r="DD9" s="55"/>
      <c r="DE9" s="67"/>
      <c r="DF9" s="54"/>
      <c r="DG9" s="54"/>
      <c r="DH9" s="72">
        <f>IFERROR(__xludf.DUMMYFUNCTION("""COMPUTED_VALUE"""),4.0)</f>
        <v>4</v>
      </c>
      <c r="DI9" s="72">
        <f>IFERROR(__xludf.DUMMYFUNCTION("""COMPUTED_VALUE"""),5.0)</f>
        <v>5</v>
      </c>
      <c r="DJ9" s="54"/>
      <c r="DK9" s="54"/>
      <c r="DL9" s="54"/>
      <c r="DM9" s="54"/>
      <c r="DN9" s="54"/>
      <c r="DO9" s="54"/>
      <c r="DP9" s="55"/>
      <c r="DQ9" s="67"/>
      <c r="DR9" s="54"/>
      <c r="DS9" s="54"/>
      <c r="DT9" s="54"/>
      <c r="DU9" s="54" t="str">
        <f>IFERROR(__xludf.DUMMYFUNCTION("""COMPUTED_VALUE"""),"Темп и динамика")</f>
        <v>Темп и динамика</v>
      </c>
      <c r="DV9" s="54"/>
      <c r="DW9" s="54"/>
      <c r="DX9" s="54" t="str">
        <f>IFERROR(__xludf.DUMMYFUNCTION("""COMPUTED_VALUE"""),"Музыка Азии")</f>
        <v>Музыка Азии</v>
      </c>
      <c r="DY9" s="66">
        <f>IFERROR(__xludf.DUMMYFUNCTION("""COMPUTED_VALUE"""),46076.0)</f>
        <v>46076</v>
      </c>
      <c r="DZ9" s="54"/>
      <c r="EA9" s="54" t="str">
        <f>IFERROR(__xludf.DUMMYFUNCTION("""COMPUTED_VALUE"""),"Современная музыка: поп, рок, рэп")</f>
        <v>Современная музыка: поп, рок, рэп</v>
      </c>
      <c r="EB9" s="55"/>
      <c r="EC9" s="67" t="str">
        <f>IFERROR(__xludf.DUMMYFUNCTION("""COMPUTED_VALUE"""),"Спортивные игры - Баскетбол, Волейбол, Гандбол (исходя из условий школы выбираются 2 вида игр) Теория: История развития выбранного вида спортивной игры и правила игры Практика: Баскетбол - двусторонняя игра с использованием изученных технических приемов В"&amp;"олейбол – совершенствование точных передач мяча двумя руками друг другу в парах, то же через сетку Гандбол - Забрасывание мяча в заданную точку ворот. Индивидуальные действия в защите")</f>
        <v>Спортивные игры - Баскетбол, Волейбол, Гандбол (исходя из условий школы выбираются 2 вида игр) Теория: История развития выбранного вида спортивной игры и правила игры Практика: Баскетбол - двусторонняя игра с использованием изученных технических приемов Волейбол – совершенствование точных передач мяча двумя руками друг другу в парах, то же через сетку Гандбол - Забрасывание мяча в заданную точку ворот. Индивидуальные действия в защите</v>
      </c>
      <c r="ED9" s="54" t="str">
        <f>IFERROR(__xludf.DUMMYFUNCTION("""COMPUTED_VALUE"""),"Мост из положения, лежа на спине")</f>
        <v>Мост из положения, лежа на спине</v>
      </c>
      <c r="EE9" s="66">
        <f>IFERROR(__xludf.DUMMYFUNCTION("""COMPUTED_VALUE"""),46055.0)</f>
        <v>46055</v>
      </c>
      <c r="EF9" s="54" t="str">
        <f>IFERROR(__xludf.DUMMYFUNCTION("""COMPUTED_VALUE"""),"Гимнастика. Совершенствование акробатических упражнений: кувырки вперёд и назад, стойка на лопатках, «мост». Выполнение комплексов из 2–3 упражнений.")</f>
        <v>Гимнастика. Совершенствование акробатических упражнений: кувырки вперёд и назад, стойка на лопатках, «мост». Выполнение комплексов из 2–3 упражнений.</v>
      </c>
      <c r="EG9" s="54" t="str">
        <f>IFERROR(__xludf.DUMMYFUNCTION("""COMPUTED_VALUE"""),"Соединить несколько элементов подряд")</f>
        <v>Соединить несколько элементов подряд</v>
      </c>
      <c r="EH9" s="54"/>
      <c r="EI9" s="54"/>
      <c r="EJ9" s="54"/>
      <c r="EK9" s="54"/>
      <c r="EL9" s="54"/>
      <c r="EM9" s="54"/>
      <c r="EN9" s="55"/>
      <c r="EO9" s="67" t="str">
        <f>IFERROR(__xludf.DUMMYFUNCTION("""COMPUTED_VALUE"""),"Импорт изображения")</f>
        <v>Импорт изображения</v>
      </c>
      <c r="EP9" s="54"/>
      <c r="EQ9" s="69">
        <f>IFERROR(__xludf.DUMMYFUNCTION("""COMPUTED_VALUE"""),46004.0)</f>
        <v>46004</v>
      </c>
      <c r="ER9" s="54" t="str">
        <f>IFERROR(__xludf.DUMMYFUNCTION("""COMPUTED_VALUE"""),"Самостоятельная работа")</f>
        <v>Самостоятельная работа</v>
      </c>
      <c r="ES9" s="54"/>
      <c r="ET9" s="54"/>
      <c r="EU9" s="54"/>
      <c r="EV9" s="54"/>
      <c r="EW9" s="54"/>
      <c r="EX9" s="54"/>
      <c r="EY9" s="54"/>
      <c r="EZ9" s="55"/>
      <c r="FA9" s="67"/>
      <c r="FB9" s="54"/>
      <c r="FC9" s="54"/>
      <c r="FD9" s="54"/>
      <c r="FE9" s="54"/>
      <c r="FF9" s="54"/>
      <c r="FG9" s="54"/>
      <c r="FH9" s="54"/>
      <c r="FI9" s="54"/>
      <c r="FJ9" s="54"/>
      <c r="FK9" s="54"/>
      <c r="FL9" s="55"/>
    </row>
    <row r="10">
      <c r="A10" s="54" t="str">
        <f>IFERROR(__xludf.DUMMYFUNCTION("""COMPUTED_VALUE"""),"Сравнительная степень прилагательных")</f>
        <v>Сравнительная степень прилагательных</v>
      </c>
      <c r="B10" s="54" t="str">
        <f>IFERROR(__xludf.DUMMYFUNCTION("""COMPUTED_VALUE"""),"Карточка")</f>
        <v>Карточка</v>
      </c>
      <c r="C10" s="66">
        <f>IFERROR(__xludf.DUMMYFUNCTION("""COMPUTED_VALUE"""),46063.0)</f>
        <v>46063</v>
      </c>
      <c r="D10" s="54" t="str">
        <f>IFERROR(__xludf.DUMMYFUNCTION("""COMPUTED_VALUE"""),"Собирательные числительные.")</f>
        <v>Собирательные числительные.</v>
      </c>
      <c r="E10" s="54" t="str">
        <f>IFERROR(__xludf.DUMMYFUNCTION("""COMPUTED_VALUE"""),"стр. 115, задание")</f>
        <v>стр. 115, задание</v>
      </c>
      <c r="F10" s="54"/>
      <c r="G10" s="54"/>
      <c r="H10" s="54"/>
      <c r="I10" s="54"/>
      <c r="J10" s="54"/>
      <c r="K10" s="54"/>
      <c r="L10" s="55"/>
      <c r="M10" s="67" t="str">
        <f>IFERROR(__xludf.DUMMYFUNCTION("""COMPUTED_VALUE"""),"повторить")</f>
        <v>повторить</v>
      </c>
      <c r="N10" s="66">
        <f>IFERROR(__xludf.DUMMYFUNCTION("""COMPUTED_VALUE"""),46056.0)</f>
        <v>46056</v>
      </c>
      <c r="O10" s="54" t="str">
        <f>IFERROR(__xludf.DUMMYFUNCTION("""COMPUTED_VALUE"""),"В.Одоевский «Городок в табакерке».")</f>
        <v>В.Одоевский «Городок в табакерке».</v>
      </c>
      <c r="P10" s="54" t="str">
        <f>IFERROR(__xludf.DUMMYFUNCTION("""COMPUTED_VALUE"""),"анализ")</f>
        <v>анализ</v>
      </c>
      <c r="Q10" s="54"/>
      <c r="R10" s="54"/>
      <c r="S10" s="54"/>
      <c r="T10" s="54"/>
      <c r="U10" s="54"/>
      <c r="V10" s="54"/>
      <c r="W10" s="54"/>
      <c r="X10" s="55"/>
      <c r="Y10" s="67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5"/>
      <c r="AK10" s="67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5"/>
      <c r="AW10" s="67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5"/>
      <c r="BI10" s="76">
        <f>IFERROR(__xludf.DUMMYFUNCTION("""COMPUTED_VALUE"""),45946.0)</f>
        <v>45946</v>
      </c>
      <c r="BJ10" s="54" t="str">
        <f>IFERROR(__xludf.DUMMYFUNCTION("""COMPUTED_VALUE"""),"Рациональное питание")</f>
        <v>Рациональное питание</v>
      </c>
      <c r="BK10" s="54" t="str">
        <f>IFERROR(__xludf.DUMMYFUNCTION("""COMPUTED_VALUE"""),"Рабочая тетрадь
Практическая работа 1.1, стр. 1
")</f>
        <v>Рабочая тетрадь
Практическая работа 1.1, стр. 1
</v>
      </c>
      <c r="BL10" s="69">
        <f>IFERROR(__xludf.DUMMYFUNCTION("""COMPUTED_VALUE"""),46016.0)</f>
        <v>46016</v>
      </c>
      <c r="BM10" s="54" t="str">
        <f>IFERROR(__xludf.DUMMYFUNCTION("""COMPUTED_VALUE"""),"Кровеносная система Контрольная работа 2")</f>
        <v>Кровеносная система Контрольная работа 2</v>
      </c>
      <c r="BN10" s="54" t="str">
        <f>IFERROR(__xludf.DUMMYFUNCTION("""COMPUTED_VALUE"""),"Рабочая тетрадь
Практическая работа 2.3, стр. 16
")</f>
        <v>Рабочая тетрадь
Практическая работа 2.3, стр. 16
</v>
      </c>
      <c r="BO10" s="66">
        <f>IFERROR(__xludf.DUMMYFUNCTION("""COMPUTED_VALUE"""),46072.0)</f>
        <v>46072</v>
      </c>
      <c r="BP10" s="54" t="str">
        <f>IFERROR(__xludf.DUMMYFUNCTION("""COMPUTED_VALUE"""),"Предотвращение распространения заболеваний")</f>
        <v>Предотвращение распространения заболеваний</v>
      </c>
      <c r="BQ10" s="54" t="str">
        <f>IFERROR(__xludf.DUMMYFUNCTION("""COMPUTED_VALUE"""),"Тема3.2 стр 38")</f>
        <v>Тема3.2 стр 38</v>
      </c>
      <c r="BR10" s="54"/>
      <c r="BS10" s="54" t="str">
        <f>IFERROR(__xludf.DUMMYFUNCTION("""COMPUTED_VALUE"""),"Контрольная работа №4")</f>
        <v>Контрольная работа №4</v>
      </c>
      <c r="BT10" s="55"/>
      <c r="BU10" s="67" t="str">
        <f>IFERROR(__xludf.DUMMYFUNCTION("""COMPUTED_VALUE"""),"Средняя Азия при переходе к железному веку")</f>
        <v>Средняя Азия при переходе к железному веку</v>
      </c>
      <c r="BV10" s="54" t="str">
        <f>IFERROR(__xludf.DUMMYFUNCTION("""COMPUTED_VALUE"""),"§ 5 стр.25, пересказ, творческие задания")</f>
        <v>§ 5 стр.25, пересказ, творческие задания</v>
      </c>
      <c r="BW10" s="70">
        <f>IFERROR(__xludf.DUMMYFUNCTION("""COMPUTED_VALUE"""),45992.0)</f>
        <v>45992</v>
      </c>
      <c r="BX10" s="54" t="str">
        <f>IFERROR(__xludf.DUMMYFUNCTION("""COMPUTED_VALUE"""),"Самостоятельная работа")</f>
        <v>Самостоятельная работа</v>
      </c>
      <c r="BY10" s="54" t="str">
        <f>IFERROR(__xludf.DUMMYFUNCTION("""COMPUTED_VALUE"""),"работа с дополнительными источниками")</f>
        <v>работа с дополнительными источниками</v>
      </c>
      <c r="BZ10" s="70">
        <f>IFERROR(__xludf.DUMMYFUNCTION("""COMPUTED_VALUE"""),46062.0)</f>
        <v>46062</v>
      </c>
      <c r="CA10" s="54" t="str">
        <f>IFERROR(__xludf.DUMMYFUNCTION("""COMPUTED_VALUE"""),"Воспитание граждан Древней Греции ")</f>
        <v>Воспитание граждан Древней Греции </v>
      </c>
      <c r="CB10" s="54"/>
      <c r="CC10" s="54"/>
      <c r="CD10" s="54"/>
      <c r="CE10" s="54"/>
      <c r="CF10" s="55"/>
      <c r="CG10" s="76">
        <f>IFERROR(__xludf.DUMMYFUNCTION("""COMPUTED_VALUE"""),44483.0)</f>
        <v>44483</v>
      </c>
      <c r="CH10" s="54" t="str">
        <f>IFERROR(__xludf.DUMMYFUNCTION("""COMPUTED_VALUE"""),"Благодарность живет в моем сердце. Пр. з.")</f>
        <v>Благодарность живет в моем сердце. Пр. з.</v>
      </c>
      <c r="CI10" s="54" t="str">
        <f>IFERROR(__xludf.DUMMYFUNCTION("""COMPUTED_VALUE"""),"Практич. работа")</f>
        <v>Практич. работа</v>
      </c>
      <c r="CJ10" s="70">
        <f>IFERROR(__xludf.DUMMYFUNCTION("""COMPUTED_VALUE"""),45950.0)</f>
        <v>45950</v>
      </c>
      <c r="CK10" s="54" t="str">
        <f>IFERROR(__xludf.DUMMYFUNCTION("""COMPUTED_VALUE"""),"Благодарность живет в моем сердце.")</f>
        <v>Благодарность живет в моем сердце.</v>
      </c>
      <c r="CL10" s="54" t="str">
        <f>IFERROR(__xludf.DUMMYFUNCTION("""COMPUTED_VALUE"""),"тема 7 Т.Р")</f>
        <v>тема 7 Т.Р</v>
      </c>
      <c r="CM10" s="70">
        <f>IFERROR(__xludf.DUMMYFUNCTION("""COMPUTED_VALUE"""),46076.0)</f>
        <v>46076</v>
      </c>
      <c r="CN10" s="54" t="str">
        <f>IFERROR(__xludf.DUMMYFUNCTION("""COMPUTED_VALUE"""),"Честность и правдивость")</f>
        <v>Честность и правдивость</v>
      </c>
      <c r="CO10" s="54" t="str">
        <f>IFERROR(__xludf.DUMMYFUNCTION("""COMPUTED_VALUE"""),"тема 22")</f>
        <v>тема 22</v>
      </c>
      <c r="CP10" s="54"/>
      <c r="CQ10" s="54"/>
      <c r="CR10" s="55"/>
      <c r="CS10" s="71" t="str">
        <f>IFERROR(__xludf.DUMMYFUNCTION("""COMPUTED_VALUE"""),"15.10")</f>
        <v>15.10</v>
      </c>
      <c r="CT10" s="54" t="str">
        <f>IFERROR(__xludf.DUMMYFUNCTION("""COMPUTED_VALUE"""),"Работа над натюрмортом на тему «Осень»")</f>
        <v>Работа над натюрмортом на тему «Осень»</v>
      </c>
      <c r="CU10" s="54"/>
      <c r="CV10" s="69">
        <f>IFERROR(__xludf.DUMMYFUNCTION("""COMPUTED_VALUE"""),46076.0)</f>
        <v>46076</v>
      </c>
      <c r="CW10" s="54" t="str">
        <f>IFERROR(__xludf.DUMMYFUNCTION("""COMPUTED_VALUE"""),"Создание фантастических образов из различных
 материалов")</f>
        <v>Создание фантастических образов из различных
 материалов</v>
      </c>
      <c r="CX10" s="54"/>
      <c r="CY10" s="54"/>
      <c r="CZ10" s="54"/>
      <c r="DA10" s="54"/>
      <c r="DB10" s="54"/>
      <c r="DC10" s="54"/>
      <c r="DD10" s="55"/>
      <c r="DE10" s="67"/>
      <c r="DF10" s="54"/>
      <c r="DG10" s="54"/>
      <c r="DH10" s="72">
        <f>IFERROR(__xludf.DUMMYFUNCTION("""COMPUTED_VALUE"""),5.0)</f>
        <v>5</v>
      </c>
      <c r="DI10" s="72">
        <f>IFERROR(__xludf.DUMMYFUNCTION("""COMPUTED_VALUE"""),5.0)</f>
        <v>5</v>
      </c>
      <c r="DJ10" s="54"/>
      <c r="DK10" s="54"/>
      <c r="DL10" s="54"/>
      <c r="DM10" s="54"/>
      <c r="DN10" s="54"/>
      <c r="DO10" s="54"/>
      <c r="DP10" s="55"/>
      <c r="DQ10" s="67"/>
      <c r="DR10" s="54"/>
      <c r="DS10" s="54"/>
      <c r="DT10" s="54"/>
      <c r="DU10" s="54" t="str">
        <f>IFERROR(__xludf.DUMMYFUNCTION("""COMPUTED_VALUE"""),"Музыка и воображение")</f>
        <v>Музыка и воображение</v>
      </c>
      <c r="DV10" s="54"/>
      <c r="DW10" s="54"/>
      <c r="DX10" s="54" t="str">
        <f>IFERROR(__xludf.DUMMYFUNCTION("""COMPUTED_VALUE"""),"Народные инструменты мира")</f>
        <v>Народные инструменты мира</v>
      </c>
      <c r="DY10" s="66">
        <f>IFERROR(__xludf.DUMMYFUNCTION("""COMPUTED_VALUE"""),46083.0)</f>
        <v>46083</v>
      </c>
      <c r="DZ10" s="54"/>
      <c r="EA10" s="54" t="str">
        <f>IFERROR(__xludf.DUMMYFUNCTION("""COMPUTED_VALUE"""),"Джаз и импровизация")</f>
        <v>Джаз и импровизация</v>
      </c>
      <c r="EB10" s="55"/>
      <c r="EC10" s="67" t="str">
        <f>IFERROR(__xludf.DUMMYFUNCTION("""COMPUTED_VALUE"""),"Спортивные игры - Баскетбол, Волейбол, Гандбол (исходя из условий школы выбираются 2 вида игр) Практика: Баскетбол - забрасывание мяча изученными способами в кольцо в движении. Отжимания от стенки, стоя в упоре под 45о (сдача контрольного норматива) Волей"&amp;"бол – передача мяча двумя руками снизу. Выпрыгивание с места вверх (сдача контрольного норматива) Гандбол - Забрасывание мяча в заданную точку ворот (сдача контрольного норматива). Совершенствование индивидуальных действий в защите")</f>
        <v>Спортивные игры - Баскетбол, Волейбол, Гандбол (исходя из условий школы выбираются 2 вида игр) Практика: Баскетбол - забрасывание мяча изученными способами в кольцо в движении. Отжимания от стенки, стоя в упоре под 45о (сдача контрольного норматива) Волейбол – передача мяча двумя руками снизу. Выпрыгивание с места вверх (сдача контрольного норматива) Гандбол - Забрасывание мяча в заданную точку ворот (сдача контрольного норматива). Совершенствование индивидуальных действий в защите</v>
      </c>
      <c r="ED10" s="54" t="str">
        <f>IFERROR(__xludf.DUMMYFUNCTION("""COMPUTED_VALUE"""),"Лежа на спине, руки вперед к низу пальцы переплетены, продеть правую (левую) ногу не касаясь «кольца», то же сидя, стоя.")</f>
        <v>Лежа на спине, руки вперед к низу пальцы переплетены, продеть правую (левую) ногу не касаясь «кольца», то же сидя, стоя.</v>
      </c>
      <c r="EE10" s="66">
        <f>IFERROR(__xludf.DUMMYFUNCTION("""COMPUTED_VALUE"""),46057.0)</f>
        <v>46057</v>
      </c>
      <c r="EF10" s="54" t="str">
        <f>IFERROR(__xludf.DUMMYFUNCTION("""COMPUTED_VALUE"""),"Гимнастика. Висы. Выполнение упражнений в висе на высоком и низком турнике. Подъём и опускание прямых и согнутых ног на 90˚ на гимнастической лестнице.")</f>
        <v>Гимнастика. Висы. Выполнение упражнений в висе на высоком и низком турнике. Подъём и опускание прямых и согнутых ног на 90˚ на гимнастической лестнице.</v>
      </c>
      <c r="EG10" s="54" t="str">
        <f>IFERROR(__xludf.DUMMYFUNCTION("""COMPUTED_VALUE"""),"Укрепить силу плечевого пояса")</f>
        <v>Укрепить силу плечевого пояса</v>
      </c>
      <c r="EH10" s="54"/>
      <c r="EI10" s="54"/>
      <c r="EJ10" s="54"/>
      <c r="EK10" s="54"/>
      <c r="EL10" s="54"/>
      <c r="EM10" s="54"/>
      <c r="EN10" s="55"/>
      <c r="EO10" s="67" t="str">
        <f>IFERROR(__xludf.DUMMYFUNCTION("""COMPUTED_VALUE"""),"Повернуть и перевернуть изображение. Изменить размер изображения")</f>
        <v>Повернуть и перевернуть изображение. Изменить размер изображения</v>
      </c>
      <c r="EP10" s="54"/>
      <c r="EQ10" s="69">
        <f>IFERROR(__xludf.DUMMYFUNCTION("""COMPUTED_VALUE"""),46008.0)</f>
        <v>46008</v>
      </c>
      <c r="ER10" s="54" t="str">
        <f>IFERROR(__xludf.DUMMYFUNCTION("""COMPUTED_VALUE"""),"Контрольная работа")</f>
        <v>Контрольная работа</v>
      </c>
      <c r="ES10" s="54"/>
      <c r="ET10" s="54"/>
      <c r="EU10" s="54"/>
      <c r="EV10" s="54"/>
      <c r="EW10" s="54"/>
      <c r="EX10" s="54"/>
      <c r="EY10" s="54"/>
      <c r="EZ10" s="55"/>
      <c r="FA10" s="67"/>
      <c r="FB10" s="54"/>
      <c r="FC10" s="54"/>
      <c r="FD10" s="54"/>
      <c r="FE10" s="54"/>
      <c r="FF10" s="54"/>
      <c r="FG10" s="54"/>
      <c r="FH10" s="54"/>
      <c r="FI10" s="54"/>
      <c r="FJ10" s="54"/>
      <c r="FK10" s="54"/>
      <c r="FL10" s="55"/>
    </row>
    <row r="11">
      <c r="A11" s="73" t="str">
        <f>IFERROR(__xludf.DUMMYFUNCTION("""COMPUTED_VALUE"""),"Правописание не с прилагательными")</f>
        <v>Правописание не с прилагательными</v>
      </c>
      <c r="B11" s="54" t="str">
        <f>IFERROR(__xludf.DUMMYFUNCTION("""COMPUTED_VALUE"""),"Карточка")</f>
        <v>Карточка</v>
      </c>
      <c r="C11" s="66">
        <f>IFERROR(__xludf.DUMMYFUNCTION("""COMPUTED_VALUE"""),46065.0)</f>
        <v>46065</v>
      </c>
      <c r="D11" s="54" t="str">
        <f>IFERROR(__xludf.DUMMYFUNCTION("""COMPUTED_VALUE"""),"Порядковые числительные.")</f>
        <v>Порядковые числительные.</v>
      </c>
      <c r="E11" s="54" t="str">
        <f>IFERROR(__xludf.DUMMYFUNCTION("""COMPUTED_VALUE"""),"стр. 121, задание")</f>
        <v>стр. 121, задание</v>
      </c>
      <c r="F11" s="54"/>
      <c r="G11" s="54"/>
      <c r="H11" s="54"/>
      <c r="I11" s="54"/>
      <c r="J11" s="54"/>
      <c r="K11" s="54"/>
      <c r="L11" s="55"/>
      <c r="M11" s="67" t="str">
        <f>IFERROR(__xludf.DUMMYFUNCTION("""COMPUTED_VALUE"""),"прочитать")</f>
        <v>прочитать</v>
      </c>
      <c r="N11" s="66">
        <f>IFERROR(__xludf.DUMMYFUNCTION("""COMPUTED_VALUE"""),46058.0)</f>
        <v>46058</v>
      </c>
      <c r="O11" s="54" t="str">
        <f>IFERROR(__xludf.DUMMYFUNCTION("""COMPUTED_VALUE"""),"Самостоятельное чтение. Анвар Абиджан «Грозный Мешпалван», Хожиакбар Шайхов «Первое испытание» (по выбору). Анализ прочитанного.")</f>
        <v>Самостоятельное чтение. Анвар Абиджан «Грозный Мешпалван», Хожиакбар Шайхов «Первое испытание» (по выбору). Анализ прочитанного.</v>
      </c>
      <c r="P11" s="54" t="str">
        <f>IFERROR(__xludf.DUMMYFUNCTION("""COMPUTED_VALUE"""),"пересказ")</f>
        <v>пересказ</v>
      </c>
      <c r="Q11" s="54"/>
      <c r="R11" s="54"/>
      <c r="S11" s="54"/>
      <c r="T11" s="54"/>
      <c r="U11" s="54"/>
      <c r="V11" s="54"/>
      <c r="W11" s="54"/>
      <c r="X11" s="55"/>
      <c r="Y11" s="67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5"/>
      <c r="AK11" s="67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5"/>
      <c r="AW11" s="67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5"/>
      <c r="BI11" s="68">
        <f>IFERROR(__xludf.DUMMYFUNCTION("""COMPUTED_VALUE"""),45953.0)</f>
        <v>45953</v>
      </c>
      <c r="BJ11" s="54" t="str">
        <f>IFERROR(__xludf.DUMMYFUNCTION("""COMPUTED_VALUE"""),"Пищеварительная система")</f>
        <v>Пищеварительная система</v>
      </c>
      <c r="BK11" s="54" t="str">
        <f>IFERROR(__xludf.DUMMYFUNCTION("""COMPUTED_VALUE"""),"Тема 1.2 Создать модель пищеварительной системы")</f>
        <v>Тема 1.2 Создать модель пищеварительной системы</v>
      </c>
      <c r="BL11" s="54"/>
      <c r="BM11" s="54" t="str">
        <f>IFERROR(__xludf.DUMMYFUNCTION("""COMPUTED_VALUE"""),"1 полугодие по плану 16ч Дано 16ч")</f>
        <v>1 полугодие по плану 16ч Дано 16ч</v>
      </c>
      <c r="BN11" s="54"/>
      <c r="BO11" s="54"/>
      <c r="BP11" s="54"/>
      <c r="BQ11" s="54" t="str">
        <f>IFERROR(__xludf.DUMMYFUNCTION("""COMPUTED_VALUE"""),"Рабочая тетрадь
Практическая работа 3.2, стр. 31
")</f>
        <v>Рабочая тетрадь
Практическая работа 3.2, стр. 31
</v>
      </c>
      <c r="BR11" s="54"/>
      <c r="BS11" s="54" t="str">
        <f>IFERROR(__xludf.DUMMYFUNCTION("""COMPUTED_VALUE"""),"Обобщающий урок")</f>
        <v>Обобщающий урок</v>
      </c>
      <c r="BT11" s="55"/>
      <c r="BU11" s="67" t="str">
        <f>IFERROR(__xludf.DUMMYFUNCTION("""COMPUTED_VALUE"""),"Контрольная работа #1")</f>
        <v>Контрольная работа #1</v>
      </c>
      <c r="BV11" s="54" t="str">
        <f>IFERROR(__xludf.DUMMYFUNCTION("""COMPUTED_VALUE"""),"работа с дополнительными источниками")</f>
        <v>работа с дополнительными источниками</v>
      </c>
      <c r="BW11" s="70">
        <f>IFERROR(__xludf.DUMMYFUNCTION("""COMPUTED_VALUE"""),45993.0)</f>
        <v>45993</v>
      </c>
      <c r="BX11" s="54" t="str">
        <f>IFERROR(__xludf.DUMMYFUNCTION("""COMPUTED_VALUE"""),"Контрольная работа № 3")</f>
        <v>Контрольная работа № 3</v>
      </c>
      <c r="BY11" s="54" t="str">
        <f>IFERROR(__xludf.DUMMYFUNCTION("""COMPUTED_VALUE"""),"повторение пройденного")</f>
        <v>повторение пройденного</v>
      </c>
      <c r="BZ11" s="70">
        <f>IFERROR(__xludf.DUMMYFUNCTION("""COMPUTED_VALUE"""),46063.0)</f>
        <v>46063</v>
      </c>
      <c r="CA11" s="54" t="str">
        <f>IFERROR(__xludf.DUMMYFUNCTION("""COMPUTED_VALUE"""),"Культура Древней Греции")</f>
        <v>Культура Древней Греции</v>
      </c>
      <c r="CB11" s="54"/>
      <c r="CC11" s="54"/>
      <c r="CD11" s="54"/>
      <c r="CE11" s="54"/>
      <c r="CF11" s="55"/>
      <c r="CG11" s="68">
        <f>IFERROR(__xludf.DUMMYFUNCTION("""COMPUTED_VALUE"""),44490.0)</f>
        <v>44490</v>
      </c>
      <c r="CH11" s="54" t="str">
        <f>IFERROR(__xludf.DUMMYFUNCTION("""COMPUTED_VALUE"""),"Умение прощать - качество сильных")</f>
        <v>Умение прощать - качество сильных</v>
      </c>
      <c r="CI11" s="54" t="str">
        <f>IFERROR(__xludf.DUMMYFUNCTION("""COMPUTED_VALUE"""),"Тема 8")</f>
        <v>Тема 8</v>
      </c>
      <c r="CJ11" s="54" t="str">
        <f>IFERROR(__xludf.DUMMYFUNCTION("""COMPUTED_VALUE"""),"27.1012025")</f>
        <v>27.1012025</v>
      </c>
      <c r="CK11" s="54" t="str">
        <f>IFERROR(__xludf.DUMMYFUNCTION("""COMPUTED_VALUE"""),"Умение прощать – качество сильных.")</f>
        <v>Умение прощать – качество сильных.</v>
      </c>
      <c r="CL11" s="54" t="str">
        <f>IFERROR(__xludf.DUMMYFUNCTION("""COMPUTED_VALUE"""),"тема 8")</f>
        <v>тема 8</v>
      </c>
      <c r="CM11" s="70">
        <f>IFERROR(__xludf.DUMMYFUNCTION("""COMPUTED_VALUE"""),46083.0)</f>
        <v>46083</v>
      </c>
      <c r="CN11" s="54" t="str">
        <f>IFERROR(__xludf.DUMMYFUNCTION("""COMPUTED_VALUE"""),"Честность и правдивость")</f>
        <v>Честность и правдивость</v>
      </c>
      <c r="CO11" s="54" t="str">
        <f>IFERROR(__xludf.DUMMYFUNCTION("""COMPUTED_VALUE"""),"тема 23 Т.Р")</f>
        <v>тема 23 Т.Р</v>
      </c>
      <c r="CP11" s="54"/>
      <c r="CQ11" s="54"/>
      <c r="CR11" s="55"/>
      <c r="CS11" s="71" t="str">
        <f>IFERROR(__xludf.DUMMYFUNCTION("""COMPUTED_VALUE"""),"22.10")</f>
        <v>22.10</v>
      </c>
      <c r="CT11" s="54" t="str">
        <f>IFERROR(__xludf.DUMMYFUNCTION("""COMPUTED_VALUE""")," Работа над творческим
 натюрмортом на тему «Осень» в цвете")</f>
        <v> Работа над творческим
 натюрмортом на тему «Осень» в цвете</v>
      </c>
      <c r="CU11" s="54"/>
      <c r="CV11" s="69">
        <f>IFERROR(__xludf.DUMMYFUNCTION("""COMPUTED_VALUE"""),46083.0)</f>
        <v>46083</v>
      </c>
      <c r="CW11" s="54" t="str">
        <f>IFERROR(__xludf.DUMMYFUNCTION("""COMPUTED_VALUE"""),"Изготовление кинетической скульптуры с использованием различных материалов и техник")</f>
        <v>Изготовление кинетической скульптуры с использованием различных материалов и техник</v>
      </c>
      <c r="CX11" s="54"/>
      <c r="CY11" s="54"/>
      <c r="CZ11" s="54"/>
      <c r="DA11" s="54"/>
      <c r="DB11" s="54"/>
      <c r="DC11" s="54"/>
      <c r="DD11" s="55"/>
      <c r="DE11" s="67"/>
      <c r="DF11" s="72">
        <f>IFERROR(__xludf.DUMMYFUNCTION("""COMPUTED_VALUE"""),5.0)</f>
        <v>5</v>
      </c>
      <c r="DG11" s="54"/>
      <c r="DH11" s="72">
        <f>IFERROR(__xludf.DUMMYFUNCTION("""COMPUTED_VALUE"""),3.0)</f>
        <v>3</v>
      </c>
      <c r="DI11" s="72">
        <f>IFERROR(__xludf.DUMMYFUNCTION("""COMPUTED_VALUE"""),3.0)</f>
        <v>3</v>
      </c>
      <c r="DJ11" s="54"/>
      <c r="DK11" s="54"/>
      <c r="DL11" s="54"/>
      <c r="DM11" s="54"/>
      <c r="DN11" s="54"/>
      <c r="DO11" s="54"/>
      <c r="DP11" s="55"/>
      <c r="DQ11" s="67"/>
      <c r="DR11" s="54"/>
      <c r="DS11" s="54"/>
      <c r="DT11" s="54"/>
      <c r="DU11" s="54" t="str">
        <f>IFERROR(__xludf.DUMMYFUNCTION("""COMPUTED_VALUE"""),"Музыка как способ общения")</f>
        <v>Музыка как способ общения</v>
      </c>
      <c r="DV11" s="54"/>
      <c r="DW11" s="54"/>
      <c r="DX11" s="54" t="str">
        <f>IFERROR(__xludf.DUMMYFUNCTION("""COMPUTED_VALUE"""),"Музыка и традиции")</f>
        <v>Музыка и традиции</v>
      </c>
      <c r="DY11" s="66">
        <f>IFERROR(__xludf.DUMMYFUNCTION("""COMPUTED_VALUE"""),46090.0)</f>
        <v>46090</v>
      </c>
      <c r="DZ11" s="54"/>
      <c r="EA11" s="54" t="str">
        <f>IFERROR(__xludf.DUMMYFUNCTION("""COMPUTED_VALUE"""),"Музыка и танец народов мира")</f>
        <v>Музыка и танец народов мира</v>
      </c>
      <c r="EB11" s="55"/>
      <c r="EC11" s="67" t="str">
        <f>IFERROR(__xludf.DUMMYFUNCTION("""COMPUTED_VALUE"""),"Спортивные игры - Баскетбол, Волейбол, Гандбол (исходя из условий школы выбираются 2 вида игр) Практика: Баскетбол - забрасывание мяча в кольцо с касанием щита (справа и слева). Двусторонняя игра с использованием изученных технических приемов Волейбол – с"&amp;"овершенствование передачи мяча двумя руками снизу. Двусторонняя игра с использованием изученных технических приемов Гандбол - броски по воротам сверху и снизу. Двусторонняя игра с использованием изученных технических приемов")</f>
        <v>Спортивные игры - Баскетбол, Волейбол, Гандбол (исходя из условий школы выбираются 2 вида игр) Практика: Баскетбол - забрасывание мяча в кольцо с касанием щита (справа и слева). Двусторонняя игра с использованием изученных технических приемов Волейбол – совершенствование передачи мяча двумя руками снизу. Двусторонняя игра с использованием изученных технических приемов Гандбол - броски по воротам сверху и снизу. Двусторонняя игра с использованием изученных технических приемов</v>
      </c>
      <c r="ED11" s="54" t="str">
        <f>IFERROR(__xludf.DUMMYFUNCTION("""COMPUTED_VALUE"""),"Наклон, вперед касаясь лбом колен")</f>
        <v>Наклон, вперед касаясь лбом колен</v>
      </c>
      <c r="EE11" s="66">
        <f>IFERROR(__xludf.DUMMYFUNCTION("""COMPUTED_VALUE"""),46062.0)</f>
        <v>46062</v>
      </c>
      <c r="EF11" s="54" t="str">
        <f>IFERROR(__xludf.DUMMYFUNCTION("""COMPUTED_VALUE"""),"Гимнастика. Висы. Раскачивание вперёд и назад на перекладине. Прыжки с махом вперёд и назад. Подтягивание на высокой перекладине (мальчики) и на низкой перекладине (девочки) — выполнение учебного норматива.")</f>
        <v>Гимнастика. Висы. Раскачивание вперёд и назад на перекладине. Прыжки с махом вперёд и назад. Подтягивание на высокой перекладине (мальчики) и на низкой перекладине (девочки) — выполнение учебного норматива.</v>
      </c>
      <c r="EG11" s="54" t="str">
        <f>IFERROR(__xludf.DUMMYFUNCTION("""COMPUTED_VALUE"""),"Потренировать раскачивание и подтягивание")</f>
        <v>Потренировать раскачивание и подтягивание</v>
      </c>
      <c r="EH11" s="54"/>
      <c r="EI11" s="54"/>
      <c r="EJ11" s="54"/>
      <c r="EK11" s="54"/>
      <c r="EL11" s="54"/>
      <c r="EM11" s="54"/>
      <c r="EN11" s="55"/>
      <c r="EO11" s="67" t="str">
        <f>IFERROR(__xludf.DUMMYFUNCTION("""COMPUTED_VALUE"""),"Контроль версий. Первоначальные образцы (черновики) работы.")</f>
        <v>Контроль версий. Первоначальные образцы (черновики) работы.</v>
      </c>
      <c r="EP11" s="54"/>
      <c r="EQ11" s="69">
        <f>IFERROR(__xludf.DUMMYFUNCTION("""COMPUTED_VALUE"""),46011.0)</f>
        <v>46011</v>
      </c>
      <c r="ER11" s="54" t="str">
        <f>IFERROR(__xludf.DUMMYFUNCTION("""COMPUTED_VALUE"""),"Практика")</f>
        <v>Практика</v>
      </c>
      <c r="ES11" s="54"/>
      <c r="ET11" s="54"/>
      <c r="EU11" s="54"/>
      <c r="EV11" s="54"/>
      <c r="EW11" s="54"/>
      <c r="EX11" s="54"/>
      <c r="EY11" s="54"/>
      <c r="EZ11" s="55"/>
      <c r="FA11" s="67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5"/>
    </row>
    <row r="12">
      <c r="A12" s="73" t="str">
        <f>IFERROR(__xludf.DUMMYFUNCTION("""COMPUTED_VALUE"""),"Правописание н и нн в прилагательных")</f>
        <v>Правописание н и нн в прилагательных</v>
      </c>
      <c r="B12" s="54" t="str">
        <f>IFERROR(__xludf.DUMMYFUNCTION("""COMPUTED_VALUE"""),"Задание 33")</f>
        <v>Задание 33</v>
      </c>
      <c r="C12" s="66">
        <f>IFERROR(__xludf.DUMMYFUNCTION("""COMPUTED_VALUE"""),46070.0)</f>
        <v>46070</v>
      </c>
      <c r="D12" s="54" t="str">
        <f>IFERROR(__xludf.DUMMYFUNCTION("""COMPUTED_VALUE"""),"Морфологический разбор числительного.")</f>
        <v>Морфологический разбор числительного.</v>
      </c>
      <c r="E12" s="54" t="str">
        <f>IFERROR(__xludf.DUMMYFUNCTION("""COMPUTED_VALUE"""),"стр. 123, задание")</f>
        <v>стр. 123, задание</v>
      </c>
      <c r="F12" s="54"/>
      <c r="G12" s="54"/>
      <c r="H12" s="54"/>
      <c r="I12" s="54"/>
      <c r="J12" s="54"/>
      <c r="K12" s="54"/>
      <c r="L12" s="55"/>
      <c r="M12" s="67" t="str">
        <f>IFERROR(__xludf.DUMMYFUNCTION("""COMPUTED_VALUE"""),"найти притчи и персказать")</f>
        <v>найти притчи и персказать</v>
      </c>
      <c r="N12" s="66">
        <f>IFERROR(__xludf.DUMMYFUNCTION("""COMPUTED_VALUE"""),46063.0)</f>
        <v>46063</v>
      </c>
      <c r="O12" s="54" t="str">
        <f>IFERROR(__xludf.DUMMYFUNCTION("""COMPUTED_VALUE"""),"Самостоятельное чтение. Анвар Абиджан «Грозный Мешпалван», Хожиакбар Шайхов «Первое испытание» (по выбору). Анализ прочитанного.")</f>
        <v>Самостоятельное чтение. Анвар Абиджан «Грозный Мешпалван», Хожиакбар Шайхов «Первое испытание» (по выбору). Анализ прочитанного.</v>
      </c>
      <c r="P12" s="54" t="str">
        <f>IFERROR(__xludf.DUMMYFUNCTION("""COMPUTED_VALUE"""),"разбор образов")</f>
        <v>разбор образов</v>
      </c>
      <c r="Q12" s="54"/>
      <c r="R12" s="54"/>
      <c r="S12" s="54"/>
      <c r="T12" s="54"/>
      <c r="U12" s="54"/>
      <c r="V12" s="54"/>
      <c r="W12" s="54"/>
      <c r="X12" s="55"/>
      <c r="Y12" s="67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5"/>
      <c r="AK12" s="67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5"/>
      <c r="AW12" s="67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5"/>
      <c r="BI12" s="68">
        <f>IFERROR(__xludf.DUMMYFUNCTION("""COMPUTED_VALUE"""),45960.0)</f>
        <v>45960</v>
      </c>
      <c r="BJ12" s="54" t="str">
        <f>IFERROR(__xludf.DUMMYFUNCTION("""COMPUTED_VALUE"""),"Контрольная работа 1")</f>
        <v>Контрольная работа 1</v>
      </c>
      <c r="BK12" s="54"/>
      <c r="BL12" s="54"/>
      <c r="BM12" s="54"/>
      <c r="BN12" s="54"/>
      <c r="BO12" s="66">
        <f>IFERROR(__xludf.DUMMYFUNCTION("""COMPUTED_VALUE"""),46079.0)</f>
        <v>46079</v>
      </c>
      <c r="BP12" s="54" t="str">
        <f>IFERROR(__xludf.DUMMYFUNCTION("""COMPUTED_VALUE"""),"контрольнаятработа 3")</f>
        <v>контрольнаятработа 3</v>
      </c>
      <c r="BQ12" s="54"/>
      <c r="BR12" s="54"/>
      <c r="BS12" s="54"/>
      <c r="BT12" s="55"/>
      <c r="BU12" s="67" t="str">
        <f>IFERROR(__xludf.DUMMYFUNCTION("""COMPUTED_VALUE"""),"Самостоятельная работа")</f>
        <v>Самостоятельная работа</v>
      </c>
      <c r="BV12" s="54" t="str">
        <f>IFERROR(__xludf.DUMMYFUNCTION("""COMPUTED_VALUE"""),"повторение пройденного")</f>
        <v>повторение пройденного</v>
      </c>
      <c r="BW12" s="70">
        <f>IFERROR(__xludf.DUMMYFUNCTION("""COMPUTED_VALUE"""),46000.0)</f>
        <v>46000</v>
      </c>
      <c r="BX12" s="54" t="str">
        <f>IFERROR(__xludf.DUMMYFUNCTION("""COMPUTED_VALUE"""),"Древнейшие цивилизации Китая")</f>
        <v>Древнейшие цивилизации Китая</v>
      </c>
      <c r="BY12" s="54" t="str">
        <f>IFERROR(__xludf.DUMMYFUNCTION("""COMPUTED_VALUE"""),"§ 17 стр.69, пересказ")</f>
        <v>§ 17 стр.69, пересказ</v>
      </c>
      <c r="BZ12" s="70">
        <f>IFERROR(__xludf.DUMMYFUNCTION("""COMPUTED_VALUE"""),46069.0)</f>
        <v>46069</v>
      </c>
      <c r="CA12" s="54" t="str">
        <f>IFERROR(__xludf.DUMMYFUNCTION("""COMPUTED_VALUE"""),"Учёные и мыслители Древней Греции")</f>
        <v>Учёные и мыслители Древней Греции</v>
      </c>
      <c r="CB12" s="54"/>
      <c r="CC12" s="54"/>
      <c r="CD12" s="54"/>
      <c r="CE12" s="54"/>
      <c r="CF12" s="55"/>
      <c r="CG12" s="68">
        <f>IFERROR(__xludf.DUMMYFUNCTION("""COMPUTED_VALUE"""),44497.0)</f>
        <v>44497</v>
      </c>
      <c r="CH12" s="54" t="str">
        <f>IFERROR(__xludf.DUMMYFUNCTION("""COMPUTED_VALUE"""),"Урок повторения")</f>
        <v>Урок повторения</v>
      </c>
      <c r="CI12" s="54" t="str">
        <f>IFERROR(__xludf.DUMMYFUNCTION("""COMPUTED_VALUE"""),"повторение")</f>
        <v>повторение</v>
      </c>
      <c r="CJ12" s="70">
        <f>IFERROR(__xludf.DUMMYFUNCTION("""COMPUTED_VALUE"""),45964.0)</f>
        <v>45964</v>
      </c>
      <c r="CK12" s="54" t="str">
        <f>IFERROR(__xludf.DUMMYFUNCTION("""COMPUTED_VALUE"""),"Терпение")</f>
        <v>Терпение</v>
      </c>
      <c r="CL12" s="54" t="str">
        <f>IFERROR(__xludf.DUMMYFUNCTION("""COMPUTED_VALUE"""),"тема 9")</f>
        <v>тема 9</v>
      </c>
      <c r="CM12" s="70">
        <f>IFERROR(__xludf.DUMMYFUNCTION("""COMPUTED_VALUE"""),414985.0)</f>
        <v>414985</v>
      </c>
      <c r="CN12" s="54" t="str">
        <f>IFERROR(__xludf.DUMMYFUNCTION("""COMPUTED_VALUE"""),"Надежная и ненадежная информация")</f>
        <v>Надежная и ненадежная информация</v>
      </c>
      <c r="CO12" s="54" t="str">
        <f>IFERROR(__xludf.DUMMYFUNCTION("""COMPUTED_VALUE"""),"тема 24")</f>
        <v>тема 24</v>
      </c>
      <c r="CP12" s="54"/>
      <c r="CQ12" s="54"/>
      <c r="CR12" s="55"/>
      <c r="CS12" s="68">
        <f>IFERROR(__xludf.DUMMYFUNCTION("""COMPUTED_VALUE"""),45938.0)</f>
        <v>45938</v>
      </c>
      <c r="CT12" s="54" t="str">
        <f>IFERROR(__xludf.DUMMYFUNCTION("""COMPUTED_VALUE"""),"Создание абстрактной композиции в технике флюид
 арта")</f>
        <v>Создание абстрактной композиции в технике флюид
 арта</v>
      </c>
      <c r="CU12" s="54"/>
      <c r="CV12" s="69">
        <f>IFERROR(__xludf.DUMMYFUNCTION("""COMPUTED_VALUE"""),46090.0)</f>
        <v>46090</v>
      </c>
      <c r="CW12" s="54" t="str">
        <f>IFERROR(__xludf.DUMMYFUNCTION("""COMPUTED_VALUE"""),"Создание картины в
 технике «дудлинг»")</f>
        <v>Создание картины в
 технике «дудлинг»</v>
      </c>
      <c r="CX12" s="54"/>
      <c r="CY12" s="54"/>
      <c r="CZ12" s="54"/>
      <c r="DA12" s="54"/>
      <c r="DB12" s="54"/>
      <c r="DC12" s="54"/>
      <c r="DD12" s="55"/>
      <c r="DE12" s="67"/>
      <c r="DF12" s="54"/>
      <c r="DG12" s="54"/>
      <c r="DH12" s="72">
        <f>IFERROR(__xludf.DUMMYFUNCTION("""COMPUTED_VALUE"""),5.0)</f>
        <v>5</v>
      </c>
      <c r="DI12" s="72">
        <f>IFERROR(__xludf.DUMMYFUNCTION("""COMPUTED_VALUE"""),5.0)</f>
        <v>5</v>
      </c>
      <c r="DJ12" s="54"/>
      <c r="DK12" s="54"/>
      <c r="DL12" s="54"/>
      <c r="DM12" s="54"/>
      <c r="DN12" s="54"/>
      <c r="DO12" s="54"/>
      <c r="DP12" s="55"/>
      <c r="DQ12" s="67"/>
      <c r="DR12" s="54"/>
      <c r="DS12" s="54"/>
      <c r="DT12" s="54"/>
      <c r="DU12" s="54" t="str">
        <f>IFERROR(__xludf.DUMMYFUNCTION("""COMPUTED_VALUE"""),"Музыкальная викторина / мини-проект")</f>
        <v>Музыкальная викторина / мини-проект</v>
      </c>
      <c r="DV12" s="54"/>
      <c r="DW12" s="54"/>
      <c r="DX12" s="54" t="str">
        <f>IFERROR(__xludf.DUMMYFUNCTION("""COMPUTED_VALUE"""),"Итоговый урок: музыкальное путешествие")</f>
        <v>Итоговый урок: музыкальное путешествие</v>
      </c>
      <c r="DY12" s="66">
        <f>IFERROR(__xludf.DUMMYFUNCTION("""COMPUTED_VALUE"""),46097.0)</f>
        <v>46097</v>
      </c>
      <c r="DZ12" s="54"/>
      <c r="EA12" s="54" t="str">
        <f>IFERROR(__xludf.DUMMYFUNCTION("""COMPUTED_VALUE"""),"Как создаётся песня? (композитор, поэт, исполнитель)")</f>
        <v>Как создаётся песня? (композитор, поэт, исполнитель)</v>
      </c>
      <c r="EB12" s="55"/>
      <c r="EC12" s="67" t="str">
        <f>IFERROR(__xludf.DUMMYFUNCTION("""COMPUTED_VALUE"""),"Спортивные игры - Баскетбол, Волейбол, Гандбол (исходя из условий школы выбираются 2 вида игр) Практика: Баскетбол - забрасывание мяча в кольцо с касанием о щит (справа и слева). Мягкая передача и прием мяча одной, двумя руками на месте. Передача мяча пар"&amp;"тнеру в движении Двусторонняя игра с использованием изученных технических приемов Волейбол – подачи мяча через сетку с расстояния 4-6м. Двусторонняя игра с использованием изученных технических приемов Гандбол - совершенствование бросков по воротам сверху "&amp;"и снизу. Двусторонняя игра с использованием изученных технических приемов")</f>
        <v>Спортивные игры - Баскетбол, Волейбол, Гандбол (исходя из условий школы выбираются 2 вида игр) Практика: Баскетбол - забрасывание мяча в кольцо с касанием о щит (справа и слева). Мягкая передача и прием мяча одной, двумя руками на месте. Передача мяча партнеру в движении Двусторонняя игра с использованием изученных технических приемов Волейбол – подачи мяча через сетку с расстояния 4-6м. Двусторонняя игра с использованием изученных технических приемов Гандбол - совершенствование бросков по воротам сверху и снизу. Двусторонняя игра с использованием изученных технических приемов</v>
      </c>
      <c r="ED12" s="54" t="str">
        <f>IFERROR(__xludf.DUMMYFUNCTION("""COMPUTED_VALUE"""),"Упражнения с удержанием груза на голове.")</f>
        <v>Упражнения с удержанием груза на голове.</v>
      </c>
      <c r="EE12" s="66">
        <f>IFERROR(__xludf.DUMMYFUNCTION("""COMPUTED_VALUE"""),46064.0)</f>
        <v>46064</v>
      </c>
      <c r="EF12" s="54" t="str">
        <f>IFERROR(__xludf.DUMMYFUNCTION("""COMPUTED_VALUE"""),"Гимнастика. Лазание. Подъём и спуск по гимнастической лестнице вверх и по диагонали. Лазание по канату (мальчики — 3 м, девочки — 2 м).")</f>
        <v>Гимнастика. Лазание. Подъём и спуск по гимнастической лестнице вверх и по диагонали. Лазание по канату (мальчики — 3 м, девочки — 2 м).</v>
      </c>
      <c r="EG12" s="54" t="str">
        <f>IFERROR(__xludf.DUMMYFUNCTION("""COMPUTED_VALUE"""),"Развить уверенность при подъёме")</f>
        <v>Развить уверенность при подъёме</v>
      </c>
      <c r="EH12" s="54"/>
      <c r="EI12" s="54"/>
      <c r="EJ12" s="54"/>
      <c r="EK12" s="54"/>
      <c r="EL12" s="54"/>
      <c r="EM12" s="54"/>
      <c r="EN12" s="55"/>
      <c r="EO12" s="67" t="str">
        <f>IFERROR(__xludf.DUMMYFUNCTION("""COMPUTED_VALUE"""),"Самостоятельная работа")</f>
        <v>Самостоятельная работа</v>
      </c>
      <c r="EP12" s="54"/>
      <c r="EQ12" s="69">
        <f>IFERROR(__xludf.DUMMYFUNCTION("""COMPUTED_VALUE"""),46018.0)</f>
        <v>46018</v>
      </c>
      <c r="ER12" s="54" t="str">
        <f>IFERROR(__xludf.DUMMYFUNCTION("""COMPUTED_VALUE"""),"Практика")</f>
        <v>Практика</v>
      </c>
      <c r="ES12" s="54"/>
      <c r="ET12" s="54"/>
      <c r="EU12" s="54"/>
      <c r="EV12" s="54"/>
      <c r="EW12" s="54"/>
      <c r="EX12" s="54"/>
      <c r="EY12" s="54"/>
      <c r="EZ12" s="55"/>
      <c r="FA12" s="67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5"/>
    </row>
    <row r="13">
      <c r="A13" s="54" t="str">
        <f>IFERROR(__xludf.DUMMYFUNCTION("""COMPUTED_VALUE"""),"Обощение пройденного")</f>
        <v>Обощение пройденного</v>
      </c>
      <c r="B13" s="54" t="str">
        <f>IFERROR(__xludf.DUMMYFUNCTION("""COMPUTED_VALUE"""),"Повторение")</f>
        <v>Повторение</v>
      </c>
      <c r="C13" s="66">
        <f>IFERROR(__xludf.DUMMYFUNCTION("""COMPUTED_VALUE"""),46077.0)</f>
        <v>46077</v>
      </c>
      <c r="D13" s="54" t="str">
        <f>IFERROR(__xludf.DUMMYFUNCTION("""COMPUTED_VALUE"""),"Местоимение как часть речи")</f>
        <v>Местоимение как часть речи</v>
      </c>
      <c r="E13" s="54" t="str">
        <f>IFERROR(__xludf.DUMMYFUNCTION("""COMPUTED_VALUE"""),"повторение пройденного материала")</f>
        <v>повторение пройденного материала</v>
      </c>
      <c r="F13" s="54"/>
      <c r="G13" s="54"/>
      <c r="H13" s="54"/>
      <c r="I13" s="54"/>
      <c r="J13" s="54"/>
      <c r="K13" s="54"/>
      <c r="L13" s="55"/>
      <c r="M13" s="67" t="str">
        <f>IFERROR(__xludf.DUMMYFUNCTION("""COMPUTED_VALUE"""),"выучить басню")</f>
        <v>выучить басню</v>
      </c>
      <c r="N13" s="66">
        <f>IFERROR(__xludf.DUMMYFUNCTION("""COMPUTED_VALUE"""),46065.0)</f>
        <v>46065</v>
      </c>
      <c r="O13" s="54" t="str">
        <f>IFERROR(__xludf.DUMMYFUNCTION("""COMPUTED_VALUE"""),"Самостоятельное чтение. Анвар Абиджан «Грозный Мешпалван», Хожиакбар Шайхов «Первое испытание» (по выбору). Анализ прочитанного.")</f>
        <v>Самостоятельное чтение. Анвар Абиджан «Грозный Мешпалван», Хожиакбар Шайхов «Первое испытание» (по выбору). Анализ прочитанного.</v>
      </c>
      <c r="P13" s="54" t="str">
        <f>IFERROR(__xludf.DUMMYFUNCTION("""COMPUTED_VALUE"""),"подготовиться к контр.")</f>
        <v>подготовиться к контр.</v>
      </c>
      <c r="Q13" s="54"/>
      <c r="R13" s="54"/>
      <c r="S13" s="54"/>
      <c r="T13" s="54"/>
      <c r="U13" s="54"/>
      <c r="V13" s="54"/>
      <c r="W13" s="54"/>
      <c r="X13" s="55"/>
      <c r="Y13" s="67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5"/>
      <c r="AK13" s="67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5"/>
      <c r="AW13" s="67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5"/>
      <c r="BI13" s="67"/>
      <c r="BJ13" s="54"/>
      <c r="BK13" s="54"/>
      <c r="BL13" s="54"/>
      <c r="BM13" s="54"/>
      <c r="BN13" s="54"/>
      <c r="BO13" s="66">
        <f>IFERROR(__xludf.DUMMYFUNCTION("""COMPUTED_VALUE"""),46086.0)</f>
        <v>46086</v>
      </c>
      <c r="BP13" s="54" t="str">
        <f>IFERROR(__xludf.DUMMYFUNCTION("""COMPUTED_VALUE"""),"Защитные механизмы организма человека")</f>
        <v>Защитные механизмы организма человека</v>
      </c>
      <c r="BQ13" s="54" t="str">
        <f>IFERROR(__xludf.DUMMYFUNCTION("""COMPUTED_VALUE"""),"Стр 42 построить график")</f>
        <v>Стр 42 построить график</v>
      </c>
      <c r="BR13" s="54"/>
      <c r="BS13" s="54"/>
      <c r="BT13" s="55"/>
      <c r="BU13" s="67" t="str">
        <f>IFERROR(__xludf.DUMMYFUNCTION("""COMPUTED_VALUE"""),"Общественные отношения древних людей")</f>
        <v>Общественные отношения древних людей</v>
      </c>
      <c r="BV13" s="54" t="str">
        <f>IFERROR(__xludf.DUMMYFUNCTION("""COMPUTED_VALUE"""),"повторение пройденного")</f>
        <v>повторение пройденного</v>
      </c>
      <c r="BW13" s="70">
        <f>IFERROR(__xludf.DUMMYFUNCTION("""COMPUTED_VALUE"""),46006.0)</f>
        <v>46006</v>
      </c>
      <c r="BX13" s="54" t="str">
        <f>IFERROR(__xludf.DUMMYFUNCTION("""COMPUTED_VALUE"""),"Древний Китай в III веке до н.э. –II веке н.э.")</f>
        <v>Древний Китай в III веке до н.э. –II веке н.э.</v>
      </c>
      <c r="BY13" s="54" t="str">
        <f>IFERROR(__xludf.DUMMYFUNCTION("""COMPUTED_VALUE"""),"§ 18 стр.72, пересказ")</f>
        <v>§ 18 стр.72, пересказ</v>
      </c>
      <c r="BZ13" s="70">
        <f>IFERROR(__xludf.DUMMYFUNCTION("""COMPUTED_VALUE"""),46070.0)</f>
        <v>46070</v>
      </c>
      <c r="CA13" s="54" t="str">
        <f>IFERROR(__xludf.DUMMYFUNCTION("""COMPUTED_VALUE"""),"Мифы Древней Греции ")</f>
        <v>Мифы Древней Греции </v>
      </c>
      <c r="CB13" s="54"/>
      <c r="CC13" s="54"/>
      <c r="CD13" s="54"/>
      <c r="CE13" s="54"/>
      <c r="CF13" s="55"/>
      <c r="CG13" s="68">
        <f>IFERROR(__xludf.DUMMYFUNCTION("""COMPUTED_VALUE"""),44511.0)</f>
        <v>44511</v>
      </c>
      <c r="CH13" s="54" t="str">
        <f>IFERROR(__xludf.DUMMYFUNCTION("""COMPUTED_VALUE"""),"Терпение")</f>
        <v>Терпение</v>
      </c>
      <c r="CI13" s="54" t="str">
        <f>IFERROR(__xludf.DUMMYFUNCTION("""COMPUTED_VALUE"""),"Тема 9")</f>
        <v>Тема 9</v>
      </c>
      <c r="CJ13" s="70">
        <f>IFERROR(__xludf.DUMMYFUNCTION("""COMPUTED_VALUE"""),45971.0)</f>
        <v>45971</v>
      </c>
      <c r="CK13" s="54" t="str">
        <f>IFERROR(__xludf.DUMMYFUNCTION("""COMPUTED_VALUE"""),"Родной край  - золотая колыбель")</f>
        <v>Родной край  - золотая колыбель</v>
      </c>
      <c r="CL13" s="54" t="str">
        <f>IFERROR(__xludf.DUMMYFUNCTION("""COMPUTED_VALUE"""),"тема 10")</f>
        <v>тема 10</v>
      </c>
      <c r="CM13" s="70">
        <f>IFERROR(__xludf.DUMMYFUNCTION("""COMPUTED_VALUE"""),46097.0)</f>
        <v>46097</v>
      </c>
      <c r="CN13" s="54" t="str">
        <f>IFERROR(__xludf.DUMMYFUNCTION("""COMPUTED_VALUE"""),"Семья - колыбель ценностей")</f>
        <v>Семья - колыбель ценностей</v>
      </c>
      <c r="CO13" s="54" t="str">
        <f>IFERROR(__xludf.DUMMYFUNCTION("""COMPUTED_VALUE"""),"тема 25")</f>
        <v>тема 25</v>
      </c>
      <c r="CP13" s="54"/>
      <c r="CQ13" s="54"/>
      <c r="CR13" s="55"/>
      <c r="CS13" s="77">
        <f>IFERROR(__xludf.DUMMYFUNCTION("""COMPUTED_VALUE"""),45976.0)</f>
        <v>45976</v>
      </c>
      <c r="CT13" s="54" t="str">
        <f>IFERROR(__xludf.DUMMYFUNCTION("""COMPUTED_VALUE"""),"Изображение человека в движении")</f>
        <v>Изображение человека в движении</v>
      </c>
      <c r="CU13" s="54"/>
      <c r="CV13" s="69">
        <f>IFERROR(__xludf.DUMMYFUNCTION("""COMPUTED_VALUE"""),46097.0)</f>
        <v>46097</v>
      </c>
      <c r="CW13" s="54" t="str">
        <f>IFERROR(__xludf.DUMMYFUNCTION("""COMPUTED_VALUE"""),"Лепка методом стилизации с использованием
 различных материалов")</f>
        <v>Лепка методом стилизации с использованием
 различных материалов</v>
      </c>
      <c r="CX13" s="54"/>
      <c r="CY13" s="54"/>
      <c r="CZ13" s="54"/>
      <c r="DA13" s="54"/>
      <c r="DB13" s="54"/>
      <c r="DC13" s="54"/>
      <c r="DD13" s="55"/>
      <c r="DE13" s="67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5"/>
      <c r="DQ13" s="67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5"/>
      <c r="EC13" s="67" t="str">
        <f>IFERROR(__xludf.DUMMYFUNCTION("""COMPUTED_VALUE"""),"Спортивные игры - Баскетбол, Волейбол, Гандбол (исходя из условий школы выбираются 2 вида игр) Практика: Баскетбол - Выполнение следующих элементов: заброс мяча в кольцо, перемещения и прием мяча одной рукой снизу и сверху, прыжок с мячом в два шага и бро"&amp;"сок его в кольцо сверху одной или двумя руками; двусторонняя игра с использованием изученных элементов Волейбол – совершенствование подачи мяча через сетку с 4-6 метров. Двусторонняя игра с использованием изученных технических приемов Гандбол - Действия в"&amp;" защите - выполнение заслона при бросках по воротам сверху и снизу.")</f>
        <v>Спортивные игры - Баскетбол, Волейбол, Гандбол (исходя из условий школы выбираются 2 вида игр) Практика: Баскетбол - Выполнение следующих элементов: заброс мяча в кольцо, перемещения и прием мяча одной рукой снизу и сверху, прыжок с мячом в два шага и бросок его в кольцо сверху одной или двумя руками; двусторонняя игра с использованием изученных элементов Волейбол – совершенствование подачи мяча через сетку с 4-6 метров. Двусторонняя игра с использованием изученных технических приемов Гандбол - Действия в защите - выполнение заслона при бросках по воротам сверху и снизу.</v>
      </c>
      <c r="ED13" s="54" t="str">
        <f>IFERROR(__xludf.DUMMYFUNCTION("""COMPUTED_VALUE"""),"Полуприседания и приседания.")</f>
        <v>Полуприседания и приседания.</v>
      </c>
      <c r="EE13" s="66">
        <f>IFERROR(__xludf.DUMMYFUNCTION("""COMPUTED_VALUE"""),46069.0)</f>
        <v>46069</v>
      </c>
      <c r="EF13" s="54" t="str">
        <f>IFERROR(__xludf.DUMMYFUNCTION("""COMPUTED_VALUE"""),"Контрольная работа")</f>
        <v>Контрольная работа</v>
      </c>
      <c r="EG13" s="54" t="str">
        <f>IFERROR(__xludf.DUMMYFUNCTION("""COMPUTED_VALUE"""),"Повторить ранее изученные упражнения")</f>
        <v>Повторить ранее изученные упражнения</v>
      </c>
      <c r="EH13" s="54"/>
      <c r="EI13" s="54"/>
      <c r="EJ13" s="54"/>
      <c r="EK13" s="54"/>
      <c r="EL13" s="54"/>
      <c r="EM13" s="54"/>
      <c r="EN13" s="55"/>
      <c r="EO13" s="67" t="str">
        <f>IFERROR(__xludf.DUMMYFUNCTION("""COMPUTED_VALUE"""),"Практика")</f>
        <v>Практика</v>
      </c>
      <c r="EP13" s="54"/>
      <c r="EQ13" s="54"/>
      <c r="ER13" s="54" t="str">
        <f>IFERROR(__xludf.DUMMYFUNCTION("""COMPUTED_VALUE"""),"План 7 часов")</f>
        <v>План 7 часов</v>
      </c>
      <c r="ES13" s="54"/>
      <c r="ET13" s="54"/>
      <c r="EU13" s="54"/>
      <c r="EV13" s="54"/>
      <c r="EW13" s="54"/>
      <c r="EX13" s="54"/>
      <c r="EY13" s="54"/>
      <c r="EZ13" s="55"/>
      <c r="FA13" s="67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5"/>
    </row>
    <row r="14">
      <c r="A14" s="73"/>
      <c r="B14" s="54"/>
      <c r="C14" s="66">
        <f>IFERROR(__xludf.DUMMYFUNCTION("""COMPUTED_VALUE"""),46079.0)</f>
        <v>46079</v>
      </c>
      <c r="D14" s="54" t="str">
        <f>IFERROR(__xludf.DUMMYFUNCTION("""COMPUTED_VALUE"""),"Местоимение и другие части речи.")</f>
        <v>Местоимение и другие части речи.</v>
      </c>
      <c r="E14" s="54" t="str">
        <f>IFERROR(__xludf.DUMMYFUNCTION("""COMPUTED_VALUE"""),"стр. 127, задание")</f>
        <v>стр. 127, задание</v>
      </c>
      <c r="F14" s="54"/>
      <c r="G14" s="54"/>
      <c r="H14" s="54"/>
      <c r="I14" s="54"/>
      <c r="J14" s="54"/>
      <c r="K14" s="54"/>
      <c r="L14" s="55"/>
      <c r="M14" s="67" t="str">
        <f>IFERROR(__xludf.DUMMYFUNCTION("""COMPUTED_VALUE"""),"сценка")</f>
        <v>сценка</v>
      </c>
      <c r="N14" s="66">
        <f>IFERROR(__xludf.DUMMYFUNCTION("""COMPUTED_VALUE"""),46070.0)</f>
        <v>46070</v>
      </c>
      <c r="O14" s="54" t="str">
        <f>IFERROR(__xludf.DUMMYFUNCTION("""COMPUTED_VALUE"""),"СОР-3  50 баллов")</f>
        <v>СОР-3  50 баллов</v>
      </c>
      <c r="P14" s="54" t="str">
        <f>IFERROR(__xludf.DUMMYFUNCTION("""COMPUTED_VALUE"""),"повторить")</f>
        <v>повторить</v>
      </c>
      <c r="Q14" s="54"/>
      <c r="R14" s="54"/>
      <c r="S14" s="54"/>
      <c r="T14" s="54"/>
      <c r="U14" s="54"/>
      <c r="V14" s="54"/>
      <c r="W14" s="54"/>
      <c r="X14" s="55"/>
      <c r="Y14" s="67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5"/>
      <c r="AK14" s="67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5"/>
      <c r="AW14" s="67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5"/>
      <c r="BI14" s="67"/>
      <c r="BJ14" s="54"/>
      <c r="BK14" s="54"/>
      <c r="BL14" s="54"/>
      <c r="BM14" s="54"/>
      <c r="BN14" s="54"/>
      <c r="BO14" s="54"/>
      <c r="BP14" s="54"/>
      <c r="BQ14" s="54" t="str">
        <f>IFERROR(__xludf.DUMMYFUNCTION("""COMPUTED_VALUE"""),"Рабочая тетрадь
Практическая работа 3.3, стр. 33
")</f>
        <v>Рабочая тетрадь
Практическая работа 3.3, стр. 33
</v>
      </c>
      <c r="BR14" s="54"/>
      <c r="BS14" s="54"/>
      <c r="BT14" s="55"/>
      <c r="BU14" s="67" t="str">
        <f>IFERROR(__xludf.DUMMYFUNCTION("""COMPUTED_VALUE"""),"Долина Нила и её обитатели")</f>
        <v>Долина Нила и её обитатели</v>
      </c>
      <c r="BV14" s="54" t="str">
        <f>IFERROR(__xludf.DUMMYFUNCTION("""COMPUTED_VALUE"""),"§ 6 стр.28, пересказ")</f>
        <v>§ 6 стр.28, пересказ</v>
      </c>
      <c r="BW14" s="70">
        <f>IFERROR(__xludf.DUMMYFUNCTION("""COMPUTED_VALUE"""),46007.0)</f>
        <v>46007</v>
      </c>
      <c r="BX14" s="54" t="str">
        <f>IFERROR(__xludf.DUMMYFUNCTION("""COMPUTED_VALUE"""),"Ранние государства на территории Узбекистана.")</f>
        <v>Ранние государства на территории Узбекистана.</v>
      </c>
      <c r="BY14" s="54" t="str">
        <f>IFERROR(__xludf.DUMMYFUNCTION("""COMPUTED_VALUE"""),"§ 19 стр.75, пересказ, заполнить таблицу")</f>
        <v>§ 19 стр.75, пересказ, заполнить таблицу</v>
      </c>
      <c r="BZ14" s="78">
        <f>IFERROR(__xludf.DUMMYFUNCTION("""COMPUTED_VALUE"""),46076.0)</f>
        <v>46076</v>
      </c>
      <c r="CA14" s="54" t="str">
        <f>IFERROR(__xludf.DUMMYFUNCTION("""COMPUTED_VALUE"""),"Контрольная работа №5")</f>
        <v>Контрольная работа №5</v>
      </c>
      <c r="CB14" s="54"/>
      <c r="CC14" s="54"/>
      <c r="CD14" s="54"/>
      <c r="CE14" s="54"/>
      <c r="CF14" s="55"/>
      <c r="CG14" s="68">
        <f>IFERROR(__xludf.DUMMYFUNCTION("""COMPUTED_VALUE"""),44518.0)</f>
        <v>44518</v>
      </c>
      <c r="CH14" s="54" t="str">
        <f>IFERROR(__xludf.DUMMYFUNCTION("""COMPUTED_VALUE"""),"Родной край - золотая колыбель")</f>
        <v>Родной край - золотая колыбель</v>
      </c>
      <c r="CI14" s="54" t="str">
        <f>IFERROR(__xludf.DUMMYFUNCTION("""COMPUTED_VALUE"""),"Тема 10")</f>
        <v>Тема 10</v>
      </c>
      <c r="CJ14" s="70">
        <f>IFERROR(__xludf.DUMMYFUNCTION("""COMPUTED_VALUE"""),45978.0)</f>
        <v>45978</v>
      </c>
      <c r="CK14" s="54" t="str">
        <f>IFERROR(__xludf.DUMMYFUNCTION("""COMPUTED_VALUE"""),"Моя махалля — моя гордость.")</f>
        <v>Моя махалля — моя гордость.</v>
      </c>
      <c r="CL14" s="54" t="str">
        <f>IFERROR(__xludf.DUMMYFUNCTION("""COMPUTED_VALUE"""),"тема 11")</f>
        <v>тема 11</v>
      </c>
      <c r="CM14" s="54"/>
      <c r="CN14" s="54" t="str">
        <f>IFERROR(__xludf.DUMMYFUNCTION("""COMPUTED_VALUE"""),"Семья - колыбель ценностей")</f>
        <v>Семья - колыбель ценностей</v>
      </c>
      <c r="CO14" s="54" t="str">
        <f>IFERROR(__xludf.DUMMYFUNCTION("""COMPUTED_VALUE"""),"тема 26 Т.Р")</f>
        <v>тема 26 Т.Р</v>
      </c>
      <c r="CP14" s="54"/>
      <c r="CQ14" s="54"/>
      <c r="CR14" s="55"/>
      <c r="CS14" s="77">
        <f>IFERROR(__xludf.DUMMYFUNCTION("""COMPUTED_VALUE"""),45971.0)</f>
        <v>45971</v>
      </c>
      <c r="CT14" s="54" t="str">
        <f>IFERROR(__xludf.DUMMYFUNCTION("""COMPUTED_VALUE"""),"Работа над изображением в технике силуэта")</f>
        <v>Работа над изображением в технике силуэта</v>
      </c>
      <c r="CU14" s="54"/>
      <c r="CV14" s="54"/>
      <c r="CW14" s="54"/>
      <c r="CX14" s="54"/>
      <c r="CY14" s="54"/>
      <c r="CZ14" s="54"/>
      <c r="DA14" s="54"/>
      <c r="DB14" s="54"/>
      <c r="DC14" s="54"/>
      <c r="DD14" s="55"/>
      <c r="DE14" s="67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5"/>
      <c r="DQ14" s="67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5"/>
      <c r="EC14" s="67" t="str">
        <f>IFERROR(__xludf.DUMMYFUNCTION("""COMPUTED_VALUE"""),"Спортивные игры - Баскетбол, Волейбол, Гандбол (исходя из условий школы выбираются 2 вида игр) Теория: История развития выбранного вида спортивной игры и правила этой игры Практика: Баскетбол - броски мяча в кольцо с различных мест площадки (с места, в пр"&amp;"ыжке); штрафные броски мяча в кольцо двумя руками от груди и из-за головы. Волейбол – прием и передача мяча сверху и снизу в процессе двусторонней игры Гандбол - совершенствование действий в защите - выполнение заслона при бросках по воротам сверху и сниз"&amp;"у.")</f>
        <v>Спортивные игры - Баскетбол, Волейбол, Гандбол (исходя из условий школы выбираются 2 вида игр) Теория: История развития выбранного вида спортивной игры и правила этой игры Практика: Баскетбол - броски мяча в кольцо с различных мест площадки (с места, в прыжке); штрафные броски мяча в кольцо двумя руками от груди и из-за головы. Волейбол – прием и передача мяча сверху и снизу в процессе двусторонней игры Гандбол - совершенствование действий в защите - выполнение заслона при бросках по воротам сверху и снизу.</v>
      </c>
      <c r="ED14" s="54" t="str">
        <f>IFERROR(__xludf.DUMMYFUNCTION("""COMPUTED_VALUE"""),"Ходьба на носках, на пятках, с поджатыми пальцами, на наружных сторонах стопы.")</f>
        <v>Ходьба на носках, на пятках, с поджатыми пальцами, на наружных сторонах стопы.</v>
      </c>
      <c r="EE14" s="66">
        <f>IFERROR(__xludf.DUMMYFUNCTION("""COMPUTED_VALUE"""),46071.0)</f>
        <v>46071</v>
      </c>
      <c r="EF14" s="54" t="str">
        <f>IFERROR(__xludf.DUMMYFUNCTION("""COMPUTED_VALUE"""),"Гимнастика. Упоры:
 Мальчики — сгибание и разгибание рук в упоре лёжа на полу.
 Девочки — сгибание и разгибание рук в упоре на гимнастической скамейке.
 Приседание и удержание равновесия на одной ноге («пистолетик»), держась за гимнастическую лестницу.")</f>
        <v>Гимнастика. Упоры:
 Мальчики — сгибание и разгибание рук в упоре лёжа на полу.
 Девочки — сгибание и разгибание рук в упоре на гимнастической скамейке.
 Приседание и удержание равновесия на одной ноге («пистолетик»), держась за гимнастическую лестницу.</v>
      </c>
      <c r="EG14" s="54" t="str">
        <f>IFERROR(__xludf.DUMMYFUNCTION("""COMPUTED_VALUE"""),"Потренировать силу рук и ног")</f>
        <v>Потренировать силу рук и ног</v>
      </c>
      <c r="EH14" s="54"/>
      <c r="EI14" s="54"/>
      <c r="EJ14" s="54"/>
      <c r="EK14" s="54"/>
      <c r="EL14" s="54"/>
      <c r="EM14" s="54"/>
      <c r="EN14" s="55"/>
      <c r="EO14" s="67" t="str">
        <f>IFERROR(__xludf.DUMMYFUNCTION("""COMPUTED_VALUE"""),"План 9 часов")</f>
        <v>План 9 часов</v>
      </c>
      <c r="EP14" s="54"/>
      <c r="EQ14" s="54"/>
      <c r="ER14" s="54" t="str">
        <f>IFERROR(__xludf.DUMMYFUNCTION("""COMPUTED_VALUE"""),"Факт 9 часов")</f>
        <v>Факт 9 часов</v>
      </c>
      <c r="ES14" s="54"/>
      <c r="ET14" s="54"/>
      <c r="EU14" s="54"/>
      <c r="EV14" s="54"/>
      <c r="EW14" s="54"/>
      <c r="EX14" s="54"/>
      <c r="EY14" s="54"/>
      <c r="EZ14" s="55"/>
      <c r="FA14" s="67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5"/>
    </row>
    <row r="15">
      <c r="A15" s="73"/>
      <c r="B15" s="54"/>
      <c r="C15" s="54"/>
      <c r="D15" s="54" t="str">
        <f>IFERROR(__xludf.DUMMYFUNCTION("""COMPUTED_VALUE"""),"Личные местоимения.")</f>
        <v>Личные местоимения.</v>
      </c>
      <c r="E15" s="54" t="str">
        <f>IFERROR(__xludf.DUMMYFUNCTION("""COMPUTED_VALUE"""),"стр. 129, задание")</f>
        <v>стр. 129, задание</v>
      </c>
      <c r="F15" s="54"/>
      <c r="G15" s="54"/>
      <c r="H15" s="54"/>
      <c r="I15" s="54"/>
      <c r="J15" s="54"/>
      <c r="K15" s="54"/>
      <c r="L15" s="55"/>
      <c r="M15" s="67" t="str">
        <f>IFERROR(__xludf.DUMMYFUNCTION("""COMPUTED_VALUE"""),"анализ образов")</f>
        <v>анализ образов</v>
      </c>
      <c r="N15" s="66">
        <f>IFERROR(__xludf.DUMMYFUNCTION("""COMPUTED_VALUE"""),46072.0)</f>
        <v>46072</v>
      </c>
      <c r="O15" s="54" t="str">
        <f>IFERROR(__xludf.DUMMYFUNCTION("""COMPUTED_VALUE"""),"К.Булычев «Сто лет тому вперед».")</f>
        <v>К.Булычев «Сто лет тому вперед».</v>
      </c>
      <c r="P15" s="54" t="str">
        <f>IFERROR(__xludf.DUMMYFUNCTION("""COMPUTED_VALUE"""),"пересказ")</f>
        <v>пересказ</v>
      </c>
      <c r="Q15" s="54"/>
      <c r="R15" s="54"/>
      <c r="S15" s="54"/>
      <c r="T15" s="54"/>
      <c r="U15" s="54"/>
      <c r="V15" s="54"/>
      <c r="W15" s="54"/>
      <c r="X15" s="55"/>
      <c r="Y15" s="67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5"/>
      <c r="AK15" s="67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5"/>
      <c r="AW15" s="67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5"/>
      <c r="BI15" s="67"/>
      <c r="BJ15" s="54"/>
      <c r="BK15" s="54"/>
      <c r="BL15" s="54"/>
      <c r="BM15" s="54"/>
      <c r="BN15" s="54"/>
      <c r="BO15" s="66">
        <f>IFERROR(__xludf.DUMMYFUNCTION("""COMPUTED_VALUE"""),46093.0)</f>
        <v>46093</v>
      </c>
      <c r="BP15" s="54" t="str">
        <f>IFERROR(__xludf.DUMMYFUNCTION("""COMPUTED_VALUE"""),"Пищевая цепь и пищевая сеть")</f>
        <v>Пищевая цепь и пищевая сеть</v>
      </c>
      <c r="BQ15" s="54" t="str">
        <f>IFERROR(__xludf.DUMMYFUNCTION("""COMPUTED_VALUE"""),"Тема 4.1 стр 48 Рабочая тетрадь
Практическая работа 4.1, стр. 41
")</f>
        <v>Тема 4.1 стр 48 Рабочая тетрадь
Практическая работа 4.1, стр. 41
</v>
      </c>
      <c r="BR15" s="54"/>
      <c r="BS15" s="54"/>
      <c r="BT15" s="55"/>
      <c r="BU15" s="67" t="str">
        <f>IFERROR(__xludf.DUMMYFUNCTION("""COMPUTED_VALUE"""),"Завоевательные походы Древнего Египета")</f>
        <v>Завоевательные походы Древнего Египета</v>
      </c>
      <c r="BV15" s="54" t="str">
        <f>IFERROR(__xludf.DUMMYFUNCTION("""COMPUTED_VALUE"""),"§ 7 стр.32, пересказ, творческие задания")</f>
        <v>§ 7 стр.32, пересказ, творческие задания</v>
      </c>
      <c r="BW15" s="70">
        <f>IFERROR(__xludf.DUMMYFUNCTION("""COMPUTED_VALUE"""),46013.0)</f>
        <v>46013</v>
      </c>
      <c r="BX15" s="54" t="str">
        <f>IFERROR(__xludf.DUMMYFUNCTION("""COMPUTED_VALUE"""),"Зороастризм.")</f>
        <v>Зороастризм.</v>
      </c>
      <c r="BY15" s="54" t="str">
        <f>IFERROR(__xludf.DUMMYFUNCTION("""COMPUTED_VALUE"""),"§ 20 стр.80, пересказ, творческие задания")</f>
        <v>§ 20 стр.80, пересказ, творческие задания</v>
      </c>
      <c r="BZ15" s="70">
        <f>IFERROR(__xludf.DUMMYFUNCTION("""COMPUTED_VALUE"""),46077.0)</f>
        <v>46077</v>
      </c>
      <c r="CA15" s="54"/>
      <c r="CB15" s="54"/>
      <c r="CC15" s="54"/>
      <c r="CD15" s="54"/>
      <c r="CE15" s="54"/>
      <c r="CF15" s="55"/>
      <c r="CG15" s="68">
        <f>IFERROR(__xludf.DUMMYFUNCTION("""COMPUTED_VALUE"""),44525.0)</f>
        <v>44525</v>
      </c>
      <c r="CH15" s="54" t="str">
        <f>IFERROR(__xludf.DUMMYFUNCTION("""COMPUTED_VALUE"""),"Моя махалля - моя гордость")</f>
        <v>Моя махалля - моя гордость</v>
      </c>
      <c r="CI15" s="54" t="str">
        <f>IFERROR(__xludf.DUMMYFUNCTION("""COMPUTED_VALUE"""),"Тема 11-12")</f>
        <v>Тема 11-12</v>
      </c>
      <c r="CJ15" s="70">
        <f>IFERROR(__xludf.DUMMYFUNCTION("""COMPUTED_VALUE"""),45985.0)</f>
        <v>45985</v>
      </c>
      <c r="CK15" s="54" t="str">
        <f>IFERROR(__xludf.DUMMYFUNCTION("""COMPUTED_VALUE"""),"Моя махалля — моя гордость.")</f>
        <v>Моя махалля — моя гордость.</v>
      </c>
      <c r="CL15" s="54" t="str">
        <f>IFERROR(__xludf.DUMMYFUNCTION("""COMPUTED_VALUE"""),"тема 12 Т.Р")</f>
        <v>тема 12 Т.Р</v>
      </c>
      <c r="CM15" s="54"/>
      <c r="CN15" s="54" t="str">
        <f>IFERROR(__xludf.DUMMYFUNCTION("""COMPUTED_VALUE"""),"Семейное чтение книг")</f>
        <v>Семейное чтение книг</v>
      </c>
      <c r="CO15" s="54" t="str">
        <f>IFERROR(__xludf.DUMMYFUNCTION("""COMPUTED_VALUE"""),"тема 27")</f>
        <v>тема 27</v>
      </c>
      <c r="CP15" s="54"/>
      <c r="CQ15" s="54"/>
      <c r="CR15" s="55"/>
      <c r="CS15" s="79">
        <f>IFERROR(__xludf.DUMMYFUNCTION("""COMPUTED_VALUE"""),45978.0)</f>
        <v>45978</v>
      </c>
      <c r="CT15" s="54" t="str">
        <f>IFERROR(__xludf.DUMMYFUNCTION("""COMPUTED_VALUE"""),"Работа над иллюстрацией к художественному
 произведению")</f>
        <v>Работа над иллюстрацией к художественному
 произведению</v>
      </c>
      <c r="CU15" s="54"/>
      <c r="CV15" s="54"/>
      <c r="CW15" s="54"/>
      <c r="CX15" s="54"/>
      <c r="CY15" s="54"/>
      <c r="CZ15" s="54"/>
      <c r="DA15" s="54"/>
      <c r="DB15" s="54"/>
      <c r="DC15" s="54"/>
      <c r="DD15" s="55"/>
      <c r="DE15" s="67"/>
      <c r="DF15" s="72" t="str">
        <f>IFERROR(__xludf.DUMMYFUNCTION("""COMPUTED_VALUE"""),"н")</f>
        <v>н</v>
      </c>
      <c r="DG15" s="72" t="str">
        <f>IFERROR(__xludf.DUMMYFUNCTION("""COMPUTED_VALUE"""),"н")</f>
        <v>н</v>
      </c>
      <c r="DH15" s="54"/>
      <c r="DI15" s="54"/>
      <c r="DJ15" s="54"/>
      <c r="DK15" s="54"/>
      <c r="DL15" s="54"/>
      <c r="DM15" s="54"/>
      <c r="DN15" s="54"/>
      <c r="DO15" s="54"/>
      <c r="DP15" s="55"/>
      <c r="DQ15" s="67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5"/>
      <c r="EC15" s="67" t="str">
        <f>IFERROR(__xludf.DUMMYFUNCTION("""COMPUTED_VALUE"""),"Спортивные игры - Баскетбол, Волейбол, Гандбол (исходя из условий школы выбираются 2 вида игр) Теория: Специальные тесты “Алпомиш” и “Барчиной” Практика: Баскетбол - Передачи мяча друг друг в тройках с изменением места. Броски мяча в кольцо с различных ме"&amp;"ст площадки (с места, в прыжке) (оценка техники выполнения). Выполнение упражнений на развитие ловкости и быстроты. Двусторонняя игра Волейбол – прием и передача мяча сверху и снизу в процессе игры (оценка техники выполнения). Гандбол - ведение мяча право"&amp;"й и левой рукой ( 30м ) (оценка техники выполнения). Двусторонняя игра с соблюдением правил")</f>
        <v>Спортивные игры - Баскетбол, Волейбол, Гандбол (исходя из условий школы выбираются 2 вида игр) Теория: Специальные тесты “Алпомиш” и “Барчиной” Практика: Баскетбол - Передачи мяча друг друг в тройках с изменением места. Броски мяча в кольцо с различных мест площадки (с места, в прыжке) (оценка техники выполнения). Выполнение упражнений на развитие ловкости и быстроты. Двусторонняя игра Волейбол – прием и передача мяча сверху и снизу в процессе игры (оценка техники выполнения). Гандбол - ведение мяча правой и левой рукой ( 30м ) (оценка техники выполнения). Двусторонняя игра с соблюдением правил</v>
      </c>
      <c r="ED15" s="54" t="str">
        <f>IFERROR(__xludf.DUMMYFUNCTION("""COMPUTED_VALUE"""),"Ходьба вправо, влево по рейке гимнастический скамейки, по шесту, канату, гимнастической палке (свод стопы должен обхватывать предмет).")</f>
        <v>Ходьба вправо, влево по рейке гимнастический скамейки, по шесту, канату, гимнастической палке (свод стопы должен обхватывать предмет).</v>
      </c>
      <c r="EE15" s="66">
        <f>IFERROR(__xludf.DUMMYFUNCTION("""COMPUTED_VALUE"""),46074.0)</f>
        <v>46074</v>
      </c>
      <c r="EF15" s="54" t="str">
        <f>IFERROR(__xludf.DUMMYFUNCTION("""COMPUTED_VALUE"""),"Гимнастика. Упоры:
 Мальчики — сгибание и разгибание рук в упоре лёжа на полу.
 Девочки — сгибание и разгибание рук в упоре на гимнастической скамейке.
 Удержание положения приседа на одной ноге («пистолетик»), держась за гимнастическую лестницу (оценка т"&amp;"ехнического выполнения).")</f>
        <v>Гимнастика. Упоры:
 Мальчики — сгибание и разгибание рук в упоре лёжа на полу.
 Девочки — сгибание и разгибание рук в упоре на гимнастической скамейке.
 Удержание положения приседа на одной ноге («пистолетик»), держась за гимнастическую лестницу (оценка технического выполнения).</v>
      </c>
      <c r="EG15" s="54" t="str">
        <f>IFERROR(__xludf.DUMMYFUNCTION("""COMPUTED_VALUE"""),"Удерживать устойчивое положение тела")</f>
        <v>Удерживать устойчивое положение тела</v>
      </c>
      <c r="EH15" s="54"/>
      <c r="EI15" s="54"/>
      <c r="EJ15" s="54"/>
      <c r="EK15" s="54"/>
      <c r="EL15" s="54"/>
      <c r="EM15" s="54"/>
      <c r="EN15" s="55"/>
      <c r="EO15" s="67" t="str">
        <f>IFERROR(__xludf.DUMMYFUNCTION("""COMPUTED_VALUE"""),"Факт 10 часов")</f>
        <v>Факт 10 часов</v>
      </c>
      <c r="EP15" s="54"/>
      <c r="EQ15" s="54"/>
      <c r="ER15" s="54"/>
      <c r="ES15" s="54"/>
      <c r="ET15" s="54"/>
      <c r="EU15" s="54"/>
      <c r="EV15" s="54"/>
      <c r="EW15" s="54"/>
      <c r="EX15" s="54"/>
      <c r="EY15" s="54"/>
      <c r="EZ15" s="55"/>
      <c r="FA15" s="67"/>
      <c r="FB15" s="54"/>
      <c r="FC15" s="54"/>
      <c r="FD15" s="54"/>
      <c r="FE15" s="54"/>
      <c r="FF15" s="54"/>
      <c r="FG15" s="54"/>
      <c r="FH15" s="54"/>
      <c r="FI15" s="54"/>
      <c r="FJ15" s="54"/>
      <c r="FK15" s="54"/>
      <c r="FL15" s="55"/>
    </row>
    <row r="16">
      <c r="A16" s="54"/>
      <c r="B16" s="54"/>
      <c r="C16" s="54"/>
      <c r="D16" s="54" t="str">
        <f>IFERROR(__xludf.DUMMYFUNCTION("""COMPUTED_VALUE"""),"Возвратные местоимения.")</f>
        <v>Возвратные местоимения.</v>
      </c>
      <c r="E16" s="54" t="str">
        <f>IFERROR(__xludf.DUMMYFUNCTION("""COMPUTED_VALUE"""),"стр. 131, задание")</f>
        <v>стр. 131, задание</v>
      </c>
      <c r="F16" s="54"/>
      <c r="G16" s="54"/>
      <c r="H16" s="54"/>
      <c r="I16" s="54"/>
      <c r="J16" s="54"/>
      <c r="K16" s="54"/>
      <c r="L16" s="55"/>
      <c r="M16" s="67" t="str">
        <f>IFERROR(__xludf.DUMMYFUNCTION("""COMPUTED_VALUE"""),"повторить")</f>
        <v>повторить</v>
      </c>
      <c r="N16" s="66">
        <f>IFERROR(__xludf.DUMMYFUNCTION("""COMPUTED_VALUE"""),46077.0)</f>
        <v>46077</v>
      </c>
      <c r="O16" s="54" t="str">
        <f>IFERROR(__xludf.DUMMYFUNCTION("""COMPUTED_VALUE"""),"К.Булычев «Сто лет тому вперед».")</f>
        <v>К.Булычев «Сто лет тому вперед».</v>
      </c>
      <c r="P16" s="54" t="str">
        <f>IFERROR(__xludf.DUMMYFUNCTION("""COMPUTED_VALUE"""),"анализ города")</f>
        <v>анализ города</v>
      </c>
      <c r="Q16" s="54"/>
      <c r="R16" s="54"/>
      <c r="S16" s="54"/>
      <c r="T16" s="54"/>
      <c r="U16" s="54"/>
      <c r="V16" s="54"/>
      <c r="W16" s="54"/>
      <c r="X16" s="55"/>
      <c r="Y16" s="67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5"/>
      <c r="AK16" s="67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5"/>
      <c r="AW16" s="67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5"/>
      <c r="BI16" s="67"/>
      <c r="BJ16" s="54"/>
      <c r="BK16" s="54"/>
      <c r="BL16" s="54"/>
      <c r="BM16" s="54"/>
      <c r="BN16" s="54"/>
      <c r="BO16" s="66">
        <f>IFERROR(__xludf.DUMMYFUNCTION("""COMPUTED_VALUE"""),46100.0)</f>
        <v>46100</v>
      </c>
      <c r="BP16" s="54" t="str">
        <f>IFERROR(__xludf.DUMMYFUNCTION("""COMPUTED_VALUE"""),"Поток энергии и вредных веществ")</f>
        <v>Поток энергии и вредных веществ</v>
      </c>
      <c r="BQ16" s="54" t="str">
        <f>IFERROR(__xludf.DUMMYFUNCTION("""COMPUTED_VALUE"""),"Рабочая тетрадь
Практическая работа 4.2, стр. 43
")</f>
        <v>Рабочая тетрадь
Практическая работа 4.2, стр. 43
</v>
      </c>
      <c r="BR16" s="54"/>
      <c r="BS16" s="54"/>
      <c r="BT16" s="55"/>
      <c r="BU16" s="67" t="str">
        <f>IFERROR(__xludf.DUMMYFUNCTION("""COMPUTED_VALUE"""),"Религия Древнего Египта")</f>
        <v>Религия Древнего Египта</v>
      </c>
      <c r="BV16" s="54" t="str">
        <f>IFERROR(__xludf.DUMMYFUNCTION("""COMPUTED_VALUE"""),"§ 8 стр.34, пересказ, творческие задания")</f>
        <v>§ 8 стр.34, пересказ, творческие задания</v>
      </c>
      <c r="BW16" s="70">
        <f>IFERROR(__xludf.DUMMYFUNCTION("""COMPUTED_VALUE"""),46014.0)</f>
        <v>46014</v>
      </c>
      <c r="BX16" s="54" t="str">
        <f>IFERROR(__xludf.DUMMYFUNCTION("""COMPUTED_VALUE"""),"Контрольная работа № 4")</f>
        <v>Контрольная работа № 4</v>
      </c>
      <c r="BY16" s="54" t="str">
        <f>IFERROR(__xludf.DUMMYFUNCTION("""COMPUTED_VALUE"""),"работа с контурной картой")</f>
        <v>работа с контурной картой</v>
      </c>
      <c r="BZ16" s="70">
        <f>IFERROR(__xludf.DUMMYFUNCTION("""COMPUTED_VALUE"""),46083.0)</f>
        <v>46083</v>
      </c>
      <c r="CA16" s="54"/>
      <c r="CB16" s="54"/>
      <c r="CC16" s="54"/>
      <c r="CD16" s="54"/>
      <c r="CE16" s="54"/>
      <c r="CF16" s="55"/>
      <c r="CG16" s="68">
        <f>IFERROR(__xludf.DUMMYFUNCTION("""COMPUTED_VALUE"""),44557.0)</f>
        <v>44557</v>
      </c>
      <c r="CH16" s="54" t="str">
        <f>IFERROR(__xludf.DUMMYFUNCTION("""COMPUTED_VALUE"""),"Какое поведение, такие и последствия")</f>
        <v>Какое поведение, такие и последствия</v>
      </c>
      <c r="CI16" s="54" t="str">
        <f>IFERROR(__xludf.DUMMYFUNCTION("""COMPUTED_VALUE"""),"Тема 13-14")</f>
        <v>Тема 13-14</v>
      </c>
      <c r="CJ16" s="70">
        <f>IFERROR(__xludf.DUMMYFUNCTION("""COMPUTED_VALUE"""),45992.0)</f>
        <v>45992</v>
      </c>
      <c r="CK16" s="54" t="str">
        <f>IFERROR(__xludf.DUMMYFUNCTION("""COMPUTED_VALUE"""),"Какое поведение, такие и последствия ")</f>
        <v>Какое поведение, такие и последствия </v>
      </c>
      <c r="CL16" s="54" t="str">
        <f>IFERROR(__xludf.DUMMYFUNCTION("""COMPUTED_VALUE"""),"тема 13")</f>
        <v>тема 13</v>
      </c>
      <c r="CM16" s="54"/>
      <c r="CN16" s="54" t="str">
        <f>IFERROR(__xludf.DUMMYFUNCTION("""COMPUTED_VALUE"""),"Семейное чтение книг")</f>
        <v>Семейное чтение книг</v>
      </c>
      <c r="CO16" s="54" t="str">
        <f>IFERROR(__xludf.DUMMYFUNCTION("""COMPUTED_VALUE"""),"тема 28 Т.Р")</f>
        <v>тема 28 Т.Р</v>
      </c>
      <c r="CP16" s="54"/>
      <c r="CQ16" s="54"/>
      <c r="CR16" s="55"/>
      <c r="CS16" s="77">
        <f>IFERROR(__xludf.DUMMYFUNCTION("""COMPUTED_VALUE"""),45985.0)</f>
        <v>45985</v>
      </c>
      <c r="CT16" s="54" t="str">
        <f>IFERROR(__xludf.DUMMYFUNCTION("""COMPUTED_VALUE""")," Работа над изображением в
 технике силуэта")</f>
        <v> Работа над изображением в
 технике силуэта</v>
      </c>
      <c r="CU16" s="54"/>
      <c r="CV16" s="54"/>
      <c r="CW16" s="54"/>
      <c r="CX16" s="54"/>
      <c r="CY16" s="54"/>
      <c r="CZ16" s="54"/>
      <c r="DA16" s="54"/>
      <c r="DB16" s="54"/>
      <c r="DC16" s="54"/>
      <c r="DD16" s="55"/>
      <c r="DE16" s="67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5"/>
      <c r="DQ16" s="67"/>
      <c r="DR16" s="54"/>
      <c r="DS16" s="54"/>
      <c r="DT16" s="54"/>
      <c r="DU16" s="54"/>
      <c r="DV16" s="54"/>
      <c r="DW16" s="54"/>
      <c r="DX16" s="54"/>
      <c r="DY16" s="54"/>
      <c r="DZ16" s="54"/>
      <c r="EA16" s="54"/>
      <c r="EB16" s="55"/>
      <c r="EC16" s="67" t="str">
        <f>IFERROR(__xludf.DUMMYFUNCTION("""COMPUTED_VALUE"""),"Спортивные игры - Баскетбол, Волейбол, Гандбол (исходя из условий школы выбираются 2 вида игр) Теория: История развития выбранного вида спортивной игры и правила игры Практика: Баскетбол - двигаясь с мячом на скорости, выполнение двух шагов с последующим "&amp;"броском мяча в кольцо. Двусторонняя игра по упрощенным правилам. Волейбол – Упрощенная двухсторонняя игра с соблюдением правил. Гандбол - двусторонняя игра с соблюдением правил")</f>
        <v>Спортивные игры - Баскетбол, Волейбол, Гандбол (исходя из условий школы выбираются 2 вида игр) Теория: История развития выбранного вида спортивной игры и правила игры Практика: Баскетбол - двигаясь с мячом на скорости, выполнение двух шагов с последующим броском мяча в кольцо. Двусторонняя игра по упрощенным правилам. Волейбол – Упрощенная двухсторонняя игра с соблюдением правил. Гандбол - двусторонняя игра с соблюдением правил</v>
      </c>
      <c r="ED16" s="54" t="str">
        <f>IFERROR(__xludf.DUMMYFUNCTION("""COMPUTED_VALUE"""),"Захватывание перекладывание мелких предметов пальцами ног и сводами ступней.")</f>
        <v>Захватывание перекладывание мелких предметов пальцами ног и сводами ступней.</v>
      </c>
      <c r="EE16" s="54"/>
      <c r="EF16" s="54" t="str">
        <f>IFERROR(__xludf.DUMMYFUNCTION("""COMPUTED_VALUE"""),"Гимнастика. Опорные прыжки: разбег с последующим опорным прыжком на гимнастического козла с приземлением на колени, подъём рук и мягкий спуск с колен. Подъём на ноги с опорой на гимнастического козла, распрямление груди в стойке и мягкий прыжок вниз.")</f>
        <v>Гимнастика. Опорные прыжки: разбег с последующим опорным прыжком на гимнастического козла с приземлением на колени, подъём рук и мягкий спуск с колен. Подъём на ноги с опорой на гимнастического козла, распрямление груди в стойке и мягкий прыжок вниз.</v>
      </c>
      <c r="EG16" s="54" t="str">
        <f>IFERROR(__xludf.DUMMYFUNCTION("""COMPUTED_VALUE"""),"Освоить мягкое приземление безопасно")</f>
        <v>Освоить мягкое приземление безопасно</v>
      </c>
      <c r="EH16" s="54"/>
      <c r="EI16" s="54"/>
      <c r="EJ16" s="54"/>
      <c r="EK16" s="54"/>
      <c r="EL16" s="54"/>
      <c r="EM16" s="54"/>
      <c r="EN16" s="55"/>
      <c r="EO16" s="67"/>
      <c r="EP16" s="54"/>
      <c r="EQ16" s="54"/>
      <c r="ER16" s="54"/>
      <c r="ES16" s="54"/>
      <c r="ET16" s="54"/>
      <c r="EU16" s="54"/>
      <c r="EV16" s="54"/>
      <c r="EW16" s="54"/>
      <c r="EX16" s="54"/>
      <c r="EY16" s="54"/>
      <c r="EZ16" s="55"/>
      <c r="FA16" s="67"/>
      <c r="FB16" s="54"/>
      <c r="FC16" s="54"/>
      <c r="FD16" s="54"/>
      <c r="FE16" s="54"/>
      <c r="FF16" s="54"/>
      <c r="FG16" s="54"/>
      <c r="FH16" s="54"/>
      <c r="FI16" s="54"/>
      <c r="FJ16" s="54"/>
      <c r="FK16" s="54"/>
      <c r="FL16" s="55"/>
    </row>
    <row r="17">
      <c r="A17" s="73"/>
      <c r="B17" s="54"/>
      <c r="C17" s="54"/>
      <c r="D17" s="54" t="str">
        <f>IFERROR(__xludf.DUMMYFUNCTION("""COMPUTED_VALUE"""),"Притяжательные местоимения.")</f>
        <v>Притяжательные местоимения.</v>
      </c>
      <c r="E17" s="54" t="str">
        <f>IFERROR(__xludf.DUMMYFUNCTION("""COMPUTED_VALUE"""),"стр. 133, задание")</f>
        <v>стр. 133, задание</v>
      </c>
      <c r="F17" s="54"/>
      <c r="G17" s="54"/>
      <c r="H17" s="54"/>
      <c r="I17" s="54"/>
      <c r="J17" s="54"/>
      <c r="K17" s="54"/>
      <c r="L17" s="55"/>
      <c r="M17" s="67" t="str">
        <f>IFERROR(__xludf.DUMMYFUNCTION("""COMPUTED_VALUE"""),"повторить ")</f>
        <v>повторить </v>
      </c>
      <c r="N17" s="66">
        <f>IFERROR(__xludf.DUMMYFUNCTION("""COMPUTED_VALUE"""),46079.0)</f>
        <v>46079</v>
      </c>
      <c r="O17" s="54" t="str">
        <f>IFERROR(__xludf.DUMMYFUNCTION("""COMPUTED_VALUE"""),"Р.Брэдбери«Улыбка».")</f>
        <v>Р.Брэдбери«Улыбка».</v>
      </c>
      <c r="P17" s="54" t="str">
        <f>IFERROR(__xludf.DUMMYFUNCTION("""COMPUTED_VALUE"""),"пересказ")</f>
        <v>пересказ</v>
      </c>
      <c r="Q17" s="54"/>
      <c r="R17" s="54"/>
      <c r="S17" s="54"/>
      <c r="T17" s="54"/>
      <c r="U17" s="54"/>
      <c r="V17" s="54"/>
      <c r="W17" s="54"/>
      <c r="X17" s="55"/>
      <c r="Y17" s="67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5"/>
      <c r="AK17" s="67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5"/>
      <c r="AW17" s="67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5"/>
      <c r="BI17" s="67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5"/>
      <c r="BU17" s="67"/>
      <c r="BV17" s="54" t="str">
        <f>IFERROR(__xludf.DUMMYFUNCTION("""COMPUTED_VALUE"""),"работа с дополнительными источниками")</f>
        <v>работа с дополнительными источниками</v>
      </c>
      <c r="BW17" s="54"/>
      <c r="BX17" s="54" t="str">
        <f>IFERROR(__xludf.DUMMYFUNCTION("""COMPUTED_VALUE"""),"по плану 14 часов, выполнено 14 часов")</f>
        <v>по плану 14 часов, выполнено 14 часов</v>
      </c>
      <c r="BY17" s="54" t="str">
        <f>IFERROR(__xludf.DUMMYFUNCTION("""COMPUTED_VALUE"""),"повторение пройденного")</f>
        <v>повторение пройденного</v>
      </c>
      <c r="BZ17" s="70">
        <f>IFERROR(__xludf.DUMMYFUNCTION("""COMPUTED_VALUE"""),46084.0)</f>
        <v>46084</v>
      </c>
      <c r="CA17" s="54"/>
      <c r="CB17" s="54"/>
      <c r="CC17" s="54"/>
      <c r="CD17" s="54"/>
      <c r="CE17" s="54"/>
      <c r="CF17" s="55"/>
      <c r="CG17" s="68">
        <f>IFERROR(__xludf.DUMMYFUNCTION("""COMPUTED_VALUE"""),44531.0)</f>
        <v>44531</v>
      </c>
      <c r="CH17" s="54" t="str">
        <f>IFERROR(__xludf.DUMMYFUNCTION("""COMPUTED_VALUE"""),"Какое поведение, такие и последствия. Пр. з.")</f>
        <v>Какое поведение, такие и последствия. Пр. з.</v>
      </c>
      <c r="CI17" s="54" t="str">
        <f>IFERROR(__xludf.DUMMYFUNCTION("""COMPUTED_VALUE"""),"Практич. работа")</f>
        <v>Практич. работа</v>
      </c>
      <c r="CJ17" s="70">
        <f>IFERROR(__xludf.DUMMYFUNCTION("""COMPUTED_VALUE"""),45992.0)</f>
        <v>45992</v>
      </c>
      <c r="CK17" s="54" t="str">
        <f>IFERROR(__xludf.DUMMYFUNCTION("""COMPUTED_VALUE"""),"Какое поведение, такие и последствия ")</f>
        <v>Какое поведение, такие и последствия </v>
      </c>
      <c r="CL17" s="54" t="str">
        <f>IFERROR(__xludf.DUMMYFUNCTION("""COMPUTED_VALUE"""),"тема 14 Т.Р")</f>
        <v>тема 14 Т.Р</v>
      </c>
      <c r="CM17" s="54"/>
      <c r="CN17" s="54" t="str">
        <f>IFERROR(__xludf.DUMMYFUNCTION("""COMPUTED_VALUE"""),"Правила правильного питания")</f>
        <v>Правила правильного питания</v>
      </c>
      <c r="CO17" s="54" t="str">
        <f>IFERROR(__xludf.DUMMYFUNCTION("""COMPUTED_VALUE"""),"тема 29")</f>
        <v>тема 29</v>
      </c>
      <c r="CP17" s="54"/>
      <c r="CQ17" s="54"/>
      <c r="CR17" s="55"/>
      <c r="CS17" s="77">
        <f>IFERROR(__xludf.DUMMYFUNCTION("""COMPUTED_VALUE"""),46000.0)</f>
        <v>46000</v>
      </c>
      <c r="CT17" s="54" t="str">
        <f>IFERROR(__xludf.DUMMYFUNCTION("""COMPUTED_VALUE"""),"Работа над комиксом на свободную тему")</f>
        <v>Работа над комиксом на свободную тему</v>
      </c>
      <c r="CU17" s="54"/>
      <c r="CV17" s="54"/>
      <c r="CW17" s="54"/>
      <c r="CX17" s="54"/>
      <c r="CY17" s="54"/>
      <c r="CZ17" s="54"/>
      <c r="DA17" s="54"/>
      <c r="DB17" s="54"/>
      <c r="DC17" s="54"/>
      <c r="DD17" s="55"/>
      <c r="DE17" s="67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5"/>
      <c r="DQ17" s="67"/>
      <c r="DR17" s="54"/>
      <c r="DS17" s="54"/>
      <c r="DT17" s="54"/>
      <c r="DU17" s="54"/>
      <c r="DV17" s="54"/>
      <c r="DW17" s="54"/>
      <c r="DX17" s="54"/>
      <c r="DY17" s="54"/>
      <c r="DZ17" s="54"/>
      <c r="EA17" s="54"/>
      <c r="EB17" s="55"/>
      <c r="EC17" s="67" t="str">
        <f>IFERROR(__xludf.DUMMYFUNCTION("""COMPUTED_VALUE"""),"Спортивные игры - Баскетбол, Волейбол, Гандбол (исходя из условий школы выбираются 2 вида игр) Теория: История развития выбранного вида спортивной игры и правила игры Практика: Баскетбол, Волейбол, Гандбол - эстафеты с элементами спортивных игр")</f>
        <v>Спортивные игры - Баскетбол, Волейбол, Гандбол (исходя из условий школы выбираются 2 вида игр) Теория: История развития выбранного вида спортивной игры и правила игры Практика: Баскетбол, Волейбол, Гандбол - эстафеты с элементами спортивных игр</v>
      </c>
      <c r="ED17" s="54" t="str">
        <f>IFERROR(__xludf.DUMMYFUNCTION("""COMPUTED_VALUE"""),"Перекатывание с пяток на носки и обратно, с носков на наружные стороны стопы и пятки.")</f>
        <v>Перекатывание с пяток на носки и обратно, с носков на наружные стороны стопы и пятки.</v>
      </c>
      <c r="EE17" s="54"/>
      <c r="EF17" s="54" t="str">
        <f>IFERROR(__xludf.DUMMYFUNCTION("""COMPUTED_VALUE"""),"Гимнастика. Опорные прыжки:
 Мальчики — прыжок с разведением ног через гимнастического козла.
 Девочки — прыжок на гимнастического козла с последующим приседанием, мах руками и мягкий спуск (оценка технического выполнения).")</f>
        <v>Гимнастика. Опорные прыжки:
 Мальчики — прыжок с разведением ног через гимнастического козла.
 Девочки — прыжок на гимнастического козла с последующим приседанием, мах руками и мягкий спуск (оценка технического выполнения).</v>
      </c>
      <c r="EG17" s="54" t="str">
        <f>IFERROR(__xludf.DUMMYFUNCTION("""COMPUTED_VALUE"""),"Отработать смелость и координацию")</f>
        <v>Отработать смелость и координацию</v>
      </c>
      <c r="EH17" s="54"/>
      <c r="EI17" s="54"/>
      <c r="EJ17" s="54"/>
      <c r="EK17" s="54"/>
      <c r="EL17" s="54"/>
      <c r="EM17" s="54"/>
      <c r="EN17" s="55"/>
      <c r="EO17" s="67"/>
      <c r="EP17" s="54"/>
      <c r="EQ17" s="54"/>
      <c r="ER17" s="54"/>
      <c r="ES17" s="54"/>
      <c r="ET17" s="54"/>
      <c r="EU17" s="54"/>
      <c r="EV17" s="54"/>
      <c r="EW17" s="54"/>
      <c r="EX17" s="54"/>
      <c r="EY17" s="54"/>
      <c r="EZ17" s="55"/>
      <c r="FA17" s="67"/>
      <c r="FB17" s="54"/>
      <c r="FC17" s="54"/>
      <c r="FD17" s="54"/>
      <c r="FE17" s="54"/>
      <c r="FF17" s="54"/>
      <c r="FG17" s="54"/>
      <c r="FH17" s="54"/>
      <c r="FI17" s="54"/>
      <c r="FJ17" s="54"/>
      <c r="FK17" s="54"/>
      <c r="FL17" s="55"/>
    </row>
    <row r="18">
      <c r="A18" s="73"/>
      <c r="B18" s="54"/>
      <c r="C18" s="54"/>
      <c r="D18" s="54" t="str">
        <f>IFERROR(__xludf.DUMMYFUNCTION("""COMPUTED_VALUE"""),"Указательные местоимения.")</f>
        <v>Указательные местоимения.</v>
      </c>
      <c r="E18" s="54" t="str">
        <f>IFERROR(__xludf.DUMMYFUNCTION("""COMPUTED_VALUE"""),"стр. 135, задание")</f>
        <v>стр. 135, задание</v>
      </c>
      <c r="F18" s="54"/>
      <c r="G18" s="54"/>
      <c r="H18" s="54"/>
      <c r="I18" s="54"/>
      <c r="J18" s="54"/>
      <c r="K18" s="54"/>
      <c r="L18" s="55"/>
      <c r="M18" s="67"/>
      <c r="N18" s="66">
        <f>IFERROR(__xludf.DUMMYFUNCTION("""COMPUTED_VALUE"""),46084.0)</f>
        <v>46084</v>
      </c>
      <c r="O18" s="54" t="str">
        <f>IFERROR(__xludf.DUMMYFUNCTION("""COMPUTED_VALUE"""),"А.К.Дойл«Союз рыжих».")</f>
        <v>А.К.Дойл«Союз рыжих».</v>
      </c>
      <c r="P18" s="54" t="str">
        <f>IFERROR(__xludf.DUMMYFUNCTION("""COMPUTED_VALUE"""),"пересказ")</f>
        <v>пересказ</v>
      </c>
      <c r="Q18" s="54"/>
      <c r="R18" s="54"/>
      <c r="S18" s="54"/>
      <c r="T18" s="54"/>
      <c r="U18" s="54"/>
      <c r="V18" s="54"/>
      <c r="W18" s="54"/>
      <c r="X18" s="55"/>
      <c r="Y18" s="67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5"/>
      <c r="AK18" s="67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5"/>
      <c r="AW18" s="67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5"/>
      <c r="BI18" s="67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5"/>
      <c r="BU18" s="67" t="str">
        <f>IFERROR(__xludf.DUMMYFUNCTION("""COMPUTED_VALUE"""),"Пирамиды и гробницы")</f>
        <v>Пирамиды и гробницы</v>
      </c>
      <c r="BV18" s="54" t="str">
        <f>IFERROR(__xludf.DUMMYFUNCTION("""COMPUTED_VALUE"""),"§ 9 стр.37, пересказ, творческие задания")</f>
        <v>§ 9 стр.37, пересказ, творческие задания</v>
      </c>
      <c r="BW18" s="54"/>
      <c r="BX18" s="54"/>
      <c r="BY18" s="54"/>
      <c r="BZ18" s="70">
        <f>IFERROR(__xludf.DUMMYFUNCTION("""COMPUTED_VALUE"""),46091.0)</f>
        <v>46091</v>
      </c>
      <c r="CA18" s="54"/>
      <c r="CB18" s="54"/>
      <c r="CC18" s="54"/>
      <c r="CD18" s="54"/>
      <c r="CE18" s="54"/>
      <c r="CF18" s="55"/>
      <c r="CG18" s="68">
        <f>IFERROR(__xludf.DUMMYFUNCTION("""COMPUTED_VALUE"""),44545.0)</f>
        <v>44545</v>
      </c>
      <c r="CH18" s="54" t="str">
        <f>IFERROR(__xludf.DUMMYFUNCTION("""COMPUTED_VALUE"""),"Получай знания, выбирай профессию")</f>
        <v>Получай знания, выбирай профессию</v>
      </c>
      <c r="CI18" s="54" t="str">
        <f>IFERROR(__xludf.DUMMYFUNCTION("""COMPUTED_VALUE"""),"Тема 15-16")</f>
        <v>Тема 15-16</v>
      </c>
      <c r="CJ18" s="70">
        <f>IFERROR(__xludf.DUMMYFUNCTION("""COMPUTED_VALUE"""),46006.0)</f>
        <v>46006</v>
      </c>
      <c r="CK18" s="54" t="str">
        <f>IFERROR(__xludf.DUMMYFUNCTION("""COMPUTED_VALUE"""),"Получай знания - выбирай профессию ")</f>
        <v>Получай знания - выбирай профессию </v>
      </c>
      <c r="CL18" s="54" t="str">
        <f>IFERROR(__xludf.DUMMYFUNCTION("""COMPUTED_VALUE"""),"тема 15")</f>
        <v>тема 15</v>
      </c>
      <c r="CM18" s="54"/>
      <c r="CN18" s="54" t="str">
        <f>IFERROR(__xludf.DUMMYFUNCTION("""COMPUTED_VALUE"""),"Экологические угрозы")</f>
        <v>Экологические угрозы</v>
      </c>
      <c r="CO18" s="54" t="str">
        <f>IFERROR(__xludf.DUMMYFUNCTION("""COMPUTED_VALUE"""),"тема 30")</f>
        <v>тема 30</v>
      </c>
      <c r="CP18" s="54"/>
      <c r="CQ18" s="54"/>
      <c r="CR18" s="55"/>
      <c r="CS18" s="79">
        <f>IFERROR(__xludf.DUMMYFUNCTION("""COMPUTED_VALUE"""),46006.0)</f>
        <v>46006</v>
      </c>
      <c r="CT18" s="54" t="str">
        <f>IFERROR(__xludf.DUMMYFUNCTION("""COMPUTED_VALUE"""),"Практическая работа")</f>
        <v>Практическая работа</v>
      </c>
      <c r="CU18" s="54"/>
      <c r="CV18" s="54"/>
      <c r="CW18" s="54"/>
      <c r="CX18" s="54"/>
      <c r="CY18" s="54"/>
      <c r="CZ18" s="54"/>
      <c r="DA18" s="54"/>
      <c r="DB18" s="54"/>
      <c r="DC18" s="54"/>
      <c r="DD18" s="55"/>
      <c r="DE18" s="67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5"/>
      <c r="DQ18" s="67"/>
      <c r="DR18" s="54"/>
      <c r="DS18" s="54"/>
      <c r="DT18" s="54"/>
      <c r="DU18" s="54"/>
      <c r="DV18" s="54"/>
      <c r="DW18" s="54"/>
      <c r="DX18" s="54"/>
      <c r="DY18" s="54"/>
      <c r="DZ18" s="54"/>
      <c r="EA18" s="54"/>
      <c r="EB18" s="55"/>
      <c r="EC18" s="67"/>
      <c r="ED18" s="54"/>
      <c r="EE18" s="54"/>
      <c r="EF18" s="54" t="str">
        <f>IFERROR(__xludf.DUMMYFUNCTION("""COMPUTED_VALUE"""),"Гимнастика. Упражнения на равновесие:
 На гимнастическом бревне — согнув правую ногу, шаг вперёд как левой, круговое движение левой рукой назад и подъём вверх; постановка левой ноги рядом с правой, поворот влево; опускание рук вперёд и отведение назад, по"&amp;"лусогнутое положение ног с подъёмом корпуса и мягкий прыжок вниз (при отсутствии бревна выполняется на гимнастической скамейке);
 Удержание равновесия на одной ноге («ласточка») — на левой и правой ноге на бревне.")</f>
        <v>Гимнастика. Упражнения на равновесие:
 На гимнастическом бревне — согнув правую ногу, шаг вперёд как левой, круговое движение левой рукой назад и подъём вверх; постановка левой ноги рядом с правой, поворот влево; опускание рук вперёд и отведение назад, полусогнутое положение ног с подъёмом корпуса и мягкий прыжок вниз (при отсутствии бревна выполняется на гимнастической скамейке);
 Удержание равновесия на одной ноге («ласточка») — на левой и правой ноге на бревне.</v>
      </c>
      <c r="EG18" s="54" t="str">
        <f>IFERROR(__xludf.DUMMYFUNCTION("""COMPUTED_VALUE"""),"Закрепить равномерную работу корпуса")</f>
        <v>Закрепить равномерную работу корпуса</v>
      </c>
      <c r="EH18" s="54"/>
      <c r="EI18" s="54"/>
      <c r="EJ18" s="54"/>
      <c r="EK18" s="54"/>
      <c r="EL18" s="54"/>
      <c r="EM18" s="54"/>
      <c r="EN18" s="55"/>
      <c r="EO18" s="67"/>
      <c r="EP18" s="54"/>
      <c r="EQ18" s="54"/>
      <c r="ER18" s="54"/>
      <c r="ES18" s="54"/>
      <c r="ET18" s="54"/>
      <c r="EU18" s="54"/>
      <c r="EV18" s="54"/>
      <c r="EW18" s="54"/>
      <c r="EX18" s="54"/>
      <c r="EY18" s="54"/>
      <c r="EZ18" s="55"/>
      <c r="FA18" s="67"/>
      <c r="FB18" s="54"/>
      <c r="FC18" s="54"/>
      <c r="FD18" s="54"/>
      <c r="FE18" s="54"/>
      <c r="FF18" s="54"/>
      <c r="FG18" s="54"/>
      <c r="FH18" s="54"/>
      <c r="FI18" s="54"/>
      <c r="FJ18" s="54"/>
      <c r="FK18" s="54"/>
      <c r="FL18" s="55"/>
    </row>
    <row r="19">
      <c r="A19" s="54"/>
      <c r="B19" s="54"/>
      <c r="C19" s="54"/>
      <c r="D19" s="54" t="str">
        <f>IFERROR(__xludf.DUMMYFUNCTION("""COMPUTED_VALUE"""),"Определительные местоимения.")</f>
        <v>Определительные местоимения.</v>
      </c>
      <c r="E19" s="54" t="str">
        <f>IFERROR(__xludf.DUMMYFUNCTION("""COMPUTED_VALUE"""),"стр. 137, задание")</f>
        <v>стр. 137, задание</v>
      </c>
      <c r="F19" s="54"/>
      <c r="G19" s="54"/>
      <c r="H19" s="54"/>
      <c r="I19" s="54"/>
      <c r="J19" s="54"/>
      <c r="K19" s="54"/>
      <c r="L19" s="55"/>
      <c r="M19" s="67"/>
      <c r="N19" s="66">
        <f>IFERROR(__xludf.DUMMYFUNCTION("""COMPUTED_VALUE"""),46086.0)</f>
        <v>46086</v>
      </c>
      <c r="O19" s="54" t="str">
        <f>IFERROR(__xludf.DUMMYFUNCTION("""COMPUTED_VALUE"""),"А.К.Дойл«Союз рыжих».")</f>
        <v>А.К.Дойл«Союз рыжих».</v>
      </c>
      <c r="P19" s="54" t="str">
        <f>IFERROR(__xludf.DUMMYFUNCTION("""COMPUTED_VALUE"""),"анализ главного героя")</f>
        <v>анализ главного героя</v>
      </c>
      <c r="Q19" s="54"/>
      <c r="R19" s="54"/>
      <c r="S19" s="54"/>
      <c r="T19" s="54"/>
      <c r="U19" s="54"/>
      <c r="V19" s="54"/>
      <c r="W19" s="54"/>
      <c r="X19" s="55"/>
      <c r="Y19" s="67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5"/>
      <c r="AK19" s="67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5"/>
      <c r="AW19" s="67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5"/>
      <c r="BI19" s="67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5"/>
      <c r="BU19" s="67" t="str">
        <f>IFERROR(__xludf.DUMMYFUNCTION("""COMPUTED_VALUE"""),"контрольная работа 2")</f>
        <v>контрольная работа 2</v>
      </c>
      <c r="BV19" s="54" t="str">
        <f>IFERROR(__xludf.DUMMYFUNCTION("""COMPUTED_VALUE"""),"§ 10 стр.40, пересказ, творческие задания")</f>
        <v>§ 10 стр.40, пересказ, творческие задания</v>
      </c>
      <c r="BW19" s="54"/>
      <c r="BX19" s="54"/>
      <c r="BY19" s="54"/>
      <c r="BZ19" s="70">
        <f>IFERROR(__xludf.DUMMYFUNCTION("""COMPUTED_VALUE"""),46097.0)</f>
        <v>46097</v>
      </c>
      <c r="CA19" s="54"/>
      <c r="CB19" s="54"/>
      <c r="CC19" s="54"/>
      <c r="CD19" s="54"/>
      <c r="CE19" s="54"/>
      <c r="CF19" s="55"/>
      <c r="CG19" s="79">
        <f>IFERROR(__xludf.DUMMYFUNCTION("""COMPUTED_VALUE"""),44552.0)</f>
        <v>44552</v>
      </c>
      <c r="CH19" s="54" t="str">
        <f>IFERROR(__xludf.DUMMYFUNCTION("""COMPUTED_VALUE"""),"Урок повторения")</f>
        <v>Урок повторения</v>
      </c>
      <c r="CI19" s="54" t="str">
        <f>IFERROR(__xludf.DUMMYFUNCTION("""COMPUTED_VALUE"""),"повторение")</f>
        <v>повторение</v>
      </c>
      <c r="CJ19" s="70">
        <f>IFERROR(__xludf.DUMMYFUNCTION("""COMPUTED_VALUE"""),46013.0)</f>
        <v>46013</v>
      </c>
      <c r="CK19" s="54" t="str">
        <f>IFERROR(__xludf.DUMMYFUNCTION("""COMPUTED_VALUE"""),"Творческие работы")</f>
        <v>Творческие работы</v>
      </c>
      <c r="CL19" s="54"/>
      <c r="CM19" s="54"/>
      <c r="CN19" s="54" t="str">
        <f>IFERROR(__xludf.DUMMYFUNCTION("""COMPUTED_VALUE"""),"Творческие работы")</f>
        <v>Творческие работы</v>
      </c>
      <c r="CO19" s="54"/>
      <c r="CP19" s="54"/>
      <c r="CQ19" s="54"/>
      <c r="CR19" s="55"/>
      <c r="CS19" s="77">
        <f>IFERROR(__xludf.DUMMYFUNCTION("""COMPUTED_VALUE"""),46013.0)</f>
        <v>46013</v>
      </c>
      <c r="CT19" s="54" t="str">
        <f>IFERROR(__xludf.DUMMYFUNCTION("""COMPUTED_VALUE"""),"Искусство восточной миниатюры")</f>
        <v>Искусство восточной миниатюры</v>
      </c>
      <c r="CU19" s="54"/>
      <c r="CV19" s="54"/>
      <c r="CW19" s="54"/>
      <c r="CX19" s="54"/>
      <c r="CY19" s="54"/>
      <c r="CZ19" s="54"/>
      <c r="DA19" s="54"/>
      <c r="DB19" s="54"/>
      <c r="DC19" s="54"/>
      <c r="DD19" s="55"/>
      <c r="DE19" s="67"/>
      <c r="DF19" s="54"/>
      <c r="DG19" s="54"/>
      <c r="DH19" s="72">
        <f>IFERROR(__xludf.DUMMYFUNCTION("""COMPUTED_VALUE"""),5.0)</f>
        <v>5</v>
      </c>
      <c r="DI19" s="72">
        <f>IFERROR(__xludf.DUMMYFUNCTION("""COMPUTED_VALUE"""),5.0)</f>
        <v>5</v>
      </c>
      <c r="DJ19" s="54"/>
      <c r="DK19" s="54"/>
      <c r="DL19" s="54"/>
      <c r="DM19" s="54"/>
      <c r="DN19" s="54"/>
      <c r="DO19" s="54"/>
      <c r="DP19" s="55"/>
      <c r="DQ19" s="67"/>
      <c r="DR19" s="54"/>
      <c r="DS19" s="54"/>
      <c r="DT19" s="54"/>
      <c r="DU19" s="54"/>
      <c r="DV19" s="54"/>
      <c r="DW19" s="54"/>
      <c r="DX19" s="54"/>
      <c r="DY19" s="54"/>
      <c r="DZ19" s="54"/>
      <c r="EA19" s="54"/>
      <c r="EB19" s="55"/>
      <c r="EC19" s="67"/>
      <c r="ED19" s="54"/>
      <c r="EE19" s="54"/>
      <c r="EF19" s="54" t="str">
        <f>IFERROR(__xludf.DUMMYFUNCTION("""COMPUTED_VALUE"""),"Гимнастика. Упражнения на сохранение равновесия (оценка технического выполнения):
 На гимнастическом бревне — шаг вперёд с согнутой правой ногой, как левой, круговое движение левой рукой назад с подъёмом вверх; постановка левой ноги рядом с правой, поворо"&amp;"т влево; опускание рук вперёд с отведением назад, полусогнутое положение ног с подъёмом корпуса и мягкий прыжок вниз (при отсутствии бревна — выполнение на гимнастической скамейке);
 Удержание равновесия на одной ноге («ласточка») — на левой и правой ноге"&amp;" на бревне.")</f>
        <v>Гимнастика. Упражнения на сохранение равновесия (оценка технического выполнения):
 На гимнастическом бревне — шаг вперёд с согнутой правой ногой, как левой, круговое движение левой рукой назад с подъёмом вверх; постановка левой ноги рядом с правой, поворот влево; опускание рук вперёд с отведением назад, полусогнутое положение ног с подъёмом корпуса и мягкий прыжок вниз (при отсутствии бревна — выполнение на гимнастической скамейке);
 Удержание равновесия на одной ноге («ласточка») — на левой и правой ноге на бревне.</v>
      </c>
      <c r="EG19" s="54" t="str">
        <f>IFERROR(__xludf.DUMMYFUNCTION("""COMPUTED_VALUE"""),"Отработать уверенный подъём вверх")</f>
        <v>Отработать уверенный подъём вверх</v>
      </c>
      <c r="EH19" s="54"/>
      <c r="EI19" s="54"/>
      <c r="EJ19" s="54"/>
      <c r="EK19" s="54"/>
      <c r="EL19" s="54"/>
      <c r="EM19" s="54"/>
      <c r="EN19" s="55"/>
      <c r="EO19" s="67"/>
      <c r="EP19" s="54"/>
      <c r="EQ19" s="54"/>
      <c r="ER19" s="54"/>
      <c r="ES19" s="54"/>
      <c r="ET19" s="54"/>
      <c r="EU19" s="54"/>
      <c r="EV19" s="54"/>
      <c r="EW19" s="54"/>
      <c r="EX19" s="54"/>
      <c r="EY19" s="54"/>
      <c r="EZ19" s="55"/>
      <c r="FA19" s="67"/>
      <c r="FB19" s="54"/>
      <c r="FC19" s="54"/>
      <c r="FD19" s="54"/>
      <c r="FE19" s="54"/>
      <c r="FF19" s="54"/>
      <c r="FG19" s="54"/>
      <c r="FH19" s="54"/>
      <c r="FI19" s="54"/>
      <c r="FJ19" s="54"/>
      <c r="FK19" s="54"/>
      <c r="FL19" s="55"/>
    </row>
    <row r="20">
      <c r="A20" s="73"/>
      <c r="B20" s="54"/>
      <c r="C20" s="54"/>
      <c r="D20" s="54" t="str">
        <f>IFERROR(__xludf.DUMMYFUNCTION("""COMPUTED_VALUE"""),"Вопросительные местоимения.")</f>
        <v>Вопросительные местоимения.</v>
      </c>
      <c r="E20" s="54" t="str">
        <f>IFERROR(__xludf.DUMMYFUNCTION("""COMPUTED_VALUE"""),"стр. 139, задание")</f>
        <v>стр. 139, задание</v>
      </c>
      <c r="F20" s="54"/>
      <c r="G20" s="54"/>
      <c r="H20" s="54"/>
      <c r="I20" s="54"/>
      <c r="J20" s="54"/>
      <c r="K20" s="54"/>
      <c r="L20" s="55"/>
      <c r="M20" s="67"/>
      <c r="N20" s="66">
        <f>IFERROR(__xludf.DUMMYFUNCTION("""COMPUTED_VALUE"""),46091.0)</f>
        <v>46091</v>
      </c>
      <c r="O20" s="54" t="str">
        <f>IFERROR(__xludf.DUMMYFUNCTION("""COMPUTED_VALUE"""),"Д.О’Лири«Великий побег».")</f>
        <v>Д.О’Лири«Великий побег».</v>
      </c>
      <c r="P20" s="54" t="str">
        <f>IFERROR(__xludf.DUMMYFUNCTION("""COMPUTED_VALUE"""),"пересказ")</f>
        <v>пересказ</v>
      </c>
      <c r="Q20" s="54"/>
      <c r="R20" s="54"/>
      <c r="S20" s="54"/>
      <c r="T20" s="54"/>
      <c r="U20" s="54"/>
      <c r="V20" s="54"/>
      <c r="W20" s="54"/>
      <c r="X20" s="55"/>
      <c r="Y20" s="67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5"/>
      <c r="AK20" s="67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5"/>
      <c r="AW20" s="67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5"/>
      <c r="BI20" s="67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5"/>
      <c r="BU20" s="67" t="str">
        <f>IFERROR(__xludf.DUMMYFUNCTION("""COMPUTED_VALUE"""),"творческая работа")</f>
        <v>творческая работа</v>
      </c>
      <c r="BV20" s="54" t="str">
        <f>IFERROR(__xludf.DUMMYFUNCTION("""COMPUTED_VALUE"""),"повторение пройденного")</f>
        <v>повторение пройденного</v>
      </c>
      <c r="BW20" s="54"/>
      <c r="BX20" s="54"/>
      <c r="BY20" s="54"/>
      <c r="BZ20" s="70">
        <f>IFERROR(__xludf.DUMMYFUNCTION("""COMPUTED_VALUE"""),46098.0)</f>
        <v>46098</v>
      </c>
      <c r="CA20" s="54"/>
      <c r="CB20" s="54"/>
      <c r="CC20" s="54"/>
      <c r="CD20" s="54"/>
      <c r="CE20" s="54"/>
      <c r="CF20" s="55"/>
      <c r="CG20" s="67"/>
      <c r="CH20" s="54" t="str">
        <f>IFERROR(__xludf.DUMMYFUNCTION("""COMPUTED_VALUE"""),"По плану 16 часов, выполнено 16 часов")</f>
        <v>По плану 16 часов, выполнено 16 часов</v>
      </c>
      <c r="CI20" s="54"/>
      <c r="CJ20" s="54"/>
      <c r="CK20" s="54"/>
      <c r="CL20" s="54"/>
      <c r="CM20" s="54"/>
      <c r="CN20" s="54" t="str">
        <f>IFERROR(__xludf.DUMMYFUNCTION("""COMPUTED_VALUE"""),"Контрольная работа")</f>
        <v>Контрольная работа</v>
      </c>
      <c r="CO20" s="54"/>
      <c r="CP20" s="54"/>
      <c r="CQ20" s="54"/>
      <c r="CR20" s="55"/>
      <c r="CS20" s="80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5"/>
      <c r="DE20" s="81">
        <f>IFERROR(__xludf.DUMMYFUNCTION("""COMPUTED_VALUE"""),5.0)</f>
        <v>5</v>
      </c>
      <c r="DF20" s="72">
        <f>IFERROR(__xludf.DUMMYFUNCTION("""COMPUTED_VALUE"""),5.0)</f>
        <v>5</v>
      </c>
      <c r="DG20" s="54"/>
      <c r="DH20" s="54"/>
      <c r="DI20" s="54"/>
      <c r="DJ20" s="54"/>
      <c r="DK20" s="54"/>
      <c r="DL20" s="54"/>
      <c r="DM20" s="54"/>
      <c r="DN20" s="54"/>
      <c r="DO20" s="54"/>
      <c r="DP20" s="55"/>
      <c r="DQ20" s="67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5"/>
      <c r="EC20" s="67"/>
      <c r="ED20" s="54"/>
      <c r="EE20" s="54"/>
      <c r="EF20" s="54" t="str">
        <f>IFERROR(__xludf.DUMMYFUNCTION("""COMPUTED_VALUE"""),"Кураш. Упражнения на мягкое падение, обучение приёму «чил».")</f>
        <v>Кураш. Упражнения на мягкое падение, обучение приёму «чил».</v>
      </c>
      <c r="EG20" s="54" t="str">
        <f>IFERROR(__xludf.DUMMYFUNCTION("""COMPUTED_VALUE"""),"Закрепить последовательность движений полностью")</f>
        <v>Закрепить последовательность движений полностью</v>
      </c>
      <c r="EH20" s="54"/>
      <c r="EI20" s="54"/>
      <c r="EJ20" s="54"/>
      <c r="EK20" s="54"/>
      <c r="EL20" s="54"/>
      <c r="EM20" s="54"/>
      <c r="EN20" s="55"/>
      <c r="EO20" s="67"/>
      <c r="EP20" s="54"/>
      <c r="EQ20" s="54"/>
      <c r="ER20" s="54"/>
      <c r="ES20" s="54"/>
      <c r="ET20" s="54"/>
      <c r="EU20" s="54"/>
      <c r="EV20" s="54"/>
      <c r="EW20" s="54"/>
      <c r="EX20" s="54"/>
      <c r="EY20" s="54"/>
      <c r="EZ20" s="55"/>
      <c r="FA20" s="67"/>
      <c r="FB20" s="54"/>
      <c r="FC20" s="54"/>
      <c r="FD20" s="54"/>
      <c r="FE20" s="54"/>
      <c r="FF20" s="54"/>
      <c r="FG20" s="54"/>
      <c r="FH20" s="54"/>
      <c r="FI20" s="54"/>
      <c r="FJ20" s="54"/>
      <c r="FK20" s="54"/>
      <c r="FL20" s="55"/>
    </row>
    <row r="21">
      <c r="A21" s="73"/>
      <c r="B21" s="54"/>
      <c r="C21" s="54"/>
      <c r="D21" s="54" t="str">
        <f>IFERROR(__xludf.DUMMYFUNCTION("""COMPUTED_VALUE"""),"Относительные местоимения.")</f>
        <v>Относительные местоимения.</v>
      </c>
      <c r="E21" s="54" t="str">
        <f>IFERROR(__xludf.DUMMYFUNCTION("""COMPUTED_VALUE"""),"стр. 141, задание")</f>
        <v>стр. 141, задание</v>
      </c>
      <c r="F21" s="54"/>
      <c r="G21" s="54"/>
      <c r="H21" s="54"/>
      <c r="I21" s="54"/>
      <c r="J21" s="54"/>
      <c r="K21" s="54"/>
      <c r="L21" s="55"/>
      <c r="M21" s="67"/>
      <c r="N21" s="54" t="str">
        <f>IFERROR(__xludf.DUMMYFUNCTION("""COMPUTED_VALUE"""),"12.023.2026")</f>
        <v>12.023.2026</v>
      </c>
      <c r="O21" s="54" t="str">
        <f>IFERROR(__xludf.DUMMYFUNCTION("""COMPUTED_VALUE"""),"СОЧ-3  40 баллов")</f>
        <v>СОЧ-3  40 баллов</v>
      </c>
      <c r="P21" s="54" t="str">
        <f>IFERROR(__xludf.DUMMYFUNCTION("""COMPUTED_VALUE"""),"повторения")</f>
        <v>повторения</v>
      </c>
      <c r="Q21" s="54"/>
      <c r="R21" s="54"/>
      <c r="S21" s="54"/>
      <c r="T21" s="54"/>
      <c r="U21" s="54"/>
      <c r="V21" s="54"/>
      <c r="W21" s="54"/>
      <c r="X21" s="55"/>
      <c r="Y21" s="67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5"/>
      <c r="AK21" s="67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5"/>
      <c r="AW21" s="67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5"/>
      <c r="BI21" s="67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5"/>
      <c r="BU21" s="67" t="str">
        <f>IFERROR(__xludf.DUMMYFUNCTION("""COMPUTED_VALUE"""),"По плану 17 часов, выполнено 17 часов")</f>
        <v>По плану 17 часов, выполнено 17 часов</v>
      </c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5"/>
      <c r="CG21" s="67"/>
      <c r="CH21" s="54"/>
      <c r="CI21" s="54"/>
      <c r="CJ21" s="54"/>
      <c r="CK21" s="54" t="str">
        <f>IFERROR(__xludf.DUMMYFUNCTION("""COMPUTED_VALUE"""),"за полугодие: по плану - 16, дано - 16 часов")</f>
        <v>за полугодие: по плану - 16, дано - 16 часов</v>
      </c>
      <c r="CL21" s="54"/>
      <c r="CM21" s="54"/>
      <c r="CN21" s="54" t="str">
        <f>IFERROR(__xludf.DUMMYFUNCTION("""COMPUTED_VALUE"""),"Урок обощения")</f>
        <v>Урок обощения</v>
      </c>
      <c r="CO21" s="54"/>
      <c r="CP21" s="54"/>
      <c r="CQ21" s="54"/>
      <c r="CR21" s="55"/>
      <c r="CS21" s="67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5"/>
      <c r="DE21" s="81" t="str">
        <f>IFERROR(__xludf.DUMMYFUNCTION("""COMPUTED_VALUE"""),"н")</f>
        <v>н</v>
      </c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5"/>
      <c r="DQ21" s="67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5"/>
      <c r="EC21" s="67"/>
      <c r="ED21" s="54"/>
      <c r="EE21" s="54"/>
      <c r="EF21" s="54" t="str">
        <f>IFERROR(__xludf.DUMMYFUNCTION("""COMPUTED_VALUE"""),"Кураш. Принятие удобной стойки в кураше, способы самозащиты в кураше. Упражнения на мягкое падение; выполнение приёма «чил».")</f>
        <v>Кураш. Принятие удобной стойки в кураше, способы самозащиты в кураше. Упражнения на мягкое падение; выполнение приёма «чил».</v>
      </c>
      <c r="EG21" s="54" t="str">
        <f>IFERROR(__xludf.DUMMYFUNCTION("""COMPUTED_VALUE"""),"Потренировать устойчивость и баланс")</f>
        <v>Потренировать устойчивость и баланс</v>
      </c>
      <c r="EH21" s="54"/>
      <c r="EI21" s="54"/>
      <c r="EJ21" s="54"/>
      <c r="EK21" s="54"/>
      <c r="EL21" s="54"/>
      <c r="EM21" s="54"/>
      <c r="EN21" s="55"/>
      <c r="EO21" s="67"/>
      <c r="EP21" s="54"/>
      <c r="EQ21" s="54"/>
      <c r="ER21" s="54"/>
      <c r="ES21" s="54"/>
      <c r="ET21" s="54"/>
      <c r="EU21" s="54"/>
      <c r="EV21" s="54"/>
      <c r="EW21" s="54"/>
      <c r="EX21" s="54"/>
      <c r="EY21" s="54"/>
      <c r="EZ21" s="55"/>
      <c r="FA21" s="67"/>
      <c r="FB21" s="54"/>
      <c r="FC21" s="54"/>
      <c r="FD21" s="54"/>
      <c r="FE21" s="54"/>
      <c r="FF21" s="54"/>
      <c r="FG21" s="54"/>
      <c r="FH21" s="54"/>
      <c r="FI21" s="54"/>
      <c r="FJ21" s="54"/>
      <c r="FK21" s="54"/>
      <c r="FL21" s="55"/>
    </row>
    <row r="22">
      <c r="A22" s="54"/>
      <c r="B22" s="54"/>
      <c r="C22" s="54"/>
      <c r="D22" s="54" t="str">
        <f>IFERROR(__xludf.DUMMYFUNCTION("""COMPUTED_VALUE"""),"Отрицательные местоимения")</f>
        <v>Отрицательные местоимения</v>
      </c>
      <c r="E22" s="54" t="str">
        <f>IFERROR(__xludf.DUMMYFUNCTION("""COMPUTED_VALUE"""),"стр. 143, задание")</f>
        <v>стр. 143, задание</v>
      </c>
      <c r="F22" s="54"/>
      <c r="G22" s="54"/>
      <c r="H22" s="54"/>
      <c r="I22" s="54"/>
      <c r="J22" s="54"/>
      <c r="K22" s="54"/>
      <c r="L22" s="55"/>
      <c r="M22" s="67"/>
      <c r="N22" s="54"/>
      <c r="O22" s="54" t="str">
        <f>IFERROR(__xludf.DUMMYFUNCTION("""COMPUTED_VALUE"""),"Д.О’Лири«Великий побег».")</f>
        <v>Д.О’Лири«Великий побег».</v>
      </c>
      <c r="P22" s="54"/>
      <c r="Q22" s="54"/>
      <c r="R22" s="54"/>
      <c r="S22" s="54"/>
      <c r="T22" s="54"/>
      <c r="U22" s="54"/>
      <c r="V22" s="54"/>
      <c r="W22" s="54"/>
      <c r="X22" s="55"/>
      <c r="Y22" s="67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5"/>
      <c r="AK22" s="67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5"/>
      <c r="AW22" s="67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5"/>
      <c r="BI22" s="67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5"/>
      <c r="BU22" s="67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5"/>
      <c r="CG22" s="67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5"/>
      <c r="CS22" s="80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5"/>
      <c r="DE22" s="67"/>
      <c r="DF22" s="54"/>
      <c r="DG22" s="54"/>
      <c r="DH22" s="54"/>
      <c r="DI22" s="54"/>
      <c r="DJ22" s="54"/>
      <c r="DK22" s="54"/>
      <c r="DL22" s="54"/>
      <c r="DM22" s="54"/>
      <c r="DN22" s="54"/>
      <c r="DO22" s="54"/>
      <c r="DP22" s="55"/>
      <c r="DQ22" s="67"/>
      <c r="DR22" s="54"/>
      <c r="DS22" s="54"/>
      <c r="DT22" s="54"/>
      <c r="DU22" s="54"/>
      <c r="DV22" s="54"/>
      <c r="DW22" s="54"/>
      <c r="DX22" s="54"/>
      <c r="DY22" s="54"/>
      <c r="DZ22" s="54"/>
      <c r="EA22" s="54"/>
      <c r="EB22" s="55"/>
      <c r="EC22" s="67"/>
      <c r="ED22" s="54"/>
      <c r="EE22" s="54"/>
      <c r="EF22" s="54" t="str">
        <f>IFERROR(__xludf.DUMMYFUNCTION("""COMPUTED_VALUE"""),"Контрольная работа")</f>
        <v>Контрольная работа</v>
      </c>
      <c r="EG22" s="54" t="str">
        <f>IFERROR(__xludf.DUMMYFUNCTION("""COMPUTED_VALUE"""),"Повторить ключевые проверочные элементы")</f>
        <v>Повторить ключевые проверочные элементы</v>
      </c>
      <c r="EH22" s="54"/>
      <c r="EI22" s="54"/>
      <c r="EJ22" s="54"/>
      <c r="EK22" s="54"/>
      <c r="EL22" s="54"/>
      <c r="EM22" s="54"/>
      <c r="EN22" s="55"/>
      <c r="EO22" s="67"/>
      <c r="EP22" s="54"/>
      <c r="EQ22" s="54"/>
      <c r="ER22" s="54"/>
      <c r="ES22" s="54"/>
      <c r="ET22" s="54"/>
      <c r="EU22" s="54"/>
      <c r="EV22" s="54"/>
      <c r="EW22" s="54"/>
      <c r="EX22" s="54"/>
      <c r="EY22" s="54"/>
      <c r="EZ22" s="55"/>
      <c r="FA22" s="67"/>
      <c r="FB22" s="54"/>
      <c r="FC22" s="54"/>
      <c r="FD22" s="54"/>
      <c r="FE22" s="54"/>
      <c r="FF22" s="54"/>
      <c r="FG22" s="54"/>
      <c r="FH22" s="54"/>
      <c r="FI22" s="54"/>
      <c r="FJ22" s="54"/>
      <c r="FK22" s="54"/>
      <c r="FL22" s="55"/>
    </row>
    <row r="23">
      <c r="A23" s="73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5"/>
      <c r="M23" s="67"/>
      <c r="N23" s="54"/>
      <c r="O23" s="54" t="str">
        <f>IFERROR(__xludf.DUMMYFUNCTION("""COMPUTED_VALUE"""),"Повторение пройденного материала")</f>
        <v>Повторение пройденного материала</v>
      </c>
      <c r="P23" s="54"/>
      <c r="Q23" s="54"/>
      <c r="R23" s="54"/>
      <c r="S23" s="54"/>
      <c r="T23" s="54"/>
      <c r="U23" s="54"/>
      <c r="V23" s="54"/>
      <c r="W23" s="54"/>
      <c r="X23" s="55"/>
      <c r="Y23" s="67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5"/>
      <c r="AK23" s="67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5"/>
      <c r="AW23" s="67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5"/>
      <c r="BI23" s="67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5"/>
      <c r="BU23" s="67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5"/>
      <c r="CG23" s="67"/>
      <c r="CH23" s="54"/>
      <c r="CI23" s="54"/>
      <c r="CJ23" s="54"/>
      <c r="CK23" s="54"/>
      <c r="CL23" s="54"/>
      <c r="CM23" s="54"/>
      <c r="CN23" s="54" t="str">
        <f>IFERROR(__xludf.DUMMYFUNCTION("""COMPUTED_VALUE"""),"за полугодие: по плану - 18, дано - 18 часов")</f>
        <v>за полугодие: по плану - 18, дано - 18 часов</v>
      </c>
      <c r="CO23" s="54"/>
      <c r="CP23" s="54"/>
      <c r="CQ23" s="54"/>
      <c r="CR23" s="55"/>
      <c r="CS23" s="80"/>
      <c r="CT23" s="54"/>
      <c r="CU23" s="54"/>
      <c r="CV23" s="54"/>
      <c r="CW23" s="54"/>
      <c r="CX23" s="54"/>
      <c r="CY23" s="54"/>
      <c r="CZ23" s="54"/>
      <c r="DA23" s="54"/>
      <c r="DB23" s="54"/>
      <c r="DC23" s="54"/>
      <c r="DD23" s="55"/>
      <c r="DE23" s="67"/>
      <c r="DF23" s="54"/>
      <c r="DG23" s="54"/>
      <c r="DH23" s="54"/>
      <c r="DI23" s="54"/>
      <c r="DJ23" s="54"/>
      <c r="DK23" s="54"/>
      <c r="DL23" s="54"/>
      <c r="DM23" s="54"/>
      <c r="DN23" s="54"/>
      <c r="DO23" s="54"/>
      <c r="DP23" s="55"/>
      <c r="DQ23" s="67"/>
      <c r="DR23" s="54"/>
      <c r="DS23" s="54"/>
      <c r="DT23" s="54"/>
      <c r="DU23" s="54"/>
      <c r="DV23" s="54"/>
      <c r="DW23" s="54"/>
      <c r="DX23" s="54"/>
      <c r="DY23" s="54"/>
      <c r="DZ23" s="54"/>
      <c r="EA23" s="54"/>
      <c r="EB23" s="55"/>
      <c r="EC23" s="67"/>
      <c r="ED23" s="54"/>
      <c r="EE23" s="54"/>
      <c r="EF23" s="54" t="str">
        <f>IFERROR(__xludf.DUMMYFUNCTION("""COMPUTED_VALUE"""),"Кураш. Принятие удобной стойки в кураше; способы самозащиты в кураше. Обучение приёмам броска через плечо.")</f>
        <v>Кураш. Принятие удобной стойки в кураше; способы самозащиты в кураше. Обучение приёмам броска через плечо.</v>
      </c>
      <c r="EG23" s="54" t="str">
        <f>IFERROR(__xludf.DUMMYFUNCTION("""COMPUTED_VALUE"""),"Выполнить задание на быстроту и реакцию")</f>
        <v>Выполнить задание на быстроту и реакцию</v>
      </c>
      <c r="EH23" s="54"/>
      <c r="EI23" s="54"/>
      <c r="EJ23" s="54"/>
      <c r="EK23" s="54"/>
      <c r="EL23" s="54"/>
      <c r="EM23" s="54"/>
      <c r="EN23" s="55"/>
      <c r="EO23" s="67"/>
      <c r="EP23" s="54"/>
      <c r="EQ23" s="54"/>
      <c r="ER23" s="54"/>
      <c r="ES23" s="54"/>
      <c r="ET23" s="54"/>
      <c r="EU23" s="54"/>
      <c r="EV23" s="54"/>
      <c r="EW23" s="54"/>
      <c r="EX23" s="54"/>
      <c r="EY23" s="54"/>
      <c r="EZ23" s="55"/>
      <c r="FA23" s="67"/>
      <c r="FB23" s="54"/>
      <c r="FC23" s="54"/>
      <c r="FD23" s="54"/>
      <c r="FE23" s="54"/>
      <c r="FF23" s="54"/>
      <c r="FG23" s="54"/>
      <c r="FH23" s="54"/>
      <c r="FI23" s="54"/>
      <c r="FJ23" s="54"/>
      <c r="FK23" s="54"/>
      <c r="FL23" s="55"/>
    </row>
    <row r="24">
      <c r="A24" s="73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5"/>
      <c r="M24" s="67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5"/>
      <c r="Y24" s="67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5"/>
      <c r="AK24" s="67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5"/>
      <c r="AW24" s="67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5"/>
      <c r="BI24" s="67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5"/>
      <c r="BU24" s="67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5"/>
      <c r="CG24" s="67"/>
      <c r="CH24" s="54"/>
      <c r="CI24" s="54"/>
      <c r="CJ24" s="54"/>
      <c r="CK24" s="54"/>
      <c r="CL24" s="54"/>
      <c r="CM24" s="54"/>
      <c r="CN24" s="54" t="str">
        <f>IFERROR(__xludf.DUMMYFUNCTION("""COMPUTED_VALUE"""),"за год: по плану - 34, дано - 34 часа")</f>
        <v>за год: по плану - 34, дано - 34 часа</v>
      </c>
      <c r="CO24" s="54"/>
      <c r="CP24" s="54"/>
      <c r="CQ24" s="54"/>
      <c r="CR24" s="55"/>
      <c r="CS24" s="67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55"/>
      <c r="DE24" s="67"/>
      <c r="DF24" s="54"/>
      <c r="DG24" s="54"/>
      <c r="DH24" s="54"/>
      <c r="DI24" s="54"/>
      <c r="DJ24" s="54"/>
      <c r="DK24" s="54"/>
      <c r="DL24" s="54"/>
      <c r="DM24" s="54"/>
      <c r="DN24" s="54"/>
      <c r="DO24" s="54"/>
      <c r="DP24" s="55"/>
      <c r="DQ24" s="67"/>
      <c r="DR24" s="54"/>
      <c r="DS24" s="54"/>
      <c r="DT24" s="54"/>
      <c r="DU24" s="54"/>
      <c r="DV24" s="54"/>
      <c r="DW24" s="54"/>
      <c r="DX24" s="54"/>
      <c r="DY24" s="54"/>
      <c r="DZ24" s="54"/>
      <c r="EA24" s="54"/>
      <c r="EB24" s="55"/>
      <c r="EC24" s="67"/>
      <c r="ED24" s="54"/>
      <c r="EE24" s="54"/>
      <c r="EF24" s="54"/>
      <c r="EG24" s="54"/>
      <c r="EH24" s="54"/>
      <c r="EI24" s="54"/>
      <c r="EJ24" s="54"/>
      <c r="EK24" s="54"/>
      <c r="EL24" s="54"/>
      <c r="EM24" s="54"/>
      <c r="EN24" s="55"/>
      <c r="EO24" s="67"/>
      <c r="EP24" s="54"/>
      <c r="EQ24" s="54"/>
      <c r="ER24" s="54"/>
      <c r="ES24" s="54"/>
      <c r="ET24" s="54"/>
      <c r="EU24" s="54"/>
      <c r="EV24" s="54"/>
      <c r="EW24" s="54"/>
      <c r="EX24" s="54"/>
      <c r="EY24" s="54"/>
      <c r="EZ24" s="55"/>
      <c r="FA24" s="67"/>
      <c r="FB24" s="54"/>
      <c r="FC24" s="54"/>
      <c r="FD24" s="54"/>
      <c r="FE24" s="54"/>
      <c r="FF24" s="54"/>
      <c r="FG24" s="54"/>
      <c r="FH24" s="54"/>
      <c r="FI24" s="54"/>
      <c r="FJ24" s="54"/>
      <c r="FK24" s="54"/>
      <c r="FL24" s="55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5"/>
      <c r="M25" s="67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5"/>
      <c r="Y25" s="67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5"/>
      <c r="AK25" s="67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5"/>
      <c r="AW25" s="67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5"/>
      <c r="BI25" s="67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5"/>
      <c r="BU25" s="67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5"/>
      <c r="CG25" s="67"/>
      <c r="CH25" s="54"/>
      <c r="CI25" s="54"/>
      <c r="CJ25" s="54"/>
      <c r="CK25" s="54"/>
      <c r="CL25" s="54"/>
      <c r="CM25" s="54"/>
      <c r="CN25" s="54"/>
      <c r="CO25" s="54"/>
      <c r="CP25" s="54"/>
      <c r="CQ25" s="54"/>
      <c r="CR25" s="55"/>
      <c r="CS25" s="67"/>
      <c r="CT25" s="54"/>
      <c r="CU25" s="54"/>
      <c r="CV25" s="54"/>
      <c r="CW25" s="54"/>
      <c r="CX25" s="54"/>
      <c r="CY25" s="54"/>
      <c r="CZ25" s="54"/>
      <c r="DA25" s="54"/>
      <c r="DB25" s="54"/>
      <c r="DC25" s="54"/>
      <c r="DD25" s="55"/>
      <c r="DE25" s="67"/>
      <c r="DF25" s="54"/>
      <c r="DG25" s="54"/>
      <c r="DH25" s="54"/>
      <c r="DI25" s="54"/>
      <c r="DJ25" s="54"/>
      <c r="DK25" s="54"/>
      <c r="DL25" s="54"/>
      <c r="DM25" s="54"/>
      <c r="DN25" s="54"/>
      <c r="DO25" s="54"/>
      <c r="DP25" s="55"/>
      <c r="DQ25" s="67"/>
      <c r="DR25" s="54"/>
      <c r="DS25" s="54"/>
      <c r="DT25" s="54"/>
      <c r="DU25" s="54"/>
      <c r="DV25" s="54"/>
      <c r="DW25" s="54"/>
      <c r="DX25" s="54"/>
      <c r="DY25" s="54"/>
      <c r="DZ25" s="54"/>
      <c r="EA25" s="54"/>
      <c r="EB25" s="55"/>
      <c r="EC25" s="67"/>
      <c r="ED25" s="54"/>
      <c r="EE25" s="54"/>
      <c r="EF25" s="54"/>
      <c r="EG25" s="54"/>
      <c r="EH25" s="54"/>
      <c r="EI25" s="54"/>
      <c r="EJ25" s="54"/>
      <c r="EK25" s="54"/>
      <c r="EL25" s="54"/>
      <c r="EM25" s="54"/>
      <c r="EN25" s="55"/>
      <c r="EO25" s="67"/>
      <c r="EP25" s="54"/>
      <c r="EQ25" s="54"/>
      <c r="ER25" s="54"/>
      <c r="ES25" s="54"/>
      <c r="ET25" s="54"/>
      <c r="EU25" s="54"/>
      <c r="EV25" s="54"/>
      <c r="EW25" s="54"/>
      <c r="EX25" s="54"/>
      <c r="EY25" s="54"/>
      <c r="EZ25" s="55"/>
      <c r="FA25" s="67"/>
      <c r="FB25" s="54"/>
      <c r="FC25" s="54"/>
      <c r="FD25" s="54"/>
      <c r="FE25" s="54"/>
      <c r="FF25" s="54"/>
      <c r="FG25" s="54"/>
      <c r="FH25" s="54"/>
      <c r="FI25" s="54"/>
      <c r="FJ25" s="54"/>
      <c r="FK25" s="54"/>
      <c r="FL25" s="55"/>
    </row>
    <row r="26">
      <c r="A26" s="73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5"/>
      <c r="M26" s="67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5"/>
      <c r="Y26" s="67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5"/>
      <c r="AK26" s="67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5"/>
      <c r="AW26" s="67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5"/>
      <c r="BI26" s="67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5"/>
      <c r="BU26" s="67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5"/>
      <c r="CG26" s="67"/>
      <c r="CH26" s="54"/>
      <c r="CI26" s="54"/>
      <c r="CJ26" s="54"/>
      <c r="CK26" s="54"/>
      <c r="CL26" s="54"/>
      <c r="CM26" s="54"/>
      <c r="CN26" s="54"/>
      <c r="CO26" s="54"/>
      <c r="CP26" s="54"/>
      <c r="CQ26" s="54"/>
      <c r="CR26" s="55"/>
      <c r="CS26" s="67"/>
      <c r="CT26" s="54"/>
      <c r="CU26" s="54"/>
      <c r="CV26" s="54"/>
      <c r="CW26" s="54"/>
      <c r="CX26" s="54"/>
      <c r="CY26" s="54"/>
      <c r="CZ26" s="54"/>
      <c r="DA26" s="54"/>
      <c r="DB26" s="54"/>
      <c r="DC26" s="54"/>
      <c r="DD26" s="55"/>
      <c r="DE26" s="67"/>
      <c r="DF26" s="54"/>
      <c r="DG26" s="54"/>
      <c r="DH26" s="54"/>
      <c r="DI26" s="54"/>
      <c r="DJ26" s="54"/>
      <c r="DK26" s="54"/>
      <c r="DL26" s="54"/>
      <c r="DM26" s="54"/>
      <c r="DN26" s="54"/>
      <c r="DO26" s="54"/>
      <c r="DP26" s="55"/>
      <c r="DQ26" s="67"/>
      <c r="DR26" s="54"/>
      <c r="DS26" s="54"/>
      <c r="DT26" s="54"/>
      <c r="DU26" s="54"/>
      <c r="DV26" s="54"/>
      <c r="DW26" s="54"/>
      <c r="DX26" s="54"/>
      <c r="DY26" s="54"/>
      <c r="DZ26" s="54"/>
      <c r="EA26" s="54"/>
      <c r="EB26" s="55"/>
      <c r="EC26" s="67"/>
      <c r="ED26" s="54"/>
      <c r="EE26" s="54"/>
      <c r="EF26" s="54"/>
      <c r="EG26" s="54"/>
      <c r="EH26" s="54"/>
      <c r="EI26" s="54"/>
      <c r="EJ26" s="54"/>
      <c r="EK26" s="54"/>
      <c r="EL26" s="54"/>
      <c r="EM26" s="54"/>
      <c r="EN26" s="55"/>
      <c r="EO26" s="67"/>
      <c r="EP26" s="54"/>
      <c r="EQ26" s="54"/>
      <c r="ER26" s="54"/>
      <c r="ES26" s="54"/>
      <c r="ET26" s="54"/>
      <c r="EU26" s="54"/>
      <c r="EV26" s="54"/>
      <c r="EW26" s="54"/>
      <c r="EX26" s="54"/>
      <c r="EY26" s="54"/>
      <c r="EZ26" s="55"/>
      <c r="FA26" s="67"/>
      <c r="FB26" s="54"/>
      <c r="FC26" s="54"/>
      <c r="FD26" s="54"/>
      <c r="FE26" s="54"/>
      <c r="FF26" s="54"/>
      <c r="FG26" s="54"/>
      <c r="FH26" s="54"/>
      <c r="FI26" s="54"/>
      <c r="FJ26" s="54"/>
      <c r="FK26" s="54"/>
      <c r="FL26" s="55"/>
    </row>
    <row r="27">
      <c r="A27" s="73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5"/>
      <c r="M27" s="67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5"/>
      <c r="Y27" s="67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5"/>
      <c r="AK27" s="67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5"/>
      <c r="AW27" s="67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5"/>
      <c r="BI27" s="67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5"/>
      <c r="BU27" s="67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5"/>
      <c r="CG27" s="67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5"/>
      <c r="CS27" s="67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5"/>
      <c r="DE27" s="67"/>
      <c r="DF27" s="54"/>
      <c r="DG27" s="54"/>
      <c r="DH27" s="54"/>
      <c r="DI27" s="54"/>
      <c r="DJ27" s="54"/>
      <c r="DK27" s="54"/>
      <c r="DL27" s="54"/>
      <c r="DM27" s="54"/>
      <c r="DN27" s="54"/>
      <c r="DO27" s="54"/>
      <c r="DP27" s="55"/>
      <c r="DQ27" s="67"/>
      <c r="DR27" s="54"/>
      <c r="DS27" s="54"/>
      <c r="DT27" s="54"/>
      <c r="DU27" s="54"/>
      <c r="DV27" s="54"/>
      <c r="DW27" s="54"/>
      <c r="DX27" s="54"/>
      <c r="DY27" s="54"/>
      <c r="DZ27" s="54"/>
      <c r="EA27" s="54"/>
      <c r="EB27" s="55"/>
      <c r="EC27" s="67"/>
      <c r="ED27" s="54"/>
      <c r="EE27" s="54"/>
      <c r="EF27" s="54"/>
      <c r="EG27" s="54"/>
      <c r="EH27" s="54"/>
      <c r="EI27" s="54"/>
      <c r="EJ27" s="54"/>
      <c r="EK27" s="54"/>
      <c r="EL27" s="54"/>
      <c r="EM27" s="54"/>
      <c r="EN27" s="55"/>
      <c r="EO27" s="67"/>
      <c r="EP27" s="54"/>
      <c r="EQ27" s="54"/>
      <c r="ER27" s="54"/>
      <c r="ES27" s="54"/>
      <c r="ET27" s="54"/>
      <c r="EU27" s="54"/>
      <c r="EV27" s="54"/>
      <c r="EW27" s="54"/>
      <c r="EX27" s="54"/>
      <c r="EY27" s="54"/>
      <c r="EZ27" s="55"/>
      <c r="FA27" s="67"/>
      <c r="FB27" s="54"/>
      <c r="FC27" s="54"/>
      <c r="FD27" s="54"/>
      <c r="FE27" s="54"/>
      <c r="FF27" s="54"/>
      <c r="FG27" s="54"/>
      <c r="FH27" s="54"/>
      <c r="FI27" s="54"/>
      <c r="FJ27" s="54"/>
      <c r="FK27" s="54"/>
      <c r="FL27" s="55"/>
    </row>
    <row r="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5"/>
      <c r="M28" s="67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5"/>
      <c r="Y28" s="67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5"/>
      <c r="AK28" s="67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5"/>
      <c r="AW28" s="67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5"/>
      <c r="BI28" s="67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5"/>
      <c r="BU28" s="67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5"/>
      <c r="CG28" s="67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5"/>
      <c r="CS28" s="67"/>
      <c r="CT28" s="54"/>
      <c r="CU28" s="54"/>
      <c r="CV28" s="54"/>
      <c r="CW28" s="54"/>
      <c r="CX28" s="54"/>
      <c r="CY28" s="54"/>
      <c r="CZ28" s="54"/>
      <c r="DA28" s="54"/>
      <c r="DB28" s="54"/>
      <c r="DC28" s="54"/>
      <c r="DD28" s="55"/>
      <c r="DE28" s="67"/>
      <c r="DF28" s="54"/>
      <c r="DG28" s="54"/>
      <c r="DH28" s="54"/>
      <c r="DI28" s="54"/>
      <c r="DJ28" s="54"/>
      <c r="DK28" s="54"/>
      <c r="DL28" s="54"/>
      <c r="DM28" s="54"/>
      <c r="DN28" s="54"/>
      <c r="DO28" s="54"/>
      <c r="DP28" s="55"/>
      <c r="DQ28" s="67"/>
      <c r="DR28" s="54"/>
      <c r="DS28" s="54"/>
      <c r="DT28" s="54"/>
      <c r="DU28" s="54"/>
      <c r="DV28" s="54"/>
      <c r="DW28" s="54"/>
      <c r="DX28" s="54"/>
      <c r="DY28" s="54"/>
      <c r="DZ28" s="54"/>
      <c r="EA28" s="54"/>
      <c r="EB28" s="55"/>
      <c r="EC28" s="67"/>
      <c r="ED28" s="54"/>
      <c r="EE28" s="54"/>
      <c r="EF28" s="54"/>
      <c r="EG28" s="54"/>
      <c r="EH28" s="54"/>
      <c r="EI28" s="54"/>
      <c r="EJ28" s="54"/>
      <c r="EK28" s="54"/>
      <c r="EL28" s="54"/>
      <c r="EM28" s="54"/>
      <c r="EN28" s="55"/>
      <c r="EO28" s="67"/>
      <c r="EP28" s="54"/>
      <c r="EQ28" s="54"/>
      <c r="ER28" s="54"/>
      <c r="ES28" s="54"/>
      <c r="ET28" s="54"/>
      <c r="EU28" s="54"/>
      <c r="EV28" s="54"/>
      <c r="EW28" s="54"/>
      <c r="EX28" s="54"/>
      <c r="EY28" s="54"/>
      <c r="EZ28" s="55"/>
      <c r="FA28" s="67"/>
      <c r="FB28" s="54"/>
      <c r="FC28" s="54"/>
      <c r="FD28" s="54"/>
      <c r="FE28" s="54"/>
      <c r="FF28" s="54"/>
      <c r="FG28" s="54"/>
      <c r="FH28" s="54"/>
      <c r="FI28" s="54"/>
      <c r="FJ28" s="54"/>
      <c r="FK28" s="54"/>
      <c r="FL28" s="55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5"/>
      <c r="M29" s="67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5"/>
      <c r="Y29" s="67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5"/>
      <c r="AK29" s="67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5"/>
      <c r="AW29" s="67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5"/>
      <c r="BI29" s="67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5"/>
      <c r="BU29" s="67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5"/>
      <c r="CG29" s="67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5"/>
      <c r="CS29" s="67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5"/>
      <c r="DE29" s="67"/>
      <c r="DF29" s="54"/>
      <c r="DG29" s="54"/>
      <c r="DH29" s="54"/>
      <c r="DI29" s="54"/>
      <c r="DJ29" s="54"/>
      <c r="DK29" s="54"/>
      <c r="DL29" s="54"/>
      <c r="DM29" s="54"/>
      <c r="DN29" s="54"/>
      <c r="DO29" s="54"/>
      <c r="DP29" s="55"/>
      <c r="DQ29" s="67"/>
      <c r="DR29" s="54"/>
      <c r="DS29" s="54"/>
      <c r="DT29" s="54"/>
      <c r="DU29" s="54"/>
      <c r="DV29" s="54"/>
      <c r="DW29" s="54"/>
      <c r="DX29" s="54"/>
      <c r="DY29" s="54"/>
      <c r="DZ29" s="54"/>
      <c r="EA29" s="54"/>
      <c r="EB29" s="55"/>
      <c r="EC29" s="67"/>
      <c r="ED29" s="54"/>
      <c r="EE29" s="54"/>
      <c r="EF29" s="54"/>
      <c r="EG29" s="54"/>
      <c r="EH29" s="54"/>
      <c r="EI29" s="54"/>
      <c r="EJ29" s="54"/>
      <c r="EK29" s="54"/>
      <c r="EL29" s="54"/>
      <c r="EM29" s="54"/>
      <c r="EN29" s="55"/>
      <c r="EO29" s="67"/>
      <c r="EP29" s="54"/>
      <c r="EQ29" s="54"/>
      <c r="ER29" s="54"/>
      <c r="ES29" s="54"/>
      <c r="ET29" s="54"/>
      <c r="EU29" s="54"/>
      <c r="EV29" s="54"/>
      <c r="EW29" s="54"/>
      <c r="EX29" s="54"/>
      <c r="EY29" s="54"/>
      <c r="EZ29" s="55"/>
      <c r="FA29" s="67"/>
      <c r="FB29" s="54"/>
      <c r="FC29" s="54"/>
      <c r="FD29" s="54"/>
      <c r="FE29" s="54"/>
      <c r="FF29" s="54"/>
      <c r="FG29" s="54"/>
      <c r="FH29" s="54"/>
      <c r="FI29" s="54"/>
      <c r="FJ29" s="54"/>
      <c r="FK29" s="54"/>
      <c r="FL29" s="55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5"/>
      <c r="M30" s="67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5"/>
      <c r="Y30" s="67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5"/>
      <c r="AK30" s="67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5"/>
      <c r="AW30" s="67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5"/>
      <c r="BI30" s="67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5"/>
      <c r="BU30" s="67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5"/>
      <c r="CG30" s="67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5"/>
      <c r="CS30" s="67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5"/>
      <c r="DE30" s="67"/>
      <c r="DF30" s="54"/>
      <c r="DG30" s="54"/>
      <c r="DH30" s="54"/>
      <c r="DI30" s="54"/>
      <c r="DJ30" s="54"/>
      <c r="DK30" s="54"/>
      <c r="DL30" s="54"/>
      <c r="DM30" s="54"/>
      <c r="DN30" s="54"/>
      <c r="DO30" s="54"/>
      <c r="DP30" s="55"/>
      <c r="DQ30" s="67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5"/>
      <c r="EC30" s="67"/>
      <c r="ED30" s="54"/>
      <c r="EE30" s="54"/>
      <c r="EF30" s="54"/>
      <c r="EG30" s="54"/>
      <c r="EH30" s="54"/>
      <c r="EI30" s="54"/>
      <c r="EJ30" s="54"/>
      <c r="EK30" s="54"/>
      <c r="EL30" s="54"/>
      <c r="EM30" s="54"/>
      <c r="EN30" s="55"/>
      <c r="EO30" s="67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5"/>
      <c r="FA30" s="67"/>
      <c r="FB30" s="54"/>
      <c r="FC30" s="54"/>
      <c r="FD30" s="54"/>
      <c r="FE30" s="54"/>
      <c r="FF30" s="54"/>
      <c r="FG30" s="54"/>
      <c r="FH30" s="54"/>
      <c r="FI30" s="54"/>
      <c r="FJ30" s="54"/>
      <c r="FK30" s="54"/>
      <c r="FL30" s="55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5"/>
      <c r="M31" s="67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5"/>
      <c r="Y31" s="67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5"/>
      <c r="AK31" s="67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5"/>
      <c r="AW31" s="67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5"/>
      <c r="BI31" s="67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5"/>
      <c r="BU31" s="67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5"/>
      <c r="CG31" s="67"/>
      <c r="CH31" s="54"/>
      <c r="CI31" s="54"/>
      <c r="CJ31" s="54"/>
      <c r="CK31" s="54"/>
      <c r="CL31" s="54"/>
      <c r="CM31" s="54"/>
      <c r="CN31" s="54"/>
      <c r="CO31" s="54"/>
      <c r="CP31" s="54"/>
      <c r="CQ31" s="54"/>
      <c r="CR31" s="55"/>
      <c r="CS31" s="67"/>
      <c r="CT31" s="54"/>
      <c r="CU31" s="54"/>
      <c r="CV31" s="54"/>
      <c r="CW31" s="54"/>
      <c r="CX31" s="54"/>
      <c r="CY31" s="54"/>
      <c r="CZ31" s="54"/>
      <c r="DA31" s="54"/>
      <c r="DB31" s="54"/>
      <c r="DC31" s="54"/>
      <c r="DD31" s="55"/>
      <c r="DE31" s="67"/>
      <c r="DF31" s="54"/>
      <c r="DG31" s="54"/>
      <c r="DH31" s="54"/>
      <c r="DI31" s="54"/>
      <c r="DJ31" s="54"/>
      <c r="DK31" s="54"/>
      <c r="DL31" s="54"/>
      <c r="DM31" s="54"/>
      <c r="DN31" s="54"/>
      <c r="DO31" s="54"/>
      <c r="DP31" s="55"/>
      <c r="DQ31" s="67"/>
      <c r="DR31" s="54"/>
      <c r="DS31" s="54"/>
      <c r="DT31" s="54"/>
      <c r="DU31" s="54"/>
      <c r="DV31" s="54"/>
      <c r="DW31" s="54"/>
      <c r="DX31" s="54"/>
      <c r="DY31" s="54"/>
      <c r="DZ31" s="54"/>
      <c r="EA31" s="54"/>
      <c r="EB31" s="55"/>
      <c r="EC31" s="67"/>
      <c r="ED31" s="54"/>
      <c r="EE31" s="54"/>
      <c r="EF31" s="54"/>
      <c r="EG31" s="54"/>
      <c r="EH31" s="54"/>
      <c r="EI31" s="54"/>
      <c r="EJ31" s="54"/>
      <c r="EK31" s="54"/>
      <c r="EL31" s="54"/>
      <c r="EM31" s="54"/>
      <c r="EN31" s="55"/>
      <c r="EO31" s="67"/>
      <c r="EP31" s="54"/>
      <c r="EQ31" s="54"/>
      <c r="ER31" s="54"/>
      <c r="ES31" s="54"/>
      <c r="ET31" s="54"/>
      <c r="EU31" s="54"/>
      <c r="EV31" s="54"/>
      <c r="EW31" s="54"/>
      <c r="EX31" s="54"/>
      <c r="EY31" s="54"/>
      <c r="EZ31" s="55"/>
      <c r="FA31" s="67"/>
      <c r="FB31" s="54"/>
      <c r="FC31" s="54"/>
      <c r="FD31" s="54"/>
      <c r="FE31" s="54"/>
      <c r="FF31" s="54"/>
      <c r="FG31" s="54"/>
      <c r="FH31" s="54"/>
      <c r="FI31" s="54"/>
      <c r="FJ31" s="54"/>
      <c r="FK31" s="54"/>
      <c r="FL31" s="55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5"/>
      <c r="M32" s="67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5"/>
      <c r="Y32" s="67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5"/>
      <c r="AK32" s="67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5"/>
      <c r="AW32" s="67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5"/>
      <c r="BI32" s="67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5"/>
      <c r="BU32" s="67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5"/>
      <c r="CG32" s="67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5"/>
      <c r="CS32" s="67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5"/>
      <c r="DE32" s="67"/>
      <c r="DF32" s="54"/>
      <c r="DG32" s="54"/>
      <c r="DH32" s="54"/>
      <c r="DI32" s="54"/>
      <c r="DJ32" s="54"/>
      <c r="DK32" s="54"/>
      <c r="DL32" s="54"/>
      <c r="DM32" s="54"/>
      <c r="DN32" s="54"/>
      <c r="DO32" s="54"/>
      <c r="DP32" s="55"/>
      <c r="DQ32" s="67"/>
      <c r="DR32" s="54"/>
      <c r="DS32" s="54"/>
      <c r="DT32" s="54"/>
      <c r="DU32" s="54"/>
      <c r="DV32" s="54"/>
      <c r="DW32" s="54"/>
      <c r="DX32" s="54"/>
      <c r="DY32" s="54"/>
      <c r="DZ32" s="54"/>
      <c r="EA32" s="54"/>
      <c r="EB32" s="55"/>
      <c r="EC32" s="67"/>
      <c r="ED32" s="54"/>
      <c r="EE32" s="54"/>
      <c r="EF32" s="54"/>
      <c r="EG32" s="54"/>
      <c r="EH32" s="54"/>
      <c r="EI32" s="54"/>
      <c r="EJ32" s="54"/>
      <c r="EK32" s="54"/>
      <c r="EL32" s="54"/>
      <c r="EM32" s="54"/>
      <c r="EN32" s="55"/>
      <c r="EO32" s="67"/>
      <c r="EP32" s="54"/>
      <c r="EQ32" s="54"/>
      <c r="ER32" s="54"/>
      <c r="ES32" s="54"/>
      <c r="ET32" s="54"/>
      <c r="EU32" s="54"/>
      <c r="EV32" s="54"/>
      <c r="EW32" s="54"/>
      <c r="EX32" s="54"/>
      <c r="EY32" s="54"/>
      <c r="EZ32" s="55"/>
      <c r="FA32" s="67"/>
      <c r="FB32" s="54" t="str">
        <f>IFERROR(__xludf.DUMMYFUNCTION("""COMPUTED_VALUE"""),"Публичное выступление")</f>
        <v>Публичное выступление</v>
      </c>
      <c r="FC32" s="54"/>
      <c r="FD32" s="54"/>
      <c r="FE32" s="54"/>
      <c r="FF32" s="54"/>
      <c r="FG32" s="54"/>
      <c r="FH32" s="54"/>
      <c r="FI32" s="54"/>
      <c r="FJ32" s="54"/>
      <c r="FK32" s="54"/>
      <c r="FL32" s="55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5"/>
      <c r="M33" s="67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5"/>
      <c r="Y33" s="67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5"/>
      <c r="AK33" s="67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5"/>
      <c r="AW33" s="67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5"/>
      <c r="BI33" s="67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5"/>
      <c r="BU33" s="67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5"/>
      <c r="CG33" s="67"/>
      <c r="CH33" s="54"/>
      <c r="CI33" s="54"/>
      <c r="CJ33" s="54"/>
      <c r="CK33" s="54"/>
      <c r="CL33" s="54"/>
      <c r="CM33" s="54"/>
      <c r="CN33" s="54"/>
      <c r="CO33" s="54"/>
      <c r="CP33" s="54"/>
      <c r="CQ33" s="54"/>
      <c r="CR33" s="55"/>
      <c r="CS33" s="67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55"/>
      <c r="DE33" s="67"/>
      <c r="DF33" s="54"/>
      <c r="DG33" s="54"/>
      <c r="DH33" s="54"/>
      <c r="DI33" s="54"/>
      <c r="DJ33" s="54"/>
      <c r="DK33" s="54"/>
      <c r="DL33" s="54"/>
      <c r="DM33" s="54"/>
      <c r="DN33" s="54"/>
      <c r="DO33" s="54"/>
      <c r="DP33" s="55"/>
      <c r="DQ33" s="67"/>
      <c r="DR33" s="54"/>
      <c r="DS33" s="54"/>
      <c r="DT33" s="54"/>
      <c r="DU33" s="54"/>
      <c r="DV33" s="54"/>
      <c r="DW33" s="54"/>
      <c r="DX33" s="54"/>
      <c r="DY33" s="54"/>
      <c r="DZ33" s="54"/>
      <c r="EA33" s="54"/>
      <c r="EB33" s="55"/>
      <c r="EC33" s="67"/>
      <c r="ED33" s="54"/>
      <c r="EE33" s="54"/>
      <c r="EF33" s="54"/>
      <c r="EG33" s="54"/>
      <c r="EH33" s="54"/>
      <c r="EI33" s="54"/>
      <c r="EJ33" s="54"/>
      <c r="EK33" s="54"/>
      <c r="EL33" s="54"/>
      <c r="EM33" s="54"/>
      <c r="EN33" s="55"/>
      <c r="EO33" s="67"/>
      <c r="EP33" s="54"/>
      <c r="EQ33" s="54"/>
      <c r="ER33" s="54"/>
      <c r="ES33" s="54"/>
      <c r="ET33" s="54"/>
      <c r="EU33" s="54"/>
      <c r="EV33" s="54"/>
      <c r="EW33" s="54"/>
      <c r="EX33" s="54"/>
      <c r="EY33" s="54"/>
      <c r="EZ33" s="55"/>
      <c r="FA33" s="67"/>
      <c r="FB33" s="54"/>
      <c r="FC33" s="54"/>
      <c r="FD33" s="54"/>
      <c r="FE33" s="54"/>
      <c r="FF33" s="54"/>
      <c r="FG33" s="54"/>
      <c r="FH33" s="54"/>
      <c r="FI33" s="54"/>
      <c r="FJ33" s="54"/>
      <c r="FK33" s="54"/>
      <c r="FL33" s="55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5"/>
      <c r="M34" s="67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5"/>
      <c r="Y34" s="67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5"/>
      <c r="AK34" s="67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5"/>
      <c r="AW34" s="67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5"/>
      <c r="BI34" s="67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5"/>
      <c r="BU34" s="67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5"/>
      <c r="CG34" s="67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5"/>
      <c r="CS34" s="67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5"/>
      <c r="DE34" s="67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5"/>
      <c r="DQ34" s="67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5"/>
      <c r="EC34" s="67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5"/>
      <c r="EO34" s="67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5"/>
      <c r="FA34" s="67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5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5"/>
      <c r="M35" s="67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5"/>
      <c r="Y35" s="67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5"/>
      <c r="AK35" s="67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5"/>
      <c r="AW35" s="67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5"/>
      <c r="BI35" s="67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5"/>
      <c r="BU35" s="67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5"/>
      <c r="CG35" s="67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5"/>
      <c r="CS35" s="67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5"/>
      <c r="DE35" s="67"/>
      <c r="DF35" s="54"/>
      <c r="DG35" s="54"/>
      <c r="DH35" s="54"/>
      <c r="DI35" s="54"/>
      <c r="DJ35" s="54"/>
      <c r="DK35" s="54"/>
      <c r="DL35" s="54"/>
      <c r="DM35" s="54"/>
      <c r="DN35" s="54"/>
      <c r="DO35" s="54"/>
      <c r="DP35" s="55"/>
      <c r="DQ35" s="67"/>
      <c r="DR35" s="54"/>
      <c r="DS35" s="54"/>
      <c r="DT35" s="54"/>
      <c r="DU35" s="54"/>
      <c r="DV35" s="54"/>
      <c r="DW35" s="54"/>
      <c r="DX35" s="54"/>
      <c r="DY35" s="54"/>
      <c r="DZ35" s="54"/>
      <c r="EA35" s="54"/>
      <c r="EB35" s="55"/>
      <c r="EC35" s="67"/>
      <c r="ED35" s="54"/>
      <c r="EE35" s="54"/>
      <c r="EF35" s="54"/>
      <c r="EG35" s="54"/>
      <c r="EH35" s="54"/>
      <c r="EI35" s="54"/>
      <c r="EJ35" s="54"/>
      <c r="EK35" s="54"/>
      <c r="EL35" s="54"/>
      <c r="EM35" s="54"/>
      <c r="EN35" s="55"/>
      <c r="EO35" s="67"/>
      <c r="EP35" s="54"/>
      <c r="EQ35" s="54"/>
      <c r="ER35" s="54"/>
      <c r="ES35" s="54"/>
      <c r="ET35" s="54"/>
      <c r="EU35" s="54"/>
      <c r="EV35" s="54"/>
      <c r="EW35" s="54"/>
      <c r="EX35" s="54"/>
      <c r="EY35" s="54"/>
      <c r="EZ35" s="55"/>
      <c r="FA35" s="67"/>
      <c r="FB35" s="54"/>
      <c r="FC35" s="54"/>
      <c r="FD35" s="54"/>
      <c r="FE35" s="54"/>
      <c r="FF35" s="54"/>
      <c r="FG35" s="54"/>
      <c r="FH35" s="54"/>
      <c r="FI35" s="54"/>
      <c r="FJ35" s="54"/>
      <c r="FK35" s="54"/>
      <c r="FL35" s="55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  <c r="M36" s="67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5"/>
      <c r="Y36" s="67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5"/>
      <c r="AK36" s="67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5"/>
      <c r="AW36" s="67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5"/>
      <c r="BI36" s="67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5"/>
      <c r="BU36" s="67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5"/>
      <c r="CG36" s="67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5"/>
      <c r="CS36" s="67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5"/>
      <c r="DE36" s="67"/>
      <c r="DF36" s="54"/>
      <c r="DG36" s="54"/>
      <c r="DH36" s="54"/>
      <c r="DI36" s="54"/>
      <c r="DJ36" s="54"/>
      <c r="DK36" s="54"/>
      <c r="DL36" s="54"/>
      <c r="DM36" s="54"/>
      <c r="DN36" s="54"/>
      <c r="DO36" s="54"/>
      <c r="DP36" s="55"/>
      <c r="DQ36" s="67"/>
      <c r="DR36" s="54"/>
      <c r="DS36" s="54"/>
      <c r="DT36" s="54"/>
      <c r="DU36" s="54"/>
      <c r="DV36" s="54"/>
      <c r="DW36" s="54"/>
      <c r="DX36" s="54"/>
      <c r="DY36" s="54"/>
      <c r="DZ36" s="54"/>
      <c r="EA36" s="54"/>
      <c r="EB36" s="55"/>
      <c r="EC36" s="67"/>
      <c r="ED36" s="54"/>
      <c r="EE36" s="54"/>
      <c r="EF36" s="54"/>
      <c r="EG36" s="54"/>
      <c r="EH36" s="54"/>
      <c r="EI36" s="54"/>
      <c r="EJ36" s="54"/>
      <c r="EK36" s="54"/>
      <c r="EL36" s="54"/>
      <c r="EM36" s="54"/>
      <c r="EN36" s="55"/>
      <c r="EO36" s="67"/>
      <c r="EP36" s="54"/>
      <c r="EQ36" s="54"/>
      <c r="ER36" s="54"/>
      <c r="ES36" s="54"/>
      <c r="ET36" s="54"/>
      <c r="EU36" s="54"/>
      <c r="EV36" s="54"/>
      <c r="EW36" s="54"/>
      <c r="EX36" s="54"/>
      <c r="EY36" s="54"/>
      <c r="EZ36" s="55"/>
      <c r="FA36" s="67"/>
      <c r="FB36" s="54"/>
      <c r="FC36" s="54"/>
      <c r="FD36" s="54"/>
      <c r="FE36" s="54"/>
      <c r="FF36" s="54"/>
      <c r="FG36" s="54"/>
      <c r="FH36" s="54"/>
      <c r="FI36" s="54"/>
      <c r="FJ36" s="54"/>
      <c r="FK36" s="54"/>
      <c r="FL36" s="55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  <c r="M37" s="67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5"/>
      <c r="Y37" s="67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5"/>
      <c r="AK37" s="67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5"/>
      <c r="AW37" s="67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5"/>
      <c r="BI37" s="67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5"/>
      <c r="BU37" s="67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5"/>
      <c r="CG37" s="67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5"/>
      <c r="CS37" s="67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5"/>
      <c r="DE37" s="67"/>
      <c r="DF37" s="54"/>
      <c r="DG37" s="54"/>
      <c r="DH37" s="54"/>
      <c r="DI37" s="54"/>
      <c r="DJ37" s="54"/>
      <c r="DK37" s="54"/>
      <c r="DL37" s="54"/>
      <c r="DM37" s="54"/>
      <c r="DN37" s="54"/>
      <c r="DO37" s="54"/>
      <c r="DP37" s="55"/>
      <c r="DQ37" s="67"/>
      <c r="DR37" s="54"/>
      <c r="DS37" s="54"/>
      <c r="DT37" s="54"/>
      <c r="DU37" s="54"/>
      <c r="DV37" s="54"/>
      <c r="DW37" s="54"/>
      <c r="DX37" s="54"/>
      <c r="DY37" s="54"/>
      <c r="DZ37" s="54"/>
      <c r="EA37" s="54"/>
      <c r="EB37" s="55"/>
      <c r="EC37" s="67"/>
      <c r="ED37" s="54"/>
      <c r="EE37" s="54"/>
      <c r="EF37" s="54"/>
      <c r="EG37" s="54"/>
      <c r="EH37" s="54"/>
      <c r="EI37" s="54"/>
      <c r="EJ37" s="54"/>
      <c r="EK37" s="54"/>
      <c r="EL37" s="54"/>
      <c r="EM37" s="54"/>
      <c r="EN37" s="55"/>
      <c r="EO37" s="67"/>
      <c r="EP37" s="54"/>
      <c r="EQ37" s="54"/>
      <c r="ER37" s="54"/>
      <c r="ES37" s="54"/>
      <c r="ET37" s="54"/>
      <c r="EU37" s="54"/>
      <c r="EV37" s="54"/>
      <c r="EW37" s="54"/>
      <c r="EX37" s="54"/>
      <c r="EY37" s="54"/>
      <c r="EZ37" s="55"/>
      <c r="FA37" s="67"/>
      <c r="FB37" s="54"/>
      <c r="FC37" s="54"/>
      <c r="FD37" s="54"/>
      <c r="FE37" s="54"/>
      <c r="FF37" s="54"/>
      <c r="FG37" s="54"/>
      <c r="FH37" s="54"/>
      <c r="FI37" s="54"/>
      <c r="FJ37" s="54"/>
      <c r="FK37" s="54"/>
      <c r="FL37" s="55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5"/>
      <c r="M38" s="67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5"/>
      <c r="Y38" s="67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5"/>
      <c r="AK38" s="67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5"/>
      <c r="AW38" s="67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5"/>
      <c r="BI38" s="67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5"/>
      <c r="BU38" s="67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5"/>
      <c r="CG38" s="67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5"/>
      <c r="CS38" s="67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5"/>
      <c r="DE38" s="67"/>
      <c r="DF38" s="54"/>
      <c r="DG38" s="54"/>
      <c r="DH38" s="54"/>
      <c r="DI38" s="54"/>
      <c r="DJ38" s="54"/>
      <c r="DK38" s="54"/>
      <c r="DL38" s="54"/>
      <c r="DM38" s="54"/>
      <c r="DN38" s="54"/>
      <c r="DO38" s="54"/>
      <c r="DP38" s="55"/>
      <c r="DQ38" s="67"/>
      <c r="DR38" s="54"/>
      <c r="DS38" s="54"/>
      <c r="DT38" s="54"/>
      <c r="DU38" s="54"/>
      <c r="DV38" s="54"/>
      <c r="DW38" s="54"/>
      <c r="DX38" s="54"/>
      <c r="DY38" s="54"/>
      <c r="DZ38" s="54"/>
      <c r="EA38" s="54"/>
      <c r="EB38" s="55"/>
      <c r="EC38" s="67"/>
      <c r="ED38" s="54"/>
      <c r="EE38" s="54"/>
      <c r="EF38" s="54"/>
      <c r="EG38" s="54"/>
      <c r="EH38" s="54"/>
      <c r="EI38" s="54"/>
      <c r="EJ38" s="54"/>
      <c r="EK38" s="54"/>
      <c r="EL38" s="54"/>
      <c r="EM38" s="54"/>
      <c r="EN38" s="55"/>
      <c r="EO38" s="67"/>
      <c r="EP38" s="54"/>
      <c r="EQ38" s="54"/>
      <c r="ER38" s="54"/>
      <c r="ES38" s="54"/>
      <c r="ET38" s="54"/>
      <c r="EU38" s="54"/>
      <c r="EV38" s="54"/>
      <c r="EW38" s="54"/>
      <c r="EX38" s="54"/>
      <c r="EY38" s="54"/>
      <c r="EZ38" s="55"/>
      <c r="FA38" s="67"/>
      <c r="FB38" s="54"/>
      <c r="FC38" s="54"/>
      <c r="FD38" s="54"/>
      <c r="FE38" s="54"/>
      <c r="FF38" s="54"/>
      <c r="FG38" s="54"/>
      <c r="FH38" s="54"/>
      <c r="FI38" s="54"/>
      <c r="FJ38" s="54"/>
      <c r="FK38" s="54"/>
      <c r="FL38" s="55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5"/>
      <c r="M39" s="67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67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5"/>
      <c r="AK39" s="67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5"/>
      <c r="AW39" s="67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5"/>
      <c r="BI39" s="67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5"/>
      <c r="BU39" s="67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5"/>
      <c r="CG39" s="67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5"/>
      <c r="CS39" s="67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5"/>
      <c r="DE39" s="67"/>
      <c r="DF39" s="54"/>
      <c r="DG39" s="54"/>
      <c r="DH39" s="54"/>
      <c r="DI39" s="54"/>
      <c r="DJ39" s="54"/>
      <c r="DK39" s="54"/>
      <c r="DL39" s="54"/>
      <c r="DM39" s="54"/>
      <c r="DN39" s="54"/>
      <c r="DO39" s="54"/>
      <c r="DP39" s="55"/>
      <c r="DQ39" s="67"/>
      <c r="DR39" s="54"/>
      <c r="DS39" s="54"/>
      <c r="DT39" s="54"/>
      <c r="DU39" s="54"/>
      <c r="DV39" s="54"/>
      <c r="DW39" s="54"/>
      <c r="DX39" s="54"/>
      <c r="DY39" s="54"/>
      <c r="DZ39" s="54"/>
      <c r="EA39" s="54"/>
      <c r="EB39" s="55"/>
      <c r="EC39" s="67"/>
      <c r="ED39" s="54"/>
      <c r="EE39" s="54"/>
      <c r="EF39" s="54"/>
      <c r="EG39" s="54"/>
      <c r="EH39" s="54"/>
      <c r="EI39" s="54"/>
      <c r="EJ39" s="54"/>
      <c r="EK39" s="54"/>
      <c r="EL39" s="54"/>
      <c r="EM39" s="54"/>
      <c r="EN39" s="55"/>
      <c r="EO39" s="67"/>
      <c r="EP39" s="54"/>
      <c r="EQ39" s="54"/>
      <c r="ER39" s="54"/>
      <c r="ES39" s="54"/>
      <c r="ET39" s="54"/>
      <c r="EU39" s="54"/>
      <c r="EV39" s="54"/>
      <c r="EW39" s="54"/>
      <c r="EX39" s="54"/>
      <c r="EY39" s="54"/>
      <c r="EZ39" s="55"/>
      <c r="FA39" s="67"/>
      <c r="FB39" s="54"/>
      <c r="FC39" s="54"/>
      <c r="FD39" s="54"/>
      <c r="FE39" s="54"/>
      <c r="FF39" s="54"/>
      <c r="FG39" s="54"/>
      <c r="FH39" s="54"/>
      <c r="FI39" s="54"/>
      <c r="FJ39" s="54"/>
      <c r="FK39" s="54"/>
      <c r="FL39" s="55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5"/>
      <c r="M40" s="67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5"/>
      <c r="Y40" s="67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5"/>
      <c r="AK40" s="67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5"/>
      <c r="AW40" s="67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5"/>
      <c r="BI40" s="67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5"/>
      <c r="BU40" s="67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5"/>
      <c r="CG40" s="67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5"/>
      <c r="CS40" s="67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5"/>
      <c r="DE40" s="67"/>
      <c r="DF40" s="54"/>
      <c r="DG40" s="54"/>
      <c r="DH40" s="54"/>
      <c r="DI40" s="54"/>
      <c r="DJ40" s="54"/>
      <c r="DK40" s="54"/>
      <c r="DL40" s="54"/>
      <c r="DM40" s="54"/>
      <c r="DN40" s="54"/>
      <c r="DO40" s="54"/>
      <c r="DP40" s="55"/>
      <c r="DQ40" s="67"/>
      <c r="DR40" s="54"/>
      <c r="DS40" s="54"/>
      <c r="DT40" s="54"/>
      <c r="DU40" s="54"/>
      <c r="DV40" s="54"/>
      <c r="DW40" s="54"/>
      <c r="DX40" s="54"/>
      <c r="DY40" s="54"/>
      <c r="DZ40" s="54"/>
      <c r="EA40" s="54"/>
      <c r="EB40" s="55"/>
      <c r="EC40" s="67"/>
      <c r="ED40" s="54"/>
      <c r="EE40" s="54"/>
      <c r="EF40" s="54"/>
      <c r="EG40" s="54"/>
      <c r="EH40" s="54"/>
      <c r="EI40" s="54"/>
      <c r="EJ40" s="54"/>
      <c r="EK40" s="54"/>
      <c r="EL40" s="54"/>
      <c r="EM40" s="54"/>
      <c r="EN40" s="55"/>
      <c r="EO40" s="67"/>
      <c r="EP40" s="54"/>
      <c r="EQ40" s="54"/>
      <c r="ER40" s="54"/>
      <c r="ES40" s="54"/>
      <c r="ET40" s="54"/>
      <c r="EU40" s="54"/>
      <c r="EV40" s="54"/>
      <c r="EW40" s="54"/>
      <c r="EX40" s="54"/>
      <c r="EY40" s="54"/>
      <c r="EZ40" s="55"/>
      <c r="FA40" s="67"/>
      <c r="FB40" s="54"/>
      <c r="FC40" s="54"/>
      <c r="FD40" s="54"/>
      <c r="FE40" s="54"/>
      <c r="FF40" s="54"/>
      <c r="FG40" s="54"/>
      <c r="FH40" s="54"/>
      <c r="FI40" s="54"/>
      <c r="FJ40" s="54"/>
      <c r="FK40" s="54"/>
      <c r="FL40" s="55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5"/>
      <c r="M41" s="67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5"/>
      <c r="Y41" s="67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5"/>
      <c r="AK41" s="67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5"/>
      <c r="AW41" s="67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5"/>
      <c r="BI41" s="67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5"/>
      <c r="BU41" s="67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5"/>
      <c r="CG41" s="67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5"/>
      <c r="CS41" s="67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5"/>
      <c r="DE41" s="67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5"/>
      <c r="DQ41" s="67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5"/>
      <c r="EC41" s="67"/>
      <c r="ED41" s="54"/>
      <c r="EE41" s="54"/>
      <c r="EF41" s="54"/>
      <c r="EG41" s="54"/>
      <c r="EH41" s="54"/>
      <c r="EI41" s="54"/>
      <c r="EJ41" s="54"/>
      <c r="EK41" s="54"/>
      <c r="EL41" s="54"/>
      <c r="EM41" s="54"/>
      <c r="EN41" s="55"/>
      <c r="EO41" s="67"/>
      <c r="EP41" s="54"/>
      <c r="EQ41" s="54"/>
      <c r="ER41" s="54"/>
      <c r="ES41" s="54"/>
      <c r="ET41" s="54"/>
      <c r="EU41" s="54"/>
      <c r="EV41" s="54"/>
      <c r="EW41" s="54"/>
      <c r="EX41" s="54"/>
      <c r="EY41" s="54"/>
      <c r="EZ41" s="55"/>
      <c r="FA41" s="67"/>
      <c r="FB41" s="54"/>
      <c r="FC41" s="54"/>
      <c r="FD41" s="54"/>
      <c r="FE41" s="54"/>
      <c r="FF41" s="54"/>
      <c r="FG41" s="54"/>
      <c r="FH41" s="54"/>
      <c r="FI41" s="54"/>
      <c r="FJ41" s="54"/>
      <c r="FK41" s="54"/>
      <c r="FL41" s="55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5"/>
      <c r="M42" s="67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5"/>
      <c r="Y42" s="67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5"/>
      <c r="AK42" s="67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5"/>
      <c r="AW42" s="67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5"/>
      <c r="BI42" s="67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5"/>
      <c r="BU42" s="67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5"/>
      <c r="CG42" s="67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5"/>
      <c r="CS42" s="67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5"/>
      <c r="DE42" s="67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5"/>
      <c r="DQ42" s="67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5"/>
      <c r="EC42" s="67"/>
      <c r="ED42" s="54"/>
      <c r="EE42" s="54"/>
      <c r="EF42" s="54"/>
      <c r="EG42" s="54"/>
      <c r="EH42" s="54"/>
      <c r="EI42" s="54"/>
      <c r="EJ42" s="54"/>
      <c r="EK42" s="54"/>
      <c r="EL42" s="54"/>
      <c r="EM42" s="54"/>
      <c r="EN42" s="55"/>
      <c r="EO42" s="67"/>
      <c r="EP42" s="54"/>
      <c r="EQ42" s="54"/>
      <c r="ER42" s="54"/>
      <c r="ES42" s="54"/>
      <c r="ET42" s="54"/>
      <c r="EU42" s="54"/>
      <c r="EV42" s="54"/>
      <c r="EW42" s="54"/>
      <c r="EX42" s="54"/>
      <c r="EY42" s="54"/>
      <c r="EZ42" s="55"/>
      <c r="FA42" s="67"/>
      <c r="FB42" s="54"/>
      <c r="FC42" s="54"/>
      <c r="FD42" s="54"/>
      <c r="FE42" s="54"/>
      <c r="FF42" s="54"/>
      <c r="FG42" s="54"/>
      <c r="FH42" s="54"/>
      <c r="FI42" s="54"/>
      <c r="FJ42" s="54"/>
      <c r="FK42" s="54"/>
      <c r="FL42" s="55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5"/>
      <c r="M43" s="67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5"/>
      <c r="Y43" s="67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5"/>
      <c r="AK43" s="67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5"/>
      <c r="AW43" s="67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5"/>
      <c r="BI43" s="67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5"/>
      <c r="BU43" s="67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5"/>
      <c r="CG43" s="67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5"/>
      <c r="CS43" s="67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5"/>
      <c r="DE43" s="67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5"/>
      <c r="DQ43" s="67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5"/>
      <c r="EC43" s="67"/>
      <c r="ED43" s="54"/>
      <c r="EE43" s="54"/>
      <c r="EF43" s="54"/>
      <c r="EG43" s="54"/>
      <c r="EH43" s="54"/>
      <c r="EI43" s="54"/>
      <c r="EJ43" s="54"/>
      <c r="EK43" s="54"/>
      <c r="EL43" s="54"/>
      <c r="EM43" s="54"/>
      <c r="EN43" s="55"/>
      <c r="EO43" s="67"/>
      <c r="EP43" s="54"/>
      <c r="EQ43" s="54"/>
      <c r="ER43" s="54"/>
      <c r="ES43" s="54"/>
      <c r="ET43" s="54"/>
      <c r="EU43" s="54"/>
      <c r="EV43" s="54"/>
      <c r="EW43" s="54"/>
      <c r="EX43" s="54"/>
      <c r="EY43" s="54"/>
      <c r="EZ43" s="55"/>
      <c r="FA43" s="67"/>
      <c r="FB43" s="54"/>
      <c r="FC43" s="54"/>
      <c r="FD43" s="54"/>
      <c r="FE43" s="54"/>
      <c r="FF43" s="54"/>
      <c r="FG43" s="54"/>
      <c r="FH43" s="54"/>
      <c r="FI43" s="54"/>
      <c r="FJ43" s="54"/>
      <c r="FK43" s="54"/>
      <c r="FL43" s="55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5"/>
      <c r="M44" s="67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5"/>
      <c r="Y44" s="67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5"/>
      <c r="AK44" s="67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5"/>
      <c r="AW44" s="67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5"/>
      <c r="BI44" s="67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5"/>
      <c r="BU44" s="67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5"/>
      <c r="CG44" s="67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5"/>
      <c r="CS44" s="67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5"/>
      <c r="DE44" s="67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5"/>
      <c r="DQ44" s="67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5"/>
      <c r="EC44" s="67"/>
      <c r="ED44" s="54"/>
      <c r="EE44" s="54"/>
      <c r="EF44" s="54"/>
      <c r="EG44" s="54"/>
      <c r="EH44" s="54"/>
      <c r="EI44" s="54"/>
      <c r="EJ44" s="54"/>
      <c r="EK44" s="54"/>
      <c r="EL44" s="54"/>
      <c r="EM44" s="54"/>
      <c r="EN44" s="55"/>
      <c r="EO44" s="67"/>
      <c r="EP44" s="54"/>
      <c r="EQ44" s="54"/>
      <c r="ER44" s="54"/>
      <c r="ES44" s="54"/>
      <c r="ET44" s="54"/>
      <c r="EU44" s="54"/>
      <c r="EV44" s="54"/>
      <c r="EW44" s="54"/>
      <c r="EX44" s="54"/>
      <c r="EY44" s="54"/>
      <c r="EZ44" s="55"/>
      <c r="FA44" s="67"/>
      <c r="FB44" s="54"/>
      <c r="FC44" s="54"/>
      <c r="FD44" s="54"/>
      <c r="FE44" s="54"/>
      <c r="FF44" s="54"/>
      <c r="FG44" s="54"/>
      <c r="FH44" s="54"/>
      <c r="FI44" s="54"/>
      <c r="FJ44" s="54"/>
      <c r="FK44" s="54"/>
      <c r="FL44" s="55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5"/>
      <c r="M45" s="67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5"/>
      <c r="Y45" s="67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5"/>
      <c r="AK45" s="67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5"/>
      <c r="AW45" s="67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5"/>
      <c r="BI45" s="67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5"/>
      <c r="BU45" s="67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5"/>
      <c r="CG45" s="67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5"/>
      <c r="CS45" s="67"/>
      <c r="CT45" s="54"/>
      <c r="CU45" s="54"/>
      <c r="CV45" s="54"/>
      <c r="CW45" s="54"/>
      <c r="CX45" s="54"/>
      <c r="CY45" s="54"/>
      <c r="CZ45" s="54"/>
      <c r="DA45" s="54"/>
      <c r="DB45" s="54"/>
      <c r="DC45" s="54"/>
      <c r="DD45" s="55"/>
      <c r="DE45" s="67"/>
      <c r="DF45" s="54"/>
      <c r="DG45" s="54"/>
      <c r="DH45" s="54"/>
      <c r="DI45" s="54"/>
      <c r="DJ45" s="54"/>
      <c r="DK45" s="54"/>
      <c r="DL45" s="54"/>
      <c r="DM45" s="54"/>
      <c r="DN45" s="54"/>
      <c r="DO45" s="54"/>
      <c r="DP45" s="55"/>
      <c r="DQ45" s="67"/>
      <c r="DR45" s="54"/>
      <c r="DS45" s="54"/>
      <c r="DT45" s="54"/>
      <c r="DU45" s="54"/>
      <c r="DV45" s="54"/>
      <c r="DW45" s="54"/>
      <c r="DX45" s="54"/>
      <c r="DY45" s="54"/>
      <c r="DZ45" s="54"/>
      <c r="EA45" s="54"/>
      <c r="EB45" s="55"/>
      <c r="EC45" s="67"/>
      <c r="ED45" s="54"/>
      <c r="EE45" s="54"/>
      <c r="EF45" s="54"/>
      <c r="EG45" s="54"/>
      <c r="EH45" s="54"/>
      <c r="EI45" s="54"/>
      <c r="EJ45" s="54"/>
      <c r="EK45" s="54"/>
      <c r="EL45" s="54"/>
      <c r="EM45" s="54"/>
      <c r="EN45" s="55"/>
      <c r="EO45" s="67"/>
      <c r="EP45" s="54"/>
      <c r="EQ45" s="54"/>
      <c r="ER45" s="54"/>
      <c r="ES45" s="54"/>
      <c r="ET45" s="54"/>
      <c r="EU45" s="54"/>
      <c r="EV45" s="54"/>
      <c r="EW45" s="54"/>
      <c r="EX45" s="54"/>
      <c r="EY45" s="54"/>
      <c r="EZ45" s="55"/>
      <c r="FA45" s="67"/>
      <c r="FB45" s="54"/>
      <c r="FC45" s="54"/>
      <c r="FD45" s="54"/>
      <c r="FE45" s="54"/>
      <c r="FF45" s="54"/>
      <c r="FG45" s="54"/>
      <c r="FH45" s="54"/>
      <c r="FI45" s="54"/>
      <c r="FJ45" s="54"/>
      <c r="FK45" s="54"/>
      <c r="FL45" s="55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5"/>
      <c r="M46" s="67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5"/>
      <c r="Y46" s="67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5"/>
      <c r="AK46" s="67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5"/>
      <c r="AW46" s="67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5"/>
      <c r="BI46" s="67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5"/>
      <c r="BU46" s="67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5"/>
      <c r="CG46" s="67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5"/>
      <c r="CS46" s="67"/>
      <c r="CT46" s="54"/>
      <c r="CU46" s="54"/>
      <c r="CV46" s="54"/>
      <c r="CW46" s="54"/>
      <c r="CX46" s="54"/>
      <c r="CY46" s="54"/>
      <c r="CZ46" s="54"/>
      <c r="DA46" s="54"/>
      <c r="DB46" s="54"/>
      <c r="DC46" s="54"/>
      <c r="DD46" s="55"/>
      <c r="DE46" s="67"/>
      <c r="DF46" s="54"/>
      <c r="DG46" s="54"/>
      <c r="DH46" s="54"/>
      <c r="DI46" s="54"/>
      <c r="DJ46" s="54"/>
      <c r="DK46" s="54"/>
      <c r="DL46" s="54"/>
      <c r="DM46" s="54"/>
      <c r="DN46" s="54"/>
      <c r="DO46" s="54"/>
      <c r="DP46" s="55"/>
      <c r="DQ46" s="67"/>
      <c r="DR46" s="54"/>
      <c r="DS46" s="54"/>
      <c r="DT46" s="54"/>
      <c r="DU46" s="54"/>
      <c r="DV46" s="54"/>
      <c r="DW46" s="54"/>
      <c r="DX46" s="54"/>
      <c r="DY46" s="54"/>
      <c r="DZ46" s="54"/>
      <c r="EA46" s="54"/>
      <c r="EB46" s="55"/>
      <c r="EC46" s="67"/>
      <c r="ED46" s="54"/>
      <c r="EE46" s="54"/>
      <c r="EF46" s="54"/>
      <c r="EG46" s="54"/>
      <c r="EH46" s="54"/>
      <c r="EI46" s="54"/>
      <c r="EJ46" s="54"/>
      <c r="EK46" s="54"/>
      <c r="EL46" s="54"/>
      <c r="EM46" s="54"/>
      <c r="EN46" s="55"/>
      <c r="EO46" s="67"/>
      <c r="EP46" s="54"/>
      <c r="EQ46" s="54"/>
      <c r="ER46" s="54"/>
      <c r="ES46" s="54"/>
      <c r="ET46" s="54"/>
      <c r="EU46" s="54"/>
      <c r="EV46" s="54"/>
      <c r="EW46" s="54"/>
      <c r="EX46" s="54"/>
      <c r="EY46" s="54"/>
      <c r="EZ46" s="55"/>
      <c r="FA46" s="67"/>
      <c r="FB46" s="54"/>
      <c r="FC46" s="54"/>
      <c r="FD46" s="54"/>
      <c r="FE46" s="54"/>
      <c r="FF46" s="54"/>
      <c r="FG46" s="54"/>
      <c r="FH46" s="54"/>
      <c r="FI46" s="54"/>
      <c r="FJ46" s="54"/>
      <c r="FK46" s="54"/>
      <c r="FL46" s="55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5"/>
      <c r="M47" s="67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5"/>
      <c r="Y47" s="67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5"/>
      <c r="AK47" s="67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5"/>
      <c r="AW47" s="67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5"/>
      <c r="BI47" s="67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5"/>
      <c r="BU47" s="67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5"/>
      <c r="CG47" s="67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5"/>
      <c r="CS47" s="67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5"/>
      <c r="DE47" s="67"/>
      <c r="DF47" s="54"/>
      <c r="DG47" s="54"/>
      <c r="DH47" s="54"/>
      <c r="DI47" s="54"/>
      <c r="DJ47" s="54"/>
      <c r="DK47" s="54"/>
      <c r="DL47" s="54"/>
      <c r="DM47" s="54"/>
      <c r="DN47" s="54"/>
      <c r="DO47" s="54"/>
      <c r="DP47" s="55"/>
      <c r="DQ47" s="67"/>
      <c r="DR47" s="54"/>
      <c r="DS47" s="54"/>
      <c r="DT47" s="54"/>
      <c r="DU47" s="54"/>
      <c r="DV47" s="54"/>
      <c r="DW47" s="54"/>
      <c r="DX47" s="54"/>
      <c r="DY47" s="54"/>
      <c r="DZ47" s="54"/>
      <c r="EA47" s="54"/>
      <c r="EB47" s="55"/>
      <c r="EC47" s="67"/>
      <c r="ED47" s="54"/>
      <c r="EE47" s="54"/>
      <c r="EF47" s="54"/>
      <c r="EG47" s="54"/>
      <c r="EH47" s="54"/>
      <c r="EI47" s="54"/>
      <c r="EJ47" s="54"/>
      <c r="EK47" s="54"/>
      <c r="EL47" s="54"/>
      <c r="EM47" s="54"/>
      <c r="EN47" s="55"/>
      <c r="EO47" s="67"/>
      <c r="EP47" s="54"/>
      <c r="EQ47" s="54"/>
      <c r="ER47" s="54"/>
      <c r="ES47" s="54"/>
      <c r="ET47" s="54"/>
      <c r="EU47" s="54"/>
      <c r="EV47" s="54"/>
      <c r="EW47" s="54"/>
      <c r="EX47" s="54"/>
      <c r="EY47" s="54"/>
      <c r="EZ47" s="55"/>
      <c r="FA47" s="67"/>
      <c r="FB47" s="54"/>
      <c r="FC47" s="54"/>
      <c r="FD47" s="54"/>
      <c r="FE47" s="54"/>
      <c r="FF47" s="54"/>
      <c r="FG47" s="54"/>
      <c r="FH47" s="54"/>
      <c r="FI47" s="54"/>
      <c r="FJ47" s="54"/>
      <c r="FK47" s="54"/>
      <c r="FL47" s="55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5"/>
      <c r="M48" s="67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5"/>
      <c r="Y48" s="67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5"/>
      <c r="AK48" s="67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5"/>
      <c r="AW48" s="67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5"/>
      <c r="BI48" s="67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5"/>
      <c r="BU48" s="67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5"/>
      <c r="CG48" s="67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5"/>
      <c r="CS48" s="67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5"/>
      <c r="DE48" s="67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5"/>
      <c r="DQ48" s="67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5"/>
      <c r="EC48" s="67"/>
      <c r="ED48" s="54"/>
      <c r="EE48" s="54"/>
      <c r="EF48" s="54"/>
      <c r="EG48" s="54"/>
      <c r="EH48" s="54"/>
      <c r="EI48" s="54"/>
      <c r="EJ48" s="54"/>
      <c r="EK48" s="54"/>
      <c r="EL48" s="54"/>
      <c r="EM48" s="54"/>
      <c r="EN48" s="55"/>
      <c r="EO48" s="67"/>
      <c r="EP48" s="54"/>
      <c r="EQ48" s="54"/>
      <c r="ER48" s="54"/>
      <c r="ES48" s="54"/>
      <c r="ET48" s="54"/>
      <c r="EU48" s="54"/>
      <c r="EV48" s="54"/>
      <c r="EW48" s="54"/>
      <c r="EX48" s="54"/>
      <c r="EY48" s="54"/>
      <c r="EZ48" s="55"/>
      <c r="FA48" s="67"/>
      <c r="FB48" s="54"/>
      <c r="FC48" s="54"/>
      <c r="FD48" s="54"/>
      <c r="FE48" s="54"/>
      <c r="FF48" s="54"/>
      <c r="FG48" s="54"/>
      <c r="FH48" s="54"/>
      <c r="FI48" s="54"/>
      <c r="FJ48" s="54"/>
      <c r="FK48" s="54"/>
      <c r="FL48" s="55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5"/>
      <c r="M49" s="67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5"/>
      <c r="Y49" s="67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5"/>
      <c r="AK49" s="67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5"/>
      <c r="AW49" s="67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5"/>
      <c r="BI49" s="67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5"/>
      <c r="BU49" s="67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5"/>
      <c r="CG49" s="67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5"/>
      <c r="CS49" s="67"/>
      <c r="CT49" s="54"/>
      <c r="CU49" s="54"/>
      <c r="CV49" s="54"/>
      <c r="CW49" s="54"/>
      <c r="CX49" s="54"/>
      <c r="CY49" s="54"/>
      <c r="CZ49" s="54"/>
      <c r="DA49" s="54"/>
      <c r="DB49" s="54"/>
      <c r="DC49" s="54"/>
      <c r="DD49" s="55"/>
      <c r="DE49" s="67"/>
      <c r="DF49" s="54"/>
      <c r="DG49" s="54"/>
      <c r="DH49" s="54"/>
      <c r="DI49" s="54"/>
      <c r="DJ49" s="54"/>
      <c r="DK49" s="54"/>
      <c r="DL49" s="54"/>
      <c r="DM49" s="54"/>
      <c r="DN49" s="54"/>
      <c r="DO49" s="54"/>
      <c r="DP49" s="55"/>
      <c r="DQ49" s="67"/>
      <c r="DR49" s="54"/>
      <c r="DS49" s="54"/>
      <c r="DT49" s="54"/>
      <c r="DU49" s="54"/>
      <c r="DV49" s="54"/>
      <c r="DW49" s="54"/>
      <c r="DX49" s="54"/>
      <c r="DY49" s="54"/>
      <c r="DZ49" s="54"/>
      <c r="EA49" s="54"/>
      <c r="EB49" s="55"/>
      <c r="EC49" s="67"/>
      <c r="ED49" s="54"/>
      <c r="EE49" s="54"/>
      <c r="EF49" s="54"/>
      <c r="EG49" s="54"/>
      <c r="EH49" s="54"/>
      <c r="EI49" s="54"/>
      <c r="EJ49" s="54"/>
      <c r="EK49" s="54"/>
      <c r="EL49" s="54"/>
      <c r="EM49" s="54"/>
      <c r="EN49" s="55"/>
      <c r="EO49" s="67"/>
      <c r="EP49" s="54"/>
      <c r="EQ49" s="54"/>
      <c r="ER49" s="54"/>
      <c r="ES49" s="54"/>
      <c r="ET49" s="54"/>
      <c r="EU49" s="54"/>
      <c r="EV49" s="54"/>
      <c r="EW49" s="54"/>
      <c r="EX49" s="54"/>
      <c r="EY49" s="54"/>
      <c r="EZ49" s="55"/>
      <c r="FA49" s="67"/>
      <c r="FB49" s="54"/>
      <c r="FC49" s="54"/>
      <c r="FD49" s="54"/>
      <c r="FE49" s="54"/>
      <c r="FF49" s="54"/>
      <c r="FG49" s="54"/>
      <c r="FH49" s="54"/>
      <c r="FI49" s="54"/>
      <c r="FJ49" s="54"/>
      <c r="FK49" s="54"/>
      <c r="FL49" s="55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5"/>
      <c r="M50" s="67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5"/>
      <c r="Y50" s="67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5"/>
      <c r="AK50" s="67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5"/>
      <c r="AW50" s="67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5"/>
      <c r="BI50" s="67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5"/>
      <c r="BU50" s="67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5"/>
      <c r="CG50" s="67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5"/>
      <c r="CS50" s="67"/>
      <c r="CT50" s="54"/>
      <c r="CU50" s="54"/>
      <c r="CV50" s="54"/>
      <c r="CW50" s="54"/>
      <c r="CX50" s="54"/>
      <c r="CY50" s="54"/>
      <c r="CZ50" s="54"/>
      <c r="DA50" s="54"/>
      <c r="DB50" s="54"/>
      <c r="DC50" s="54"/>
      <c r="DD50" s="55"/>
      <c r="DE50" s="67"/>
      <c r="DF50" s="54"/>
      <c r="DG50" s="54"/>
      <c r="DH50" s="54"/>
      <c r="DI50" s="54"/>
      <c r="DJ50" s="54"/>
      <c r="DK50" s="54"/>
      <c r="DL50" s="54"/>
      <c r="DM50" s="54"/>
      <c r="DN50" s="54"/>
      <c r="DO50" s="54"/>
      <c r="DP50" s="55"/>
      <c r="DQ50" s="67"/>
      <c r="DR50" s="54"/>
      <c r="DS50" s="54"/>
      <c r="DT50" s="54"/>
      <c r="DU50" s="54"/>
      <c r="DV50" s="54"/>
      <c r="DW50" s="54"/>
      <c r="DX50" s="54"/>
      <c r="DY50" s="54"/>
      <c r="DZ50" s="54"/>
      <c r="EA50" s="54"/>
      <c r="EB50" s="55"/>
      <c r="EC50" s="67"/>
      <c r="ED50" s="54"/>
      <c r="EE50" s="54"/>
      <c r="EF50" s="54"/>
      <c r="EG50" s="54"/>
      <c r="EH50" s="54"/>
      <c r="EI50" s="54"/>
      <c r="EJ50" s="54"/>
      <c r="EK50" s="54"/>
      <c r="EL50" s="54"/>
      <c r="EM50" s="54"/>
      <c r="EN50" s="55"/>
      <c r="EO50" s="67"/>
      <c r="EP50" s="54"/>
      <c r="EQ50" s="54"/>
      <c r="ER50" s="54"/>
      <c r="ES50" s="54"/>
      <c r="ET50" s="54"/>
      <c r="EU50" s="54"/>
      <c r="EV50" s="54"/>
      <c r="EW50" s="54"/>
      <c r="EX50" s="54"/>
      <c r="EY50" s="54"/>
      <c r="EZ50" s="55"/>
      <c r="FA50" s="67"/>
      <c r="FB50" s="54"/>
      <c r="FC50" s="54"/>
      <c r="FD50" s="54"/>
      <c r="FE50" s="54"/>
      <c r="FF50" s="54"/>
      <c r="FG50" s="54"/>
      <c r="FH50" s="54"/>
      <c r="FI50" s="54"/>
      <c r="FJ50" s="54"/>
      <c r="FK50" s="54"/>
      <c r="FL50" s="55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5"/>
      <c r="M51" s="67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5"/>
      <c r="Y51" s="67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5"/>
      <c r="AK51" s="67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5"/>
      <c r="AW51" s="67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5"/>
      <c r="BI51" s="67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5"/>
      <c r="BU51" s="67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5"/>
      <c r="CG51" s="67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5"/>
      <c r="CS51" s="67"/>
      <c r="CT51" s="54"/>
      <c r="CU51" s="54"/>
      <c r="CV51" s="54"/>
      <c r="CW51" s="54"/>
      <c r="CX51" s="54"/>
      <c r="CY51" s="54"/>
      <c r="CZ51" s="54"/>
      <c r="DA51" s="54"/>
      <c r="DB51" s="54"/>
      <c r="DC51" s="54"/>
      <c r="DD51" s="55"/>
      <c r="DE51" s="67"/>
      <c r="DF51" s="54"/>
      <c r="DG51" s="54"/>
      <c r="DH51" s="54"/>
      <c r="DI51" s="54"/>
      <c r="DJ51" s="54"/>
      <c r="DK51" s="54"/>
      <c r="DL51" s="54"/>
      <c r="DM51" s="54"/>
      <c r="DN51" s="54"/>
      <c r="DO51" s="54"/>
      <c r="DP51" s="55"/>
      <c r="DQ51" s="67"/>
      <c r="DR51" s="54"/>
      <c r="DS51" s="54"/>
      <c r="DT51" s="54"/>
      <c r="DU51" s="54"/>
      <c r="DV51" s="54"/>
      <c r="DW51" s="54"/>
      <c r="DX51" s="54"/>
      <c r="DY51" s="54"/>
      <c r="DZ51" s="54"/>
      <c r="EA51" s="54"/>
      <c r="EB51" s="55"/>
      <c r="EC51" s="67"/>
      <c r="ED51" s="54"/>
      <c r="EE51" s="54"/>
      <c r="EF51" s="54"/>
      <c r="EG51" s="54"/>
      <c r="EH51" s="54"/>
      <c r="EI51" s="54"/>
      <c r="EJ51" s="54"/>
      <c r="EK51" s="54"/>
      <c r="EL51" s="54"/>
      <c r="EM51" s="54"/>
      <c r="EN51" s="55"/>
      <c r="EO51" s="67"/>
      <c r="EP51" s="54"/>
      <c r="EQ51" s="54"/>
      <c r="ER51" s="54"/>
      <c r="ES51" s="54"/>
      <c r="ET51" s="54"/>
      <c r="EU51" s="54"/>
      <c r="EV51" s="54"/>
      <c r="EW51" s="54"/>
      <c r="EX51" s="54"/>
      <c r="EY51" s="54"/>
      <c r="EZ51" s="55"/>
      <c r="FA51" s="67"/>
      <c r="FB51" s="54"/>
      <c r="FC51" s="54"/>
      <c r="FD51" s="54"/>
      <c r="FE51" s="54"/>
      <c r="FF51" s="54"/>
      <c r="FG51" s="54"/>
      <c r="FH51" s="54"/>
      <c r="FI51" s="54"/>
      <c r="FJ51" s="54"/>
      <c r="FK51" s="54"/>
      <c r="FL51" s="55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5"/>
      <c r="M52" s="67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5"/>
      <c r="Y52" s="67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5"/>
      <c r="AK52" s="67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5"/>
      <c r="AW52" s="67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5"/>
      <c r="BI52" s="67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5"/>
      <c r="BU52" s="67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5"/>
      <c r="CG52" s="67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5"/>
      <c r="CS52" s="67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5"/>
      <c r="DE52" s="67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5"/>
      <c r="DQ52" s="67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5"/>
      <c r="EC52" s="67"/>
      <c r="ED52" s="54"/>
      <c r="EE52" s="54"/>
      <c r="EF52" s="54"/>
      <c r="EG52" s="54"/>
      <c r="EH52" s="54"/>
      <c r="EI52" s="54"/>
      <c r="EJ52" s="54"/>
      <c r="EK52" s="54"/>
      <c r="EL52" s="54"/>
      <c r="EM52" s="54"/>
      <c r="EN52" s="55"/>
      <c r="EO52" s="67"/>
      <c r="EP52" s="54"/>
      <c r="EQ52" s="54"/>
      <c r="ER52" s="54"/>
      <c r="ES52" s="54"/>
      <c r="ET52" s="54"/>
      <c r="EU52" s="54"/>
      <c r="EV52" s="54"/>
      <c r="EW52" s="54"/>
      <c r="EX52" s="54"/>
      <c r="EY52" s="54"/>
      <c r="EZ52" s="55"/>
      <c r="FA52" s="67"/>
      <c r="FB52" s="54"/>
      <c r="FC52" s="54"/>
      <c r="FD52" s="54"/>
      <c r="FE52" s="54"/>
      <c r="FF52" s="54"/>
      <c r="FG52" s="54"/>
      <c r="FH52" s="54"/>
      <c r="FI52" s="54"/>
      <c r="FJ52" s="54"/>
      <c r="FK52" s="54"/>
      <c r="FL52" s="55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5"/>
      <c r="M53" s="67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5"/>
      <c r="Y53" s="67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5"/>
      <c r="AK53" s="67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5"/>
      <c r="AW53" s="67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5"/>
      <c r="BI53" s="67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5"/>
      <c r="BU53" s="67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5"/>
      <c r="CG53" s="67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5"/>
      <c r="CS53" s="67"/>
      <c r="CT53" s="54"/>
      <c r="CU53" s="54"/>
      <c r="CV53" s="54"/>
      <c r="CW53" s="54"/>
      <c r="CX53" s="54"/>
      <c r="CY53" s="54"/>
      <c r="CZ53" s="54"/>
      <c r="DA53" s="54"/>
      <c r="DB53" s="54"/>
      <c r="DC53" s="54"/>
      <c r="DD53" s="55"/>
      <c r="DE53" s="67"/>
      <c r="DF53" s="54"/>
      <c r="DG53" s="54"/>
      <c r="DH53" s="54"/>
      <c r="DI53" s="54"/>
      <c r="DJ53" s="54"/>
      <c r="DK53" s="54"/>
      <c r="DL53" s="54"/>
      <c r="DM53" s="54"/>
      <c r="DN53" s="54"/>
      <c r="DO53" s="54"/>
      <c r="DP53" s="55"/>
      <c r="DQ53" s="67"/>
      <c r="DR53" s="54"/>
      <c r="DS53" s="54"/>
      <c r="DT53" s="54"/>
      <c r="DU53" s="54"/>
      <c r="DV53" s="54"/>
      <c r="DW53" s="54"/>
      <c r="DX53" s="54"/>
      <c r="DY53" s="54"/>
      <c r="DZ53" s="54"/>
      <c r="EA53" s="54"/>
      <c r="EB53" s="55"/>
      <c r="EC53" s="67"/>
      <c r="ED53" s="54"/>
      <c r="EE53" s="54"/>
      <c r="EF53" s="54"/>
      <c r="EG53" s="54"/>
      <c r="EH53" s="54"/>
      <c r="EI53" s="54"/>
      <c r="EJ53" s="54"/>
      <c r="EK53" s="54"/>
      <c r="EL53" s="54"/>
      <c r="EM53" s="54"/>
      <c r="EN53" s="55"/>
      <c r="EO53" s="67"/>
      <c r="EP53" s="54"/>
      <c r="EQ53" s="54"/>
      <c r="ER53" s="54"/>
      <c r="ES53" s="54"/>
      <c r="ET53" s="54"/>
      <c r="EU53" s="54"/>
      <c r="EV53" s="54"/>
      <c r="EW53" s="54"/>
      <c r="EX53" s="54"/>
      <c r="EY53" s="54"/>
      <c r="EZ53" s="55"/>
      <c r="FA53" s="67"/>
      <c r="FB53" s="54"/>
      <c r="FC53" s="54"/>
      <c r="FD53" s="54"/>
      <c r="FE53" s="54"/>
      <c r="FF53" s="54"/>
      <c r="FG53" s="54"/>
      <c r="FH53" s="54"/>
      <c r="FI53" s="54"/>
      <c r="FJ53" s="54"/>
      <c r="FK53" s="54"/>
      <c r="FL53" s="55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5"/>
      <c r="M54" s="67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5"/>
      <c r="Y54" s="67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5"/>
      <c r="AK54" s="67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5"/>
      <c r="AW54" s="67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5"/>
      <c r="BI54" s="67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5"/>
      <c r="BU54" s="67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5"/>
      <c r="CG54" s="67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5"/>
      <c r="CS54" s="67"/>
      <c r="CT54" s="54"/>
      <c r="CU54" s="54"/>
      <c r="CV54" s="54"/>
      <c r="CW54" s="54"/>
      <c r="CX54" s="54"/>
      <c r="CY54" s="54"/>
      <c r="CZ54" s="54"/>
      <c r="DA54" s="54"/>
      <c r="DB54" s="54"/>
      <c r="DC54" s="54"/>
      <c r="DD54" s="55"/>
      <c r="DE54" s="67"/>
      <c r="DF54" s="54"/>
      <c r="DG54" s="54"/>
      <c r="DH54" s="54"/>
      <c r="DI54" s="54"/>
      <c r="DJ54" s="54"/>
      <c r="DK54" s="54"/>
      <c r="DL54" s="54"/>
      <c r="DM54" s="54"/>
      <c r="DN54" s="54"/>
      <c r="DO54" s="54"/>
      <c r="DP54" s="55"/>
      <c r="DQ54" s="67"/>
      <c r="DR54" s="54"/>
      <c r="DS54" s="54"/>
      <c r="DT54" s="54"/>
      <c r="DU54" s="54"/>
      <c r="DV54" s="54"/>
      <c r="DW54" s="54"/>
      <c r="DX54" s="54"/>
      <c r="DY54" s="54"/>
      <c r="DZ54" s="54"/>
      <c r="EA54" s="54"/>
      <c r="EB54" s="55"/>
      <c r="EC54" s="67"/>
      <c r="ED54" s="54"/>
      <c r="EE54" s="54"/>
      <c r="EF54" s="54"/>
      <c r="EG54" s="54"/>
      <c r="EH54" s="54"/>
      <c r="EI54" s="54"/>
      <c r="EJ54" s="54"/>
      <c r="EK54" s="54"/>
      <c r="EL54" s="54"/>
      <c r="EM54" s="54"/>
      <c r="EN54" s="55"/>
      <c r="EO54" s="67"/>
      <c r="EP54" s="54"/>
      <c r="EQ54" s="54"/>
      <c r="ER54" s="54"/>
      <c r="ES54" s="54"/>
      <c r="ET54" s="54"/>
      <c r="EU54" s="54"/>
      <c r="EV54" s="54"/>
      <c r="EW54" s="54"/>
      <c r="EX54" s="54"/>
      <c r="EY54" s="54"/>
      <c r="EZ54" s="55"/>
      <c r="FA54" s="67"/>
      <c r="FB54" s="54"/>
      <c r="FC54" s="54"/>
      <c r="FD54" s="54"/>
      <c r="FE54" s="54"/>
      <c r="FF54" s="54"/>
      <c r="FG54" s="54"/>
      <c r="FH54" s="54"/>
      <c r="FI54" s="54"/>
      <c r="FJ54" s="54"/>
      <c r="FK54" s="54"/>
      <c r="FL54" s="55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5"/>
      <c r="M55" s="67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5"/>
      <c r="Y55" s="67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5"/>
      <c r="AK55" s="67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5"/>
      <c r="AW55" s="67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5"/>
      <c r="BI55" s="67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5"/>
      <c r="BU55" s="67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5"/>
      <c r="CG55" s="67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5"/>
      <c r="CS55" s="67"/>
      <c r="CT55" s="54"/>
      <c r="CU55" s="54"/>
      <c r="CV55" s="54"/>
      <c r="CW55" s="54"/>
      <c r="CX55" s="54"/>
      <c r="CY55" s="54"/>
      <c r="CZ55" s="54"/>
      <c r="DA55" s="54"/>
      <c r="DB55" s="54"/>
      <c r="DC55" s="54"/>
      <c r="DD55" s="55"/>
      <c r="DE55" s="67"/>
      <c r="DF55" s="54"/>
      <c r="DG55" s="54"/>
      <c r="DH55" s="54"/>
      <c r="DI55" s="54"/>
      <c r="DJ55" s="54"/>
      <c r="DK55" s="54"/>
      <c r="DL55" s="54"/>
      <c r="DM55" s="54"/>
      <c r="DN55" s="54"/>
      <c r="DO55" s="54"/>
      <c r="DP55" s="55"/>
      <c r="DQ55" s="67"/>
      <c r="DR55" s="54"/>
      <c r="DS55" s="54"/>
      <c r="DT55" s="54"/>
      <c r="DU55" s="54"/>
      <c r="DV55" s="54"/>
      <c r="DW55" s="54"/>
      <c r="DX55" s="54"/>
      <c r="DY55" s="54"/>
      <c r="DZ55" s="54"/>
      <c r="EA55" s="54"/>
      <c r="EB55" s="55"/>
      <c r="EC55" s="67"/>
      <c r="ED55" s="54"/>
      <c r="EE55" s="54"/>
      <c r="EF55" s="54"/>
      <c r="EG55" s="54"/>
      <c r="EH55" s="54"/>
      <c r="EI55" s="54"/>
      <c r="EJ55" s="54"/>
      <c r="EK55" s="54"/>
      <c r="EL55" s="54"/>
      <c r="EM55" s="54"/>
      <c r="EN55" s="55"/>
      <c r="EO55" s="67"/>
      <c r="EP55" s="54"/>
      <c r="EQ55" s="54"/>
      <c r="ER55" s="54"/>
      <c r="ES55" s="54"/>
      <c r="ET55" s="54"/>
      <c r="EU55" s="54"/>
      <c r="EV55" s="54"/>
      <c r="EW55" s="54"/>
      <c r="EX55" s="54"/>
      <c r="EY55" s="54"/>
      <c r="EZ55" s="55"/>
      <c r="FA55" s="67"/>
      <c r="FB55" s="54"/>
      <c r="FC55" s="54"/>
      <c r="FD55" s="54"/>
      <c r="FE55" s="54"/>
      <c r="FF55" s="54"/>
      <c r="FG55" s="54"/>
      <c r="FH55" s="54"/>
      <c r="FI55" s="54"/>
      <c r="FJ55" s="54"/>
      <c r="FK55" s="54"/>
      <c r="FL55" s="55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5"/>
      <c r="M56" s="67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5"/>
      <c r="Y56" s="67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5"/>
      <c r="AK56" s="67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5"/>
      <c r="AW56" s="67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5"/>
      <c r="BI56" s="67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5"/>
      <c r="BU56" s="67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5"/>
      <c r="CG56" s="67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5"/>
      <c r="CS56" s="67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5"/>
      <c r="DE56" s="67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5"/>
      <c r="DQ56" s="67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5"/>
      <c r="EC56" s="67"/>
      <c r="ED56" s="54"/>
      <c r="EE56" s="54"/>
      <c r="EF56" s="54"/>
      <c r="EG56" s="54"/>
      <c r="EH56" s="54"/>
      <c r="EI56" s="54"/>
      <c r="EJ56" s="54"/>
      <c r="EK56" s="54"/>
      <c r="EL56" s="54"/>
      <c r="EM56" s="54"/>
      <c r="EN56" s="55"/>
      <c r="EO56" s="67"/>
      <c r="EP56" s="54"/>
      <c r="EQ56" s="54"/>
      <c r="ER56" s="54"/>
      <c r="ES56" s="54"/>
      <c r="ET56" s="54"/>
      <c r="EU56" s="54"/>
      <c r="EV56" s="54"/>
      <c r="EW56" s="54"/>
      <c r="EX56" s="54"/>
      <c r="EY56" s="54"/>
      <c r="EZ56" s="55"/>
      <c r="FA56" s="67"/>
      <c r="FB56" s="54"/>
      <c r="FC56" s="54"/>
      <c r="FD56" s="54"/>
      <c r="FE56" s="54"/>
      <c r="FF56" s="54"/>
      <c r="FG56" s="54"/>
      <c r="FH56" s="54"/>
      <c r="FI56" s="54"/>
      <c r="FJ56" s="54"/>
      <c r="FK56" s="54"/>
      <c r="FL56" s="55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5"/>
      <c r="M57" s="67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5"/>
      <c r="Y57" s="67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5"/>
      <c r="AK57" s="67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5"/>
      <c r="AW57" s="67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5"/>
      <c r="BI57" s="67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5"/>
      <c r="BU57" s="67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5"/>
      <c r="CG57" s="67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5"/>
      <c r="CS57" s="67"/>
      <c r="CT57" s="54"/>
      <c r="CU57" s="54"/>
      <c r="CV57" s="54"/>
      <c r="CW57" s="54"/>
      <c r="CX57" s="54"/>
      <c r="CY57" s="54"/>
      <c r="CZ57" s="54"/>
      <c r="DA57" s="54"/>
      <c r="DB57" s="54"/>
      <c r="DC57" s="54"/>
      <c r="DD57" s="55"/>
      <c r="DE57" s="67"/>
      <c r="DF57" s="54"/>
      <c r="DG57" s="54"/>
      <c r="DH57" s="54"/>
      <c r="DI57" s="54"/>
      <c r="DJ57" s="54"/>
      <c r="DK57" s="54"/>
      <c r="DL57" s="54"/>
      <c r="DM57" s="54"/>
      <c r="DN57" s="54"/>
      <c r="DO57" s="54"/>
      <c r="DP57" s="55"/>
      <c r="DQ57" s="67"/>
      <c r="DR57" s="54"/>
      <c r="DS57" s="54"/>
      <c r="DT57" s="54"/>
      <c r="DU57" s="54"/>
      <c r="DV57" s="54"/>
      <c r="DW57" s="54"/>
      <c r="DX57" s="54"/>
      <c r="DY57" s="54"/>
      <c r="DZ57" s="54"/>
      <c r="EA57" s="54"/>
      <c r="EB57" s="55"/>
      <c r="EC57" s="67"/>
      <c r="ED57" s="54"/>
      <c r="EE57" s="54"/>
      <c r="EF57" s="54"/>
      <c r="EG57" s="54"/>
      <c r="EH57" s="54"/>
      <c r="EI57" s="54"/>
      <c r="EJ57" s="54"/>
      <c r="EK57" s="54"/>
      <c r="EL57" s="54"/>
      <c r="EM57" s="54"/>
      <c r="EN57" s="55"/>
      <c r="EO57" s="67"/>
      <c r="EP57" s="54"/>
      <c r="EQ57" s="54"/>
      <c r="ER57" s="54"/>
      <c r="ES57" s="54"/>
      <c r="ET57" s="54"/>
      <c r="EU57" s="54"/>
      <c r="EV57" s="54"/>
      <c r="EW57" s="54"/>
      <c r="EX57" s="54"/>
      <c r="EY57" s="54"/>
      <c r="EZ57" s="55"/>
      <c r="FA57" s="67"/>
      <c r="FB57" s="54"/>
      <c r="FC57" s="54"/>
      <c r="FD57" s="54"/>
      <c r="FE57" s="54"/>
      <c r="FF57" s="54"/>
      <c r="FG57" s="54"/>
      <c r="FH57" s="54"/>
      <c r="FI57" s="54"/>
      <c r="FJ57" s="54"/>
      <c r="FK57" s="54"/>
      <c r="FL57" s="55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5"/>
      <c r="M58" s="67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5"/>
      <c r="Y58" s="67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5"/>
      <c r="AK58" s="67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5"/>
      <c r="AW58" s="67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5"/>
      <c r="BI58" s="67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5"/>
      <c r="BU58" s="67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5"/>
      <c r="CG58" s="67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5"/>
      <c r="CS58" s="67"/>
      <c r="CT58" s="54"/>
      <c r="CU58" s="54"/>
      <c r="CV58" s="54"/>
      <c r="CW58" s="54"/>
      <c r="CX58" s="54"/>
      <c r="CY58" s="54"/>
      <c r="CZ58" s="54"/>
      <c r="DA58" s="54"/>
      <c r="DB58" s="54"/>
      <c r="DC58" s="54"/>
      <c r="DD58" s="55"/>
      <c r="DE58" s="67"/>
      <c r="DF58" s="54"/>
      <c r="DG58" s="54"/>
      <c r="DH58" s="54"/>
      <c r="DI58" s="54"/>
      <c r="DJ58" s="54"/>
      <c r="DK58" s="54"/>
      <c r="DL58" s="54"/>
      <c r="DM58" s="54"/>
      <c r="DN58" s="54"/>
      <c r="DO58" s="54"/>
      <c r="DP58" s="55"/>
      <c r="DQ58" s="67"/>
      <c r="DR58" s="54"/>
      <c r="DS58" s="54"/>
      <c r="DT58" s="54"/>
      <c r="DU58" s="54"/>
      <c r="DV58" s="54"/>
      <c r="DW58" s="54"/>
      <c r="DX58" s="54"/>
      <c r="DY58" s="54"/>
      <c r="DZ58" s="54"/>
      <c r="EA58" s="54"/>
      <c r="EB58" s="55"/>
      <c r="EC58" s="67"/>
      <c r="ED58" s="54"/>
      <c r="EE58" s="54"/>
      <c r="EF58" s="54"/>
      <c r="EG58" s="54"/>
      <c r="EH58" s="54"/>
      <c r="EI58" s="54"/>
      <c r="EJ58" s="54"/>
      <c r="EK58" s="54"/>
      <c r="EL58" s="54"/>
      <c r="EM58" s="54"/>
      <c r="EN58" s="55"/>
      <c r="EO58" s="67"/>
      <c r="EP58" s="54"/>
      <c r="EQ58" s="54"/>
      <c r="ER58" s="54"/>
      <c r="ES58" s="54"/>
      <c r="ET58" s="54"/>
      <c r="EU58" s="54"/>
      <c r="EV58" s="54"/>
      <c r="EW58" s="54"/>
      <c r="EX58" s="54"/>
      <c r="EY58" s="54"/>
      <c r="EZ58" s="55"/>
      <c r="FA58" s="67"/>
      <c r="FB58" s="54"/>
      <c r="FC58" s="54"/>
      <c r="FD58" s="54"/>
      <c r="FE58" s="54"/>
      <c r="FF58" s="54"/>
      <c r="FG58" s="54"/>
      <c r="FH58" s="54"/>
      <c r="FI58" s="54"/>
      <c r="FJ58" s="54"/>
      <c r="FK58" s="54"/>
      <c r="FL58" s="55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5"/>
      <c r="M59" s="67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5"/>
      <c r="Y59" s="67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5"/>
      <c r="AK59" s="67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5"/>
      <c r="AW59" s="67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5"/>
      <c r="BI59" s="67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5"/>
      <c r="BU59" s="67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5"/>
      <c r="CG59" s="67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5"/>
      <c r="CS59" s="67"/>
      <c r="CT59" s="54"/>
      <c r="CU59" s="54"/>
      <c r="CV59" s="54"/>
      <c r="CW59" s="54"/>
      <c r="CX59" s="54"/>
      <c r="CY59" s="54"/>
      <c r="CZ59" s="54"/>
      <c r="DA59" s="54"/>
      <c r="DB59" s="54"/>
      <c r="DC59" s="54"/>
      <c r="DD59" s="55"/>
      <c r="DE59" s="67"/>
      <c r="DF59" s="54"/>
      <c r="DG59" s="54"/>
      <c r="DH59" s="54"/>
      <c r="DI59" s="54"/>
      <c r="DJ59" s="54"/>
      <c r="DK59" s="54"/>
      <c r="DL59" s="54"/>
      <c r="DM59" s="54"/>
      <c r="DN59" s="54"/>
      <c r="DO59" s="54"/>
      <c r="DP59" s="55"/>
      <c r="DQ59" s="67"/>
      <c r="DR59" s="54"/>
      <c r="DS59" s="54"/>
      <c r="DT59" s="54"/>
      <c r="DU59" s="54"/>
      <c r="DV59" s="54"/>
      <c r="DW59" s="54"/>
      <c r="DX59" s="54"/>
      <c r="DY59" s="54"/>
      <c r="DZ59" s="54"/>
      <c r="EA59" s="54"/>
      <c r="EB59" s="55"/>
      <c r="EC59" s="67"/>
      <c r="ED59" s="54"/>
      <c r="EE59" s="54"/>
      <c r="EF59" s="54"/>
      <c r="EG59" s="54"/>
      <c r="EH59" s="54"/>
      <c r="EI59" s="54"/>
      <c r="EJ59" s="54"/>
      <c r="EK59" s="54"/>
      <c r="EL59" s="54"/>
      <c r="EM59" s="54"/>
      <c r="EN59" s="55"/>
      <c r="EO59" s="67"/>
      <c r="EP59" s="54"/>
      <c r="EQ59" s="54"/>
      <c r="ER59" s="54"/>
      <c r="ES59" s="54"/>
      <c r="ET59" s="54"/>
      <c r="EU59" s="54"/>
      <c r="EV59" s="54"/>
      <c r="EW59" s="54"/>
      <c r="EX59" s="54"/>
      <c r="EY59" s="54"/>
      <c r="EZ59" s="55"/>
      <c r="FA59" s="67"/>
      <c r="FB59" s="54"/>
      <c r="FC59" s="54"/>
      <c r="FD59" s="54"/>
      <c r="FE59" s="54"/>
      <c r="FF59" s="54"/>
      <c r="FG59" s="54"/>
      <c r="FH59" s="54"/>
      <c r="FI59" s="54"/>
      <c r="FJ59" s="54"/>
      <c r="FK59" s="54"/>
      <c r="FL59" s="55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5"/>
      <c r="M60" s="67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5"/>
      <c r="Y60" s="67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5"/>
      <c r="AK60" s="67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5"/>
      <c r="AW60" s="67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5"/>
      <c r="BI60" s="67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5"/>
      <c r="BU60" s="67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5"/>
      <c r="CG60" s="67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5"/>
      <c r="CS60" s="67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5"/>
      <c r="DE60" s="67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5"/>
      <c r="DQ60" s="67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5"/>
      <c r="EC60" s="67"/>
      <c r="ED60" s="54"/>
      <c r="EE60" s="54"/>
      <c r="EF60" s="54"/>
      <c r="EG60" s="54"/>
      <c r="EH60" s="54"/>
      <c r="EI60" s="54"/>
      <c r="EJ60" s="54"/>
      <c r="EK60" s="54"/>
      <c r="EL60" s="54"/>
      <c r="EM60" s="54"/>
      <c r="EN60" s="55"/>
      <c r="EO60" s="67"/>
      <c r="EP60" s="54"/>
      <c r="EQ60" s="54"/>
      <c r="ER60" s="54"/>
      <c r="ES60" s="54"/>
      <c r="ET60" s="54"/>
      <c r="EU60" s="54"/>
      <c r="EV60" s="54"/>
      <c r="EW60" s="54"/>
      <c r="EX60" s="54"/>
      <c r="EY60" s="54"/>
      <c r="EZ60" s="55"/>
      <c r="FA60" s="67"/>
      <c r="FB60" s="54"/>
      <c r="FC60" s="54"/>
      <c r="FD60" s="54"/>
      <c r="FE60" s="54"/>
      <c r="FF60" s="54"/>
      <c r="FG60" s="54"/>
      <c r="FH60" s="54"/>
      <c r="FI60" s="54"/>
      <c r="FJ60" s="54"/>
      <c r="FK60" s="54"/>
      <c r="FL60" s="55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5"/>
      <c r="M61" s="67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5"/>
      <c r="Y61" s="67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5"/>
      <c r="AK61" s="67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5"/>
      <c r="AW61" s="67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5"/>
      <c r="BI61" s="67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5"/>
      <c r="BU61" s="67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5"/>
      <c r="CG61" s="67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5"/>
      <c r="CS61" s="67"/>
      <c r="CT61" s="54"/>
      <c r="CU61" s="54"/>
      <c r="CV61" s="54"/>
      <c r="CW61" s="54"/>
      <c r="CX61" s="54"/>
      <c r="CY61" s="54"/>
      <c r="CZ61" s="54"/>
      <c r="DA61" s="54"/>
      <c r="DB61" s="54"/>
      <c r="DC61" s="54"/>
      <c r="DD61" s="55"/>
      <c r="DE61" s="67"/>
      <c r="DF61" s="54"/>
      <c r="DG61" s="54"/>
      <c r="DH61" s="54"/>
      <c r="DI61" s="54"/>
      <c r="DJ61" s="54"/>
      <c r="DK61" s="54"/>
      <c r="DL61" s="54"/>
      <c r="DM61" s="54"/>
      <c r="DN61" s="54"/>
      <c r="DO61" s="54"/>
      <c r="DP61" s="55"/>
      <c r="DQ61" s="67"/>
      <c r="DR61" s="54"/>
      <c r="DS61" s="54"/>
      <c r="DT61" s="54"/>
      <c r="DU61" s="54"/>
      <c r="DV61" s="54"/>
      <c r="DW61" s="54"/>
      <c r="DX61" s="54"/>
      <c r="DY61" s="54"/>
      <c r="DZ61" s="54"/>
      <c r="EA61" s="54"/>
      <c r="EB61" s="55"/>
      <c r="EC61" s="67"/>
      <c r="ED61" s="54"/>
      <c r="EE61" s="54"/>
      <c r="EF61" s="54"/>
      <c r="EG61" s="54"/>
      <c r="EH61" s="54"/>
      <c r="EI61" s="54"/>
      <c r="EJ61" s="54"/>
      <c r="EK61" s="54"/>
      <c r="EL61" s="54"/>
      <c r="EM61" s="54"/>
      <c r="EN61" s="55"/>
      <c r="EO61" s="67"/>
      <c r="EP61" s="54"/>
      <c r="EQ61" s="54"/>
      <c r="ER61" s="54"/>
      <c r="ES61" s="54"/>
      <c r="ET61" s="54"/>
      <c r="EU61" s="54"/>
      <c r="EV61" s="54"/>
      <c r="EW61" s="54"/>
      <c r="EX61" s="54"/>
      <c r="EY61" s="54"/>
      <c r="EZ61" s="55"/>
      <c r="FA61" s="67"/>
      <c r="FB61" s="54"/>
      <c r="FC61" s="54"/>
      <c r="FD61" s="54"/>
      <c r="FE61" s="54"/>
      <c r="FF61" s="54"/>
      <c r="FG61" s="54"/>
      <c r="FH61" s="54"/>
      <c r="FI61" s="54"/>
      <c r="FJ61" s="54"/>
      <c r="FK61" s="54"/>
      <c r="FL61" s="55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5"/>
      <c r="M62" s="67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5"/>
      <c r="Y62" s="67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5"/>
      <c r="AK62" s="67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5"/>
      <c r="AW62" s="67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5"/>
      <c r="BI62" s="67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5"/>
      <c r="BU62" s="67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5"/>
      <c r="CG62" s="67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5"/>
      <c r="CS62" s="67"/>
      <c r="CT62" s="54"/>
      <c r="CU62" s="54"/>
      <c r="CV62" s="54"/>
      <c r="CW62" s="54"/>
      <c r="CX62" s="54"/>
      <c r="CY62" s="54"/>
      <c r="CZ62" s="54"/>
      <c r="DA62" s="54"/>
      <c r="DB62" s="54"/>
      <c r="DC62" s="54"/>
      <c r="DD62" s="55"/>
      <c r="DE62" s="67"/>
      <c r="DF62" s="54"/>
      <c r="DG62" s="54"/>
      <c r="DH62" s="54"/>
      <c r="DI62" s="54"/>
      <c r="DJ62" s="54"/>
      <c r="DK62" s="54"/>
      <c r="DL62" s="54"/>
      <c r="DM62" s="54"/>
      <c r="DN62" s="54"/>
      <c r="DO62" s="54"/>
      <c r="DP62" s="55"/>
      <c r="DQ62" s="67"/>
      <c r="DR62" s="54"/>
      <c r="DS62" s="54"/>
      <c r="DT62" s="54"/>
      <c r="DU62" s="54"/>
      <c r="DV62" s="54"/>
      <c r="DW62" s="54"/>
      <c r="DX62" s="54"/>
      <c r="DY62" s="54"/>
      <c r="DZ62" s="54"/>
      <c r="EA62" s="54"/>
      <c r="EB62" s="55"/>
      <c r="EC62" s="67"/>
      <c r="ED62" s="54"/>
      <c r="EE62" s="54"/>
      <c r="EF62" s="54"/>
      <c r="EG62" s="54"/>
      <c r="EH62" s="54"/>
      <c r="EI62" s="54"/>
      <c r="EJ62" s="54"/>
      <c r="EK62" s="54"/>
      <c r="EL62" s="54"/>
      <c r="EM62" s="54"/>
      <c r="EN62" s="55"/>
      <c r="EO62" s="67"/>
      <c r="EP62" s="54"/>
      <c r="EQ62" s="54"/>
      <c r="ER62" s="54"/>
      <c r="ES62" s="54"/>
      <c r="ET62" s="54"/>
      <c r="EU62" s="54"/>
      <c r="EV62" s="54"/>
      <c r="EW62" s="54"/>
      <c r="EX62" s="54"/>
      <c r="EY62" s="54"/>
      <c r="EZ62" s="55"/>
      <c r="FA62" s="67"/>
      <c r="FB62" s="54"/>
      <c r="FC62" s="54"/>
      <c r="FD62" s="54"/>
      <c r="FE62" s="54"/>
      <c r="FF62" s="54"/>
      <c r="FG62" s="54"/>
      <c r="FH62" s="54"/>
      <c r="FI62" s="54"/>
      <c r="FJ62" s="54"/>
      <c r="FK62" s="54"/>
      <c r="FL62" s="55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5"/>
      <c r="M63" s="67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5"/>
      <c r="Y63" s="67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5"/>
      <c r="AK63" s="67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5"/>
      <c r="AW63" s="67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5"/>
      <c r="BI63" s="67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5"/>
      <c r="BU63" s="67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5"/>
      <c r="CG63" s="67"/>
      <c r="CH63" s="54"/>
      <c r="CI63" s="54"/>
      <c r="CJ63" s="54"/>
      <c r="CK63" s="54"/>
      <c r="CL63" s="54"/>
      <c r="CM63" s="54"/>
      <c r="CN63" s="54"/>
      <c r="CO63" s="54"/>
      <c r="CP63" s="54"/>
      <c r="CQ63" s="54"/>
      <c r="CR63" s="55"/>
      <c r="CS63" s="67"/>
      <c r="CT63" s="54"/>
      <c r="CU63" s="54"/>
      <c r="CV63" s="54"/>
      <c r="CW63" s="54"/>
      <c r="CX63" s="54"/>
      <c r="CY63" s="54"/>
      <c r="CZ63" s="54"/>
      <c r="DA63" s="54"/>
      <c r="DB63" s="54"/>
      <c r="DC63" s="54"/>
      <c r="DD63" s="55"/>
      <c r="DE63" s="67"/>
      <c r="DF63" s="54"/>
      <c r="DG63" s="54"/>
      <c r="DH63" s="54"/>
      <c r="DI63" s="54"/>
      <c r="DJ63" s="54"/>
      <c r="DK63" s="54"/>
      <c r="DL63" s="54"/>
      <c r="DM63" s="54"/>
      <c r="DN63" s="54"/>
      <c r="DO63" s="54"/>
      <c r="DP63" s="55"/>
      <c r="DQ63" s="67"/>
      <c r="DR63" s="54"/>
      <c r="DS63" s="54"/>
      <c r="DT63" s="54"/>
      <c r="DU63" s="54"/>
      <c r="DV63" s="54"/>
      <c r="DW63" s="54"/>
      <c r="DX63" s="54"/>
      <c r="DY63" s="54"/>
      <c r="DZ63" s="54"/>
      <c r="EA63" s="54"/>
      <c r="EB63" s="55"/>
      <c r="EC63" s="67"/>
      <c r="ED63" s="54"/>
      <c r="EE63" s="54"/>
      <c r="EF63" s="54"/>
      <c r="EG63" s="54"/>
      <c r="EH63" s="54"/>
      <c r="EI63" s="54"/>
      <c r="EJ63" s="54"/>
      <c r="EK63" s="54"/>
      <c r="EL63" s="54"/>
      <c r="EM63" s="54"/>
      <c r="EN63" s="55"/>
      <c r="EO63" s="67"/>
      <c r="EP63" s="54"/>
      <c r="EQ63" s="54"/>
      <c r="ER63" s="54"/>
      <c r="ES63" s="54"/>
      <c r="ET63" s="54"/>
      <c r="EU63" s="54"/>
      <c r="EV63" s="54"/>
      <c r="EW63" s="54"/>
      <c r="EX63" s="54"/>
      <c r="EY63" s="54"/>
      <c r="EZ63" s="55"/>
      <c r="FA63" s="67"/>
      <c r="FB63" s="54"/>
      <c r="FC63" s="54"/>
      <c r="FD63" s="54"/>
      <c r="FE63" s="54"/>
      <c r="FF63" s="54"/>
      <c r="FG63" s="54"/>
      <c r="FH63" s="54"/>
      <c r="FI63" s="54"/>
      <c r="FJ63" s="54"/>
      <c r="FK63" s="54"/>
      <c r="FL63" s="55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5"/>
      <c r="M64" s="67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5"/>
      <c r="Y64" s="67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5"/>
      <c r="AK64" s="67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5"/>
      <c r="AW64" s="67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5"/>
      <c r="BI64" s="67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5"/>
      <c r="BU64" s="67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5"/>
      <c r="CG64" s="67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5"/>
      <c r="CS64" s="67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5"/>
      <c r="DE64" s="67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5"/>
      <c r="DQ64" s="67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5"/>
      <c r="EC64" s="67"/>
      <c r="ED64" s="54"/>
      <c r="EE64" s="54"/>
      <c r="EF64" s="54"/>
      <c r="EG64" s="54"/>
      <c r="EH64" s="54"/>
      <c r="EI64" s="54"/>
      <c r="EJ64" s="54"/>
      <c r="EK64" s="54"/>
      <c r="EL64" s="54"/>
      <c r="EM64" s="54"/>
      <c r="EN64" s="55"/>
      <c r="EO64" s="67"/>
      <c r="EP64" s="54"/>
      <c r="EQ64" s="54"/>
      <c r="ER64" s="54"/>
      <c r="ES64" s="54"/>
      <c r="ET64" s="54"/>
      <c r="EU64" s="54"/>
      <c r="EV64" s="54"/>
      <c r="EW64" s="54"/>
      <c r="EX64" s="54"/>
      <c r="EY64" s="54"/>
      <c r="EZ64" s="55"/>
      <c r="FA64" s="67"/>
      <c r="FB64" s="54"/>
      <c r="FC64" s="54"/>
      <c r="FD64" s="54"/>
      <c r="FE64" s="54"/>
      <c r="FF64" s="54"/>
      <c r="FG64" s="54"/>
      <c r="FH64" s="54"/>
      <c r="FI64" s="54"/>
      <c r="FJ64" s="54"/>
      <c r="FK64" s="54"/>
      <c r="FL64" s="55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5"/>
      <c r="M65" s="67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5"/>
      <c r="Y65" s="67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5"/>
      <c r="AK65" s="67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5"/>
      <c r="AW65" s="67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5"/>
      <c r="BI65" s="67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5"/>
      <c r="BU65" s="67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5"/>
      <c r="CG65" s="67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5"/>
      <c r="CS65" s="67"/>
      <c r="CT65" s="54"/>
      <c r="CU65" s="54"/>
      <c r="CV65" s="54"/>
      <c r="CW65" s="54"/>
      <c r="CX65" s="54"/>
      <c r="CY65" s="54"/>
      <c r="CZ65" s="54"/>
      <c r="DA65" s="54"/>
      <c r="DB65" s="54"/>
      <c r="DC65" s="54"/>
      <c r="DD65" s="55"/>
      <c r="DE65" s="67"/>
      <c r="DF65" s="54"/>
      <c r="DG65" s="54"/>
      <c r="DH65" s="54"/>
      <c r="DI65" s="54"/>
      <c r="DJ65" s="54"/>
      <c r="DK65" s="54"/>
      <c r="DL65" s="54"/>
      <c r="DM65" s="54"/>
      <c r="DN65" s="54"/>
      <c r="DO65" s="54"/>
      <c r="DP65" s="55"/>
      <c r="DQ65" s="67"/>
      <c r="DR65" s="54"/>
      <c r="DS65" s="54"/>
      <c r="DT65" s="54"/>
      <c r="DU65" s="54"/>
      <c r="DV65" s="54"/>
      <c r="DW65" s="54"/>
      <c r="DX65" s="54"/>
      <c r="DY65" s="54"/>
      <c r="DZ65" s="54"/>
      <c r="EA65" s="54"/>
      <c r="EB65" s="55"/>
      <c r="EC65" s="67"/>
      <c r="ED65" s="54"/>
      <c r="EE65" s="54"/>
      <c r="EF65" s="54"/>
      <c r="EG65" s="54"/>
      <c r="EH65" s="54"/>
      <c r="EI65" s="54"/>
      <c r="EJ65" s="54"/>
      <c r="EK65" s="54"/>
      <c r="EL65" s="54"/>
      <c r="EM65" s="54"/>
      <c r="EN65" s="55"/>
      <c r="EO65" s="67"/>
      <c r="EP65" s="54"/>
      <c r="EQ65" s="54"/>
      <c r="ER65" s="54"/>
      <c r="ES65" s="54"/>
      <c r="ET65" s="54"/>
      <c r="EU65" s="54"/>
      <c r="EV65" s="54"/>
      <c r="EW65" s="54"/>
      <c r="EX65" s="54"/>
      <c r="EY65" s="54"/>
      <c r="EZ65" s="55"/>
      <c r="FA65" s="67"/>
      <c r="FB65" s="54"/>
      <c r="FC65" s="54"/>
      <c r="FD65" s="54"/>
      <c r="FE65" s="54"/>
      <c r="FF65" s="54"/>
      <c r="FG65" s="54"/>
      <c r="FH65" s="54"/>
      <c r="FI65" s="54"/>
      <c r="FJ65" s="54"/>
      <c r="FK65" s="54"/>
      <c r="FL65" s="55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5"/>
      <c r="M66" s="67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5"/>
      <c r="Y66" s="67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5"/>
      <c r="AK66" s="67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5"/>
      <c r="AW66" s="67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5"/>
      <c r="BI66" s="67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5"/>
      <c r="BU66" s="67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5"/>
      <c r="CG66" s="67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5"/>
      <c r="CS66" s="67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5"/>
      <c r="DE66" s="67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5"/>
      <c r="DQ66" s="67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5"/>
      <c r="EC66" s="67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5"/>
      <c r="EO66" s="67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5"/>
      <c r="FA66" s="67"/>
      <c r="FB66" s="54"/>
      <c r="FC66" s="54"/>
      <c r="FD66" s="54"/>
      <c r="FE66" s="54"/>
      <c r="FF66" s="54"/>
      <c r="FG66" s="54"/>
      <c r="FH66" s="54"/>
      <c r="FI66" s="54"/>
      <c r="FJ66" s="54"/>
      <c r="FK66" s="54"/>
      <c r="FL66" s="55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5"/>
      <c r="M67" s="67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5"/>
      <c r="Y67" s="67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5"/>
      <c r="AK67" s="67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5"/>
      <c r="AW67" s="67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5"/>
      <c r="BI67" s="67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5"/>
      <c r="BU67" s="67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5"/>
      <c r="CG67" s="67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5"/>
      <c r="CS67" s="67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5"/>
      <c r="DE67" s="67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5"/>
      <c r="DQ67" s="67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5"/>
      <c r="EC67" s="67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5"/>
      <c r="EO67" s="67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5"/>
      <c r="FA67" s="67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5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5"/>
      <c r="M68" s="67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5"/>
      <c r="Y68" s="67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5"/>
      <c r="AK68" s="67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5"/>
      <c r="AW68" s="67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5"/>
      <c r="BI68" s="67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5"/>
      <c r="BU68" s="67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5"/>
      <c r="CG68" s="67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5"/>
      <c r="CS68" s="67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5"/>
      <c r="DE68" s="67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5"/>
      <c r="DQ68" s="67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5"/>
      <c r="EC68" s="67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5"/>
      <c r="EO68" s="67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5"/>
      <c r="FA68" s="67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5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5"/>
      <c r="M69" s="67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5"/>
      <c r="Y69" s="67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5"/>
      <c r="AK69" s="67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5"/>
      <c r="AW69" s="67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5"/>
      <c r="BI69" s="67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5"/>
      <c r="BU69" s="67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5"/>
      <c r="CG69" s="67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5"/>
      <c r="CS69" s="67"/>
      <c r="CT69" s="54"/>
      <c r="CU69" s="54"/>
      <c r="CV69" s="54"/>
      <c r="CW69" s="54"/>
      <c r="CX69" s="54"/>
      <c r="CY69" s="54"/>
      <c r="CZ69" s="54"/>
      <c r="DA69" s="54"/>
      <c r="DB69" s="54"/>
      <c r="DC69" s="54"/>
      <c r="DD69" s="55"/>
      <c r="DE69" s="67"/>
      <c r="DF69" s="54"/>
      <c r="DG69" s="54"/>
      <c r="DH69" s="54"/>
      <c r="DI69" s="54"/>
      <c r="DJ69" s="54"/>
      <c r="DK69" s="54"/>
      <c r="DL69" s="54"/>
      <c r="DM69" s="54"/>
      <c r="DN69" s="54"/>
      <c r="DO69" s="54"/>
      <c r="DP69" s="55"/>
      <c r="DQ69" s="67"/>
      <c r="DR69" s="54"/>
      <c r="DS69" s="54"/>
      <c r="DT69" s="54"/>
      <c r="DU69" s="54"/>
      <c r="DV69" s="54"/>
      <c r="DW69" s="54"/>
      <c r="DX69" s="54"/>
      <c r="DY69" s="54"/>
      <c r="DZ69" s="54"/>
      <c r="EA69" s="54"/>
      <c r="EB69" s="55"/>
      <c r="EC69" s="67"/>
      <c r="ED69" s="54"/>
      <c r="EE69" s="54"/>
      <c r="EF69" s="54"/>
      <c r="EG69" s="54"/>
      <c r="EH69" s="54"/>
      <c r="EI69" s="54"/>
      <c r="EJ69" s="54"/>
      <c r="EK69" s="54"/>
      <c r="EL69" s="54"/>
      <c r="EM69" s="54"/>
      <c r="EN69" s="55"/>
      <c r="EO69" s="67"/>
      <c r="EP69" s="54"/>
      <c r="EQ69" s="54"/>
      <c r="ER69" s="54"/>
      <c r="ES69" s="54"/>
      <c r="ET69" s="54"/>
      <c r="EU69" s="54"/>
      <c r="EV69" s="54"/>
      <c r="EW69" s="54"/>
      <c r="EX69" s="54"/>
      <c r="EY69" s="54"/>
      <c r="EZ69" s="55"/>
      <c r="FA69" s="67"/>
      <c r="FB69" s="54"/>
      <c r="FC69" s="54"/>
      <c r="FD69" s="54"/>
      <c r="FE69" s="54"/>
      <c r="FF69" s="54"/>
      <c r="FG69" s="54"/>
      <c r="FH69" s="54"/>
      <c r="FI69" s="54"/>
      <c r="FJ69" s="54"/>
      <c r="FK69" s="54"/>
      <c r="FL69" s="55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5"/>
      <c r="M70" s="67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5"/>
      <c r="Y70" s="67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5"/>
      <c r="AK70" s="67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5"/>
      <c r="AW70" s="67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5"/>
      <c r="BI70" s="67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5"/>
      <c r="BU70" s="67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5"/>
      <c r="CG70" s="67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5"/>
      <c r="CS70" s="67"/>
      <c r="CT70" s="54"/>
      <c r="CU70" s="54"/>
      <c r="CV70" s="54"/>
      <c r="CW70" s="54"/>
      <c r="CX70" s="54"/>
      <c r="CY70" s="54"/>
      <c r="CZ70" s="54"/>
      <c r="DA70" s="54"/>
      <c r="DB70" s="54"/>
      <c r="DC70" s="54"/>
      <c r="DD70" s="55"/>
      <c r="DE70" s="67"/>
      <c r="DF70" s="54"/>
      <c r="DG70" s="54"/>
      <c r="DH70" s="54"/>
      <c r="DI70" s="54"/>
      <c r="DJ70" s="54"/>
      <c r="DK70" s="54"/>
      <c r="DL70" s="54"/>
      <c r="DM70" s="54"/>
      <c r="DN70" s="54"/>
      <c r="DO70" s="54"/>
      <c r="DP70" s="55"/>
      <c r="DQ70" s="67"/>
      <c r="DR70" s="54"/>
      <c r="DS70" s="54"/>
      <c r="DT70" s="54"/>
      <c r="DU70" s="54"/>
      <c r="DV70" s="54"/>
      <c r="DW70" s="54"/>
      <c r="DX70" s="54"/>
      <c r="DY70" s="54"/>
      <c r="DZ70" s="54"/>
      <c r="EA70" s="54"/>
      <c r="EB70" s="55"/>
      <c r="EC70" s="67"/>
      <c r="ED70" s="54"/>
      <c r="EE70" s="54"/>
      <c r="EF70" s="54"/>
      <c r="EG70" s="54"/>
      <c r="EH70" s="54"/>
      <c r="EI70" s="54"/>
      <c r="EJ70" s="54"/>
      <c r="EK70" s="54"/>
      <c r="EL70" s="54"/>
      <c r="EM70" s="54"/>
      <c r="EN70" s="55"/>
      <c r="EO70" s="67"/>
      <c r="EP70" s="54"/>
      <c r="EQ70" s="54"/>
      <c r="ER70" s="54"/>
      <c r="ES70" s="54"/>
      <c r="ET70" s="54"/>
      <c r="EU70" s="54"/>
      <c r="EV70" s="54"/>
      <c r="EW70" s="54"/>
      <c r="EX70" s="54"/>
      <c r="EY70" s="54"/>
      <c r="EZ70" s="55"/>
      <c r="FA70" s="67"/>
      <c r="FB70" s="54"/>
      <c r="FC70" s="54"/>
      <c r="FD70" s="54"/>
      <c r="FE70" s="54"/>
      <c r="FF70" s="54"/>
      <c r="FG70" s="54"/>
      <c r="FH70" s="54"/>
      <c r="FI70" s="54"/>
      <c r="FJ70" s="54"/>
      <c r="FK70" s="54"/>
      <c r="FL70" s="55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5"/>
      <c r="M71" s="67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5"/>
      <c r="Y71" s="67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5"/>
      <c r="AK71" s="67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5"/>
      <c r="AW71" s="67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5"/>
      <c r="BI71" s="67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5"/>
      <c r="BU71" s="67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5"/>
      <c r="CG71" s="67"/>
      <c r="CH71" s="54"/>
      <c r="CI71" s="54"/>
      <c r="CJ71" s="54"/>
      <c r="CK71" s="54"/>
      <c r="CL71" s="54"/>
      <c r="CM71" s="54"/>
      <c r="CN71" s="54"/>
      <c r="CO71" s="54"/>
      <c r="CP71" s="54"/>
      <c r="CQ71" s="54"/>
      <c r="CR71" s="55"/>
      <c r="CS71" s="67"/>
      <c r="CT71" s="54"/>
      <c r="CU71" s="54"/>
      <c r="CV71" s="54"/>
      <c r="CW71" s="54"/>
      <c r="CX71" s="54"/>
      <c r="CY71" s="54"/>
      <c r="CZ71" s="54"/>
      <c r="DA71" s="54"/>
      <c r="DB71" s="54"/>
      <c r="DC71" s="54"/>
      <c r="DD71" s="55"/>
      <c r="DE71" s="67"/>
      <c r="DF71" s="54"/>
      <c r="DG71" s="54"/>
      <c r="DH71" s="54"/>
      <c r="DI71" s="54"/>
      <c r="DJ71" s="54"/>
      <c r="DK71" s="54"/>
      <c r="DL71" s="54"/>
      <c r="DM71" s="54"/>
      <c r="DN71" s="54"/>
      <c r="DO71" s="54"/>
      <c r="DP71" s="55"/>
      <c r="DQ71" s="67"/>
      <c r="DR71" s="54"/>
      <c r="DS71" s="54"/>
      <c r="DT71" s="54"/>
      <c r="DU71" s="54"/>
      <c r="DV71" s="54"/>
      <c r="DW71" s="54"/>
      <c r="DX71" s="54"/>
      <c r="DY71" s="54"/>
      <c r="DZ71" s="54"/>
      <c r="EA71" s="54"/>
      <c r="EB71" s="55"/>
      <c r="EC71" s="67"/>
      <c r="ED71" s="54"/>
      <c r="EE71" s="54"/>
      <c r="EF71" s="54"/>
      <c r="EG71" s="54"/>
      <c r="EH71" s="54"/>
      <c r="EI71" s="54"/>
      <c r="EJ71" s="54"/>
      <c r="EK71" s="54"/>
      <c r="EL71" s="54"/>
      <c r="EM71" s="54"/>
      <c r="EN71" s="55"/>
      <c r="EO71" s="67"/>
      <c r="EP71" s="54"/>
      <c r="EQ71" s="54"/>
      <c r="ER71" s="54"/>
      <c r="ES71" s="54"/>
      <c r="ET71" s="54"/>
      <c r="EU71" s="54"/>
      <c r="EV71" s="54"/>
      <c r="EW71" s="54"/>
      <c r="EX71" s="54"/>
      <c r="EY71" s="54"/>
      <c r="EZ71" s="55"/>
      <c r="FA71" s="67"/>
      <c r="FB71" s="54"/>
      <c r="FC71" s="54"/>
      <c r="FD71" s="54"/>
      <c r="FE71" s="54"/>
      <c r="FF71" s="54"/>
      <c r="FG71" s="54"/>
      <c r="FH71" s="54"/>
      <c r="FI71" s="54"/>
      <c r="FJ71" s="54"/>
      <c r="FK71" s="54"/>
      <c r="FL71" s="55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5"/>
      <c r="M72" s="67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5"/>
      <c r="Y72" s="67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5"/>
      <c r="AK72" s="67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5"/>
      <c r="AW72" s="67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5"/>
      <c r="BI72" s="67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5"/>
      <c r="BU72" s="67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5"/>
      <c r="CG72" s="67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5"/>
      <c r="CS72" s="67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5"/>
      <c r="DE72" s="67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5"/>
      <c r="DQ72" s="67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5"/>
      <c r="EC72" s="67"/>
      <c r="ED72" s="54"/>
      <c r="EE72" s="54"/>
      <c r="EF72" s="54"/>
      <c r="EG72" s="54"/>
      <c r="EH72" s="54"/>
      <c r="EI72" s="54"/>
      <c r="EJ72" s="54"/>
      <c r="EK72" s="54"/>
      <c r="EL72" s="54"/>
      <c r="EM72" s="54"/>
      <c r="EN72" s="55"/>
      <c r="EO72" s="67"/>
      <c r="EP72" s="54"/>
      <c r="EQ72" s="54"/>
      <c r="ER72" s="54"/>
      <c r="ES72" s="54"/>
      <c r="ET72" s="54"/>
      <c r="EU72" s="54"/>
      <c r="EV72" s="54"/>
      <c r="EW72" s="54"/>
      <c r="EX72" s="54"/>
      <c r="EY72" s="54"/>
      <c r="EZ72" s="55"/>
      <c r="FA72" s="67"/>
      <c r="FB72" s="54"/>
      <c r="FC72" s="54"/>
      <c r="FD72" s="54"/>
      <c r="FE72" s="54"/>
      <c r="FF72" s="54"/>
      <c r="FG72" s="54"/>
      <c r="FH72" s="54"/>
      <c r="FI72" s="54"/>
      <c r="FJ72" s="54"/>
      <c r="FK72" s="54"/>
      <c r="FL72" s="55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5"/>
      <c r="M73" s="67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5"/>
      <c r="Y73" s="67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5"/>
      <c r="AK73" s="67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5"/>
      <c r="AW73" s="67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5"/>
      <c r="BI73" s="67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5"/>
      <c r="BU73" s="67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5"/>
      <c r="CG73" s="67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5"/>
      <c r="CS73" s="67"/>
      <c r="CT73" s="54"/>
      <c r="CU73" s="54"/>
      <c r="CV73" s="54"/>
      <c r="CW73" s="54"/>
      <c r="CX73" s="54"/>
      <c r="CY73" s="54"/>
      <c r="CZ73" s="54"/>
      <c r="DA73" s="54"/>
      <c r="DB73" s="54"/>
      <c r="DC73" s="54"/>
      <c r="DD73" s="55"/>
      <c r="DE73" s="67"/>
      <c r="DF73" s="54"/>
      <c r="DG73" s="54"/>
      <c r="DH73" s="54"/>
      <c r="DI73" s="54"/>
      <c r="DJ73" s="54"/>
      <c r="DK73" s="54"/>
      <c r="DL73" s="54"/>
      <c r="DM73" s="54"/>
      <c r="DN73" s="54"/>
      <c r="DO73" s="54"/>
      <c r="DP73" s="55"/>
      <c r="DQ73" s="67"/>
      <c r="DR73" s="54"/>
      <c r="DS73" s="54"/>
      <c r="DT73" s="54"/>
      <c r="DU73" s="54"/>
      <c r="DV73" s="54"/>
      <c r="DW73" s="54"/>
      <c r="DX73" s="54"/>
      <c r="DY73" s="54"/>
      <c r="DZ73" s="54"/>
      <c r="EA73" s="54"/>
      <c r="EB73" s="55"/>
      <c r="EC73" s="67"/>
      <c r="ED73" s="54"/>
      <c r="EE73" s="54"/>
      <c r="EF73" s="54"/>
      <c r="EG73" s="54"/>
      <c r="EH73" s="54"/>
      <c r="EI73" s="54"/>
      <c r="EJ73" s="54"/>
      <c r="EK73" s="54"/>
      <c r="EL73" s="54"/>
      <c r="EM73" s="54"/>
      <c r="EN73" s="55"/>
      <c r="EO73" s="67"/>
      <c r="EP73" s="54"/>
      <c r="EQ73" s="54"/>
      <c r="ER73" s="54"/>
      <c r="ES73" s="54"/>
      <c r="ET73" s="54"/>
      <c r="EU73" s="54"/>
      <c r="EV73" s="54"/>
      <c r="EW73" s="54"/>
      <c r="EX73" s="54"/>
      <c r="EY73" s="54"/>
      <c r="EZ73" s="55"/>
      <c r="FA73" s="67"/>
      <c r="FB73" s="54"/>
      <c r="FC73" s="54"/>
      <c r="FD73" s="54"/>
      <c r="FE73" s="54"/>
      <c r="FF73" s="54"/>
      <c r="FG73" s="54"/>
      <c r="FH73" s="54"/>
      <c r="FI73" s="54"/>
      <c r="FJ73" s="54"/>
      <c r="FK73" s="54"/>
      <c r="FL73" s="55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5"/>
      <c r="M74" s="67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5"/>
      <c r="Y74" s="67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5"/>
      <c r="AK74" s="67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5"/>
      <c r="AW74" s="67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5"/>
      <c r="BI74" s="67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5"/>
      <c r="BU74" s="67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5"/>
      <c r="CG74" s="67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5"/>
      <c r="CS74" s="67"/>
      <c r="CT74" s="54"/>
      <c r="CU74" s="54"/>
      <c r="CV74" s="54"/>
      <c r="CW74" s="54"/>
      <c r="CX74" s="54"/>
      <c r="CY74" s="54"/>
      <c r="CZ74" s="54"/>
      <c r="DA74" s="54"/>
      <c r="DB74" s="54"/>
      <c r="DC74" s="54"/>
      <c r="DD74" s="55"/>
      <c r="DE74" s="67"/>
      <c r="DF74" s="54"/>
      <c r="DG74" s="54"/>
      <c r="DH74" s="54"/>
      <c r="DI74" s="54"/>
      <c r="DJ74" s="54"/>
      <c r="DK74" s="54"/>
      <c r="DL74" s="54"/>
      <c r="DM74" s="54"/>
      <c r="DN74" s="54"/>
      <c r="DO74" s="54"/>
      <c r="DP74" s="55"/>
      <c r="DQ74" s="67"/>
      <c r="DR74" s="54"/>
      <c r="DS74" s="54"/>
      <c r="DT74" s="54"/>
      <c r="DU74" s="54"/>
      <c r="DV74" s="54"/>
      <c r="DW74" s="54"/>
      <c r="DX74" s="54"/>
      <c r="DY74" s="54"/>
      <c r="DZ74" s="54"/>
      <c r="EA74" s="54"/>
      <c r="EB74" s="55"/>
      <c r="EC74" s="67"/>
      <c r="ED74" s="54"/>
      <c r="EE74" s="54"/>
      <c r="EF74" s="54"/>
      <c r="EG74" s="54"/>
      <c r="EH74" s="54"/>
      <c r="EI74" s="54"/>
      <c r="EJ74" s="54"/>
      <c r="EK74" s="54"/>
      <c r="EL74" s="54"/>
      <c r="EM74" s="54"/>
      <c r="EN74" s="55"/>
      <c r="EO74" s="67"/>
      <c r="EP74" s="54"/>
      <c r="EQ74" s="54"/>
      <c r="ER74" s="54"/>
      <c r="ES74" s="54"/>
      <c r="ET74" s="54"/>
      <c r="EU74" s="54"/>
      <c r="EV74" s="54"/>
      <c r="EW74" s="54"/>
      <c r="EX74" s="54"/>
      <c r="EY74" s="54"/>
      <c r="EZ74" s="55"/>
      <c r="FA74" s="67"/>
      <c r="FB74" s="54"/>
      <c r="FC74" s="54"/>
      <c r="FD74" s="54"/>
      <c r="FE74" s="54"/>
      <c r="FF74" s="54"/>
      <c r="FG74" s="54"/>
      <c r="FH74" s="54"/>
      <c r="FI74" s="54"/>
      <c r="FJ74" s="54"/>
      <c r="FK74" s="54"/>
      <c r="FL74" s="55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5"/>
      <c r="M75" s="67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5"/>
      <c r="Y75" s="67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5"/>
      <c r="AK75" s="67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5"/>
      <c r="AW75" s="67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5"/>
      <c r="BI75" s="67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5"/>
      <c r="BU75" s="67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5"/>
      <c r="CG75" s="67"/>
      <c r="CH75" s="54"/>
      <c r="CI75" s="54"/>
      <c r="CJ75" s="54"/>
      <c r="CK75" s="54"/>
      <c r="CL75" s="54"/>
      <c r="CM75" s="54"/>
      <c r="CN75" s="54"/>
      <c r="CO75" s="54"/>
      <c r="CP75" s="54"/>
      <c r="CQ75" s="54"/>
      <c r="CR75" s="55"/>
      <c r="CS75" s="67"/>
      <c r="CT75" s="54"/>
      <c r="CU75" s="54"/>
      <c r="CV75" s="54"/>
      <c r="CW75" s="54"/>
      <c r="CX75" s="54"/>
      <c r="CY75" s="54"/>
      <c r="CZ75" s="54"/>
      <c r="DA75" s="54"/>
      <c r="DB75" s="54"/>
      <c r="DC75" s="54"/>
      <c r="DD75" s="55"/>
      <c r="DE75" s="67"/>
      <c r="DF75" s="54"/>
      <c r="DG75" s="54"/>
      <c r="DH75" s="54"/>
      <c r="DI75" s="54"/>
      <c r="DJ75" s="54"/>
      <c r="DK75" s="54"/>
      <c r="DL75" s="54"/>
      <c r="DM75" s="54"/>
      <c r="DN75" s="54"/>
      <c r="DO75" s="54"/>
      <c r="DP75" s="55"/>
      <c r="DQ75" s="67"/>
      <c r="DR75" s="54"/>
      <c r="DS75" s="54"/>
      <c r="DT75" s="54"/>
      <c r="DU75" s="54"/>
      <c r="DV75" s="54"/>
      <c r="DW75" s="54"/>
      <c r="DX75" s="54"/>
      <c r="DY75" s="54"/>
      <c r="DZ75" s="54"/>
      <c r="EA75" s="54"/>
      <c r="EB75" s="55"/>
      <c r="EC75" s="67"/>
      <c r="ED75" s="54"/>
      <c r="EE75" s="54"/>
      <c r="EF75" s="54"/>
      <c r="EG75" s="54"/>
      <c r="EH75" s="54"/>
      <c r="EI75" s="54"/>
      <c r="EJ75" s="54"/>
      <c r="EK75" s="54"/>
      <c r="EL75" s="54"/>
      <c r="EM75" s="54"/>
      <c r="EN75" s="55"/>
      <c r="EO75" s="67"/>
      <c r="EP75" s="54"/>
      <c r="EQ75" s="54"/>
      <c r="ER75" s="54"/>
      <c r="ES75" s="54"/>
      <c r="ET75" s="54"/>
      <c r="EU75" s="54"/>
      <c r="EV75" s="54"/>
      <c r="EW75" s="54"/>
      <c r="EX75" s="54"/>
      <c r="EY75" s="54"/>
      <c r="EZ75" s="55"/>
      <c r="FA75" s="67"/>
      <c r="FB75" s="54"/>
      <c r="FC75" s="54"/>
      <c r="FD75" s="54"/>
      <c r="FE75" s="54"/>
      <c r="FF75" s="54"/>
      <c r="FG75" s="54"/>
      <c r="FH75" s="54"/>
      <c r="FI75" s="54"/>
      <c r="FJ75" s="54"/>
      <c r="FK75" s="54"/>
      <c r="FL75" s="55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5"/>
      <c r="M76" s="67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5"/>
      <c r="Y76" s="67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5"/>
      <c r="AK76" s="67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5"/>
      <c r="AW76" s="67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5"/>
      <c r="BI76" s="67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5"/>
      <c r="BU76" s="67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5"/>
      <c r="CG76" s="67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5"/>
      <c r="CS76" s="67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5"/>
      <c r="DE76" s="67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5"/>
      <c r="DQ76" s="67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5"/>
      <c r="EC76" s="67"/>
      <c r="ED76" s="54"/>
      <c r="EE76" s="54"/>
      <c r="EF76" s="54"/>
      <c r="EG76" s="54"/>
      <c r="EH76" s="54"/>
      <c r="EI76" s="54"/>
      <c r="EJ76" s="54"/>
      <c r="EK76" s="54"/>
      <c r="EL76" s="54"/>
      <c r="EM76" s="54"/>
      <c r="EN76" s="55"/>
      <c r="EO76" s="67"/>
      <c r="EP76" s="54"/>
      <c r="EQ76" s="54"/>
      <c r="ER76" s="54"/>
      <c r="ES76" s="54"/>
      <c r="ET76" s="54"/>
      <c r="EU76" s="54"/>
      <c r="EV76" s="54"/>
      <c r="EW76" s="54"/>
      <c r="EX76" s="54"/>
      <c r="EY76" s="54"/>
      <c r="EZ76" s="55"/>
      <c r="FA76" s="67"/>
      <c r="FB76" s="54"/>
      <c r="FC76" s="54"/>
      <c r="FD76" s="54"/>
      <c r="FE76" s="54"/>
      <c r="FF76" s="54"/>
      <c r="FG76" s="54"/>
      <c r="FH76" s="54"/>
      <c r="FI76" s="54"/>
      <c r="FJ76" s="54"/>
      <c r="FK76" s="54"/>
      <c r="FL76" s="55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5"/>
      <c r="M77" s="67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5"/>
      <c r="Y77" s="67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5"/>
      <c r="AK77" s="67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5"/>
      <c r="AW77" s="67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5"/>
      <c r="BI77" s="67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5"/>
      <c r="BU77" s="67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5"/>
      <c r="CG77" s="67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5"/>
      <c r="CS77" s="67"/>
      <c r="CT77" s="54"/>
      <c r="CU77" s="54"/>
      <c r="CV77" s="54"/>
      <c r="CW77" s="54"/>
      <c r="CX77" s="54"/>
      <c r="CY77" s="54"/>
      <c r="CZ77" s="54"/>
      <c r="DA77" s="54"/>
      <c r="DB77" s="54"/>
      <c r="DC77" s="54"/>
      <c r="DD77" s="55"/>
      <c r="DE77" s="67"/>
      <c r="DF77" s="54"/>
      <c r="DG77" s="54"/>
      <c r="DH77" s="54"/>
      <c r="DI77" s="54"/>
      <c r="DJ77" s="54"/>
      <c r="DK77" s="54"/>
      <c r="DL77" s="54"/>
      <c r="DM77" s="54"/>
      <c r="DN77" s="54"/>
      <c r="DO77" s="54"/>
      <c r="DP77" s="55"/>
      <c r="DQ77" s="67"/>
      <c r="DR77" s="54"/>
      <c r="DS77" s="54"/>
      <c r="DT77" s="54"/>
      <c r="DU77" s="54"/>
      <c r="DV77" s="54"/>
      <c r="DW77" s="54"/>
      <c r="DX77" s="54"/>
      <c r="DY77" s="54"/>
      <c r="DZ77" s="54"/>
      <c r="EA77" s="54"/>
      <c r="EB77" s="55"/>
      <c r="EC77" s="67"/>
      <c r="ED77" s="54"/>
      <c r="EE77" s="54"/>
      <c r="EF77" s="54"/>
      <c r="EG77" s="54"/>
      <c r="EH77" s="54"/>
      <c r="EI77" s="54"/>
      <c r="EJ77" s="54"/>
      <c r="EK77" s="54"/>
      <c r="EL77" s="54"/>
      <c r="EM77" s="54"/>
      <c r="EN77" s="55"/>
      <c r="EO77" s="67"/>
      <c r="EP77" s="54"/>
      <c r="EQ77" s="54"/>
      <c r="ER77" s="54"/>
      <c r="ES77" s="54"/>
      <c r="ET77" s="54"/>
      <c r="EU77" s="54"/>
      <c r="EV77" s="54"/>
      <c r="EW77" s="54"/>
      <c r="EX77" s="54"/>
      <c r="EY77" s="54"/>
      <c r="EZ77" s="55"/>
      <c r="FA77" s="67"/>
      <c r="FB77" s="54"/>
      <c r="FC77" s="54"/>
      <c r="FD77" s="54"/>
      <c r="FE77" s="54"/>
      <c r="FF77" s="54"/>
      <c r="FG77" s="54"/>
      <c r="FH77" s="54"/>
      <c r="FI77" s="54"/>
      <c r="FJ77" s="54"/>
      <c r="FK77" s="54"/>
      <c r="FL77" s="55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5"/>
      <c r="M78" s="67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5"/>
      <c r="Y78" s="67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5"/>
      <c r="AK78" s="67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5"/>
      <c r="AW78" s="67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5"/>
      <c r="BI78" s="67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5"/>
      <c r="BU78" s="67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5"/>
      <c r="CG78" s="67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5"/>
      <c r="CS78" s="67"/>
      <c r="CT78" s="54"/>
      <c r="CU78" s="54"/>
      <c r="CV78" s="54"/>
      <c r="CW78" s="54"/>
      <c r="CX78" s="54"/>
      <c r="CY78" s="54"/>
      <c r="CZ78" s="54"/>
      <c r="DA78" s="54"/>
      <c r="DB78" s="54"/>
      <c r="DC78" s="54"/>
      <c r="DD78" s="55"/>
      <c r="DE78" s="67"/>
      <c r="DF78" s="54"/>
      <c r="DG78" s="54"/>
      <c r="DH78" s="54"/>
      <c r="DI78" s="54"/>
      <c r="DJ78" s="54"/>
      <c r="DK78" s="54"/>
      <c r="DL78" s="54"/>
      <c r="DM78" s="54"/>
      <c r="DN78" s="54"/>
      <c r="DO78" s="54"/>
      <c r="DP78" s="55"/>
      <c r="DQ78" s="67"/>
      <c r="DR78" s="54"/>
      <c r="DS78" s="54"/>
      <c r="DT78" s="54"/>
      <c r="DU78" s="54"/>
      <c r="DV78" s="54"/>
      <c r="DW78" s="54"/>
      <c r="DX78" s="54"/>
      <c r="DY78" s="54"/>
      <c r="DZ78" s="54"/>
      <c r="EA78" s="54"/>
      <c r="EB78" s="55"/>
      <c r="EC78" s="67"/>
      <c r="ED78" s="54"/>
      <c r="EE78" s="54"/>
      <c r="EF78" s="54"/>
      <c r="EG78" s="54"/>
      <c r="EH78" s="54"/>
      <c r="EI78" s="54"/>
      <c r="EJ78" s="54"/>
      <c r="EK78" s="54"/>
      <c r="EL78" s="54"/>
      <c r="EM78" s="54"/>
      <c r="EN78" s="55"/>
      <c r="EO78" s="67"/>
      <c r="EP78" s="54"/>
      <c r="EQ78" s="54"/>
      <c r="ER78" s="54"/>
      <c r="ES78" s="54"/>
      <c r="ET78" s="54"/>
      <c r="EU78" s="54"/>
      <c r="EV78" s="54"/>
      <c r="EW78" s="54"/>
      <c r="EX78" s="54"/>
      <c r="EY78" s="54"/>
      <c r="EZ78" s="55"/>
      <c r="FA78" s="67"/>
      <c r="FB78" s="54"/>
      <c r="FC78" s="54"/>
      <c r="FD78" s="54"/>
      <c r="FE78" s="54"/>
      <c r="FF78" s="54"/>
      <c r="FG78" s="54"/>
      <c r="FH78" s="54"/>
      <c r="FI78" s="54"/>
      <c r="FJ78" s="54"/>
      <c r="FK78" s="54"/>
      <c r="FL78" s="55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5"/>
      <c r="M79" s="67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5"/>
      <c r="Y79" s="67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5"/>
      <c r="AK79" s="67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5"/>
      <c r="AW79" s="67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5"/>
      <c r="BI79" s="67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5"/>
      <c r="BU79" s="67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5"/>
      <c r="CG79" s="67"/>
      <c r="CH79" s="54"/>
      <c r="CI79" s="54"/>
      <c r="CJ79" s="54"/>
      <c r="CK79" s="54"/>
      <c r="CL79" s="54"/>
      <c r="CM79" s="54"/>
      <c r="CN79" s="54"/>
      <c r="CO79" s="54"/>
      <c r="CP79" s="54"/>
      <c r="CQ79" s="54"/>
      <c r="CR79" s="55"/>
      <c r="CS79" s="67"/>
      <c r="CT79" s="54"/>
      <c r="CU79" s="54"/>
      <c r="CV79" s="54"/>
      <c r="CW79" s="54"/>
      <c r="CX79" s="54"/>
      <c r="CY79" s="54"/>
      <c r="CZ79" s="54"/>
      <c r="DA79" s="54"/>
      <c r="DB79" s="54"/>
      <c r="DC79" s="54"/>
      <c r="DD79" s="55"/>
      <c r="DE79" s="67"/>
      <c r="DF79" s="54"/>
      <c r="DG79" s="54"/>
      <c r="DH79" s="54"/>
      <c r="DI79" s="54"/>
      <c r="DJ79" s="54"/>
      <c r="DK79" s="54"/>
      <c r="DL79" s="54"/>
      <c r="DM79" s="54"/>
      <c r="DN79" s="54"/>
      <c r="DO79" s="54"/>
      <c r="DP79" s="55"/>
      <c r="DQ79" s="67"/>
      <c r="DR79" s="54"/>
      <c r="DS79" s="54"/>
      <c r="DT79" s="54"/>
      <c r="DU79" s="54"/>
      <c r="DV79" s="54"/>
      <c r="DW79" s="54"/>
      <c r="DX79" s="54"/>
      <c r="DY79" s="54"/>
      <c r="DZ79" s="54"/>
      <c r="EA79" s="54"/>
      <c r="EB79" s="55"/>
      <c r="EC79" s="67"/>
      <c r="ED79" s="54"/>
      <c r="EE79" s="54"/>
      <c r="EF79" s="54"/>
      <c r="EG79" s="54"/>
      <c r="EH79" s="54"/>
      <c r="EI79" s="54"/>
      <c r="EJ79" s="54"/>
      <c r="EK79" s="54"/>
      <c r="EL79" s="54"/>
      <c r="EM79" s="54"/>
      <c r="EN79" s="55"/>
      <c r="EO79" s="67"/>
      <c r="EP79" s="54"/>
      <c r="EQ79" s="54"/>
      <c r="ER79" s="54"/>
      <c r="ES79" s="54"/>
      <c r="ET79" s="54"/>
      <c r="EU79" s="54"/>
      <c r="EV79" s="54"/>
      <c r="EW79" s="54"/>
      <c r="EX79" s="54"/>
      <c r="EY79" s="54"/>
      <c r="EZ79" s="55"/>
      <c r="FA79" s="67"/>
      <c r="FB79" s="54"/>
      <c r="FC79" s="54"/>
      <c r="FD79" s="54"/>
      <c r="FE79" s="54"/>
      <c r="FF79" s="54"/>
      <c r="FG79" s="54"/>
      <c r="FH79" s="54"/>
      <c r="FI79" s="54"/>
      <c r="FJ79" s="54"/>
      <c r="FK79" s="54"/>
      <c r="FL79" s="55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5"/>
      <c r="M80" s="67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5"/>
      <c r="Y80" s="67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5"/>
      <c r="AK80" s="67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5"/>
      <c r="AW80" s="67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5"/>
      <c r="BI80" s="67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5"/>
      <c r="BU80" s="67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5"/>
      <c r="CG80" s="67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5"/>
      <c r="CS80" s="67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5"/>
      <c r="DE80" s="67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5"/>
      <c r="DQ80" s="67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5"/>
      <c r="EC80" s="67"/>
      <c r="ED80" s="54"/>
      <c r="EE80" s="54"/>
      <c r="EF80" s="54"/>
      <c r="EG80" s="54"/>
      <c r="EH80" s="54"/>
      <c r="EI80" s="54"/>
      <c r="EJ80" s="54"/>
      <c r="EK80" s="54"/>
      <c r="EL80" s="54"/>
      <c r="EM80" s="54"/>
      <c r="EN80" s="55"/>
      <c r="EO80" s="67"/>
      <c r="EP80" s="54"/>
      <c r="EQ80" s="54"/>
      <c r="ER80" s="54"/>
      <c r="ES80" s="54"/>
      <c r="ET80" s="54"/>
      <c r="EU80" s="54"/>
      <c r="EV80" s="54"/>
      <c r="EW80" s="54"/>
      <c r="EX80" s="54"/>
      <c r="EY80" s="54"/>
      <c r="EZ80" s="55"/>
      <c r="FA80" s="67"/>
      <c r="FB80" s="54"/>
      <c r="FC80" s="54"/>
      <c r="FD80" s="54"/>
      <c r="FE80" s="54"/>
      <c r="FF80" s="54"/>
      <c r="FG80" s="54"/>
      <c r="FH80" s="54"/>
      <c r="FI80" s="54"/>
      <c r="FJ80" s="54"/>
      <c r="FK80" s="54"/>
      <c r="FL80" s="55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5"/>
      <c r="M81" s="67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5"/>
      <c r="Y81" s="67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5"/>
      <c r="AK81" s="67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5"/>
      <c r="AW81" s="67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5"/>
      <c r="BI81" s="67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5"/>
      <c r="BU81" s="67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5"/>
      <c r="CG81" s="67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5"/>
      <c r="CS81" s="67"/>
      <c r="CT81" s="54"/>
      <c r="CU81" s="54"/>
      <c r="CV81" s="54"/>
      <c r="CW81" s="54"/>
      <c r="CX81" s="54"/>
      <c r="CY81" s="54"/>
      <c r="CZ81" s="54"/>
      <c r="DA81" s="54"/>
      <c r="DB81" s="54"/>
      <c r="DC81" s="54"/>
      <c r="DD81" s="55"/>
      <c r="DE81" s="67"/>
      <c r="DF81" s="54"/>
      <c r="DG81" s="54"/>
      <c r="DH81" s="54"/>
      <c r="DI81" s="54"/>
      <c r="DJ81" s="54"/>
      <c r="DK81" s="54"/>
      <c r="DL81" s="54"/>
      <c r="DM81" s="54"/>
      <c r="DN81" s="54"/>
      <c r="DO81" s="54"/>
      <c r="DP81" s="55"/>
      <c r="DQ81" s="67"/>
      <c r="DR81" s="54"/>
      <c r="DS81" s="54"/>
      <c r="DT81" s="54"/>
      <c r="DU81" s="54"/>
      <c r="DV81" s="54"/>
      <c r="DW81" s="54"/>
      <c r="DX81" s="54"/>
      <c r="DY81" s="54"/>
      <c r="DZ81" s="54"/>
      <c r="EA81" s="54"/>
      <c r="EB81" s="55"/>
      <c r="EC81" s="67"/>
      <c r="ED81" s="54"/>
      <c r="EE81" s="54"/>
      <c r="EF81" s="54"/>
      <c r="EG81" s="54"/>
      <c r="EH81" s="54"/>
      <c r="EI81" s="54"/>
      <c r="EJ81" s="54"/>
      <c r="EK81" s="54"/>
      <c r="EL81" s="54"/>
      <c r="EM81" s="54"/>
      <c r="EN81" s="55"/>
      <c r="EO81" s="67"/>
      <c r="EP81" s="54"/>
      <c r="EQ81" s="54"/>
      <c r="ER81" s="54"/>
      <c r="ES81" s="54"/>
      <c r="ET81" s="54"/>
      <c r="EU81" s="54"/>
      <c r="EV81" s="54"/>
      <c r="EW81" s="54"/>
      <c r="EX81" s="54"/>
      <c r="EY81" s="54"/>
      <c r="EZ81" s="55"/>
      <c r="FA81" s="67"/>
      <c r="FB81" s="54"/>
      <c r="FC81" s="54"/>
      <c r="FD81" s="54"/>
      <c r="FE81" s="54"/>
      <c r="FF81" s="54"/>
      <c r="FG81" s="54"/>
      <c r="FH81" s="54"/>
      <c r="FI81" s="54"/>
      <c r="FJ81" s="54"/>
      <c r="FK81" s="54"/>
      <c r="FL81" s="55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5"/>
      <c r="M82" s="67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5"/>
      <c r="Y82" s="67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5"/>
      <c r="AK82" s="67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5"/>
      <c r="AW82" s="67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5"/>
      <c r="BI82" s="67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5"/>
      <c r="BU82" s="67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5"/>
      <c r="CG82" s="67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5"/>
      <c r="CS82" s="67"/>
      <c r="CT82" s="54"/>
      <c r="CU82" s="54"/>
      <c r="CV82" s="54"/>
      <c r="CW82" s="54"/>
      <c r="CX82" s="54"/>
      <c r="CY82" s="54"/>
      <c r="CZ82" s="54"/>
      <c r="DA82" s="54"/>
      <c r="DB82" s="54"/>
      <c r="DC82" s="54"/>
      <c r="DD82" s="55"/>
      <c r="DE82" s="67"/>
      <c r="DF82" s="54"/>
      <c r="DG82" s="54"/>
      <c r="DH82" s="54"/>
      <c r="DI82" s="54"/>
      <c r="DJ82" s="54"/>
      <c r="DK82" s="54"/>
      <c r="DL82" s="54"/>
      <c r="DM82" s="54"/>
      <c r="DN82" s="54"/>
      <c r="DO82" s="54"/>
      <c r="DP82" s="55"/>
      <c r="DQ82" s="67"/>
      <c r="DR82" s="54"/>
      <c r="DS82" s="54"/>
      <c r="DT82" s="54"/>
      <c r="DU82" s="54"/>
      <c r="DV82" s="54"/>
      <c r="DW82" s="54"/>
      <c r="DX82" s="54"/>
      <c r="DY82" s="54"/>
      <c r="DZ82" s="54"/>
      <c r="EA82" s="54"/>
      <c r="EB82" s="55"/>
      <c r="EC82" s="67"/>
      <c r="ED82" s="54"/>
      <c r="EE82" s="54"/>
      <c r="EF82" s="54"/>
      <c r="EG82" s="54"/>
      <c r="EH82" s="54"/>
      <c r="EI82" s="54"/>
      <c r="EJ82" s="54"/>
      <c r="EK82" s="54"/>
      <c r="EL82" s="54"/>
      <c r="EM82" s="54"/>
      <c r="EN82" s="55"/>
      <c r="EO82" s="67"/>
      <c r="EP82" s="54"/>
      <c r="EQ82" s="54"/>
      <c r="ER82" s="54"/>
      <c r="ES82" s="54"/>
      <c r="ET82" s="54"/>
      <c r="EU82" s="54"/>
      <c r="EV82" s="54"/>
      <c r="EW82" s="54"/>
      <c r="EX82" s="54"/>
      <c r="EY82" s="54"/>
      <c r="EZ82" s="55"/>
      <c r="FA82" s="67"/>
      <c r="FB82" s="54"/>
      <c r="FC82" s="54"/>
      <c r="FD82" s="54"/>
      <c r="FE82" s="54"/>
      <c r="FF82" s="54"/>
      <c r="FG82" s="54"/>
      <c r="FH82" s="54"/>
      <c r="FI82" s="54"/>
      <c r="FJ82" s="54"/>
      <c r="FK82" s="54"/>
      <c r="FL82" s="55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5"/>
      <c r="M83" s="67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5"/>
      <c r="Y83" s="67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5"/>
      <c r="AK83" s="67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5"/>
      <c r="AW83" s="67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5"/>
      <c r="BI83" s="67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5"/>
      <c r="BU83" s="67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5"/>
      <c r="CG83" s="67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5"/>
      <c r="CS83" s="67"/>
      <c r="CT83" s="54"/>
      <c r="CU83" s="54"/>
      <c r="CV83" s="54"/>
      <c r="CW83" s="54"/>
      <c r="CX83" s="54"/>
      <c r="CY83" s="54"/>
      <c r="CZ83" s="54"/>
      <c r="DA83" s="54"/>
      <c r="DB83" s="54"/>
      <c r="DC83" s="54"/>
      <c r="DD83" s="55"/>
      <c r="DE83" s="67"/>
      <c r="DF83" s="54"/>
      <c r="DG83" s="54"/>
      <c r="DH83" s="54"/>
      <c r="DI83" s="54"/>
      <c r="DJ83" s="54"/>
      <c r="DK83" s="54"/>
      <c r="DL83" s="54"/>
      <c r="DM83" s="54"/>
      <c r="DN83" s="54"/>
      <c r="DO83" s="54"/>
      <c r="DP83" s="55"/>
      <c r="DQ83" s="67"/>
      <c r="DR83" s="54"/>
      <c r="DS83" s="54"/>
      <c r="DT83" s="54"/>
      <c r="DU83" s="54"/>
      <c r="DV83" s="54"/>
      <c r="DW83" s="54"/>
      <c r="DX83" s="54"/>
      <c r="DY83" s="54"/>
      <c r="DZ83" s="54"/>
      <c r="EA83" s="54"/>
      <c r="EB83" s="55"/>
      <c r="EC83" s="67"/>
      <c r="ED83" s="54"/>
      <c r="EE83" s="54"/>
      <c r="EF83" s="54"/>
      <c r="EG83" s="54"/>
      <c r="EH83" s="54"/>
      <c r="EI83" s="54"/>
      <c r="EJ83" s="54"/>
      <c r="EK83" s="54"/>
      <c r="EL83" s="54"/>
      <c r="EM83" s="54"/>
      <c r="EN83" s="55"/>
      <c r="EO83" s="67"/>
      <c r="EP83" s="54"/>
      <c r="EQ83" s="54"/>
      <c r="ER83" s="54"/>
      <c r="ES83" s="54"/>
      <c r="ET83" s="54"/>
      <c r="EU83" s="54"/>
      <c r="EV83" s="54"/>
      <c r="EW83" s="54"/>
      <c r="EX83" s="54"/>
      <c r="EY83" s="54"/>
      <c r="EZ83" s="55"/>
      <c r="FA83" s="67"/>
      <c r="FB83" s="54"/>
      <c r="FC83" s="54"/>
      <c r="FD83" s="54"/>
      <c r="FE83" s="54"/>
      <c r="FF83" s="54"/>
      <c r="FG83" s="54"/>
      <c r="FH83" s="54"/>
      <c r="FI83" s="54"/>
      <c r="FJ83" s="54"/>
      <c r="FK83" s="54"/>
      <c r="FL83" s="55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5"/>
      <c r="M84" s="67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5"/>
      <c r="Y84" s="67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5"/>
      <c r="AK84" s="67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5"/>
      <c r="AW84" s="67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5"/>
      <c r="BI84" s="67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5"/>
      <c r="BU84" s="67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5"/>
      <c r="CG84" s="67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5"/>
      <c r="CS84" s="67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5"/>
      <c r="DE84" s="67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5"/>
      <c r="DQ84" s="67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5"/>
      <c r="EC84" s="67"/>
      <c r="ED84" s="54"/>
      <c r="EE84" s="54"/>
      <c r="EF84" s="54"/>
      <c r="EG84" s="54"/>
      <c r="EH84" s="54"/>
      <c r="EI84" s="54"/>
      <c r="EJ84" s="54"/>
      <c r="EK84" s="54"/>
      <c r="EL84" s="54"/>
      <c r="EM84" s="54"/>
      <c r="EN84" s="55"/>
      <c r="EO84" s="67"/>
      <c r="EP84" s="54"/>
      <c r="EQ84" s="54"/>
      <c r="ER84" s="54"/>
      <c r="ES84" s="54"/>
      <c r="ET84" s="54"/>
      <c r="EU84" s="54"/>
      <c r="EV84" s="54"/>
      <c r="EW84" s="54"/>
      <c r="EX84" s="54"/>
      <c r="EY84" s="54"/>
      <c r="EZ84" s="55"/>
      <c r="FA84" s="67"/>
      <c r="FB84" s="54"/>
      <c r="FC84" s="54"/>
      <c r="FD84" s="54"/>
      <c r="FE84" s="54"/>
      <c r="FF84" s="54"/>
      <c r="FG84" s="54"/>
      <c r="FH84" s="54"/>
      <c r="FI84" s="54"/>
      <c r="FJ84" s="54"/>
      <c r="FK84" s="54"/>
      <c r="FL84" s="55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5"/>
      <c r="M85" s="67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5"/>
      <c r="Y85" s="67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5"/>
      <c r="AK85" s="67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5"/>
      <c r="AW85" s="67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5"/>
      <c r="BI85" s="67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5"/>
      <c r="BU85" s="67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5"/>
      <c r="CG85" s="67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5"/>
      <c r="CS85" s="67"/>
      <c r="CT85" s="54"/>
      <c r="CU85" s="54"/>
      <c r="CV85" s="54"/>
      <c r="CW85" s="54"/>
      <c r="CX85" s="54"/>
      <c r="CY85" s="54"/>
      <c r="CZ85" s="54"/>
      <c r="DA85" s="54"/>
      <c r="DB85" s="54"/>
      <c r="DC85" s="54"/>
      <c r="DD85" s="55"/>
      <c r="DE85" s="67"/>
      <c r="DF85" s="54"/>
      <c r="DG85" s="54"/>
      <c r="DH85" s="54"/>
      <c r="DI85" s="54"/>
      <c r="DJ85" s="54"/>
      <c r="DK85" s="54"/>
      <c r="DL85" s="54"/>
      <c r="DM85" s="54"/>
      <c r="DN85" s="54"/>
      <c r="DO85" s="54"/>
      <c r="DP85" s="55"/>
      <c r="DQ85" s="67"/>
      <c r="DR85" s="54"/>
      <c r="DS85" s="54"/>
      <c r="DT85" s="54"/>
      <c r="DU85" s="54"/>
      <c r="DV85" s="54"/>
      <c r="DW85" s="54"/>
      <c r="DX85" s="54"/>
      <c r="DY85" s="54"/>
      <c r="DZ85" s="54"/>
      <c r="EA85" s="54"/>
      <c r="EB85" s="55"/>
      <c r="EC85" s="67"/>
      <c r="ED85" s="54"/>
      <c r="EE85" s="54"/>
      <c r="EF85" s="54"/>
      <c r="EG85" s="54"/>
      <c r="EH85" s="54"/>
      <c r="EI85" s="54"/>
      <c r="EJ85" s="54"/>
      <c r="EK85" s="54"/>
      <c r="EL85" s="54"/>
      <c r="EM85" s="54"/>
      <c r="EN85" s="55"/>
      <c r="EO85" s="67"/>
      <c r="EP85" s="54"/>
      <c r="EQ85" s="54"/>
      <c r="ER85" s="54"/>
      <c r="ES85" s="54"/>
      <c r="ET85" s="54"/>
      <c r="EU85" s="54"/>
      <c r="EV85" s="54"/>
      <c r="EW85" s="54"/>
      <c r="EX85" s="54"/>
      <c r="EY85" s="54"/>
      <c r="EZ85" s="55"/>
      <c r="FA85" s="67"/>
      <c r="FB85" s="54"/>
      <c r="FC85" s="54"/>
      <c r="FD85" s="54"/>
      <c r="FE85" s="54"/>
      <c r="FF85" s="54"/>
      <c r="FG85" s="54"/>
      <c r="FH85" s="54"/>
      <c r="FI85" s="54"/>
      <c r="FJ85" s="54"/>
      <c r="FK85" s="54"/>
      <c r="FL85" s="55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67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5"/>
      <c r="Y86" s="67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5"/>
      <c r="AK86" s="67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5"/>
      <c r="AW86" s="67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5"/>
      <c r="BI86" s="67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5"/>
      <c r="BU86" s="67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5"/>
      <c r="CG86" s="67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5"/>
      <c r="CS86" s="67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5"/>
      <c r="DE86" s="67"/>
      <c r="DF86" s="54"/>
      <c r="DG86" s="54"/>
      <c r="DH86" s="54"/>
      <c r="DI86" s="54"/>
      <c r="DJ86" s="54"/>
      <c r="DK86" s="54"/>
      <c r="DL86" s="54"/>
      <c r="DM86" s="54"/>
      <c r="DN86" s="54"/>
      <c r="DO86" s="54"/>
      <c r="DP86" s="55"/>
      <c r="DQ86" s="67"/>
      <c r="DR86" s="54"/>
      <c r="DS86" s="54"/>
      <c r="DT86" s="54"/>
      <c r="DU86" s="54"/>
      <c r="DV86" s="54"/>
      <c r="DW86" s="54"/>
      <c r="DX86" s="54"/>
      <c r="DY86" s="54"/>
      <c r="DZ86" s="54"/>
      <c r="EA86" s="54"/>
      <c r="EB86" s="55"/>
      <c r="EC86" s="67"/>
      <c r="ED86" s="54"/>
      <c r="EE86" s="54"/>
      <c r="EF86" s="54"/>
      <c r="EG86" s="54"/>
      <c r="EH86" s="54"/>
      <c r="EI86" s="54"/>
      <c r="EJ86" s="54"/>
      <c r="EK86" s="54"/>
      <c r="EL86" s="54"/>
      <c r="EM86" s="54"/>
      <c r="EN86" s="55"/>
      <c r="EO86" s="67"/>
      <c r="EP86" s="54"/>
      <c r="EQ86" s="54"/>
      <c r="ER86" s="54"/>
      <c r="ES86" s="54"/>
      <c r="ET86" s="54"/>
      <c r="EU86" s="54"/>
      <c r="EV86" s="54"/>
      <c r="EW86" s="54"/>
      <c r="EX86" s="54"/>
      <c r="EY86" s="54"/>
      <c r="EZ86" s="55"/>
      <c r="FA86" s="67"/>
      <c r="FB86" s="54"/>
      <c r="FC86" s="54"/>
      <c r="FD86" s="54"/>
      <c r="FE86" s="54"/>
      <c r="FF86" s="54"/>
      <c r="FG86" s="54"/>
      <c r="FH86" s="54"/>
      <c r="FI86" s="54"/>
      <c r="FJ86" s="54"/>
      <c r="FK86" s="54"/>
      <c r="FL86" s="55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5"/>
      <c r="M87" s="67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5"/>
      <c r="Y87" s="67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5"/>
      <c r="AK87" s="67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5"/>
      <c r="AW87" s="67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5"/>
      <c r="BI87" s="67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5"/>
      <c r="BU87" s="67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5"/>
      <c r="CG87" s="67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5"/>
      <c r="CS87" s="67"/>
      <c r="CT87" s="54"/>
      <c r="CU87" s="54"/>
      <c r="CV87" s="54"/>
      <c r="CW87" s="54"/>
      <c r="CX87" s="54"/>
      <c r="CY87" s="54"/>
      <c r="CZ87" s="54"/>
      <c r="DA87" s="54"/>
      <c r="DB87" s="54"/>
      <c r="DC87" s="54"/>
      <c r="DD87" s="55"/>
      <c r="DE87" s="67"/>
      <c r="DF87" s="54"/>
      <c r="DG87" s="54"/>
      <c r="DH87" s="54"/>
      <c r="DI87" s="54"/>
      <c r="DJ87" s="54"/>
      <c r="DK87" s="54"/>
      <c r="DL87" s="54"/>
      <c r="DM87" s="54"/>
      <c r="DN87" s="54"/>
      <c r="DO87" s="54"/>
      <c r="DP87" s="55"/>
      <c r="DQ87" s="67"/>
      <c r="DR87" s="54"/>
      <c r="DS87" s="54"/>
      <c r="DT87" s="54"/>
      <c r="DU87" s="54"/>
      <c r="DV87" s="54"/>
      <c r="DW87" s="54"/>
      <c r="DX87" s="54"/>
      <c r="DY87" s="54"/>
      <c r="DZ87" s="54"/>
      <c r="EA87" s="54"/>
      <c r="EB87" s="55"/>
      <c r="EC87" s="67"/>
      <c r="ED87" s="54"/>
      <c r="EE87" s="54"/>
      <c r="EF87" s="54"/>
      <c r="EG87" s="54"/>
      <c r="EH87" s="54"/>
      <c r="EI87" s="54"/>
      <c r="EJ87" s="54"/>
      <c r="EK87" s="54"/>
      <c r="EL87" s="54"/>
      <c r="EM87" s="54"/>
      <c r="EN87" s="55"/>
      <c r="EO87" s="67"/>
      <c r="EP87" s="54"/>
      <c r="EQ87" s="54"/>
      <c r="ER87" s="54"/>
      <c r="ES87" s="54"/>
      <c r="ET87" s="54"/>
      <c r="EU87" s="54"/>
      <c r="EV87" s="54"/>
      <c r="EW87" s="54"/>
      <c r="EX87" s="54"/>
      <c r="EY87" s="54"/>
      <c r="EZ87" s="55"/>
      <c r="FA87" s="67"/>
      <c r="FB87" s="54"/>
      <c r="FC87" s="54"/>
      <c r="FD87" s="54"/>
      <c r="FE87" s="54"/>
      <c r="FF87" s="54"/>
      <c r="FG87" s="54"/>
      <c r="FH87" s="54"/>
      <c r="FI87" s="54"/>
      <c r="FJ87" s="54"/>
      <c r="FK87" s="54"/>
      <c r="FL87" s="55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5"/>
      <c r="M88" s="67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5"/>
      <c r="Y88" s="67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5"/>
      <c r="AK88" s="67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5"/>
      <c r="AW88" s="67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5"/>
      <c r="BI88" s="67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5"/>
      <c r="BU88" s="67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5"/>
      <c r="CG88" s="67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5"/>
      <c r="CS88" s="67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5"/>
      <c r="DE88" s="67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5"/>
      <c r="DQ88" s="67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5"/>
      <c r="EC88" s="67"/>
      <c r="ED88" s="54"/>
      <c r="EE88" s="54"/>
      <c r="EF88" s="54"/>
      <c r="EG88" s="54"/>
      <c r="EH88" s="54"/>
      <c r="EI88" s="54"/>
      <c r="EJ88" s="54"/>
      <c r="EK88" s="54"/>
      <c r="EL88" s="54"/>
      <c r="EM88" s="54"/>
      <c r="EN88" s="55"/>
      <c r="EO88" s="67"/>
      <c r="EP88" s="54"/>
      <c r="EQ88" s="54"/>
      <c r="ER88" s="54"/>
      <c r="ES88" s="54"/>
      <c r="ET88" s="54"/>
      <c r="EU88" s="54"/>
      <c r="EV88" s="54"/>
      <c r="EW88" s="54"/>
      <c r="EX88" s="54"/>
      <c r="EY88" s="54"/>
      <c r="EZ88" s="55"/>
      <c r="FA88" s="67"/>
      <c r="FB88" s="54"/>
      <c r="FC88" s="54"/>
      <c r="FD88" s="54"/>
      <c r="FE88" s="54"/>
      <c r="FF88" s="54"/>
      <c r="FG88" s="54"/>
      <c r="FH88" s="54"/>
      <c r="FI88" s="54"/>
      <c r="FJ88" s="54"/>
      <c r="FK88" s="54"/>
      <c r="FL88" s="55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5"/>
      <c r="M89" s="67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5"/>
      <c r="Y89" s="67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5"/>
      <c r="AK89" s="67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5"/>
      <c r="AW89" s="67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5"/>
      <c r="BI89" s="67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5"/>
      <c r="BU89" s="67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5"/>
      <c r="CG89" s="67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5"/>
      <c r="CS89" s="67"/>
      <c r="CT89" s="54"/>
      <c r="CU89" s="54"/>
      <c r="CV89" s="54"/>
      <c r="CW89" s="54"/>
      <c r="CX89" s="54"/>
      <c r="CY89" s="54"/>
      <c r="CZ89" s="54"/>
      <c r="DA89" s="54"/>
      <c r="DB89" s="54"/>
      <c r="DC89" s="54"/>
      <c r="DD89" s="55"/>
      <c r="DE89" s="67"/>
      <c r="DF89" s="54"/>
      <c r="DG89" s="54"/>
      <c r="DH89" s="54"/>
      <c r="DI89" s="54"/>
      <c r="DJ89" s="54"/>
      <c r="DK89" s="54"/>
      <c r="DL89" s="54"/>
      <c r="DM89" s="54"/>
      <c r="DN89" s="54"/>
      <c r="DO89" s="54"/>
      <c r="DP89" s="55"/>
      <c r="DQ89" s="67"/>
      <c r="DR89" s="54"/>
      <c r="DS89" s="54"/>
      <c r="DT89" s="54"/>
      <c r="DU89" s="54"/>
      <c r="DV89" s="54"/>
      <c r="DW89" s="54"/>
      <c r="DX89" s="54"/>
      <c r="DY89" s="54"/>
      <c r="DZ89" s="54"/>
      <c r="EA89" s="54"/>
      <c r="EB89" s="55"/>
      <c r="EC89" s="67"/>
      <c r="ED89" s="54"/>
      <c r="EE89" s="54"/>
      <c r="EF89" s="54"/>
      <c r="EG89" s="54"/>
      <c r="EH89" s="54"/>
      <c r="EI89" s="54"/>
      <c r="EJ89" s="54"/>
      <c r="EK89" s="54"/>
      <c r="EL89" s="54"/>
      <c r="EM89" s="54"/>
      <c r="EN89" s="55"/>
      <c r="EO89" s="67"/>
      <c r="EP89" s="54"/>
      <c r="EQ89" s="54"/>
      <c r="ER89" s="54"/>
      <c r="ES89" s="54"/>
      <c r="ET89" s="54"/>
      <c r="EU89" s="54"/>
      <c r="EV89" s="54"/>
      <c r="EW89" s="54"/>
      <c r="EX89" s="54"/>
      <c r="EY89" s="54"/>
      <c r="EZ89" s="55"/>
      <c r="FA89" s="67"/>
      <c r="FB89" s="54"/>
      <c r="FC89" s="54"/>
      <c r="FD89" s="54"/>
      <c r="FE89" s="54"/>
      <c r="FF89" s="54"/>
      <c r="FG89" s="54"/>
      <c r="FH89" s="54"/>
      <c r="FI89" s="54"/>
      <c r="FJ89" s="54"/>
      <c r="FK89" s="54"/>
      <c r="FL89" s="55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5"/>
      <c r="M90" s="67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5"/>
      <c r="Y90" s="67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5"/>
      <c r="AK90" s="67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5"/>
      <c r="AW90" s="67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5"/>
      <c r="BI90" s="67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5"/>
      <c r="BU90" s="67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5"/>
      <c r="CG90" s="67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5"/>
      <c r="CS90" s="67"/>
      <c r="CT90" s="54"/>
      <c r="CU90" s="54"/>
      <c r="CV90" s="54"/>
      <c r="CW90" s="54"/>
      <c r="CX90" s="54"/>
      <c r="CY90" s="54"/>
      <c r="CZ90" s="54"/>
      <c r="DA90" s="54"/>
      <c r="DB90" s="54"/>
      <c r="DC90" s="54"/>
      <c r="DD90" s="55"/>
      <c r="DE90" s="67"/>
      <c r="DF90" s="54"/>
      <c r="DG90" s="54"/>
      <c r="DH90" s="54"/>
      <c r="DI90" s="54"/>
      <c r="DJ90" s="54"/>
      <c r="DK90" s="54"/>
      <c r="DL90" s="54"/>
      <c r="DM90" s="54"/>
      <c r="DN90" s="54"/>
      <c r="DO90" s="54"/>
      <c r="DP90" s="55"/>
      <c r="DQ90" s="67"/>
      <c r="DR90" s="54"/>
      <c r="DS90" s="54"/>
      <c r="DT90" s="54"/>
      <c r="DU90" s="54"/>
      <c r="DV90" s="54"/>
      <c r="DW90" s="54"/>
      <c r="DX90" s="54"/>
      <c r="DY90" s="54"/>
      <c r="DZ90" s="54"/>
      <c r="EA90" s="54"/>
      <c r="EB90" s="55"/>
      <c r="EC90" s="67"/>
      <c r="ED90" s="54"/>
      <c r="EE90" s="54"/>
      <c r="EF90" s="54"/>
      <c r="EG90" s="54"/>
      <c r="EH90" s="54"/>
      <c r="EI90" s="54"/>
      <c r="EJ90" s="54"/>
      <c r="EK90" s="54"/>
      <c r="EL90" s="54"/>
      <c r="EM90" s="54"/>
      <c r="EN90" s="55"/>
      <c r="EO90" s="67"/>
      <c r="EP90" s="54"/>
      <c r="EQ90" s="54"/>
      <c r="ER90" s="54"/>
      <c r="ES90" s="54"/>
      <c r="ET90" s="54"/>
      <c r="EU90" s="54"/>
      <c r="EV90" s="54"/>
      <c r="EW90" s="54"/>
      <c r="EX90" s="54"/>
      <c r="EY90" s="54"/>
      <c r="EZ90" s="55"/>
      <c r="FA90" s="67"/>
      <c r="FB90" s="54"/>
      <c r="FC90" s="54"/>
      <c r="FD90" s="54"/>
      <c r="FE90" s="54"/>
      <c r="FF90" s="54"/>
      <c r="FG90" s="54"/>
      <c r="FH90" s="54"/>
      <c r="FI90" s="54"/>
      <c r="FJ90" s="54"/>
      <c r="FK90" s="54"/>
      <c r="FL90" s="55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5"/>
      <c r="M91" s="67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5"/>
      <c r="Y91" s="67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5"/>
      <c r="AK91" s="67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5"/>
      <c r="AW91" s="67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5"/>
      <c r="BI91" s="67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5"/>
      <c r="BU91" s="67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5"/>
      <c r="CG91" s="67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5"/>
      <c r="CS91" s="67"/>
      <c r="CT91" s="54"/>
      <c r="CU91" s="54"/>
      <c r="CV91" s="54"/>
      <c r="CW91" s="54"/>
      <c r="CX91" s="54"/>
      <c r="CY91" s="54"/>
      <c r="CZ91" s="54"/>
      <c r="DA91" s="54"/>
      <c r="DB91" s="54"/>
      <c r="DC91" s="54"/>
      <c r="DD91" s="55"/>
      <c r="DE91" s="67"/>
      <c r="DF91" s="54"/>
      <c r="DG91" s="54"/>
      <c r="DH91" s="54"/>
      <c r="DI91" s="54"/>
      <c r="DJ91" s="54"/>
      <c r="DK91" s="54"/>
      <c r="DL91" s="54"/>
      <c r="DM91" s="54"/>
      <c r="DN91" s="54"/>
      <c r="DO91" s="54"/>
      <c r="DP91" s="55"/>
      <c r="DQ91" s="67"/>
      <c r="DR91" s="54"/>
      <c r="DS91" s="54"/>
      <c r="DT91" s="54"/>
      <c r="DU91" s="54"/>
      <c r="DV91" s="54"/>
      <c r="DW91" s="54"/>
      <c r="DX91" s="54"/>
      <c r="DY91" s="54"/>
      <c r="DZ91" s="54"/>
      <c r="EA91" s="54"/>
      <c r="EB91" s="55"/>
      <c r="EC91" s="67"/>
      <c r="ED91" s="54"/>
      <c r="EE91" s="54"/>
      <c r="EF91" s="54"/>
      <c r="EG91" s="54"/>
      <c r="EH91" s="54"/>
      <c r="EI91" s="54"/>
      <c r="EJ91" s="54"/>
      <c r="EK91" s="54"/>
      <c r="EL91" s="54"/>
      <c r="EM91" s="54"/>
      <c r="EN91" s="55"/>
      <c r="EO91" s="67"/>
      <c r="EP91" s="54"/>
      <c r="EQ91" s="54"/>
      <c r="ER91" s="54"/>
      <c r="ES91" s="54"/>
      <c r="ET91" s="54"/>
      <c r="EU91" s="54"/>
      <c r="EV91" s="54"/>
      <c r="EW91" s="54"/>
      <c r="EX91" s="54"/>
      <c r="EY91" s="54"/>
      <c r="EZ91" s="55"/>
      <c r="FA91" s="67"/>
      <c r="FB91" s="54"/>
      <c r="FC91" s="54"/>
      <c r="FD91" s="54"/>
      <c r="FE91" s="54"/>
      <c r="FF91" s="54"/>
      <c r="FG91" s="54"/>
      <c r="FH91" s="54"/>
      <c r="FI91" s="54"/>
      <c r="FJ91" s="54"/>
      <c r="FK91" s="54"/>
      <c r="FL91" s="55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5"/>
      <c r="M92" s="67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5"/>
      <c r="Y92" s="67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5"/>
      <c r="AK92" s="67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5"/>
      <c r="AW92" s="67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5"/>
      <c r="BI92" s="67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5"/>
      <c r="BU92" s="67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5"/>
      <c r="CG92" s="67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5"/>
      <c r="CS92" s="67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5"/>
      <c r="DE92" s="67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5"/>
      <c r="DQ92" s="67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5"/>
      <c r="EC92" s="67"/>
      <c r="ED92" s="54"/>
      <c r="EE92" s="54"/>
      <c r="EF92" s="54"/>
      <c r="EG92" s="54"/>
      <c r="EH92" s="54"/>
      <c r="EI92" s="54"/>
      <c r="EJ92" s="54"/>
      <c r="EK92" s="54"/>
      <c r="EL92" s="54"/>
      <c r="EM92" s="54"/>
      <c r="EN92" s="55"/>
      <c r="EO92" s="67"/>
      <c r="EP92" s="54"/>
      <c r="EQ92" s="54"/>
      <c r="ER92" s="54"/>
      <c r="ES92" s="54"/>
      <c r="ET92" s="54"/>
      <c r="EU92" s="54"/>
      <c r="EV92" s="54"/>
      <c r="EW92" s="54"/>
      <c r="EX92" s="54"/>
      <c r="EY92" s="54"/>
      <c r="EZ92" s="55"/>
      <c r="FA92" s="67"/>
      <c r="FB92" s="54"/>
      <c r="FC92" s="54"/>
      <c r="FD92" s="54"/>
      <c r="FE92" s="54"/>
      <c r="FF92" s="54"/>
      <c r="FG92" s="54"/>
      <c r="FH92" s="54"/>
      <c r="FI92" s="54"/>
      <c r="FJ92" s="54"/>
      <c r="FK92" s="54"/>
      <c r="FL92" s="55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5"/>
      <c r="M93" s="67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5"/>
      <c r="Y93" s="67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5"/>
      <c r="AK93" s="67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5"/>
      <c r="AW93" s="67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5"/>
      <c r="BI93" s="67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5"/>
      <c r="BU93" s="67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5"/>
      <c r="CG93" s="67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5"/>
      <c r="CS93" s="67"/>
      <c r="CT93" s="54"/>
      <c r="CU93" s="54"/>
      <c r="CV93" s="54"/>
      <c r="CW93" s="54"/>
      <c r="CX93" s="54"/>
      <c r="CY93" s="54"/>
      <c r="CZ93" s="54"/>
      <c r="DA93" s="54"/>
      <c r="DB93" s="54"/>
      <c r="DC93" s="54"/>
      <c r="DD93" s="55"/>
      <c r="DE93" s="67"/>
      <c r="DF93" s="54"/>
      <c r="DG93" s="54"/>
      <c r="DH93" s="54"/>
      <c r="DI93" s="54"/>
      <c r="DJ93" s="54"/>
      <c r="DK93" s="54"/>
      <c r="DL93" s="54"/>
      <c r="DM93" s="54"/>
      <c r="DN93" s="54"/>
      <c r="DO93" s="54"/>
      <c r="DP93" s="55"/>
      <c r="DQ93" s="67"/>
      <c r="DR93" s="54"/>
      <c r="DS93" s="54"/>
      <c r="DT93" s="54"/>
      <c r="DU93" s="54"/>
      <c r="DV93" s="54"/>
      <c r="DW93" s="54"/>
      <c r="DX93" s="54"/>
      <c r="DY93" s="54"/>
      <c r="DZ93" s="54"/>
      <c r="EA93" s="54"/>
      <c r="EB93" s="55"/>
      <c r="EC93" s="67"/>
      <c r="ED93" s="54"/>
      <c r="EE93" s="54"/>
      <c r="EF93" s="54"/>
      <c r="EG93" s="54"/>
      <c r="EH93" s="54"/>
      <c r="EI93" s="54"/>
      <c r="EJ93" s="54"/>
      <c r="EK93" s="54"/>
      <c r="EL93" s="54"/>
      <c r="EM93" s="54"/>
      <c r="EN93" s="55"/>
      <c r="EO93" s="67"/>
      <c r="EP93" s="54"/>
      <c r="EQ93" s="54"/>
      <c r="ER93" s="54"/>
      <c r="ES93" s="54"/>
      <c r="ET93" s="54"/>
      <c r="EU93" s="54"/>
      <c r="EV93" s="54"/>
      <c r="EW93" s="54"/>
      <c r="EX93" s="54"/>
      <c r="EY93" s="54"/>
      <c r="EZ93" s="55"/>
      <c r="FA93" s="67"/>
      <c r="FB93" s="54"/>
      <c r="FC93" s="54"/>
      <c r="FD93" s="54"/>
      <c r="FE93" s="54"/>
      <c r="FF93" s="54"/>
      <c r="FG93" s="54"/>
      <c r="FH93" s="54"/>
      <c r="FI93" s="54"/>
      <c r="FJ93" s="54"/>
      <c r="FK93" s="54"/>
      <c r="FL93" s="55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5"/>
      <c r="M94" s="67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5"/>
      <c r="Y94" s="67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5"/>
      <c r="AK94" s="67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5"/>
      <c r="AW94" s="67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5"/>
      <c r="BI94" s="67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5"/>
      <c r="BU94" s="67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5"/>
      <c r="CG94" s="67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5"/>
      <c r="CS94" s="67"/>
      <c r="CT94" s="54"/>
      <c r="CU94" s="54"/>
      <c r="CV94" s="54"/>
      <c r="CW94" s="54"/>
      <c r="CX94" s="54"/>
      <c r="CY94" s="54"/>
      <c r="CZ94" s="54"/>
      <c r="DA94" s="54"/>
      <c r="DB94" s="54"/>
      <c r="DC94" s="54"/>
      <c r="DD94" s="55"/>
      <c r="DE94" s="67"/>
      <c r="DF94" s="54"/>
      <c r="DG94" s="54"/>
      <c r="DH94" s="54"/>
      <c r="DI94" s="54"/>
      <c r="DJ94" s="54"/>
      <c r="DK94" s="54"/>
      <c r="DL94" s="54"/>
      <c r="DM94" s="54"/>
      <c r="DN94" s="54"/>
      <c r="DO94" s="54"/>
      <c r="DP94" s="55"/>
      <c r="DQ94" s="67"/>
      <c r="DR94" s="54"/>
      <c r="DS94" s="54"/>
      <c r="DT94" s="54"/>
      <c r="DU94" s="54"/>
      <c r="DV94" s="54"/>
      <c r="DW94" s="54"/>
      <c r="DX94" s="54"/>
      <c r="DY94" s="54"/>
      <c r="DZ94" s="54"/>
      <c r="EA94" s="54"/>
      <c r="EB94" s="55"/>
      <c r="EC94" s="67"/>
      <c r="ED94" s="54"/>
      <c r="EE94" s="54"/>
      <c r="EF94" s="54"/>
      <c r="EG94" s="54"/>
      <c r="EH94" s="54"/>
      <c r="EI94" s="54"/>
      <c r="EJ94" s="54"/>
      <c r="EK94" s="54"/>
      <c r="EL94" s="54"/>
      <c r="EM94" s="54"/>
      <c r="EN94" s="55"/>
      <c r="EO94" s="67"/>
      <c r="EP94" s="54"/>
      <c r="EQ94" s="54"/>
      <c r="ER94" s="54"/>
      <c r="ES94" s="54"/>
      <c r="ET94" s="54"/>
      <c r="EU94" s="54"/>
      <c r="EV94" s="54"/>
      <c r="EW94" s="54"/>
      <c r="EX94" s="54"/>
      <c r="EY94" s="54"/>
      <c r="EZ94" s="55"/>
      <c r="FA94" s="67"/>
      <c r="FB94" s="54"/>
      <c r="FC94" s="54"/>
      <c r="FD94" s="54"/>
      <c r="FE94" s="54"/>
      <c r="FF94" s="54"/>
      <c r="FG94" s="54"/>
      <c r="FH94" s="54"/>
      <c r="FI94" s="54"/>
      <c r="FJ94" s="54"/>
      <c r="FK94" s="54"/>
      <c r="FL94" s="55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5"/>
      <c r="M95" s="67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5"/>
      <c r="Y95" s="67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5"/>
      <c r="AK95" s="67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5"/>
      <c r="AW95" s="67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5"/>
      <c r="BI95" s="67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5"/>
      <c r="BU95" s="67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5"/>
      <c r="CG95" s="67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5"/>
      <c r="CS95" s="67"/>
      <c r="CT95" s="54"/>
      <c r="CU95" s="54"/>
      <c r="CV95" s="54"/>
      <c r="CW95" s="54"/>
      <c r="CX95" s="54"/>
      <c r="CY95" s="54"/>
      <c r="CZ95" s="54"/>
      <c r="DA95" s="54"/>
      <c r="DB95" s="54"/>
      <c r="DC95" s="54"/>
      <c r="DD95" s="55"/>
      <c r="DE95" s="67"/>
      <c r="DF95" s="54"/>
      <c r="DG95" s="54"/>
      <c r="DH95" s="54"/>
      <c r="DI95" s="54"/>
      <c r="DJ95" s="54"/>
      <c r="DK95" s="54"/>
      <c r="DL95" s="54"/>
      <c r="DM95" s="54"/>
      <c r="DN95" s="54"/>
      <c r="DO95" s="54"/>
      <c r="DP95" s="55"/>
      <c r="DQ95" s="67"/>
      <c r="DR95" s="54"/>
      <c r="DS95" s="54"/>
      <c r="DT95" s="54"/>
      <c r="DU95" s="54"/>
      <c r="DV95" s="54"/>
      <c r="DW95" s="54"/>
      <c r="DX95" s="54"/>
      <c r="DY95" s="54"/>
      <c r="DZ95" s="54"/>
      <c r="EA95" s="54"/>
      <c r="EB95" s="55"/>
      <c r="EC95" s="67"/>
      <c r="ED95" s="54"/>
      <c r="EE95" s="54"/>
      <c r="EF95" s="54"/>
      <c r="EG95" s="54"/>
      <c r="EH95" s="54"/>
      <c r="EI95" s="54"/>
      <c r="EJ95" s="54"/>
      <c r="EK95" s="54"/>
      <c r="EL95" s="54"/>
      <c r="EM95" s="54"/>
      <c r="EN95" s="55"/>
      <c r="EO95" s="67"/>
      <c r="EP95" s="54"/>
      <c r="EQ95" s="54"/>
      <c r="ER95" s="54"/>
      <c r="ES95" s="54"/>
      <c r="ET95" s="54"/>
      <c r="EU95" s="54"/>
      <c r="EV95" s="54"/>
      <c r="EW95" s="54"/>
      <c r="EX95" s="54"/>
      <c r="EY95" s="54"/>
      <c r="EZ95" s="55"/>
      <c r="FA95" s="67"/>
      <c r="FB95" s="54"/>
      <c r="FC95" s="54"/>
      <c r="FD95" s="54"/>
      <c r="FE95" s="54"/>
      <c r="FF95" s="54"/>
      <c r="FG95" s="54"/>
      <c r="FH95" s="54"/>
      <c r="FI95" s="54"/>
      <c r="FJ95" s="54"/>
      <c r="FK95" s="54"/>
      <c r="FL95" s="55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5"/>
      <c r="M96" s="67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5"/>
      <c r="Y96" s="67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5"/>
      <c r="AK96" s="67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5"/>
      <c r="AW96" s="67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5"/>
      <c r="BI96" s="67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5"/>
      <c r="BU96" s="67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5"/>
      <c r="CG96" s="67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5"/>
      <c r="CS96" s="67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5"/>
      <c r="DE96" s="67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5"/>
      <c r="DQ96" s="67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5"/>
      <c r="EC96" s="67"/>
      <c r="ED96" s="54"/>
      <c r="EE96" s="54"/>
      <c r="EF96" s="54"/>
      <c r="EG96" s="54"/>
      <c r="EH96" s="54"/>
      <c r="EI96" s="54"/>
      <c r="EJ96" s="54"/>
      <c r="EK96" s="54"/>
      <c r="EL96" s="54"/>
      <c r="EM96" s="54"/>
      <c r="EN96" s="55"/>
      <c r="EO96" s="67"/>
      <c r="EP96" s="54"/>
      <c r="EQ96" s="54"/>
      <c r="ER96" s="54"/>
      <c r="ES96" s="54"/>
      <c r="ET96" s="54"/>
      <c r="EU96" s="54"/>
      <c r="EV96" s="54"/>
      <c r="EW96" s="54"/>
      <c r="EX96" s="54"/>
      <c r="EY96" s="54"/>
      <c r="EZ96" s="55"/>
      <c r="FA96" s="67"/>
      <c r="FB96" s="54"/>
      <c r="FC96" s="54"/>
      <c r="FD96" s="54"/>
      <c r="FE96" s="54"/>
      <c r="FF96" s="54"/>
      <c r="FG96" s="54"/>
      <c r="FH96" s="54"/>
      <c r="FI96" s="54"/>
      <c r="FJ96" s="54"/>
      <c r="FK96" s="54"/>
      <c r="FL96" s="55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5"/>
      <c r="M97" s="67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5"/>
      <c r="Y97" s="67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5"/>
      <c r="AK97" s="67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5"/>
      <c r="AW97" s="67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5"/>
      <c r="BI97" s="67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5"/>
      <c r="BU97" s="67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5"/>
      <c r="CG97" s="67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5"/>
      <c r="CS97" s="67"/>
      <c r="CT97" s="54"/>
      <c r="CU97" s="54"/>
      <c r="CV97" s="54"/>
      <c r="CW97" s="54"/>
      <c r="CX97" s="54"/>
      <c r="CY97" s="54"/>
      <c r="CZ97" s="54"/>
      <c r="DA97" s="54"/>
      <c r="DB97" s="54"/>
      <c r="DC97" s="54"/>
      <c r="DD97" s="55"/>
      <c r="DE97" s="67"/>
      <c r="DF97" s="54"/>
      <c r="DG97" s="54"/>
      <c r="DH97" s="54"/>
      <c r="DI97" s="54"/>
      <c r="DJ97" s="54"/>
      <c r="DK97" s="54"/>
      <c r="DL97" s="54"/>
      <c r="DM97" s="54"/>
      <c r="DN97" s="54"/>
      <c r="DO97" s="54"/>
      <c r="DP97" s="55"/>
      <c r="DQ97" s="67"/>
      <c r="DR97" s="54"/>
      <c r="DS97" s="54"/>
      <c r="DT97" s="54"/>
      <c r="DU97" s="54"/>
      <c r="DV97" s="54"/>
      <c r="DW97" s="54"/>
      <c r="DX97" s="54"/>
      <c r="DY97" s="54"/>
      <c r="DZ97" s="54"/>
      <c r="EA97" s="54"/>
      <c r="EB97" s="55"/>
      <c r="EC97" s="67"/>
      <c r="ED97" s="54"/>
      <c r="EE97" s="54"/>
      <c r="EF97" s="54"/>
      <c r="EG97" s="54"/>
      <c r="EH97" s="54"/>
      <c r="EI97" s="54"/>
      <c r="EJ97" s="54"/>
      <c r="EK97" s="54"/>
      <c r="EL97" s="54"/>
      <c r="EM97" s="54"/>
      <c r="EN97" s="55"/>
      <c r="EO97" s="67"/>
      <c r="EP97" s="54"/>
      <c r="EQ97" s="54"/>
      <c r="ER97" s="54"/>
      <c r="ES97" s="54"/>
      <c r="ET97" s="54"/>
      <c r="EU97" s="54"/>
      <c r="EV97" s="54"/>
      <c r="EW97" s="54"/>
      <c r="EX97" s="54"/>
      <c r="EY97" s="54"/>
      <c r="EZ97" s="55"/>
      <c r="FA97" s="67"/>
      <c r="FB97" s="54"/>
      <c r="FC97" s="54"/>
      <c r="FD97" s="54"/>
      <c r="FE97" s="54"/>
      <c r="FF97" s="54"/>
      <c r="FG97" s="54"/>
      <c r="FH97" s="54"/>
      <c r="FI97" s="54"/>
      <c r="FJ97" s="54"/>
      <c r="FK97" s="54"/>
      <c r="FL97" s="55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5"/>
      <c r="M98" s="67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5"/>
      <c r="Y98" s="67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5"/>
      <c r="AK98" s="67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5"/>
      <c r="AW98" s="67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5"/>
      <c r="BI98" s="67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5"/>
      <c r="BU98" s="67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5"/>
      <c r="CG98" s="67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5"/>
      <c r="CS98" s="67"/>
      <c r="CT98" s="54"/>
      <c r="CU98" s="54"/>
      <c r="CV98" s="54"/>
      <c r="CW98" s="54"/>
      <c r="CX98" s="54"/>
      <c r="CY98" s="54"/>
      <c r="CZ98" s="54"/>
      <c r="DA98" s="54"/>
      <c r="DB98" s="54"/>
      <c r="DC98" s="54"/>
      <c r="DD98" s="55"/>
      <c r="DE98" s="67"/>
      <c r="DF98" s="54"/>
      <c r="DG98" s="54"/>
      <c r="DH98" s="54"/>
      <c r="DI98" s="54"/>
      <c r="DJ98" s="54"/>
      <c r="DK98" s="54"/>
      <c r="DL98" s="54"/>
      <c r="DM98" s="54"/>
      <c r="DN98" s="54"/>
      <c r="DO98" s="54"/>
      <c r="DP98" s="55"/>
      <c r="DQ98" s="67"/>
      <c r="DR98" s="54"/>
      <c r="DS98" s="54"/>
      <c r="DT98" s="54"/>
      <c r="DU98" s="54"/>
      <c r="DV98" s="54"/>
      <c r="DW98" s="54"/>
      <c r="DX98" s="54"/>
      <c r="DY98" s="54"/>
      <c r="DZ98" s="54"/>
      <c r="EA98" s="54"/>
      <c r="EB98" s="55"/>
      <c r="EC98" s="67"/>
      <c r="ED98" s="54"/>
      <c r="EE98" s="54"/>
      <c r="EF98" s="54"/>
      <c r="EG98" s="54"/>
      <c r="EH98" s="54"/>
      <c r="EI98" s="54"/>
      <c r="EJ98" s="54"/>
      <c r="EK98" s="54"/>
      <c r="EL98" s="54"/>
      <c r="EM98" s="54"/>
      <c r="EN98" s="55"/>
      <c r="EO98" s="67"/>
      <c r="EP98" s="54"/>
      <c r="EQ98" s="54"/>
      <c r="ER98" s="54"/>
      <c r="ES98" s="54"/>
      <c r="ET98" s="54"/>
      <c r="EU98" s="54"/>
      <c r="EV98" s="54"/>
      <c r="EW98" s="54"/>
      <c r="EX98" s="54"/>
      <c r="EY98" s="54"/>
      <c r="EZ98" s="55"/>
      <c r="FA98" s="67"/>
      <c r="FB98" s="54"/>
      <c r="FC98" s="54"/>
      <c r="FD98" s="54"/>
      <c r="FE98" s="54"/>
      <c r="FF98" s="54"/>
      <c r="FG98" s="54"/>
      <c r="FH98" s="54"/>
      <c r="FI98" s="54"/>
      <c r="FJ98" s="54"/>
      <c r="FK98" s="54"/>
      <c r="FL98" s="55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5"/>
      <c r="M99" s="67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5"/>
      <c r="Y99" s="67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5"/>
      <c r="AK99" s="67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5"/>
      <c r="AW99" s="67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5"/>
      <c r="BI99" s="67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5"/>
      <c r="BU99" s="67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82"/>
      <c r="CG99" s="67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5"/>
      <c r="CS99" s="67"/>
      <c r="CT99" s="54"/>
      <c r="CU99" s="54"/>
      <c r="CV99" s="54"/>
      <c r="CW99" s="54"/>
      <c r="CX99" s="54"/>
      <c r="CY99" s="54"/>
      <c r="CZ99" s="54"/>
      <c r="DA99" s="54"/>
      <c r="DB99" s="54"/>
      <c r="DC99" s="54"/>
      <c r="DD99" s="55"/>
      <c r="DE99" s="67"/>
      <c r="DF99" s="54"/>
      <c r="DG99" s="54"/>
      <c r="DH99" s="54"/>
      <c r="DI99" s="54"/>
      <c r="DJ99" s="54"/>
      <c r="DK99" s="54"/>
      <c r="DL99" s="54"/>
      <c r="DM99" s="54"/>
      <c r="DN99" s="54"/>
      <c r="DO99" s="54"/>
      <c r="DP99" s="55"/>
      <c r="DQ99" s="67"/>
      <c r="DR99" s="54"/>
      <c r="DS99" s="54"/>
      <c r="DT99" s="54"/>
      <c r="DU99" s="54"/>
      <c r="DV99" s="54"/>
      <c r="DW99" s="54"/>
      <c r="DX99" s="54"/>
      <c r="DY99" s="54"/>
      <c r="DZ99" s="54"/>
      <c r="EA99" s="54"/>
      <c r="EB99" s="55"/>
      <c r="EC99" s="67"/>
      <c r="ED99" s="54"/>
      <c r="EE99" s="54"/>
      <c r="EF99" s="54"/>
      <c r="EG99" s="54"/>
      <c r="EH99" s="54"/>
      <c r="EI99" s="54"/>
      <c r="EJ99" s="54"/>
      <c r="EK99" s="54"/>
      <c r="EL99" s="54"/>
      <c r="EM99" s="54"/>
      <c r="EN99" s="55"/>
      <c r="EO99" s="67"/>
      <c r="EP99" s="54"/>
      <c r="EQ99" s="54"/>
      <c r="ER99" s="54"/>
      <c r="ES99" s="54"/>
      <c r="ET99" s="54"/>
      <c r="EU99" s="54"/>
      <c r="EV99" s="54"/>
      <c r="EW99" s="54"/>
      <c r="EX99" s="54"/>
      <c r="EY99" s="54"/>
      <c r="EZ99" s="55"/>
      <c r="FA99" s="67"/>
      <c r="FB99" s="54"/>
      <c r="FC99" s="54"/>
      <c r="FD99" s="54"/>
      <c r="FE99" s="54"/>
      <c r="FF99" s="54"/>
      <c r="FG99" s="54"/>
      <c r="FH99" s="54"/>
      <c r="FI99" s="54"/>
      <c r="FJ99" s="54"/>
      <c r="FK99" s="54"/>
      <c r="FL99" s="55"/>
    </row>
  </sheetData>
  <conditionalFormatting sqref="A1:A3 M1:M2 Y1:Y2 AK1:AK2 AL1:AV1 AW1:AW2 AX1:BH1 BI1:BI2 BJ1:BT1 BU1:BU2 BV1:CF1 CG1:CG2 CH1:CR1 CS1:CS2 CT1:DD1 DE1:DE2 DF1:DP1 DQ1:DQ2 DR1:EB1 EC1:EC2 ED1:EN1 EO1:EO2 EP1:EZ1 FA1:FA2 FB1:FL1 CS4:CS5 A5:A6 CS7:CS8 A8:A9 CS10:CS11 A11:A12 CS13:CS14 A14:A15 CS16:CS17 A17:A18 CS19:CS20 A20:A21 CS22:CS23 A23:A24 A26:A27">
    <cfRule type="cellIs" dxfId="12" priority="1" operator="equal">
      <formula>2</formula>
    </cfRule>
  </conditionalFormatting>
  <conditionalFormatting sqref="A1:A3 M1:M2 Y1:Y2 AK1:AK2 AL1:AV1 AW1:AW2 AX1:BH1 BI1:BI2 BJ1:BT1 BU1:BU2 BV1:CF1 CG1:CG2 CH1:CR1 CS1:CS2 CT1:DD1 DE1:DE2 DF1:DP1 DQ1:DQ2 DR1:EB1 EC1:EC2 ED1:EN1 EO1:EO2 EP1:EZ1 FA1:FA2 FB1:FL1 CS4:CS5 A5:A6 CS7:CS8 A8:A9 CS10:CS11 A11:A12 CS13:CS14 A14:A15 CS16:CS17 A17:A18 CS19:CS20 A20:A21 CS22:CS23 A23:A24 A26:A27">
    <cfRule type="cellIs" dxfId="13" priority="2" operator="equal">
      <formula>3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294</v>
      </c>
      <c r="B1" s="83" t="s">
        <v>295</v>
      </c>
      <c r="C1" s="83" t="s">
        <v>296</v>
      </c>
    </row>
    <row r="2">
      <c r="A2" s="83" t="s">
        <v>297</v>
      </c>
      <c r="B2" s="83" t="s">
        <v>298</v>
      </c>
      <c r="C2" s="84" t="b">
        <v>1</v>
      </c>
    </row>
  </sheetData>
  <drawing r:id="rId1"/>
</worksheet>
</file>